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type mapping - TEMPLATE" sheetId="1" r:id="rId4"/>
    <sheet state="visible" name="Economy" sheetId="2" r:id="rId5"/>
    <sheet state="visible" name="Lite Premium" sheetId="3" r:id="rId6"/>
    <sheet state="visible" name="Premium" sheetId="4" r:id="rId7"/>
    <sheet state="visible" name="Luxury" sheetId="5" r:id="rId8"/>
    <sheet state="visible" name="GQ 1" sheetId="6" r:id="rId9"/>
    <sheet state="hidden" name="Copy of GQ 1" sheetId="7" r:id="rId10"/>
    <sheet state="hidden" name="Finemake Price" sheetId="8" r:id="rId11"/>
    <sheet state="hidden" name="Mr. Madhu Bharath 09-09" sheetId="9" r:id="rId12"/>
    <sheet state="hidden" name="Mr. Madhu Bharath 11-09" sheetId="10" r:id="rId13"/>
    <sheet state="visible" name="GQ2" sheetId="11" r:id="rId14"/>
    <sheet state="hidden" name="Copy of GQ2" sheetId="12" r:id="rId15"/>
    <sheet state="visible" name="GQ3" sheetId="13" r:id="rId16"/>
    <sheet state="hidden" name="Copy of GQ3" sheetId="14" r:id="rId17"/>
    <sheet state="hidden" name="Mr. Madhu Bharath_1" sheetId="15" r:id="rId18"/>
    <sheet state="visible" name="GQ4" sheetId="16" r:id="rId19"/>
    <sheet state="hidden" name="Copy of GQ4" sheetId="17" r:id="rId20"/>
    <sheet state="hidden" name="Quote" sheetId="18" r:id="rId21"/>
  </sheets>
  <definedNames/>
  <calcPr/>
</workbook>
</file>

<file path=xl/sharedStrings.xml><?xml version="1.0" encoding="utf-8"?>
<sst xmlns="http://schemas.openxmlformats.org/spreadsheetml/2006/main" count="7397" uniqueCount="990">
  <si>
    <t>Project Type</t>
  </si>
  <si>
    <t>Section</t>
  </si>
  <si>
    <t>Room Type</t>
  </si>
  <si>
    <t>Unit Type</t>
  </si>
  <si>
    <t xml:space="preserve">Category </t>
  </si>
  <si>
    <t>Brand</t>
  </si>
  <si>
    <t>Material Type</t>
  </si>
  <si>
    <t>Default?</t>
  </si>
  <si>
    <t>Customisable?</t>
  </si>
  <si>
    <t>Economy</t>
  </si>
  <si>
    <t>Modular</t>
  </si>
  <si>
    <t>Wet / Exposed Area</t>
  </si>
  <si>
    <t>Base Storage</t>
  </si>
  <si>
    <t>Core Material</t>
  </si>
  <si>
    <t>GreenPly</t>
  </si>
  <si>
    <t>BWP</t>
  </si>
  <si>
    <t>Yes</t>
  </si>
  <si>
    <t>Dry / Inexposed area</t>
  </si>
  <si>
    <t>Wall Storage</t>
  </si>
  <si>
    <t>MR</t>
  </si>
  <si>
    <t>Wardrobe</t>
  </si>
  <si>
    <t>Tall Storage</t>
  </si>
  <si>
    <t>Finish Material</t>
  </si>
  <si>
    <t>Merino</t>
  </si>
  <si>
    <t>Smooth Finish</t>
  </si>
  <si>
    <t>Hinges</t>
  </si>
  <si>
    <t>Hettich</t>
  </si>
  <si>
    <t>Onsys</t>
  </si>
  <si>
    <t>No</t>
  </si>
  <si>
    <t>Mid Premium</t>
  </si>
  <si>
    <t>Premium</t>
  </si>
  <si>
    <t>Luxury</t>
  </si>
  <si>
    <t>Panel type</t>
  </si>
  <si>
    <t>DESCRIPTION</t>
  </si>
  <si>
    <t>Rate</t>
  </si>
  <si>
    <t>Mark up</t>
  </si>
  <si>
    <t>Margin</t>
  </si>
  <si>
    <t xml:space="preserve">Selling Price </t>
  </si>
  <si>
    <t>SMOOTH FINISH</t>
  </si>
  <si>
    <t xml:space="preserve">Description format : Supply and installation of **Unit Type** with **Core material** **Finish Material****Hinges** </t>
  </si>
  <si>
    <t>Base Storage, Wall Storage, Tall Storage, Wardrobe</t>
  </si>
  <si>
    <t>Carcass/shutter</t>
  </si>
  <si>
    <t>Core Material, Finish Material, Hinges</t>
  </si>
  <si>
    <t>Carcass - BWP / Shutter - HDF, Smooth Finish, Soft Close</t>
  </si>
  <si>
    <t>Carcass - Kit ply Vista Marine / Shutter - Green Panel, Ebco , Sleek , Abhiyam , Catch Plus , Virgo</t>
  </si>
  <si>
    <r>
      <rPr>
        <rFont val="Arial"/>
        <color theme="1"/>
      </rPr>
      <t>Supply and installation of</t>
    </r>
    <r>
      <rPr>
        <rFont val="Arial"/>
        <b/>
        <color theme="1"/>
      </rPr>
      <t xml:space="preserve"> Base storage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</si>
  <si>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</si>
  <si>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</si>
  <si>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r>
      <rPr>
        <rFont val="Arial"/>
        <color theme="1"/>
      </rPr>
      <t xml:space="preserve">Supply and installation of </t>
    </r>
    <r>
      <rPr>
        <rFont val="Arial"/>
        <b/>
        <color theme="1"/>
      </rPr>
      <t xml:space="preserve">Wardobe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</si>
  <si>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t>Base Storage - Inner 1mm, Wall Storage - inner 1mm, Tall Storage - Inner 1mm</t>
  </si>
  <si>
    <t>Carcass, Shutter</t>
  </si>
  <si>
    <t>Carcass - BWP / Shutter - HDF, Smooth Finish , Soft Close</t>
  </si>
  <si>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</si>
  <si>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</si>
  <si>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HDF Shutter, Smooth finish laminate</t>
    </r>
    <r>
      <rPr>
        <rFont val="Arial"/>
        <color theme="1"/>
      </rPr>
      <t xml:space="preserve"> and </t>
    </r>
    <r>
      <rPr>
        <rFont val="Arial"/>
        <b/>
        <color theme="1"/>
      </rPr>
      <t xml:space="preserve">soft close hinges  </t>
    </r>
  </si>
  <si>
    <t>Carcass - BWP / Shutter - Plywood Border with Clear / Tinted Glass , Soft Close, Smooth Finish</t>
  </si>
  <si>
    <t>Ebco , Sleek , Abhiyam , Catch Plus , Virgo, Carcass / Shutter - Kitply Vist Marine with Glass</t>
  </si>
  <si>
    <r>
      <rPr>
        <rFont val="Arial"/>
        <color theme="1"/>
      </rPr>
      <t>Supply and installation of</t>
    </r>
    <r>
      <rPr>
        <rFont val="Arial"/>
        <b/>
        <color theme="1"/>
      </rPr>
      <t xml:space="preserve"> Base storage unit </t>
    </r>
    <r>
      <rPr>
        <rFont val="Arial"/>
        <color theme="1"/>
      </rPr>
      <t xml:space="preserve">with </t>
    </r>
    <r>
      <rPr>
        <rFont val="Arial"/>
        <b/>
        <color theme="1"/>
      </rPr>
      <t>BWP Carcass, Plywood Border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</si>
  <si>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Plywood Border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</si>
  <si>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Plywood Border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</si>
  <si>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Plywood Border with Clear/Tinted Glass Shutter, Smooth finish laminate</t>
    </r>
    <r>
      <rPr>
        <rFont val="Arial"/>
        <color theme="1"/>
      </rPr>
      <t xml:space="preserve"> and </t>
    </r>
    <r>
      <rPr>
        <rFont val="Arial"/>
        <b/>
        <color theme="1"/>
      </rPr>
      <t xml:space="preserve">soft close hinges  </t>
    </r>
  </si>
  <si>
    <t>Carcass - BWP / Shutter -  Plywood Border with Fluted Glass , Smooth Finish , Soft Close</t>
  </si>
  <si>
    <r>
      <rPr>
        <rFont val="Arial"/>
        <color theme="1"/>
      </rPr>
      <t>Supply and installation of</t>
    </r>
    <r>
      <rPr>
        <rFont val="Arial"/>
        <b/>
        <color theme="1"/>
      </rPr>
      <t xml:space="preserve"> Base storage unit </t>
    </r>
    <r>
      <rPr>
        <rFont val="Arial"/>
        <color theme="1"/>
      </rPr>
      <t xml:space="preserve">with </t>
    </r>
    <r>
      <rPr>
        <rFont val="Arial"/>
        <b/>
        <color theme="1"/>
      </rPr>
      <t>BWP Carcass, Plywood Border with Fluted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</si>
  <si>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Plywood Border with Fluted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</si>
  <si>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Plywood Border with Fluted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</si>
  <si>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Plywood Border with Fluted Glass Shutter, Smooth finish laminate</t>
    </r>
    <r>
      <rPr>
        <rFont val="Arial"/>
        <color theme="1"/>
      </rPr>
      <t xml:space="preserve"> and </t>
    </r>
    <r>
      <rPr>
        <rFont val="Arial"/>
        <b/>
        <color theme="1"/>
      </rPr>
      <t xml:space="preserve">soft close hinges  </t>
    </r>
  </si>
  <si>
    <t>Carcass - BWP / Shutter - Black / Silver  colour Aluminium Profile with Clear or Tinted Glass, Smooth Finish , Soft Close</t>
  </si>
  <si>
    <t>Sleek , Ebco, Abhiyam , Catch Plus , Virgo, Carcass -Kitply Vista Marine / Shutter - Imported Aluminium Profile Shutters</t>
  </si>
  <si>
    <r>
      <rPr>
        <rFont val="Arial"/>
        <color theme="1"/>
      </rPr>
      <t>Supply and installation of</t>
    </r>
    <r>
      <rPr>
        <rFont val="Arial"/>
        <b/>
        <color theme="1"/>
      </rPr>
      <t xml:space="preserve"> Base storage unit </t>
    </r>
    <r>
      <rPr>
        <rFont val="Arial"/>
        <color theme="1"/>
      </rPr>
      <t xml:space="preserve">with </t>
    </r>
    <r>
      <rPr>
        <rFont val="Arial"/>
        <b/>
        <color theme="1"/>
      </rPr>
      <t>BWP Carcass, Aluminium Profile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</si>
  <si>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Aluminium Profile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</si>
  <si>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Aluminium Profile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</si>
  <si>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Aluminium Profile with Clear/Tinted Glass Shutter, Smooth finish laminate</t>
    </r>
    <r>
      <rPr>
        <rFont val="Arial"/>
        <color theme="1"/>
      </rPr>
      <t xml:space="preserve"> and </t>
    </r>
    <r>
      <rPr>
        <rFont val="Arial"/>
        <b/>
        <color theme="1"/>
      </rPr>
      <t xml:space="preserve">soft close hinges  </t>
    </r>
  </si>
  <si>
    <t>Carcass - BWP / Shutter - Black / Silver  colour Aluminium Profile with Fluted Glass, Smooth Finish , Soft Close</t>
  </si>
  <si>
    <t>Carcass - BWP / Shutter - Gold  / Rose Gold   colour Aluminium Profile with Clear or Tinted  Glass, Soft Close, Smooth Finish</t>
  </si>
  <si>
    <t>Carcass - BWP / Shutter - Gold  / Rose Gold   colour Aluminium Profile with Fluted Glass, Smooth Finish , Soft Close</t>
  </si>
  <si>
    <t>Carcass  Inner 1mm- BWP / Shutter - Plywood Border with Clear / Tinted Glass , Smooth Finish , Soft Close</t>
  </si>
  <si>
    <t>Carcass inner 1mm - BWP / Shutter -  Plywood Border with Fluted Glass , Smooth Finish , Soft Close</t>
  </si>
  <si>
    <t>Carcass  Inner 1mm- BWP / Shutter - Black / Silver  colour Aluminium Profile with Clear or Tinted Glass , Smooth Finish , Soft Close</t>
  </si>
  <si>
    <t>Carcass Inner 1mm - BWP / Shutter - Black / Silver  colour Aluminium Profile with Fluted Glass, Smooth Finish , Soft Close</t>
  </si>
  <si>
    <t>Carcass Inner 1mm  - BWP / Shutter - Gold  / Rose Gold   colour Aluminium Profile with Fluted Glass, Smooth Finish , Soft Close</t>
  </si>
  <si>
    <t>Carcass Inner 1mm- BWP / Shutter - Gold  / Rose Gold   colour Aluminium Profile with Clear or Tinted  Glass, Smooth Finish , Soft Close</t>
  </si>
  <si>
    <t>Curved Shape Base Storage unit</t>
  </si>
  <si>
    <t>Curved Shape Drawer Storage unit</t>
  </si>
  <si>
    <t>Core Material, Finish Material</t>
  </si>
  <si>
    <t>Carcass - BWP / Shutter - HDF, Smooth Finish</t>
  </si>
  <si>
    <t>Carcass - Kit ply Vista Marine / Shutter - Green Panel, Catch Plus , Virgo , Abhiyam</t>
  </si>
  <si>
    <t>Open Unit - Inner 0.8mm</t>
  </si>
  <si>
    <t>Carcass</t>
  </si>
  <si>
    <t>CARCASS - BWP, Smooth Finish</t>
  </si>
  <si>
    <t>Carcass - Kit ply Vista Marine, Abhiyam, Catch Plus , Virgo</t>
  </si>
  <si>
    <r>
      <rPr>
        <rFont val="Arial"/>
        <color theme="1"/>
      </rPr>
      <t xml:space="preserve">Supply and installation of </t>
    </r>
    <r>
      <rPr>
        <rFont val="Arial"/>
        <b/>
        <color theme="1"/>
      </rPr>
      <t xml:space="preserve">Open unit - Inner 0.8mm </t>
    </r>
    <r>
      <rPr>
        <rFont val="Arial"/>
        <color theme="1"/>
      </rPr>
      <t xml:space="preserve">with </t>
    </r>
    <r>
      <rPr>
        <rFont val="Arial"/>
        <b/>
        <color theme="1"/>
      </rPr>
      <t>BWP Carcass and Smooth finish laminate</t>
    </r>
  </si>
  <si>
    <t>Open Unit - Inner 1mm</t>
  </si>
  <si>
    <r>
      <rPr>
        <rFont val="Arial"/>
        <color theme="1"/>
      </rPr>
      <t xml:space="preserve">Supply and installation of </t>
    </r>
    <r>
      <rPr>
        <rFont val="Arial"/>
        <b/>
        <color theme="1"/>
      </rPr>
      <t xml:space="preserve">Open unit - Inner 1mm </t>
    </r>
    <r>
      <rPr>
        <rFont val="Arial"/>
        <color theme="1"/>
      </rPr>
      <t xml:space="preserve">with </t>
    </r>
    <r>
      <rPr>
        <rFont val="Arial"/>
        <b/>
        <color theme="1"/>
      </rPr>
      <t>BWP Carcass and Smooth finish laminate</t>
    </r>
  </si>
  <si>
    <t>Loft</t>
  </si>
  <si>
    <t>Frame and Shutter</t>
  </si>
  <si>
    <t>Smooth Finish, Soft Close, Frame - BWP / Shutter - HDF</t>
  </si>
  <si>
    <t>Ebco , Sleek , Abhiyam , Catch Plus , Virgo, Frame- Kit ply Vista Marine / Shutter - Green Panel, Fortune gold</t>
  </si>
  <si>
    <t>Ledge</t>
  </si>
  <si>
    <t>Ledge -25mm</t>
  </si>
  <si>
    <t>Finish Material, Core Material</t>
  </si>
  <si>
    <t>Smooth Finish , CARCASS - BWP</t>
  </si>
  <si>
    <t>Ledge - Kit Ply Vista Marine, Abhiyam , Catch Plus , Virgo</t>
  </si>
  <si>
    <t>Ledge -36mm</t>
  </si>
  <si>
    <t>Ledge -50mm</t>
  </si>
  <si>
    <t>Partition</t>
  </si>
  <si>
    <t>Partition -75mm</t>
  </si>
  <si>
    <t>Kit Ply Vista Marine , Abhiyam , Catch Plus , Virgo</t>
  </si>
  <si>
    <t>Panel</t>
  </si>
  <si>
    <t>Curved Shape Panel</t>
  </si>
  <si>
    <t>Kit Ply Vista Marine, Catch Plus , Abhiyam , Virgo</t>
  </si>
  <si>
    <t>Wallpanel , pelmet , Ceiling Panel , Base panel / Side panel, Jam Panel, Chimney Panel</t>
  </si>
  <si>
    <r>
      <rPr>
        <rFont val="Arial"/>
        <color theme="1"/>
      </rPr>
      <t xml:space="preserve">Supply and installation of </t>
    </r>
    <r>
      <rPr>
        <rFont val="Arial"/>
        <b/>
        <color theme="1"/>
      </rPr>
      <t xml:space="preserve">Chimney Panel </t>
    </r>
    <r>
      <rPr>
        <rFont val="Arial"/>
        <color theme="1"/>
      </rPr>
      <t xml:space="preserve">with </t>
    </r>
    <r>
      <rPr>
        <rFont val="Arial"/>
        <b/>
        <color theme="1"/>
      </rPr>
      <t>BWP Carcass and Smooth finish laminate</t>
    </r>
  </si>
  <si>
    <t>Base Storage, Wall Storage, Tall Storage, Wardrobe, Drawer Storage</t>
  </si>
  <si>
    <t>Smooth Finish, Soft Close, Carcass - MR Premium / Shutter - HDF</t>
  </si>
  <si>
    <t>Carcass - Kitply Plus / Shutter - Green Panel, Ebco , Sleek , Catch Plus , Abhiyam , Virgo</t>
  </si>
  <si>
    <r>
      <rPr>
        <rFont val="Arial"/>
        <color theme="1"/>
      </rPr>
      <t>Supply and installation of</t>
    </r>
    <r>
      <rPr>
        <rFont val="Arial"/>
        <b/>
        <color theme="1"/>
      </rPr>
      <t xml:space="preserve"> Base storage unit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</si>
  <si>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</si>
  <si>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 xml:space="preserve">Providing  a base storage unit with a smooth finish laminate.- Handle </t>
  </si>
  <si>
    <r>
      <rPr>
        <rFont val="Arial"/>
        <color theme="1"/>
      </rPr>
      <t>Supply and installation of</t>
    </r>
    <r>
      <rPr>
        <rFont val="Arial"/>
        <b/>
        <color theme="1"/>
      </rPr>
      <t xml:space="preserve"> Tall storage unit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</si>
  <si>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Providing  a base storage unit with a smooth finish laminate - Profile Handle – G / Gola Profile</t>
  </si>
  <si>
    <r>
      <rPr>
        <rFont val="Arial"/>
        <color theme="1"/>
      </rPr>
      <t>Supply and installation of</t>
    </r>
    <r>
      <rPr>
        <rFont val="Arial"/>
        <b/>
        <color theme="1"/>
      </rPr>
      <t xml:space="preserve"> Wardrobe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</si>
  <si>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 xml:space="preserve">Providing  a base storage unit with a smooth finish laminate - Handless - Finger groove </t>
  </si>
  <si>
    <r>
      <rPr>
        <rFont val="Arial"/>
        <color theme="1"/>
      </rPr>
      <t>Supply and installation of</t>
    </r>
    <r>
      <rPr>
        <rFont val="Arial"/>
        <b/>
        <color theme="1"/>
      </rPr>
      <t xml:space="preserve"> Drawer Storage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</si>
  <si>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Providing  a Curved Shape  base storage unit with a smooth finish laminate.</t>
  </si>
  <si>
    <t>Carcass - MR Premium / Shutter - HDF, Smooth Finish , Soft Close</t>
  </si>
  <si>
    <r>
      <rPr>
        <rFont val="Arial"/>
        <color theme="1"/>
      </rPr>
      <t>Supply and installation of</t>
    </r>
    <r>
      <rPr>
        <rFont val="Arial"/>
        <b/>
        <color theme="1"/>
      </rPr>
      <t xml:space="preserve"> Base storage - Inner 1mm unit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</si>
  <si>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 xml:space="preserve">Providing  a Curved Shape  base storage unit with a smooth finish laminate - Finger groove </t>
  </si>
  <si>
    <r>
      <rPr>
        <rFont val="Arial"/>
        <color theme="1"/>
      </rPr>
      <t>Supply and installation of</t>
    </r>
    <r>
      <rPr>
        <rFont val="Arial"/>
        <b/>
        <color theme="1"/>
      </rPr>
      <t xml:space="preserve"> Wall storage - Inner 1mm unit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</si>
  <si>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Providing  a storage unit featuring an HDHMR sandwiched glass shutter with a rattan finish and a smooth laminate surface.</t>
  </si>
  <si>
    <r>
      <rPr>
        <rFont val="Arial"/>
        <color theme="1"/>
      </rPr>
      <t>Supply and installation of</t>
    </r>
    <r>
      <rPr>
        <rFont val="Arial"/>
        <b/>
        <color theme="1"/>
      </rPr>
      <t xml:space="preserve"> Tall storage - Inner 1mm unit  </t>
    </r>
    <r>
      <rPr>
        <rFont val="Arial"/>
        <color theme="1"/>
      </rPr>
      <t xml:space="preserve">with </t>
    </r>
    <r>
      <rPr>
        <rFont val="Arial"/>
        <b/>
        <color theme="1"/>
      </rPr>
      <t>MR Premium Carcass, HDF Shutter, Smooth finish laminate</t>
    </r>
    <r>
      <rPr>
        <rFont val="Arial"/>
        <color theme="1"/>
      </rPr>
      <t xml:space="preserve"> and </t>
    </r>
    <r>
      <rPr>
        <rFont val="Arial"/>
        <b/>
        <color theme="1"/>
      </rPr>
      <t xml:space="preserve">soft close hinges  </t>
    </r>
  </si>
  <si>
    <t xml:space="preserve">Providing  a storage unit featuring an HDHMR sandwiched glass shutter with a rattan finish and a smooth laminate surface. - Gola profile Handle </t>
  </si>
  <si>
    <t>Carcass - MR - Premium/ Shutter - Plywood Border with Clear / Tinted Glass , Smooth Finish , Soft Close</t>
  </si>
  <si>
    <t>Providing  a storage unit with a smooth finish laminate featuring a mix laminate design.</t>
  </si>
  <si>
    <t>Carcass - MR - Premium / Shutter -  Ply wood border with Fluted Glass , Smooth Finish , Soft Close</t>
  </si>
  <si>
    <t>Ebco , Sleek , Abhiyam , Catch Plus , Virgo, Carcass - Kit ply Vista Marine / Shutter - Green Panel with Glass</t>
  </si>
  <si>
    <r>
      <rPr>
        <rFont val="Arial"/>
        <color theme="1"/>
      </rPr>
      <t>Supply and installation of</t>
    </r>
    <r>
      <rPr>
        <rFont val="Arial"/>
        <b/>
        <color theme="1"/>
      </rPr>
      <t xml:space="preserve"> Base storage unit </t>
    </r>
    <r>
      <rPr>
        <rFont val="Arial"/>
        <color theme="1"/>
      </rPr>
      <t xml:space="preserve">with </t>
    </r>
    <r>
      <rPr>
        <rFont val="Arial"/>
        <b/>
        <color theme="1"/>
      </rPr>
      <t>MR Premium Carcass, Plywood Border with Fluted Glass Shutter, Smooth finish laminate</t>
    </r>
    <r>
      <rPr>
        <rFont val="Arial"/>
        <color theme="1"/>
      </rPr>
      <t xml:space="preserve"> and </t>
    </r>
    <r>
      <rPr>
        <rFont val="Arial"/>
        <b/>
        <color theme="1"/>
      </rPr>
      <t xml:space="preserve">soft close hinges  </t>
    </r>
  </si>
  <si>
    <t>Providing  a storage unit with a smooth finish laminate featuring a mix laminate design  - Finger Froove</t>
  </si>
  <si>
    <r>
      <rPr>
        <rFont val="Arial"/>
        <color theme="1"/>
      </rPr>
      <t>Supply and installation of</t>
    </r>
    <r>
      <rPr>
        <rFont val="Arial"/>
        <b/>
        <color theme="1"/>
      </rPr>
      <t xml:space="preserve"> Wall storage unit </t>
    </r>
    <r>
      <rPr>
        <rFont val="Arial"/>
        <color theme="1"/>
      </rPr>
      <t xml:space="preserve">with </t>
    </r>
    <r>
      <rPr>
        <rFont val="Arial"/>
        <b/>
        <color theme="1"/>
      </rPr>
      <t>MR Premium Carcass, Plywood Border with Fluted Glass Shutter, Smooth finish laminate</t>
    </r>
    <r>
      <rPr>
        <rFont val="Arial"/>
        <color theme="1"/>
      </rPr>
      <t xml:space="preserve"> and </t>
    </r>
    <r>
      <rPr>
        <rFont val="Arial"/>
        <b/>
        <color theme="1"/>
      </rPr>
      <t xml:space="preserve">soft close hinges  </t>
    </r>
  </si>
  <si>
    <t>Providing  a Smooth Finish laminate storage unit featuring a plywood border with Clear or Tinted glass.</t>
  </si>
  <si>
    <t>Carcass - MR - Premium / Shutter - Black / Silver  colour Aluminium Profile with Clear or Tinted Glass , Smooth Finish , Soft Close</t>
  </si>
  <si>
    <t>Carcass - Kit Ply Plus / Shutter - Imported  Aluminium Profile shutter, Sleek , Ebco, Abhiyam , Catch Plus , Virgo</t>
  </si>
  <si>
    <r>
      <rPr>
        <rFont val="Arial"/>
        <color theme="1"/>
      </rPr>
      <t>Supply and installation of</t>
    </r>
    <r>
      <rPr>
        <rFont val="Arial"/>
        <b/>
        <color theme="1"/>
      </rPr>
      <t xml:space="preserve"> Base storage unit </t>
    </r>
    <r>
      <rPr>
        <rFont val="Arial"/>
        <color theme="1"/>
      </rPr>
      <t xml:space="preserve">with </t>
    </r>
    <r>
      <rPr>
        <rFont val="Arial"/>
        <b/>
        <color theme="1"/>
      </rPr>
      <t>MR Premium Carcass, Aluminium profile shutter with Tinted glass, Smooth finish laminate</t>
    </r>
    <r>
      <rPr>
        <rFont val="Arial"/>
        <color theme="1"/>
      </rPr>
      <t xml:space="preserve"> and </t>
    </r>
    <r>
      <rPr>
        <rFont val="Arial"/>
        <b/>
        <color theme="1"/>
      </rPr>
      <t xml:space="preserve">soft close hinges  </t>
    </r>
  </si>
  <si>
    <t>Providing  a Smooth Finish laminate storage unit featuring a plywood border with Fluted glass.</t>
  </si>
  <si>
    <r>
      <rPr>
        <rFont val="Arial"/>
        <color theme="1"/>
      </rPr>
      <t>Supply and installation of</t>
    </r>
    <r>
      <rPr>
        <rFont val="Arial"/>
        <b/>
        <color theme="1"/>
      </rPr>
      <t xml:space="preserve"> Wall storage unit </t>
    </r>
    <r>
      <rPr>
        <rFont val="Arial"/>
        <color theme="1"/>
      </rPr>
      <t xml:space="preserve">with </t>
    </r>
    <r>
      <rPr>
        <rFont val="Arial"/>
        <b/>
        <color theme="1"/>
      </rPr>
      <t>MR Premium Carcass, Aluminium profile shutter with Tinted glass, Smooth finish laminate</t>
    </r>
    <r>
      <rPr>
        <rFont val="Arial"/>
        <color theme="1"/>
      </rPr>
      <t xml:space="preserve"> and </t>
    </r>
    <r>
      <rPr>
        <rFont val="Arial"/>
        <b/>
        <color theme="1"/>
      </rPr>
      <t xml:space="preserve">soft close hinges  </t>
    </r>
  </si>
  <si>
    <t>Providing  a Open  storage unit with a inner 0.8mm Laminate and Outer 1mm smooth finish laminate.</t>
  </si>
  <si>
    <t>Carcass - MR - Premium / Shutter - Black / Silver  colour Aluminium Profile with Fluted Glass, Soft Close, Smooth Finish</t>
  </si>
  <si>
    <t>Providing  a Open storage unit with Inner  and Outer 1mm smooth finish laminate.</t>
  </si>
  <si>
    <t xml:space="preserve">Providing  a  storage unit with Inner  and Outer 1mm smooth finish laminate - Handle </t>
  </si>
  <si>
    <t xml:space="preserve">Providing  a  storage unit with Inner  and Outer 1mm smooth finish laminate - Finger groove </t>
  </si>
  <si>
    <t>Providing  loft frame and shutters (excluding base ply)  - Smooth Finish Laminate</t>
  </si>
  <si>
    <t>Carcass - MR - Premium / Shutter - Gold Colour Aluminium profile with Clear Glass , Smooth Finish , Soft Close</t>
  </si>
  <si>
    <t>Providing  loft frame and shutters (excluding base ply) - Handless Finger groove - Smooth Finish Laminate</t>
  </si>
  <si>
    <t>Carcass - MR - Premium / Shutter - Gold Colour Aluminium profile with Fluted Glass , Smooth Finish , Soft Close</t>
  </si>
  <si>
    <t>Providing  exposed or base panels - (chimney panels, loft bottom panels, or loft side panels.)- Smooth Finish Laminate</t>
  </si>
  <si>
    <t>Carcass Inner 1mm - MR - Premium/ Shutter - Plywood Border with Clear / Tinted Glass , Smooth Finish , Soft Close</t>
  </si>
  <si>
    <t>Providing  ledges 25mm / 36mm thickness with a smooth finish laminate.</t>
  </si>
  <si>
    <t>Carcass Inner 1mm- MR - Premium / Shutter -  Ply wood border with Fluted Glass , Smooth Finish , Soft Close</t>
  </si>
  <si>
    <t>Providing  ledges 50mm thickness with a smooth finish laminate.</t>
  </si>
  <si>
    <t>Carcass inner 1mm- MR - Premium / Shutter - Black / Silver  colour Aluminium Profile with Clear or Tinted Glass , Smooth Finish , Soft Close</t>
  </si>
  <si>
    <t>Providing  wall Panel with Smooth Laminate Finish</t>
  </si>
  <si>
    <t>Carcass Inner 1mm - MR - Premium / Shutter - Black / Silver  colour Aluminium Profile with Fluted Glass , Smooth Finish , Soft Close</t>
  </si>
  <si>
    <t>Providing  Panel work in Ceiling with Smooth Laminate Finish</t>
  </si>
  <si>
    <t>Carcass Inner 1mm - MR - Premium / Shutter - Gold Colour Aluminium profile with Clear Glass , Smooth Finish , Soft Close</t>
  </si>
  <si>
    <t>Providing  Curved wall Panel with Smooth Laminate Finish</t>
  </si>
  <si>
    <t>Carcass Inner 1mm - MR - Premium / Shutter - Gold Colour Aluminium profile with Fluted Glass , Smooth Finish , Soft Close</t>
  </si>
  <si>
    <t>Providing  Arch Shape wall Panel with Smooth Laminate Finish</t>
  </si>
  <si>
    <t>Ebco , Sleek , Abhiyam , Catch Plus , Virgo, Carcass - Kitply Plus / Shutter - Green Panel</t>
  </si>
  <si>
    <t>Providing  75mm thick Plywood partition with the Minimal CNC pattern  - Smooth Finish Laminate</t>
  </si>
  <si>
    <t>Carcass - MR Premium / Shutter - HDF, Smooth Finish</t>
  </si>
  <si>
    <t>Catch Plus , Virgo , Abhiyam, Carcass - Kitply Plus / Shutter - Green Panel</t>
  </si>
  <si>
    <t>Tambour Storage</t>
  </si>
  <si>
    <t>Smooth Finish, Carcass - MR - Premium</t>
  </si>
  <si>
    <t>Carcass - Kitply plus</t>
  </si>
  <si>
    <t>Abhiyam, Catch Plus , Virgo, Carcass - Kitply plus</t>
  </si>
  <si>
    <t>Smooth Finish , Soft Close, Frame - MR Premium / Shutter - HDF</t>
  </si>
  <si>
    <t>Ebco , Sleek , Abhiyam , Catch Plus , Virgo, Frame - Kit ply Plus / Shutter - Green Panel</t>
  </si>
  <si>
    <r>
      <rPr>
        <rFont val="Arial"/>
        <color theme="1"/>
      </rPr>
      <t>Supply and installation of</t>
    </r>
    <r>
      <rPr>
        <rFont val="Arial"/>
        <b/>
        <color theme="1"/>
      </rPr>
      <t xml:space="preserve"> Loft Frame and Shutter unit </t>
    </r>
    <r>
      <rPr>
        <rFont val="Arial"/>
        <color theme="1"/>
      </rPr>
      <t xml:space="preserve">with </t>
    </r>
    <r>
      <rPr>
        <rFont val="Arial"/>
        <b/>
        <color theme="1"/>
      </rPr>
      <t>MR Premium Frame, HDF Shutter, Smooth finish laminate</t>
    </r>
    <r>
      <rPr>
        <rFont val="Arial"/>
        <color theme="1"/>
      </rPr>
      <t xml:space="preserve"> and </t>
    </r>
    <r>
      <rPr>
        <rFont val="Arial"/>
        <b/>
        <color theme="1"/>
      </rPr>
      <t xml:space="preserve">Soft Close hinges  </t>
    </r>
  </si>
  <si>
    <t>Abhiyam , Catch Plus , Virgo, Kitply plus</t>
  </si>
  <si>
    <r>
      <rPr>
        <rFont val="Arial"/>
        <color theme="1"/>
      </rPr>
      <t>Supply and installation of</t>
    </r>
    <r>
      <rPr>
        <rFont val="Arial"/>
        <b/>
        <color theme="1"/>
      </rPr>
      <t xml:space="preserve"> Ledge </t>
    </r>
    <r>
      <rPr>
        <rFont val="Arial"/>
        <color theme="1"/>
      </rPr>
      <t xml:space="preserve">with </t>
    </r>
    <r>
      <rPr>
        <rFont val="Arial"/>
        <b/>
        <color theme="1"/>
      </rPr>
      <t>25mm Ledge MR Premium and Smooth finish laminate</t>
    </r>
    <r>
      <rPr>
        <rFont val="Arial"/>
        <color theme="1"/>
      </rPr>
      <t xml:space="preserve"> </t>
    </r>
  </si>
  <si>
    <r>
      <rPr>
        <rFont val="Arial"/>
        <color theme="1"/>
      </rPr>
      <t>Supply and installation of</t>
    </r>
    <r>
      <rPr>
        <rFont val="Arial"/>
        <b/>
        <color theme="1"/>
      </rPr>
      <t xml:space="preserve"> Chamfered Wall Panel </t>
    </r>
    <r>
      <rPr>
        <rFont val="Arial"/>
        <color theme="1"/>
      </rPr>
      <t xml:space="preserve">with </t>
    </r>
    <r>
      <rPr>
        <rFont val="Arial"/>
        <b/>
        <color theme="1"/>
      </rPr>
      <t>MR Premium Carcass, Smooth finish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</si>
  <si>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MR Premium Carcass, Smooth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</si>
  <si>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MR Premium Carcass, Smooth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</si>
  <si>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MR Premium Carcass, Smooth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</si>
  <si>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MR Premium Carcass, Smooth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</si>
  <si>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MR Premium Carcass, Smooth finish laminate</t>
    </r>
    <r>
      <rPr>
        <rFont val="Arial"/>
        <color theme="1"/>
      </rPr>
      <t xml:space="preserve"> </t>
    </r>
  </si>
  <si>
    <t>GLOSSY FINISH</t>
  </si>
  <si>
    <t>Carcass - BWP / Shutter - HDF, Glossy Finish, Soft Close</t>
  </si>
  <si>
    <t>Carcass - BWP / Shutter - Plywood Border with Clear / Tinted Glass , Soft Close, Glossy Finish</t>
  </si>
  <si>
    <t>Carcass - BWP / Shutter -  Plywood Border with Fluted Glass , Glossy Finish , Soft Close</t>
  </si>
  <si>
    <t>Carcass - BWP / Shutter - Black / Silver  colour Aluminium Profile with Clear or Tinted Glass, Glossy Finish , Soft Close</t>
  </si>
  <si>
    <t>Carcass - BWP / Shutter - Black / Silver  colour Aluminium Profile with Fluted Glass, Glossy Finish , Soft Close</t>
  </si>
  <si>
    <t>Carcass - BWP / Shutter - Gold  / Rose Gold   colour Aluminium Profile with Clear or Tinted  Glass, Soft Close, Glossy Finish</t>
  </si>
  <si>
    <t>Carcass - BWP / Shutter - Gold  / Rose Gold   colour Aluminium Profile with Fluted Glass, Glossy Finish , Soft Close</t>
  </si>
  <si>
    <t>Carcass  Inner 1mm- BWP / Shutter - Plywood Border with Clear / Tinted Glass , Glossy Finish , Soft Close</t>
  </si>
  <si>
    <t>Carcass inner 1mm - BWP / Shutter -  Plywood Border with Fluted Glass , Glossy Finish , Soft Close</t>
  </si>
  <si>
    <t>Carcass  Inner 1mm- BWP / Shutter - Black / Silver  colour Aluminium Profile with Clear or Tinted Glass , Glossy Finish , Soft Close</t>
  </si>
  <si>
    <t>Carcass Inner 1mm - BWP / Shutter - Black / Silver  colour Aluminium Profile with Fluted Glass, Glossy Finish , Soft Close</t>
  </si>
  <si>
    <t>Carcass Inner 1mm  - BWP / Shutter - Gold  / Rose Gold   colour Aluminium Profile with Fluted Glass, Glossy Finish , Soft Close</t>
  </si>
  <si>
    <t>Carcass Inner 1mm- BWP / Shutter - Gold  / Rose Gold   colour Aluminium Profile with Clear or Tinted  Glass, Glossy Finish , Soft Close</t>
  </si>
  <si>
    <t>Carcass - BWP / Shutter - HDF, Glossy Finish , Soft Close</t>
  </si>
  <si>
    <t>Carcass - BWP / Shutter - HDF, Glossy Finish</t>
  </si>
  <si>
    <t>CARCASS - BWP, Glossy Finish</t>
  </si>
  <si>
    <t>Glossy Finish, Soft Close, Frame - BWP / Shutter - HDF</t>
  </si>
  <si>
    <t>Glossy Finish , CARCASS - BWP</t>
  </si>
  <si>
    <t>Wallpanel , pelmet , Ceiling Panel , Base panel / Side panel</t>
  </si>
  <si>
    <t>Glossy Finish, Soft Close, Carcass - MR Premium / Shutter - HDF</t>
  </si>
  <si>
    <t>Carcass - MR - Premium/ Shutter - Plywood Border with Clear / Tinted Glass , Glossy Finish , Soft Close</t>
  </si>
  <si>
    <t>Carcass - MR - Premium / Shutter -  Ply wood border with Fluted Glass , Glossy Finish , Soft Close</t>
  </si>
  <si>
    <t>Carcass - MR - Premium / Shutter - Black / Silver  colour Aluminium Profile with Clear or Tinted Glass , Glossy Finish , Soft Close</t>
  </si>
  <si>
    <t>Carcass - MR - Premium / Shutter - Black / Silver  colour Aluminium Profile with Fluted Glass, Soft Close, Glossy Finish</t>
  </si>
  <si>
    <t>Carcass - MR - Premium / Shutter - Gold Colour Aluminium profile with Clear Glass , Glossy Finish , Soft Close</t>
  </si>
  <si>
    <t>Carcass - MR - Premium / Shutter - Gold Colour Aluminium profile with Fluted Glass , Glossy Finish , Soft Close</t>
  </si>
  <si>
    <t>Carcass Inner 1mm - MR - Premium/ Shutter - Plywood Border with Clear / Tinted Glass , Glossy Finish , Soft Close</t>
  </si>
  <si>
    <t>Carcass Inner 1mm- MR - Premium / Shutter -  Ply wood border with Fluted Glass , Glossy Finish , Soft Close</t>
  </si>
  <si>
    <t>Carcass inner 1mm- MR - Premium / Shutter - Black / Silver  colour Aluminium Profile with Clear or Tinted Glass , Glossy Finish , Soft Close</t>
  </si>
  <si>
    <t>Carcass Inner 1mm - MR - Premium / Shutter - Black / Silver  colour Aluminium Profile with Fluted Glass , Glossy Finish , Soft Close</t>
  </si>
  <si>
    <t>Carcass Inner 1mm - MR - Premium / Shutter - Gold Colour Aluminium profile with Clear Glass , Glossy Finish , Soft Close</t>
  </si>
  <si>
    <t>Carcass Inner 1mm - MR - Premium / Shutter - Gold Colour Aluminium profile with Fluted Glass , Glossy Finish , Soft Close</t>
  </si>
  <si>
    <t>Carcass - MR Premium / Shutter - HDF, Glossy Finish , Soft Close</t>
  </si>
  <si>
    <t>Carcass - MR Premium / Shutter - HDF, Glossy Finish</t>
  </si>
  <si>
    <t>Glossy Finish, Carcass - MR - Premium</t>
  </si>
  <si>
    <t>Glossy Finish , Soft Close, Frame - MR Premium / Shutter - HDF</t>
  </si>
  <si>
    <t>Description</t>
  </si>
  <si>
    <t>Carcass - BWP / Shutter - HDHMR, Smooth Finish, Soft Close</t>
  </si>
  <si>
    <t>Carcass - Century Sainik or Green Absolute / Shutter - Green Panel, Hettich Onsys ,  , Advance , New Mika , Rotolam</t>
  </si>
  <si>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</si>
  <si>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</si>
  <si>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</si>
  <si>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t>Hettich Onsys ,  , Advance , New Mika , Rotolam, Carcass / Shutter - Century Sainik or Green Absolute with Glass</t>
  </si>
  <si>
    <t xml:space="preserve"> , Hettich Onsys, Advance , New Mika , Rotolam, Carcass -Century Sainik or Green Absolute / Shutter - CNR Aluminium Profile Shutters</t>
  </si>
  <si>
    <t>Carcass - BWP / Shutter -   Gold / Rose Gold   colour Aluminium Profile with Clear or Tinted  Glass, Soft Close, Smooth Finish</t>
  </si>
  <si>
    <t>Carcass - BWP / Shutter - Gold/ Rose Gold Aluminium Profile with Clear or Tinted  Glass</t>
  </si>
  <si>
    <t>Carcass Inner 1mm- BWP / Shutter -   Gold / Rose Gold   colour Aluminium Profile with Clear or Tinted  Glass, Smooth Finish , Soft Close</t>
  </si>
  <si>
    <t>Carcass Inner 1mm  - BWP / Shutter -   Gold / Rose Gold   colour Aluminium Profile with Fluted Glass, Smooth Finish , Soft Close</t>
  </si>
  <si>
    <t>Carcass - BWP / Shutter - HDHMR, Smooth Finish , Soft Close</t>
  </si>
  <si>
    <t>Carcass - BWP / Shutter - HDHMR, Smooth Finish</t>
  </si>
  <si>
    <t>Carcass - Century Sainik or Green Absolute / Shutter - Green Panel, New Mika , Rotolam , Advance</t>
  </si>
  <si>
    <t>Carcass - Century Sainik or Green Absolute, Advance, New Mika , Rotolam</t>
  </si>
  <si>
    <t>Smooth Finish, Soft Close, Frame - BWP / Shutter - HDHMR</t>
  </si>
  <si>
    <t xml:space="preserve">Hettich Onsys ,  , Advance , New Mika , Rotolam, Frame- Century Sainik or Green Absolute / Shutter - Green Panel,  </t>
  </si>
  <si>
    <t>Ledge - Century Sainik or Green Absolute, Advance , New Mika , Rotolam</t>
  </si>
  <si>
    <t>Century Sainik or Green Absolute , Advance , New Mika , Rotolam</t>
  </si>
  <si>
    <t>Century Sainik or Green Absolute, New Mika , Advance , Rotolam</t>
  </si>
  <si>
    <t>Wallpanel , pelmet , Base panel / Side panel , Jam Panel, Chimney Panel</t>
  </si>
  <si>
    <t>Ceiling Panel</t>
  </si>
  <si>
    <t>Smooth Finish, Soft Close, Carcass - MR / Shutter - HDHMR</t>
  </si>
  <si>
    <t>Carcass - Century Sainik or Greenply Absolute / Shutter - Green Panel, Hettich Onsys ,  , New Mika , Advance , Rotolam</t>
  </si>
  <si>
    <r>
      <rPr>
        <rFont val="Arial"/>
        <color theme="1"/>
      </rPr>
      <t>Supply and installation of</t>
    </r>
    <r>
      <rPr>
        <rFont val="Arial"/>
        <b/>
        <color theme="1"/>
      </rPr>
      <t xml:space="preserve"> Base storage </t>
    </r>
    <r>
      <rPr>
        <rFont val="Arial"/>
        <color theme="1"/>
      </rPr>
      <t xml:space="preserve">with </t>
    </r>
    <r>
      <rPr>
        <rFont val="Arial"/>
        <b/>
        <color theme="1"/>
      </rPr>
      <t>MR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</si>
  <si>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t>
    </r>
    <r>
      <rPr>
        <rFont val="Arial"/>
        <color theme="1"/>
      </rPr>
      <t xml:space="preserve">with </t>
    </r>
    <r>
      <rPr>
        <rFont val="Arial"/>
        <b/>
        <color theme="1"/>
      </rPr>
      <t>MR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</si>
  <si>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t>
    </r>
    <r>
      <rPr>
        <rFont val="Arial"/>
        <color theme="1"/>
      </rPr>
      <t xml:space="preserve">with </t>
    </r>
    <r>
      <rPr>
        <rFont val="Arial"/>
        <b/>
        <color theme="1"/>
      </rPr>
      <t>MR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</si>
  <si>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</si>
  <si>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</si>
  <si>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</si>
  <si>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</si>
  <si>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t>Carcass - MR/ Shutter - Plywood Border with Clear / Tinted Glass , Smooth Finish , Soft Close</t>
  </si>
  <si>
    <t>Carcass - MR / Shutter -  Ply wood border with Fluted Glass , Smooth Finish , Soft Close</t>
  </si>
  <si>
    <t>Hettich Onsys ,  , Advance , New Mika , Rotolam, Carcass - Century Sainik or Green Absolute / Shutter - Green Panel with Glass</t>
  </si>
  <si>
    <t>Carcass - MR / Shutter - Black / Silver  colour Aluminium Profile with Clear or Tinted Glass , Smooth Finish , Soft Close</t>
  </si>
  <si>
    <t>Cracass - Century Sainik or Greenply Absolute / Shutter - Imported  Aluminium Profile shutter,  , Hettich Onsys, Advance , New Mika , Rotolam</t>
  </si>
  <si>
    <t>Carcass - MR / Shutter - Black / Silver  colour Aluminium Profile with Fluted Glass, Soft Close, Smooth Finish</t>
  </si>
  <si>
    <t>Carcass - MR / Shutter -  Gold / Rose Gold Aluminium Profile with Clear Glass , Smooth Finish , Soft Close</t>
  </si>
  <si>
    <t>Smooth Finish , Soft Close, Carcass - MR / Shutter - Gold Colour Aluminium profile with Fluted Glass</t>
  </si>
  <si>
    <t>Carcass Inner 1mm - MR/ Shutter - Plywood Border with Clear / Tinted Glass , Smooth Finish , Soft Close</t>
  </si>
  <si>
    <t>Carcass Inner 1mm- MR / Shutter -  Ply wood border with Fluted Glass , Smooth Finish , Soft Close</t>
  </si>
  <si>
    <t>Carcass inner 1mm- MR / Shutter - Black / Silver  colour Aluminium Profile with Clear or Tinted Glass , Smooth Finish , Soft Close</t>
  </si>
  <si>
    <t>Carcass Inner 1mm - MR / Shutter - Black / Silver  colour Aluminium Profile with Fluted Glass , Smooth Finish , Soft Close</t>
  </si>
  <si>
    <r>
      <rPr>
        <rFont val="Arial"/>
        <color theme="1"/>
      </rPr>
      <t>Supply and installation of</t>
    </r>
    <r>
      <rPr>
        <rFont val="Arial"/>
        <b/>
        <color theme="1"/>
      </rPr>
      <t xml:space="preserve"> Base storage unit </t>
    </r>
    <r>
      <rPr>
        <rFont val="Arial"/>
        <color theme="1"/>
      </rPr>
      <t xml:space="preserve">with </t>
    </r>
    <r>
      <rPr>
        <rFont val="Arial"/>
        <b/>
        <color theme="1"/>
      </rPr>
      <t>MR ply frame - Inner 1mm, Black/Silver Aluminium Profile with Fluted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</si>
  <si>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 ply frame - Inner 1mm, Black/Silver Aluminium Profile with Fluted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</si>
  <si>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MR ply frame - Inner 1mm, Black/Silver Aluminium Profile with Fluted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</si>
  <si>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 ply frame - Inner 1mm, Black/Silver Aluminium Profile with Fluted Glass Shutter, Smooth finish laminate</t>
    </r>
    <r>
      <rPr>
        <rFont val="Arial"/>
        <color theme="1"/>
      </rPr>
      <t xml:space="preserve"> and </t>
    </r>
    <r>
      <rPr>
        <rFont val="Arial"/>
        <b/>
        <color theme="1"/>
      </rPr>
      <t xml:space="preserve">soft close hinges  </t>
    </r>
  </si>
  <si>
    <t>Carcass Inner 1mm - MR / Shutter -  Gold / Rose Gold Aluminium Profile with Clear Glass , Smooth Finish , Soft Close</t>
  </si>
  <si>
    <t>Carcass Inner 1mm - MR / Shutter -  Colour Aluminium profile with Fluted Glass , Smooth Finish , Soft Close</t>
  </si>
  <si>
    <t>Carcass - MR / Shutter - HDHMR, Smooth Finish , Soft Close</t>
  </si>
  <si>
    <t>Hettich Onsys ,  , Advance , New Mika , Rotolam, Carcass - Century Sainik or Greenply Absolute / Shutter - Green Panel</t>
  </si>
  <si>
    <t>Carcass - MR / Shutter - HDHMR, Smooth Finish</t>
  </si>
  <si>
    <t>New Mika , Rotolam , Advance, Carcass - Century Sainik or Greenply Absolute / Shutter - Green Panel</t>
  </si>
  <si>
    <t>Smooth Finish, Carcass - MR</t>
  </si>
  <si>
    <t>Carcass - Century Sainik or Greenply Absolute</t>
  </si>
  <si>
    <t>Advance, New Mika , Rotolam, Carcass - Century Sainik or Greenply Absolute</t>
  </si>
  <si>
    <r>
      <rPr>
        <rFont val="Arial"/>
        <color theme="1"/>
      </rPr>
      <t xml:space="preserve">Supply and installation of </t>
    </r>
    <r>
      <rPr>
        <rFont val="Arial"/>
        <b/>
        <color theme="1"/>
      </rPr>
      <t xml:space="preserve">Open unit - Inner 1mm </t>
    </r>
    <r>
      <rPr>
        <rFont val="Arial"/>
        <color theme="1"/>
      </rPr>
      <t xml:space="preserve">with </t>
    </r>
    <r>
      <rPr>
        <rFont val="Arial"/>
        <b/>
        <color theme="1"/>
      </rPr>
      <t>MR ply frame and Smooth finish laminate</t>
    </r>
  </si>
  <si>
    <t>Smooth Finish , Soft Close, Frame - MR / Shutter - HDHMR</t>
  </si>
  <si>
    <t>Hettich Onsys ,  , Advance , New Mika , Rotolam, Frame - Century Sainik or Greenply Absolute / Shutter - Green Panel</t>
  </si>
  <si>
    <r>
      <rPr>
        <rFont val="Arial"/>
        <color theme="1"/>
      </rPr>
      <t>Supply and installation of</t>
    </r>
    <r>
      <rPr>
        <rFont val="Arial"/>
        <b/>
        <color theme="1"/>
      </rPr>
      <t xml:space="preserve"> Loft Frame and Shutter unit </t>
    </r>
    <r>
      <rPr>
        <rFont val="Arial"/>
        <color theme="1"/>
      </rPr>
      <t xml:space="preserve">with </t>
    </r>
    <r>
      <rPr>
        <rFont val="Arial"/>
        <b/>
        <color theme="1"/>
      </rPr>
      <t>MR Frame, HDHMR Shutter, Smooth finish laminate</t>
    </r>
    <r>
      <rPr>
        <rFont val="Arial"/>
        <color theme="1"/>
      </rPr>
      <t xml:space="preserve"> and </t>
    </r>
    <r>
      <rPr>
        <rFont val="Arial"/>
        <b/>
        <color theme="1"/>
      </rPr>
      <t xml:space="preserve">Soft Close hinges  </t>
    </r>
  </si>
  <si>
    <t>Advance , New Mika , Rotolam, Century Sainik or Greenply Absolute</t>
  </si>
  <si>
    <r>
      <rPr>
        <rFont val="Arial"/>
        <color theme="1"/>
      </rPr>
      <t>Supply and installation of</t>
    </r>
    <r>
      <rPr>
        <rFont val="Arial"/>
        <b/>
        <color theme="1"/>
      </rPr>
      <t xml:space="preserve"> Ledge </t>
    </r>
    <r>
      <rPr>
        <rFont val="Arial"/>
        <color theme="1"/>
      </rPr>
      <t xml:space="preserve">with </t>
    </r>
    <r>
      <rPr>
        <rFont val="Arial"/>
        <b/>
        <color theme="1"/>
      </rPr>
      <t>25mm Ledge MR Frame and Smooth Finish laminate</t>
    </r>
    <r>
      <rPr>
        <rFont val="Arial"/>
        <color theme="1"/>
      </rPr>
      <t xml:space="preserve"> </t>
    </r>
  </si>
  <si>
    <t>Wallpanel , pelmet , Base panel / Side panel , Chimney Panel, Jam Panel</t>
  </si>
  <si>
    <r>
      <rPr>
        <rFont val="Arial"/>
        <color theme="1"/>
      </rPr>
      <t>Supply and installation of</t>
    </r>
    <r>
      <rPr>
        <rFont val="Arial"/>
        <b/>
        <color theme="1"/>
      </rPr>
      <t xml:space="preserve"> Wall Panel </t>
    </r>
    <r>
      <rPr>
        <rFont val="Arial"/>
        <color theme="1"/>
      </rPr>
      <t xml:space="preserve">with </t>
    </r>
    <r>
      <rPr>
        <rFont val="Arial"/>
        <b/>
        <color theme="1"/>
      </rPr>
      <t>MR Ply Frame, Smooth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</si>
  <si>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MR Ply Frame, Smooth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</si>
  <si>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MR Ply Frame, Smooth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</si>
  <si>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MR Ply Frame, Smooth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</si>
  <si>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MR Ply Frame, Smooth Finish laminate</t>
    </r>
    <r>
      <rPr>
        <rFont val="Arial"/>
        <color theme="1"/>
      </rPr>
      <t xml:space="preserve"> </t>
    </r>
  </si>
  <si>
    <t xml:space="preserve">Ceiling Panel </t>
  </si>
  <si>
    <t>CARCASS - MR, Smooth Finish</t>
  </si>
  <si>
    <t>Carcass - BWP / Shutter - HDHMR, Glossy Finish, Soft Close</t>
  </si>
  <si>
    <t xml:space="preserve">Inner 1mm to be added </t>
  </si>
  <si>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</si>
  <si>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</si>
  <si>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</si>
  <si>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t>Carcass - BWP / Shutter -   Gold / Rose Gold   colour Aluminium Profile with Clear or Tinted  Glass, Soft Close, Glossy Finish</t>
  </si>
  <si>
    <t>Carcass - BWP / Shutter -   Gold / Rose Gold   colour Aluminium Profile with Fluted Glass, Glossy Finish , Soft Close</t>
  </si>
  <si>
    <t>Carcass Inner 1mm- BWP / Shutter -   Gold / Rose Gold   colour Aluminium Profile with Clear or Tinted  Glass, Glossy Finish , Soft Close</t>
  </si>
  <si>
    <t>Carcass Inner 1mm  - BWP / Shutter -   Gold / Rose Gold   colour Aluminium Profile with Fluted Glass, Glossy Finish , Soft Close</t>
  </si>
  <si>
    <t>Carcass - BWP / Shutter - HDHMR, Glossy Finish , Soft Close</t>
  </si>
  <si>
    <t>Carcass - BWP / Shutter - HDHMR, Glossy Finish</t>
  </si>
  <si>
    <t>Glossy Finish, Soft Close, Frame - BWP / Shutter - HDHMR</t>
  </si>
  <si>
    <t>Glossy Finish, Soft Close, Carcass - MR / Shutter - HDHMR</t>
  </si>
  <si>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</si>
  <si>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</si>
  <si>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</si>
  <si>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t>Carcass - MR/ Shutter - Plywood Border with Clear / Tinted Glass , Glossy Finish , Soft Close</t>
  </si>
  <si>
    <t>Carcass - MR / Shutter -  Ply wood border with Fluted Glass , Glossy Finish , Soft Close</t>
  </si>
  <si>
    <t>Carcass - MR / Shutter - Black / Silver  colour Aluminium Profile with Clear or Tinted Glass , Glossy Finish , Soft Close</t>
  </si>
  <si>
    <t>Carcass - MR / Shutter - Black / Silver  colour Aluminium Profile with Fluted Glass, Soft Close, Glossy Finish</t>
  </si>
  <si>
    <t>Carcass - MR / Shutter -  Gold / Rose Gold Aluminium Profile with Clear Glass , Glossy Finish , Soft Close</t>
  </si>
  <si>
    <t>Carcass - MR / Shutter -  Colour Aluminium profile with Fluted Glass , Glossy Finish , Soft Close</t>
  </si>
  <si>
    <t>Carcass Inner 1mm - MR/ Shutter - Plywood Border with Clear / Tinted Glass , Glossy Finish , Soft Close</t>
  </si>
  <si>
    <t>Carcass Inner 1mm- MR / Shutter -  Ply wood border with Fluted Glass , Glossy Finish , Soft Close</t>
  </si>
  <si>
    <t>Carcass inner 1mm- MR / Shutter - Black / Silver  colour Aluminium Profile with Clear or Tinted Glass , Glossy Finish , Soft Close</t>
  </si>
  <si>
    <t>Carcass Inner 1mm - MR / Shutter - Black / Silver  colour Aluminium Profile with Fluted Glass , Glossy Finish , Soft Close</t>
  </si>
  <si>
    <t>Carcass Inner 1mm - MR / Shutter -  Gold / Rose Gold Aluminium Profile with Clear Glass , Glossy Finish , Soft Close</t>
  </si>
  <si>
    <t>Carcass Inner 1mm - MR / Shutter -  Colour Aluminium profile with Fluted Glass , Glossy Finish , Soft Close</t>
  </si>
  <si>
    <t>Carcass - MR / Shutter - HDHMR, Glossy Finish , Soft Close</t>
  </si>
  <si>
    <t>Carcass - MR / Shutter - HDHMR, Glossy Finish</t>
  </si>
  <si>
    <t>Glossy Finish, Carcass - MR</t>
  </si>
  <si>
    <t>Glossy Finish , Soft Close, Frame - MR / Shutter - HDHMR</t>
  </si>
  <si>
    <r>
      <rPr>
        <rFont val="Arial"/>
        <color theme="1"/>
      </rPr>
      <t>Supply and installation of</t>
    </r>
    <r>
      <rPr>
        <rFont val="Arial"/>
        <b/>
        <color theme="1"/>
      </rPr>
      <t xml:space="preserve"> Loft Frame and Shutter unit </t>
    </r>
    <r>
      <rPr>
        <rFont val="Arial"/>
        <color theme="1"/>
      </rPr>
      <t xml:space="preserve">with </t>
    </r>
    <r>
      <rPr>
        <rFont val="Arial"/>
        <b/>
        <color theme="1"/>
      </rPr>
      <t>MR Frame, HDHMR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</si>
  <si>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Panel </t>
    </r>
    <r>
      <rPr>
        <rFont val="Arial"/>
        <color theme="1"/>
      </rPr>
      <t xml:space="preserve">with </t>
    </r>
    <r>
      <rPr>
        <rFont val="Arial"/>
        <b/>
        <color theme="1"/>
      </rPr>
      <t>MR Ply Frame, Glossy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</si>
  <si>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MR Ply Frame, Glossy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</si>
  <si>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MR Ply Frame, Glossy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</si>
  <si>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MR Ply Frame, Glossy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</si>
  <si>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MR Ply Frame, Glossy Finish laminate</t>
    </r>
    <r>
      <rPr>
        <rFont val="Arial"/>
        <color theme="1"/>
      </rPr>
      <t xml:space="preserve"> </t>
    </r>
  </si>
  <si>
    <t>MR+  FINISH</t>
  </si>
  <si>
    <t>Carcass - BWP / Shutter - HDHMR, MR+  Finish, Soft Close</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</si>
  <si>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</si>
  <si>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</si>
  <si>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</si>
  <si>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</si>
  <si>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</si>
  <si>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</si>
  <si>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</si>
  <si>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t>Carcass - BWP / Shutter - Plywood Border with Clear / Tinted Glass , Soft Close, MR+  Finish</t>
  </si>
  <si>
    <t>Carcass - BWP / Shutter -  Plywood Border with Fluted Glass , MR+  Finish , Soft Close</t>
  </si>
  <si>
    <t>Carcass - BWP / Shutter - Black / Silver  colour Aluminium Profile with Clear or Tinted Glass, MR+  Finish , Soft Close</t>
  </si>
  <si>
    <r>
      <rPr>
        <rFont val="Arial"/>
        <color theme="1"/>
      </rPr>
      <t>Supply and installation of</t>
    </r>
    <r>
      <rPr>
        <rFont val="Arial"/>
        <b/>
        <color theme="1"/>
      </rPr>
      <t xml:space="preserve"> Base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</si>
  <si>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</si>
  <si>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</si>
  <si>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</si>
  <si>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t>Carcass - BWP / Shutter - Black / Silver  colour Aluminium Profile with Fluted Glass, MR+  Finish , Soft Close</t>
  </si>
  <si>
    <t>Carcass - BWP / Shutter -   Gold / Rose Gold   colour Aluminium Profile with Clear or Tinted  Glass, Soft Close, MR+  Finish</t>
  </si>
  <si>
    <t>Carcass - BWP / Shutter -   Gold / Rose Gold   colour Aluminium Profile with Fluted Glass, MR+  Finish , Soft Close</t>
  </si>
  <si>
    <t>Carcass  Inner 1mm- BWP / Shutter - Plywood Border with Clear / Tinted Glass , MR+  Finish , Soft Close</t>
  </si>
  <si>
    <t>Carcass inner 1mm - BWP / Shutter -  Plywood Border with Fluted Glass , MR+  Finish , Soft Close</t>
  </si>
  <si>
    <t>Carcass  Inner 1mm- BWP / Shutter - Black / Silver  colour Aluminium Profile with Clear or Tinted Glass , MR+  Finish , Soft Close</t>
  </si>
  <si>
    <t>Carcass Inner 1mm - BWP / Shutter - Black / Silver  colour Aluminium Profile with Fluted Glass, MR+  Finish , Soft Close</t>
  </si>
  <si>
    <t>Carcass Inner 1mm- BWP / Shutter -   Gold / Rose Gold   colour Aluminium Profile with Clear or Tinted  Glass, MR+  Finish , Soft Close</t>
  </si>
  <si>
    <t>Carcass Inner 1mm  - BWP / Shutter -   Gold / Rose Gold   colour Aluminium Profile with Fluted Glass, MR+  Finish , Soft Close</t>
  </si>
  <si>
    <t>CARCASS - BWP, MR+  Finish</t>
  </si>
  <si>
    <t>MR+  Finish, Soft Close, Frame - BWP / Shutter - HDHMR</t>
  </si>
  <si>
    <t>MR+  Finish , CARCASS - BWP</t>
  </si>
  <si>
    <r>
      <rPr>
        <rFont val="Arial"/>
        <color theme="1"/>
      </rPr>
      <t>Supply and installation of</t>
    </r>
    <r>
      <rPr>
        <rFont val="Arial"/>
        <b/>
        <color theme="1"/>
      </rPr>
      <t xml:space="preserve"> Partition </t>
    </r>
    <r>
      <rPr>
        <rFont val="Arial"/>
        <color theme="1"/>
      </rPr>
      <t xml:space="preserve">with </t>
    </r>
    <r>
      <rPr>
        <rFont val="Arial"/>
        <b/>
        <color theme="1"/>
      </rPr>
      <t xml:space="preserve">75mm Partition BWP </t>
    </r>
    <r>
      <rPr>
        <rFont val="Arial"/>
        <color theme="1"/>
      </rPr>
      <t>and</t>
    </r>
    <r>
      <rPr>
        <rFont val="Arial"/>
        <b/>
        <color theme="1"/>
      </rPr>
      <t xml:space="preserve"> MR+ Finish Laminate</t>
    </r>
  </si>
  <si>
    <t>MR+  Finish, Soft Close, Carcass - MR / Shutter - HDHMR</t>
  </si>
  <si>
    <r>
      <rPr>
        <rFont val="Arial"/>
        <color theme="1"/>
      </rPr>
      <t>Supply and installation of</t>
    </r>
    <r>
      <rPr>
        <rFont val="Arial"/>
        <b/>
        <color theme="1"/>
      </rPr>
      <t xml:space="preserve"> Base storage unit </t>
    </r>
    <r>
      <rPr>
        <rFont val="Arial"/>
        <color theme="1"/>
      </rPr>
      <t xml:space="preserve">with </t>
    </r>
    <r>
      <rPr>
        <rFont val="Arial"/>
        <b/>
        <color theme="1"/>
      </rPr>
      <t>MR ply frame,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</si>
  <si>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 ply frame,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</si>
  <si>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MR ply frame,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</si>
  <si>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 ply frame,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</si>
  <si>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</si>
  <si>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</si>
  <si>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HDHMR Shutter, Smooth finish laminate</t>
    </r>
    <r>
      <rPr>
        <rFont val="Arial"/>
        <color theme="1"/>
      </rPr>
      <t xml:space="preserve"> and </t>
    </r>
    <r>
      <rPr>
        <rFont val="Arial"/>
        <b/>
        <color theme="1"/>
      </rPr>
      <t xml:space="preserve">soft close hinges  </t>
    </r>
  </si>
  <si>
    <t>Carcass - MR/ Shutter - Plywood Border with Clear / Tinted Glass , MR+  Finish , Soft Close</t>
  </si>
  <si>
    <t>Carcass - MR / Shutter -  Ply wood border with Fluted Glass , MR+  Finish , Soft Close</t>
  </si>
  <si>
    <t>Carcass - MR / Shutter - Black / Silver  colour Aluminium Profile with Clear or Tinted Glass , MR+  Finish , Soft Close</t>
  </si>
  <si>
    <r>
      <rPr>
        <rFont val="Arial"/>
        <color theme="1"/>
      </rPr>
      <t>Supply and installation of</t>
    </r>
    <r>
      <rPr>
        <rFont val="Arial"/>
        <b/>
        <color theme="1"/>
      </rPr>
      <t xml:space="preserve"> Base storage unit </t>
    </r>
    <r>
      <rPr>
        <rFont val="Arial"/>
        <color theme="1"/>
      </rPr>
      <t xml:space="preserve">with </t>
    </r>
    <r>
      <rPr>
        <rFont val="Arial"/>
        <b/>
        <color theme="1"/>
      </rPr>
      <t>MR ply frame,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</si>
  <si>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 ply frame,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</si>
  <si>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MR ply frame,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</si>
  <si>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 ply frame, Black/Silver Aluminium Profile with Clear/Tinted Glass Shutter, MR+ laminate</t>
    </r>
    <r>
      <rPr>
        <rFont val="Arial"/>
        <color theme="1"/>
      </rPr>
      <t xml:space="preserve"> and </t>
    </r>
    <r>
      <rPr>
        <rFont val="Arial"/>
        <b/>
        <color theme="1"/>
      </rPr>
      <t xml:space="preserve">soft close hinges  </t>
    </r>
  </si>
  <si>
    <t>Carcass - MR / Shutter - Black / Silver  colour Aluminium Profile with Fluted Glass, Soft Close, MR+  Finish</t>
  </si>
  <si>
    <t>Carcass - MR / Shutter -  Gold / Rose Gold Aluminium Profile with Clear Glass , MR+  Finish , Soft Close</t>
  </si>
  <si>
    <t>Carcass - MR / Shutter -  Colour Aluminium profile with Fluted Glass , MR+  Finish , Soft Close</t>
  </si>
  <si>
    <t>Carcass Inner 1mm - MR/ Shutter - Plywood Border with Clear / Tinted Glass , MR+  Finish , Soft Close</t>
  </si>
  <si>
    <t>Carcass Inner 1mm- MR / Shutter -  Ply wood border with Fluted Glass , MR+  Finish , Soft Close</t>
  </si>
  <si>
    <t>Carcass inner 1mm- MR / Shutter - Black / Silver  colour Aluminium Profile with Clear or Tinted Glass , MR+  Finish , Soft Close</t>
  </si>
  <si>
    <r>
      <rPr>
        <rFont val="Arial"/>
        <color theme="1"/>
      </rPr>
      <t>Supply and installation of</t>
    </r>
    <r>
      <rPr>
        <rFont val="Arial"/>
        <b/>
        <color theme="1"/>
      </rPr>
      <t xml:space="preserve"> Base storage unit </t>
    </r>
    <r>
      <rPr>
        <rFont val="Arial"/>
        <color theme="1"/>
      </rPr>
      <t xml:space="preserve">with </t>
    </r>
    <r>
      <rPr>
        <rFont val="Arial"/>
        <b/>
        <color theme="1"/>
      </rPr>
      <t>MR ply frame with inner 1mm, Black/Silver Aluminium Profile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</si>
  <si>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 ply frame with inner 1mm, Black/Silver Aluminium Profile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</si>
  <si>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MR ply frame with inner 1mm, Black/Silver Aluminium Profile with Clear/Tinted Glass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</si>
  <si>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 ply frame with inner 1mm, Black/Silver Aluminium Profile with Clear/Tinted Glass Shutter, Smooth finish laminate</t>
    </r>
    <r>
      <rPr>
        <rFont val="Arial"/>
        <color theme="1"/>
      </rPr>
      <t xml:space="preserve"> and </t>
    </r>
    <r>
      <rPr>
        <rFont val="Arial"/>
        <b/>
        <color theme="1"/>
      </rPr>
      <t xml:space="preserve">soft close hinges  </t>
    </r>
  </si>
  <si>
    <t>Carcass Inner 1mm - MR / Shutter - Black / Silver  colour Aluminium Profile with Fluted Glass , MR+  Finish , Soft Close</t>
  </si>
  <si>
    <t>Carcass Inner 1mm - MR / Shutter -  Gold / Rose Gold Aluminium Profile with Clear Glass , MR+  Finish , Soft Close</t>
  </si>
  <si>
    <t>Carcass Inner 1mm - MR / Shutter -  Colour Aluminium profile with Fluted Glass , MR+  Finish , Soft Close</t>
  </si>
  <si>
    <t>MR+  Finish, Carcass - MR</t>
  </si>
  <si>
    <t>MR+  Finish , Soft Close, Frame - MR / Shutter - HDHMR</t>
  </si>
  <si>
    <r>
      <rPr>
        <rFont val="Arial"/>
        <color theme="1"/>
      </rPr>
      <t>Supply and installation of</t>
    </r>
    <r>
      <rPr>
        <rFont val="Arial"/>
        <b/>
        <color theme="1"/>
      </rPr>
      <t xml:space="preserve"> Loft Frame and Shutter unit </t>
    </r>
    <r>
      <rPr>
        <rFont val="Arial"/>
        <color theme="1"/>
      </rPr>
      <t xml:space="preserve">with </t>
    </r>
    <r>
      <rPr>
        <rFont val="Arial"/>
        <b/>
        <color theme="1"/>
      </rPr>
      <t>MR Frame, HDHMR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</si>
  <si>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Ledge </t>
    </r>
    <r>
      <rPr>
        <rFont val="Arial"/>
        <color theme="1"/>
      </rPr>
      <t xml:space="preserve">with </t>
    </r>
    <r>
      <rPr>
        <rFont val="Arial"/>
        <b/>
        <color theme="1"/>
      </rPr>
      <t>25mm Ledge MR and MR+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</si>
  <si>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MR Ply Frame, MR+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</si>
  <si>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MR Ply Frame, MR+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</si>
  <si>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MR Ply Frame, MR+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</si>
  <si>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MR Ply Frame, MR+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</si>
  <si>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MR Ply Frame, MR+ laminate</t>
    </r>
    <r>
      <rPr>
        <rFont val="Arial"/>
        <color theme="1"/>
      </rPr>
      <t xml:space="preserve"> </t>
    </r>
  </si>
  <si>
    <t>Designer lam  FINISH</t>
  </si>
  <si>
    <t>Carcass - BWP / Shutter - HDHMR, Designer lam  Finish, Soft Close</t>
  </si>
  <si>
    <t>Carcass - BWP / Shutter - Plywood Border with Clear / Tinted Glass , Soft Close, Designer lam  Finish</t>
  </si>
  <si>
    <t>Carcass - BWP / Shutter -  Plywood Border with Fluted Glass , Designer lam  Finish , Soft Close</t>
  </si>
  <si>
    <t>CARCASS - BWP, Designer lam  Finish</t>
  </si>
  <si>
    <t>Designer lam  Finish, Soft Close, Frame - BWP / Shutter - HDHMR</t>
  </si>
  <si>
    <t>Designer lam  Finish , CARCASS - BWP</t>
  </si>
  <si>
    <t>Designer lam  Finish, Soft Close, Carcass - MR / Shutter - HDHMR</t>
  </si>
  <si>
    <r>
      <rPr>
        <rFont val="Arial"/>
        <color theme="1"/>
      </rPr>
      <t>Supply and installation of</t>
    </r>
    <r>
      <rPr>
        <rFont val="Arial"/>
        <b/>
        <color theme="1"/>
      </rPr>
      <t xml:space="preserve"> Base storage unit </t>
    </r>
    <r>
      <rPr>
        <rFont val="Arial"/>
        <color theme="1"/>
      </rPr>
      <t xml:space="preserve">with </t>
    </r>
    <r>
      <rPr>
        <rFont val="Arial"/>
        <b/>
        <color theme="1"/>
      </rPr>
      <t>MR Carcass, HDHMR  Shutter, Designer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</si>
  <si>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MRCarcass, HDHMR  Shutter, Designer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</si>
  <si>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MRCarcass, HDHMR  Shutter, Designer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</si>
  <si>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MRCarcass, HDHMR  Shutter, Designer finish laminate</t>
    </r>
    <r>
      <rPr>
        <rFont val="Arial"/>
        <color theme="1"/>
      </rPr>
      <t xml:space="preserve"> and </t>
    </r>
    <r>
      <rPr>
        <rFont val="Arial"/>
        <b/>
        <color theme="1"/>
      </rPr>
      <t xml:space="preserve">soft close hinges  </t>
    </r>
  </si>
  <si>
    <t>Carcass - MR/ Shutter - Plywood Border with Clear / Tinted Glass , Designer lam  Finish , Soft Close</t>
  </si>
  <si>
    <t>Carcass - MR / Shutter -  Ply wood border with Fluted Glass , Designer lam  Finish , Soft Close</t>
  </si>
  <si>
    <t>Designer lam  Finish, Carcass - MR</t>
  </si>
  <si>
    <t>Designer lam  Finish , Soft Close, Frame - MR / Shutter - HDHMR</t>
  </si>
  <si>
    <r>
      <rPr>
        <rFont val="Arial"/>
        <color theme="1"/>
      </rPr>
      <t>Supply and installation of</t>
    </r>
    <r>
      <rPr>
        <rFont val="Arial"/>
        <b/>
        <color theme="1"/>
      </rPr>
      <t xml:space="preserve"> Ledge </t>
    </r>
    <r>
      <rPr>
        <rFont val="Arial"/>
        <color theme="1"/>
      </rPr>
      <t xml:space="preserve">with </t>
    </r>
    <r>
      <rPr>
        <rFont val="Arial"/>
        <b/>
        <color theme="1"/>
      </rPr>
      <t xml:space="preserve">36mm Ledge MR </t>
    </r>
    <r>
      <rPr>
        <rFont val="Arial"/>
        <color theme="1"/>
      </rPr>
      <t>and</t>
    </r>
    <r>
      <rPr>
        <rFont val="Arial"/>
        <b/>
        <color theme="1"/>
      </rPr>
      <t xml:space="preserve"> Designer Laminate Finish</t>
    </r>
  </si>
  <si>
    <r>
      <rPr>
        <rFont val="Arial"/>
        <color theme="1"/>
      </rPr>
      <t>Supply and installation of</t>
    </r>
    <r>
      <rPr>
        <rFont val="Arial"/>
        <b/>
        <color theme="1"/>
      </rPr>
      <t xml:space="preserve"> Ledge </t>
    </r>
    <r>
      <rPr>
        <rFont val="Arial"/>
        <color theme="1"/>
      </rPr>
      <t xml:space="preserve">with </t>
    </r>
    <r>
      <rPr>
        <rFont val="Arial"/>
        <b/>
        <color theme="1"/>
      </rPr>
      <t xml:space="preserve">50mm Ledge MR </t>
    </r>
    <r>
      <rPr>
        <rFont val="Arial"/>
        <color theme="1"/>
      </rPr>
      <t>and</t>
    </r>
    <r>
      <rPr>
        <rFont val="Arial"/>
        <b/>
        <color theme="1"/>
      </rPr>
      <t xml:space="preserve"> Designer Laminate Finish</t>
    </r>
  </si>
  <si>
    <r>
      <rPr>
        <rFont val="Arial"/>
        <color theme="1"/>
      </rPr>
      <t>Supply and installation of</t>
    </r>
    <r>
      <rPr>
        <rFont val="Arial"/>
        <b/>
        <color theme="1"/>
      </rPr>
      <t xml:space="preserve"> Wall Panel </t>
    </r>
    <r>
      <rPr>
        <rFont val="Arial"/>
        <color theme="1"/>
      </rPr>
      <t xml:space="preserve">with </t>
    </r>
    <r>
      <rPr>
        <rFont val="Arial"/>
        <b/>
        <color theme="1"/>
      </rPr>
      <t>MR ply frame, Designer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</si>
  <si>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MR ply frame, Designer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</si>
  <si>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MR ply frame, Designer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</si>
  <si>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MR ply frame, Designer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</si>
  <si>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MR ply frame, Designer laminate</t>
    </r>
    <r>
      <rPr>
        <rFont val="Arial"/>
        <color theme="1"/>
      </rPr>
      <t xml:space="preserve"> </t>
    </r>
  </si>
  <si>
    <t>ACRYLIC FINISH</t>
  </si>
  <si>
    <t>Carcass - BWP / Shutter - HDHMR, Acrylic  Finish, Soft Close</t>
  </si>
  <si>
    <t xml:space="preserve">Carcass - Century Sainik or Green Absolute / Shutter - Green Panel, Hettich Onsys ,  ,  , Zurich , </t>
  </si>
  <si>
    <r>
      <rPr>
        <rFont val="Arial"/>
        <color theme="1"/>
      </rPr>
      <t>Supply and installation of</t>
    </r>
    <r>
      <rPr>
        <rFont val="Arial"/>
        <b/>
        <color theme="1"/>
      </rPr>
      <t xml:space="preserve"> Base storage unit </t>
    </r>
    <r>
      <rPr>
        <rFont val="Arial"/>
        <color theme="1"/>
      </rPr>
      <t xml:space="preserve">with </t>
    </r>
    <r>
      <rPr>
        <rFont val="Arial"/>
        <b/>
        <color theme="1"/>
      </rPr>
      <t>MR ply frame, HDHMR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</si>
  <si>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MR ply frame, HDHMR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</si>
  <si>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MR ply frame, HDHMR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</si>
  <si>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MR ply frame, HDHMR Shutter, Acrylic laminate</t>
    </r>
    <r>
      <rPr>
        <rFont val="Arial"/>
        <color theme="1"/>
      </rPr>
      <t xml:space="preserve"> and </t>
    </r>
    <r>
      <rPr>
        <rFont val="Arial"/>
        <b/>
        <color theme="1"/>
      </rPr>
      <t xml:space="preserve">soft close hinges  </t>
    </r>
  </si>
  <si>
    <t>Carcass - BWP / Shutter - Plywood Border with Clear / Tinted Glass , Soft Close, Acrylic  Finish</t>
  </si>
  <si>
    <t>Hettich Onsys ,  ,  , Zurich , , Carcass / Shutter - Century Sainik or Green Absolute with Glass</t>
  </si>
  <si>
    <t>Carcass - BWP / Shutter -  Plywood Border with Fluted Glass , Acrylic  Finish , Soft Close</t>
  </si>
  <si>
    <t>Carcass - BWP / Shutter - Black / Silver  colour Aluminium Profile with Clear or Tinted Glass, Acrylic  Finish , Soft Close</t>
  </si>
  <si>
    <t xml:space="preserve"> , Hettich Onsys,  , Zurich , , Carcass -Century Sainik or Green Absolute / Shutter - CNR Aluminium Profile Shutters</t>
  </si>
  <si>
    <t>Carcass - BWP / Shutter - Black / Silver  colour Aluminium Profile with Fluted Glass, Acrylic  Finish , Soft Close</t>
  </si>
  <si>
    <t>Carcass - BWP / Shutter -   Gold / Rose Gold   colour Aluminium Profile with Clear or Tinted  Glass, Soft Close, Acrylic  Finish</t>
  </si>
  <si>
    <t>Carcass - BWP / Shutter -   Gold / Rose Gold   colour Aluminium Profile with Fluted Glass, Acrylic  Finish , Soft Close</t>
  </si>
  <si>
    <t>CARCASS - BWP, Acrylic  Finish</t>
  </si>
  <si>
    <t xml:space="preserve">Carcass - Century Sainik or Green Absolute, , Zurich , </t>
  </si>
  <si>
    <t>Acrylic  Finish, Soft Close, Frame - BWP / Shutter - HDHMR</t>
  </si>
  <si>
    <t xml:space="preserve">Hettich Onsys ,  ,  , Zurich , , Frame- Century Sainik or Green Absolute / Shutter - Green Panel,  </t>
  </si>
  <si>
    <t>Acrylic  Finish , CARCASS - BWP</t>
  </si>
  <si>
    <t xml:space="preserve">Ledge - Century Sainik or Green Absolute,  , Zurich , </t>
  </si>
  <si>
    <t xml:space="preserve">Century Sainik or Green Absolute ,  , Zurich , </t>
  </si>
  <si>
    <t xml:space="preserve">Century Sainik or Green Absolute, Zurich ,  , </t>
  </si>
  <si>
    <t>Acrylic  Finish, Soft Close, Carcass - MR / Shutter - HDHMR</t>
  </si>
  <si>
    <t xml:space="preserve">Carcass - Century Sainik or Greenply Absolute / Shutter - Green Panel, Hettich Onsys ,  , Zurich ,  , </t>
  </si>
  <si>
    <t>Carcass - MR/ Shutter - Plywood Border with Clear / Tinted Glass , Acrylic  Finish , Soft Close</t>
  </si>
  <si>
    <t>Carcass - MR / Shutter -  Ply wood border with Fluted Glass , Acrylic  Finish , Soft Close</t>
  </si>
  <si>
    <t>Hettich Onsys ,  ,  , Zurich , , Carcass - Century Sainik or Green Absolute / Shutter - Green Panel with Glass</t>
  </si>
  <si>
    <t>Carcass - MR / Shutter - Black / Silver  colour Aluminium Profile with Clear or Tinted Glass , Acrylic  Finish , Soft Close</t>
  </si>
  <si>
    <t xml:space="preserve">Cracass - Century Sainik or Greenply Absolute / Shutter - Imported  Aluminium Profile shutter,  , Hettich Onsys,  , Zurich , </t>
  </si>
  <si>
    <t>Carcass - MR / Shutter - Black / Silver  colour Aluminium Profile with Fluted Glass, Soft Close, Acrylic  Finish</t>
  </si>
  <si>
    <t>Carcass - MR / Shutter -  Gold / Rose Gold Aluminium Profile with Clear Glass , Acrylic  Finish , Soft Close</t>
  </si>
  <si>
    <t>Carcass - MR / Shutter -  Colour Aluminium profile with Fluted Glass , Acrylic  Finish , Soft Close</t>
  </si>
  <si>
    <t>Acrylic  Finish, Carcass - MR</t>
  </si>
  <si>
    <t>, Zurich , , Carcass - Century Sainik or Greenply Absolute</t>
  </si>
  <si>
    <t>Acrylic  Finish , Soft Close, Frame - MR / Shutter - HDHMR</t>
  </si>
  <si>
    <t>Hettich Onsys ,  ,  , Zurich , , Frame - Century Sainik or Greenply Absolute / Shutter - Green Panel</t>
  </si>
  <si>
    <t xml:space="preserve"> , Zurich , , Century Sainik or Greenply Absolute</t>
  </si>
  <si>
    <t xml:space="preserve">Hinges rate </t>
  </si>
  <si>
    <t xml:space="preserve">Basic Value </t>
  </si>
  <si>
    <t>Carcass - BWP / Shutter - HDHMR Boilo, Smooth Finish, Soft Close</t>
  </si>
  <si>
    <t>Carcass - Century Bond or Green OptimaG / Shutter - Action TESA, Hettich Veyosis or Hafele Eqv ,  , Greenlam , Century lam , Merino</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</si>
  <si>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</si>
  <si>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</si>
  <si>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</si>
  <si>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</si>
  <si>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t>Hettich Veyosis or Hafele Eqv ,  , Greenlam , Century lam , Merino, Carcass / Shutter - Century Bond or Green OptimaG with Glass</t>
  </si>
  <si>
    <t xml:space="preserve"> , Hettich Veyosis or Hafele Eqv, Greenlam , Century lam , Merino, Carcass -Century Bond or Green OptimaG / Shutter - CNR Aluminium Profile Shutters</t>
  </si>
  <si>
    <t>Carcass - BWP / Shutter -   / Rose    colour Aluminium Profile with Clear or Tinted  Glass, Soft Close, Smooth Finish</t>
  </si>
  <si>
    <t>Carcass - BWP / Shutter -   / Rose    colour Aluminium Profile with Fluted Glass, Smooth Finish , Soft Close</t>
  </si>
  <si>
    <t>Carcass Inner 1mm  - BWP / Shutter -   / Rose    colour Aluminium Profile with Fluted Glass, Smooth Finish , Soft Close</t>
  </si>
  <si>
    <t>Carcass Inner 1mm- BWP / Shutter -   / Rose    colour Aluminium Profile with Clear or Tinted  Glass, Smooth Finish , Soft Close</t>
  </si>
  <si>
    <t>Carcass - BWP / Shutter - HDHMR Boilo, Smooth Finish , Soft Close</t>
  </si>
  <si>
    <r>
      <rPr>
        <rFont val="Arial"/>
        <color theme="1"/>
      </rPr>
      <t>Supply and installation of</t>
    </r>
    <r>
      <rPr>
        <rFont val="Arial"/>
        <b/>
        <color theme="1"/>
      </rPr>
      <t xml:space="preserve"> Curved Base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</si>
  <si>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t>Carcass - BWP / Shutter - HDHMR Boilo, Smooth Finish</t>
  </si>
  <si>
    <t>Carcass - Century Bond or Green OptimaG / Shutter - Action TESA, Century lam , Merino , Greenlam</t>
  </si>
  <si>
    <t>Carcass - Century Bond or Green OptimaG, Greenlam, Century lam , Merino</t>
  </si>
  <si>
    <r>
      <rPr>
        <rFont val="Arial"/>
        <color theme="1"/>
      </rPr>
      <t xml:space="preserve">Supply and installation of </t>
    </r>
    <r>
      <rPr>
        <rFont val="Arial"/>
        <b/>
        <color theme="1"/>
      </rPr>
      <t xml:space="preserve">Open unit - Inner 1mm </t>
    </r>
    <r>
      <rPr>
        <rFont val="Arial"/>
        <color theme="1"/>
      </rPr>
      <t xml:space="preserve">with </t>
    </r>
    <r>
      <rPr>
        <rFont val="Arial"/>
        <b/>
        <color theme="1"/>
      </rPr>
      <t>BWP ply frame and Smooth finish laminate</t>
    </r>
  </si>
  <si>
    <t>Smooth Finish, Soft Close, Frame - BWP / Shutter - HDHMR Boilo</t>
  </si>
  <si>
    <t xml:space="preserve">Hettich Veyosis or Hafele Eqv ,  , Greenlam , Century lam , Merino, Frame- Century Bond or Green OptimaG / Shutter - Action TESA,  </t>
  </si>
  <si>
    <t>Ledge - Century Bond or Green OptimaG, Greenlam , Century lam , Merino</t>
  </si>
  <si>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Smooth Finish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</si>
  <si>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Smooth Finish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</si>
  <si>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Smooth Finish Laminate</t>
    </r>
  </si>
  <si>
    <t>Century Bond or Green OptimaG , Greenlam , Century lam , Merino</t>
  </si>
  <si>
    <r>
      <rPr>
        <rFont val="Arial"/>
        <color theme="1"/>
      </rPr>
      <t>Supply and installation of</t>
    </r>
    <r>
      <rPr>
        <rFont val="Arial"/>
        <b/>
        <color theme="1"/>
      </rPr>
      <t xml:space="preserve"> Ledge </t>
    </r>
    <r>
      <rPr>
        <rFont val="Arial"/>
        <color theme="1"/>
      </rPr>
      <t>with 75</t>
    </r>
    <r>
      <rPr>
        <rFont val="Arial"/>
        <b/>
        <color theme="1"/>
      </rPr>
      <t xml:space="preserve">mm Ledge BWP </t>
    </r>
    <r>
      <rPr>
        <rFont val="Arial"/>
        <color theme="1"/>
      </rPr>
      <t>and</t>
    </r>
    <r>
      <rPr>
        <rFont val="Arial"/>
        <b/>
        <color theme="1"/>
      </rPr>
      <t xml:space="preserve"> Smooth Finish Laminate</t>
    </r>
  </si>
  <si>
    <t>Century Bond or Green OptimaG, Century lam , Greenlam , Merino</t>
  </si>
  <si>
    <r>
      <rPr>
        <rFont val="Arial"/>
        <color theme="1"/>
      </rPr>
      <t>Supply and installation of</t>
    </r>
    <r>
      <rPr>
        <rFont val="Arial"/>
        <b/>
        <color theme="1"/>
      </rPr>
      <t xml:space="preserve"> Curved Wall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</si>
  <si>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</si>
  <si>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</si>
  <si>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</si>
  <si>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</si>
  <si>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Smooth Finish laminate</t>
    </r>
    <r>
      <rPr>
        <rFont val="Arial"/>
        <color theme="1"/>
      </rPr>
      <t xml:space="preserve"> </t>
    </r>
  </si>
  <si>
    <t>Carcass - BWP / Shutter - HDHMR Boilo, Glossy Finish, Soft Close</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</si>
  <si>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</si>
  <si>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</si>
  <si>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</si>
  <si>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</si>
  <si>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unit </t>
    </r>
    <r>
      <rPr>
        <rFont val="Arial"/>
        <color theme="1"/>
      </rPr>
      <t xml:space="preserve">with </t>
    </r>
    <r>
      <rPr>
        <rFont val="Arial"/>
        <b/>
        <color theme="1"/>
      </rPr>
      <t>BWP Carcass, Plywood Border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</si>
  <si>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Plywood Border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</si>
  <si>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Plywood Border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</si>
  <si>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Plywood Border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</si>
  <si>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unit </t>
    </r>
    <r>
      <rPr>
        <rFont val="Arial"/>
        <color theme="1"/>
      </rPr>
      <t xml:space="preserve">with </t>
    </r>
    <r>
      <rPr>
        <rFont val="Arial"/>
        <b/>
        <color theme="1"/>
      </rPr>
      <t>BWP Carcass, Plywood Border with Fluted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</si>
  <si>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Plywood Border with Fluted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</si>
  <si>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Plywood Border with Fluted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</si>
  <si>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Plywood Border with Fluted Glass Shutter, Glossy laminate</t>
    </r>
    <r>
      <rPr>
        <rFont val="Arial"/>
        <color theme="1"/>
      </rPr>
      <t xml:space="preserve"> and </t>
    </r>
    <r>
      <rPr>
        <rFont val="Arial"/>
        <b/>
        <color theme="1"/>
      </rPr>
      <t xml:space="preserve">soft close hinges  </t>
    </r>
  </si>
  <si>
    <t>Carcass - BWP / Shutter -   / Rose    colour Aluminium Profile with Clear or Tinted  Glass, Soft Close, Glossy Finish</t>
  </si>
  <si>
    <t>Carcass - BWP / Shutter -   / Rose    colour Aluminium Profile with Fluted Glass, Glossy Finish , Soft Close</t>
  </si>
  <si>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Black/Silver Aluminium Profile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</si>
  <si>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Black/Silver Aluminium Profile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</si>
  <si>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Black/Silver Aluminium Profile with Clear/Tinted Glass Shutter, Glossy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</si>
  <si>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 Inner 1mm unit </t>
    </r>
    <r>
      <rPr>
        <rFont val="Arial"/>
        <color theme="1"/>
      </rPr>
      <t xml:space="preserve">with </t>
    </r>
    <r>
      <rPr>
        <rFont val="Arial"/>
        <b/>
        <color theme="1"/>
      </rPr>
      <t>BWP Carcass, Black/Silver Aluminium Profile with Clear/Tinted Glass Shutter, Glossy laminate</t>
    </r>
    <r>
      <rPr>
        <rFont val="Arial"/>
        <color theme="1"/>
      </rPr>
      <t xml:space="preserve"> and </t>
    </r>
    <r>
      <rPr>
        <rFont val="Arial"/>
        <b/>
        <color theme="1"/>
      </rPr>
      <t xml:space="preserve">soft close hinges  </t>
    </r>
  </si>
  <si>
    <t>Carcass Inner 1mm  - BWP / Shutter -   / Rose    colour Aluminium Profile with Fluted Glass, Glossy Finish , Soft Close</t>
  </si>
  <si>
    <t>Carcass Inner 1mm- BWP / Shutter -   / Rose    colour Aluminium Profile with Clear or Tinted  Glass, Glossy Finish , Soft Close</t>
  </si>
  <si>
    <t>Carcass - BWP / Shutter - HDHMR Boilo, Glossy Finish , Soft Close</t>
  </si>
  <si>
    <r>
      <rPr>
        <rFont val="Arial"/>
        <color theme="1"/>
      </rPr>
      <t>Supply and installation of</t>
    </r>
    <r>
      <rPr>
        <rFont val="Arial"/>
        <b/>
        <color theme="1"/>
      </rPr>
      <t xml:space="preserve"> Curved Base storage unit  </t>
    </r>
    <r>
      <rPr>
        <rFont val="Arial"/>
        <color theme="1"/>
      </rPr>
      <t xml:space="preserve">with </t>
    </r>
    <r>
      <rPr>
        <rFont val="Arial"/>
        <b/>
        <color theme="1"/>
      </rPr>
      <t>BWP Carcass, HDHMR Boilo Shutter, Glossy finish laminate</t>
    </r>
    <r>
      <rPr>
        <rFont val="Arial"/>
        <color theme="1"/>
      </rPr>
      <t xml:space="preserve"> and </t>
    </r>
    <r>
      <rPr>
        <rFont val="Arial"/>
        <b/>
        <color theme="1"/>
      </rPr>
      <t xml:space="preserve">soft close hinges  </t>
    </r>
  </si>
  <si>
    <t>Curved Shape Wall Storage unit</t>
  </si>
  <si>
    <r>
      <rPr>
        <rFont val="Arial"/>
        <color theme="1"/>
      </rPr>
      <t>Supply and installation of</t>
    </r>
    <r>
      <rPr>
        <rFont val="Arial"/>
        <b/>
        <color theme="1"/>
      </rPr>
      <t xml:space="preserve"> Curved Wall storage unit  </t>
    </r>
    <r>
      <rPr>
        <rFont val="Arial"/>
        <color theme="1"/>
      </rPr>
      <t xml:space="preserve">with </t>
    </r>
    <r>
      <rPr>
        <rFont val="Arial"/>
        <b/>
        <color theme="1"/>
      </rPr>
      <t>BWP Carcass, HDHMR Boilo Shutter, Glossy finish laminate</t>
    </r>
    <r>
      <rPr>
        <rFont val="Arial"/>
        <color theme="1"/>
      </rPr>
      <t xml:space="preserve"> and </t>
    </r>
    <r>
      <rPr>
        <rFont val="Arial"/>
        <b/>
        <color theme="1"/>
      </rPr>
      <t xml:space="preserve">soft close hinges  </t>
    </r>
  </si>
  <si>
    <t>Carcass - BWP / Shutter - HDHMR Boilo, Glossy Finish</t>
  </si>
  <si>
    <t>Glossy Finish, Soft Close, Frame - BWP / Shutter - HDHMR Boilo</t>
  </si>
  <si>
    <r>
      <rPr>
        <rFont val="Arial"/>
        <color theme="1"/>
      </rPr>
      <t>Supply and installation of</t>
    </r>
    <r>
      <rPr>
        <rFont val="Arial"/>
        <b/>
        <color theme="1"/>
      </rPr>
      <t xml:space="preserve"> Loft Frame and Shutter unit </t>
    </r>
    <r>
      <rPr>
        <rFont val="Arial"/>
        <color theme="1"/>
      </rPr>
      <t xml:space="preserve">with </t>
    </r>
    <r>
      <rPr>
        <rFont val="Arial"/>
        <b/>
        <color theme="1"/>
      </rPr>
      <t>BWP Frame, HDHMR Boilo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</si>
  <si>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Glossy Finish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</si>
  <si>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Glossy Finish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</si>
  <si>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Glossy Finish Laminate</t>
    </r>
  </si>
  <si>
    <r>
      <rPr>
        <rFont val="Arial"/>
        <color theme="1"/>
      </rPr>
      <t>Supply and installation of</t>
    </r>
    <r>
      <rPr>
        <rFont val="Arial"/>
        <b/>
        <color theme="1"/>
      </rPr>
      <t xml:space="preserve"> Partition </t>
    </r>
    <r>
      <rPr>
        <rFont val="Arial"/>
        <color theme="1"/>
      </rPr>
      <t>with 75</t>
    </r>
    <r>
      <rPr>
        <rFont val="Arial"/>
        <b/>
        <color theme="1"/>
      </rPr>
      <t xml:space="preserve">mm Ledge BWP </t>
    </r>
    <r>
      <rPr>
        <rFont val="Arial"/>
        <color theme="1"/>
      </rPr>
      <t>and</t>
    </r>
    <r>
      <rPr>
        <rFont val="Arial"/>
        <b/>
        <color theme="1"/>
      </rPr>
      <t xml:space="preserve"> Glossy Finish Laminate</t>
    </r>
  </si>
  <si>
    <r>
      <rPr>
        <rFont val="Arial"/>
        <color theme="1"/>
      </rPr>
      <t>Supply and installation of</t>
    </r>
    <r>
      <rPr>
        <rFont val="Arial"/>
        <b/>
        <color theme="1"/>
      </rPr>
      <t xml:space="preserve"> Curved Wall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</si>
  <si>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</si>
  <si>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</si>
  <si>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</si>
  <si>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</si>
  <si>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Glossy Finish laminate</t>
    </r>
    <r>
      <rPr>
        <rFont val="Arial"/>
        <color theme="1"/>
      </rPr>
      <t xml:space="preserve"> </t>
    </r>
  </si>
  <si>
    <t>Carcass - BWP / Shutter - HDHMR Boilo, MR+  Finish, Soft Close</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</si>
  <si>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</si>
  <si>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</si>
  <si>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</si>
  <si>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</si>
  <si>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</si>
  <si>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</si>
  <si>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</si>
  <si>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 xml:space="preserve">Supply and installation of </t>
    </r>
    <r>
      <rPr>
        <rFont val="Arial"/>
        <b/>
        <color theme="1"/>
      </rPr>
      <t xml:space="preserve">Wardrobe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</si>
  <si>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t>Carcass - BWP / Shutter -   / Rose    colour Aluminium Profile with Clear or Tinted  Glass, Soft Close, MR+  Finish</t>
  </si>
  <si>
    <t>Carcass - BWP / Shutter -   / Rose    colour Aluminium Profile with Fluted Glass, MR+  Finish , Soft Close</t>
  </si>
  <si>
    <t>Carcass Inner 1mm  - BWP / Shutter -   / Rose    colour Aluminium Profile with Fluted Glass, MR+  Finish , Soft Close</t>
  </si>
  <si>
    <t>Carcass Inner 1mm- BWP / Shutter -   / Rose    colour Aluminium Profile with Clear or Tinted  Glass, MR+  Finish , Soft Close</t>
  </si>
  <si>
    <r>
      <rPr>
        <rFont val="Arial"/>
        <color theme="1"/>
      </rPr>
      <t>Supply and installation of</t>
    </r>
    <r>
      <rPr>
        <rFont val="Arial"/>
        <b/>
        <color theme="1"/>
      </rPr>
      <t xml:space="preserve"> Open Unit - 1mm </t>
    </r>
    <r>
      <rPr>
        <rFont val="Arial"/>
        <color theme="1"/>
      </rPr>
      <t xml:space="preserve">with </t>
    </r>
    <r>
      <rPr>
        <rFont val="Arial"/>
        <b/>
        <color theme="1"/>
      </rPr>
      <t>BWP Carcass, MR+ laminate</t>
    </r>
    <r>
      <rPr>
        <rFont val="Arial"/>
        <color theme="1"/>
      </rPr>
      <t xml:space="preserve"> </t>
    </r>
  </si>
  <si>
    <t>MR+  Finish, Soft Close, Frame - BWP / Shutter - HDHMR Boilo</t>
  </si>
  <si>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MR+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</si>
  <si>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MR+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</si>
  <si>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MR+ Laminate</t>
    </r>
  </si>
  <si>
    <r>
      <rPr>
        <rFont val="Arial"/>
        <color theme="1"/>
      </rPr>
      <t>Supply and installation of</t>
    </r>
    <r>
      <rPr>
        <rFont val="Arial"/>
        <b/>
        <color theme="1"/>
      </rPr>
      <t xml:space="preserve"> Partition - 75mm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</si>
  <si>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</si>
  <si>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</si>
  <si>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</si>
  <si>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</si>
  <si>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MR+ laminate</t>
    </r>
    <r>
      <rPr>
        <rFont val="Arial"/>
        <color theme="1"/>
      </rPr>
      <t xml:space="preserve"> </t>
    </r>
  </si>
  <si>
    <t>Carcass - BWP / Shutter - HDHMR Boilo, Designer lam  Finish, Soft Close</t>
  </si>
  <si>
    <t>Designer lam  Finish, Soft Close, Frame - BWP / Shutter - HDHMR Boilo</t>
  </si>
  <si>
    <t>Carcass - BWP / Shutter - HDHMR Boilo, Acrylic  Finish, Soft Close</t>
  </si>
  <si>
    <t xml:space="preserve">Carcass - Century Bond or Green OptimaG / Shutter - Action TESA, Hettich Veyosis or Hafele Eqv ,  ,  , Europratik / Glorio , </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</si>
  <si>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</si>
  <si>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</si>
  <si>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</si>
  <si>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</si>
  <si>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t>Hettich Veyosis or Hafele Eqv ,  ,  , Europratik / Glorio , , Carcass / Shutter - Century Bond or Green OptimaG with Glass</t>
  </si>
  <si>
    <r>
      <rPr>
        <rFont val="Arial"/>
        <color theme="1"/>
      </rPr>
      <t>Supply and installation of</t>
    </r>
    <r>
      <rPr>
        <rFont val="Arial"/>
        <b/>
        <color theme="1"/>
      </rPr>
      <t xml:space="preserve"> Base storage unit </t>
    </r>
    <r>
      <rPr>
        <rFont val="Arial"/>
        <color theme="1"/>
      </rPr>
      <t xml:space="preserve">with </t>
    </r>
    <r>
      <rPr>
        <rFont val="Arial"/>
        <b/>
        <color theme="1"/>
      </rPr>
      <t>BWP Carcass, Plywood Border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</si>
  <si>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Plywood Border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</si>
  <si>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Plywood Border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</si>
  <si>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Plywood Border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</si>
  <si>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unit </t>
    </r>
    <r>
      <rPr>
        <rFont val="Arial"/>
        <color theme="1"/>
      </rPr>
      <t xml:space="preserve">with </t>
    </r>
    <r>
      <rPr>
        <rFont val="Arial"/>
        <b/>
        <color theme="1"/>
      </rPr>
      <t>BWP Carcass, Plywood Border with Fluted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</si>
  <si>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Plywood Border with Fluted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</si>
  <si>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Plywood Border with Fluted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</si>
  <si>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Plywood Border with Fluted Glass Shutter, Acrylic laminate</t>
    </r>
    <r>
      <rPr>
        <rFont val="Arial"/>
        <color theme="1"/>
      </rPr>
      <t xml:space="preserve"> and </t>
    </r>
    <r>
      <rPr>
        <rFont val="Arial"/>
        <b/>
        <color theme="1"/>
      </rPr>
      <t xml:space="preserve">soft close hinges  </t>
    </r>
  </si>
  <si>
    <t xml:space="preserve"> , Hettich Veyosis or Hafele Eqv,  , Europratik / Glorio , , Carcass -Century Bond or Green OptimaG / Shutter - CNR Aluminium Profile Shutters</t>
  </si>
  <si>
    <r>
      <rPr>
        <rFont val="Arial"/>
        <color theme="1"/>
      </rPr>
      <t>Supply and installation of</t>
    </r>
    <r>
      <rPr>
        <rFont val="Arial"/>
        <b/>
        <color theme="1"/>
      </rPr>
      <t xml:space="preserve"> Base storage unit </t>
    </r>
    <r>
      <rPr>
        <rFont val="Arial"/>
        <color theme="1"/>
      </rPr>
      <t xml:space="preserve">with </t>
    </r>
    <r>
      <rPr>
        <rFont val="Arial"/>
        <b/>
        <color theme="1"/>
      </rPr>
      <t>BWP Carcass, Black/Silver Aluminium Profile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</si>
  <si>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Black/Silver Aluminium Profile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</si>
  <si>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Black/Silver Aluminium Profile with Clear/Tinted Glass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</si>
  <si>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Black/Silver Aluminium Profile with Clear/Tinted Glass Shutter, Acrylic laminate</t>
    </r>
    <r>
      <rPr>
        <rFont val="Arial"/>
        <color theme="1"/>
      </rPr>
      <t xml:space="preserve"> and </t>
    </r>
    <r>
      <rPr>
        <rFont val="Arial"/>
        <b/>
        <color theme="1"/>
      </rPr>
      <t xml:space="preserve">soft close hinges  </t>
    </r>
  </si>
  <si>
    <t>Carcass - BWP / Shutter -   / Rose    colour Aluminium Profile with Clear or Tinted  Glass, Soft Close, Acrylic  Finish</t>
  </si>
  <si>
    <t>Carcass - BWP / Shutter -   / Rose    colour Aluminium Profile with Fluted Glass, Acrylic  Finish , Soft Close</t>
  </si>
  <si>
    <t xml:space="preserve">Carcass - Century Bond or Green OptimaG, , Europratik / Glorio , </t>
  </si>
  <si>
    <t>Acrylic  Finish, Soft Close, Frame - BWP / Shutter - HDHMR Boilo</t>
  </si>
  <si>
    <t xml:space="preserve">Hettich Veyosis or Hafele Eqv ,  ,  , Europratik / Glorio , , Frame- Century Bond or Green OptimaG / Shutter - Action TESA,  </t>
  </si>
  <si>
    <r>
      <rPr>
        <rFont val="Arial"/>
        <color theme="1"/>
      </rPr>
      <t>Supply and installation of</t>
    </r>
    <r>
      <rPr>
        <rFont val="Arial"/>
        <b/>
        <color theme="1"/>
      </rPr>
      <t xml:space="preserve"> Loft Frame and Shutter unit </t>
    </r>
    <r>
      <rPr>
        <rFont val="Arial"/>
        <color theme="1"/>
      </rPr>
      <t xml:space="preserve">with </t>
    </r>
    <r>
      <rPr>
        <rFont val="Arial"/>
        <b/>
        <color theme="1"/>
      </rPr>
      <t>BWP Frame, HDHMR Boilo Shutter, Acrylic laminate</t>
    </r>
    <r>
      <rPr>
        <rFont val="Arial"/>
        <color theme="1"/>
      </rPr>
      <t xml:space="preserve"> and </t>
    </r>
    <r>
      <rPr>
        <rFont val="Arial"/>
        <b/>
        <color theme="1"/>
      </rPr>
      <t xml:space="preserve">Soft Close hinges  </t>
    </r>
  </si>
  <si>
    <t xml:space="preserve">Ledge - Century Bond or Green OptimaG,  , Europratik / Glorio , </t>
  </si>
  <si>
    <t xml:space="preserve">Century Bond or Green OptimaG ,  , Europratik / Glorio , </t>
  </si>
  <si>
    <t xml:space="preserve">Century Bond or Green OptimaG, Europratik / Glorio ,  , </t>
  </si>
  <si>
    <r>
      <rPr>
        <rFont val="Arial"/>
        <color theme="1"/>
      </rPr>
      <t>Supply and installation of</t>
    </r>
    <r>
      <rPr>
        <rFont val="Arial"/>
        <b/>
        <color theme="1"/>
      </rPr>
      <t xml:space="preserve"> Wall Panel </t>
    </r>
    <r>
      <rPr>
        <rFont val="Arial"/>
        <color theme="1"/>
      </rPr>
      <t xml:space="preserve">with </t>
    </r>
    <r>
      <rPr>
        <rFont val="Arial"/>
        <b/>
        <color theme="1"/>
      </rPr>
      <t>BWP Ply Frame, Acrylic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</si>
  <si>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Acrylic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</si>
  <si>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Acrylic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</si>
  <si>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Acrylic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</si>
  <si>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Acrylic laminate</t>
    </r>
    <r>
      <rPr>
        <rFont val="Arial"/>
        <color theme="1"/>
      </rPr>
      <t xml:space="preserve"> </t>
    </r>
  </si>
  <si>
    <t>Hinges Blum</t>
  </si>
  <si>
    <t xml:space="preserve">Carcass - Century ClubPrime or Green Gold  / Shutter - Action TESA, Blum ,  , Royal Crown , Royal Touche , </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</si>
  <si>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</si>
  <si>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</si>
  <si>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</si>
  <si>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Smooth finish laminate</t>
    </r>
    <r>
      <rPr>
        <rFont val="Arial"/>
        <color theme="1"/>
      </rPr>
      <t xml:space="preserve"> and </t>
    </r>
    <r>
      <rPr>
        <rFont val="Arial"/>
        <b/>
        <color theme="1"/>
      </rPr>
      <t xml:space="preserve">soft close hinges  </t>
    </r>
  </si>
  <si>
    <t>Blum ,  , Royal Crown , Royal Touche , , Carcass / Shutter - Century ClubPrime or Green Gold  with Glass</t>
  </si>
  <si>
    <t xml:space="preserve"> , Blum, Royal Crown , Royal Touche , , Carcass -Century ClubPrime or Green Gold  / Shutter - CNR Aluminium Profile Shutters</t>
  </si>
  <si>
    <r>
      <rPr>
        <rFont val="Arial"/>
        <color theme="1"/>
      </rPr>
      <t>Supply and installation of</t>
    </r>
    <r>
      <rPr>
        <rFont val="Arial"/>
        <b/>
        <color theme="1"/>
      </rPr>
      <t xml:space="preserve"> Base storage - Inner 1mm unit </t>
    </r>
    <r>
      <rPr>
        <rFont val="Arial"/>
        <color theme="1"/>
      </rPr>
      <t xml:space="preserve">with </t>
    </r>
    <r>
      <rPr>
        <rFont val="Arial"/>
        <b/>
        <color theme="1"/>
      </rPr>
      <t>BWP Carcass, Black/Silver Aluminium Profile with Clear/Tinted Glass Shutter, Smooth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</si>
  <si>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 Inner 1mm unit </t>
    </r>
    <r>
      <rPr>
        <rFont val="Arial"/>
        <color theme="1"/>
      </rPr>
      <t xml:space="preserve">with </t>
    </r>
    <r>
      <rPr>
        <rFont val="Arial"/>
        <b/>
        <color theme="1"/>
      </rPr>
      <t>BWP Carcass, Black/Silver Aluminium Profile with Clear/Tinted Glass Shutter, Smooth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</si>
  <si>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 Inner 1mm unit </t>
    </r>
    <r>
      <rPr>
        <rFont val="Arial"/>
        <color theme="1"/>
      </rPr>
      <t xml:space="preserve">with </t>
    </r>
    <r>
      <rPr>
        <rFont val="Arial"/>
        <b/>
        <color theme="1"/>
      </rPr>
      <t>BWP Carcass, Black/Silver Aluminium Profile with Clear/Tinted Glass Shutter, Smooth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</si>
  <si>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 Inner 1mm unit </t>
    </r>
    <r>
      <rPr>
        <rFont val="Arial"/>
        <color theme="1"/>
      </rPr>
      <t xml:space="preserve">with </t>
    </r>
    <r>
      <rPr>
        <rFont val="Arial"/>
        <b/>
        <color theme="1"/>
      </rPr>
      <t>BWP Carcass, Black/Silver Aluminium Profile with Clear/Tinted Glass Shutter, Smooth laminate</t>
    </r>
    <r>
      <rPr>
        <rFont val="Arial"/>
        <color theme="1"/>
      </rPr>
      <t xml:space="preserve"> and </t>
    </r>
    <r>
      <rPr>
        <rFont val="Arial"/>
        <b/>
        <color theme="1"/>
      </rPr>
      <t xml:space="preserve">soft close hinges  </t>
    </r>
  </si>
  <si>
    <t>Carcass - Century ClubPrime or Green Gold  / Shutter - Action TESA, Royal Touche ,  , Royal Crown</t>
  </si>
  <si>
    <t xml:space="preserve">Carcass - Century ClubPrime or Green Gold , Royal Crown, Royal Touche , </t>
  </si>
  <si>
    <r>
      <rPr>
        <rFont val="Arial"/>
        <color theme="1"/>
      </rPr>
      <t xml:space="preserve">Supply and installation of </t>
    </r>
    <r>
      <rPr>
        <rFont val="Arial"/>
        <b/>
        <color theme="1"/>
      </rPr>
      <t xml:space="preserve">Open unit - Inner 1mm </t>
    </r>
    <r>
      <rPr>
        <rFont val="Arial"/>
        <color theme="1"/>
      </rPr>
      <t xml:space="preserve">with </t>
    </r>
    <r>
      <rPr>
        <rFont val="Arial"/>
        <b/>
        <color theme="1"/>
      </rPr>
      <t>BWP ply frame and Smooth finish laminate</t>
    </r>
  </si>
  <si>
    <t xml:space="preserve">Blum ,  , Royal Crown , Royal Touche , , Frame- Century ClubPrime or Green Gold  / Shutter - Action TESA,  </t>
  </si>
  <si>
    <r>
      <rPr>
        <rFont val="Arial"/>
        <color theme="1"/>
      </rPr>
      <t>Supply and installation of</t>
    </r>
    <r>
      <rPr>
        <rFont val="Arial"/>
        <b/>
        <color theme="1"/>
      </rPr>
      <t xml:space="preserve"> Loft Frame and Shutter unit </t>
    </r>
    <r>
      <rPr>
        <rFont val="Arial"/>
        <color theme="1"/>
      </rPr>
      <t xml:space="preserve">with </t>
    </r>
    <r>
      <rPr>
        <rFont val="Arial"/>
        <b/>
        <color theme="1"/>
      </rPr>
      <t>BWP Frame, HDHMR Boilo Shutter, Smooth laminate</t>
    </r>
    <r>
      <rPr>
        <rFont val="Arial"/>
        <color theme="1"/>
      </rPr>
      <t xml:space="preserve"> and </t>
    </r>
    <r>
      <rPr>
        <rFont val="Arial"/>
        <b/>
        <color theme="1"/>
      </rPr>
      <t xml:space="preserve">Soft Close hinges  </t>
    </r>
  </si>
  <si>
    <t xml:space="preserve">Ledge - Century ClubPrime or Green Gold , Royal Crown , Royal Touche , </t>
  </si>
  <si>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Smooth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</si>
  <si>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Smooth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</si>
  <si>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Smooth Laminate</t>
    </r>
  </si>
  <si>
    <t xml:space="preserve">Century ClubPrime or Green Gold  , Royal Crown , Royal Touche , </t>
  </si>
  <si>
    <r>
      <rPr>
        <rFont val="Arial"/>
        <color theme="1"/>
      </rPr>
      <t>Supply and installation of</t>
    </r>
    <r>
      <rPr>
        <rFont val="Arial"/>
        <b/>
        <color theme="1"/>
      </rPr>
      <t xml:space="preserve"> Partition - 75mm </t>
    </r>
    <r>
      <rPr>
        <rFont val="Arial"/>
        <color theme="1"/>
      </rPr>
      <t xml:space="preserve">with </t>
    </r>
    <r>
      <rPr>
        <rFont val="Arial"/>
        <b/>
        <color theme="1"/>
      </rPr>
      <t>BWP Ply Frame, Smooth laminate</t>
    </r>
    <r>
      <rPr>
        <rFont val="Arial"/>
        <color theme="1"/>
      </rPr>
      <t xml:space="preserve"> </t>
    </r>
  </si>
  <si>
    <t xml:space="preserve">Century ClubPrime or Green Gold , Royal Touche , Royal Crown , </t>
  </si>
  <si>
    <r>
      <rPr>
        <rFont val="Arial"/>
        <color theme="1"/>
      </rPr>
      <t>Supply and installation of</t>
    </r>
    <r>
      <rPr>
        <rFont val="Arial"/>
        <b/>
        <color theme="1"/>
      </rPr>
      <t xml:space="preserve"> Wall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</si>
  <si>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</si>
  <si>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</si>
  <si>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</si>
  <si>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Smooth Finish laminate</t>
    </r>
    <r>
      <rPr>
        <rFont val="Arial"/>
        <color theme="1"/>
      </rPr>
      <t xml:space="preserve"> </t>
    </r>
  </si>
  <si>
    <r>
      <rPr>
        <rFont val="Arial"/>
        <color theme="1"/>
      </rPr>
      <t>Supply and installation of</t>
    </r>
    <r>
      <rPr>
        <rFont val="Arial"/>
        <b/>
        <color theme="1"/>
      </rPr>
      <t xml:space="preserve"> Loft Frame and Shutter unit </t>
    </r>
    <r>
      <rPr>
        <rFont val="Arial"/>
        <color theme="1"/>
      </rPr>
      <t xml:space="preserve">with </t>
    </r>
    <r>
      <rPr>
        <rFont val="Arial"/>
        <b/>
        <color theme="1"/>
      </rPr>
      <t>BWP Frame, HDHMR Boilo Shutter, Glossy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</si>
  <si>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Glossy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</si>
  <si>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Glossy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</si>
  <si>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Glossy Laminate</t>
    </r>
  </si>
  <si>
    <r>
      <rPr>
        <rFont val="Arial"/>
        <color theme="1"/>
      </rPr>
      <t>Supply and installation of</t>
    </r>
    <r>
      <rPr>
        <rFont val="Arial"/>
        <b/>
        <color theme="1"/>
      </rPr>
      <t xml:space="preserve"> Partition - 75mm </t>
    </r>
    <r>
      <rPr>
        <rFont val="Arial"/>
        <color theme="1"/>
      </rPr>
      <t xml:space="preserve">with </t>
    </r>
    <r>
      <rPr>
        <rFont val="Arial"/>
        <b/>
        <color theme="1"/>
      </rPr>
      <t>BWP Ply Frame, Glossy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</si>
  <si>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</si>
  <si>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</si>
  <si>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</si>
  <si>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</si>
  <si>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Glossy Finish laminate</t>
    </r>
    <r>
      <rPr>
        <rFont val="Arial"/>
        <color theme="1"/>
      </rPr>
      <t xml:space="preserve"> </t>
    </r>
  </si>
  <si>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</si>
  <si>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</si>
  <si>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</si>
  <si>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MR+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</si>
  <si>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Base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</si>
  <si>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</si>
  <si>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</si>
  <si>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 xml:space="preserve">Supply and installation of </t>
    </r>
    <r>
      <rPr>
        <rFont val="Arial"/>
        <b/>
        <color theme="1"/>
      </rPr>
      <t xml:space="preserve">Wardrobe </t>
    </r>
    <r>
      <rPr>
        <rFont val="Arial"/>
        <color theme="1"/>
      </rPr>
      <t xml:space="preserve">with </t>
    </r>
    <r>
      <rPr>
        <rFont val="Arial"/>
        <b/>
        <color theme="1"/>
      </rPr>
      <t>BWP Carcass, Black/Silver Aluminium Profile with Clear/Tinted Glass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</si>
  <si>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Loft Frame and Shutter unit </t>
    </r>
    <r>
      <rPr>
        <rFont val="Arial"/>
        <color theme="1"/>
      </rPr>
      <t xml:space="preserve">with </t>
    </r>
    <r>
      <rPr>
        <rFont val="Arial"/>
        <b/>
        <color theme="1"/>
      </rPr>
      <t>BWP Frame, HDHMR Boilo Shutter, MR+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</si>
  <si>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MR+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</si>
  <si>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MR+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</si>
  <si>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MR+ Laminate</t>
    </r>
  </si>
  <si>
    <r>
      <rPr>
        <rFont val="Arial"/>
        <color theme="1"/>
      </rPr>
      <t>Supply and installation of</t>
    </r>
    <r>
      <rPr>
        <rFont val="Arial"/>
        <b/>
        <color theme="1"/>
      </rPr>
      <t xml:space="preserve"> Partition - 75mm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</si>
  <si>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</si>
  <si>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</si>
  <si>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</si>
  <si>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</si>
  <si>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MR+ laminate</t>
    </r>
    <r>
      <rPr>
        <rFont val="Arial"/>
        <color theme="1"/>
      </rPr>
      <t xml:space="preserve"> </t>
    </r>
  </si>
  <si>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Designer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</si>
  <si>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Designer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</si>
  <si>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Designer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</si>
  <si>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Designer finish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</si>
  <si>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Ledge </t>
    </r>
    <r>
      <rPr>
        <rFont val="Arial"/>
        <color theme="1"/>
      </rPr>
      <t>with 25</t>
    </r>
    <r>
      <rPr>
        <rFont val="Arial"/>
        <b/>
        <color theme="1"/>
      </rPr>
      <t xml:space="preserve">mm Ledge BWP </t>
    </r>
    <r>
      <rPr>
        <rFont val="Arial"/>
        <color theme="1"/>
      </rPr>
      <t>and</t>
    </r>
    <r>
      <rPr>
        <rFont val="Arial"/>
        <b/>
        <color theme="1"/>
      </rPr>
      <t xml:space="preserve"> Designer Laminate</t>
    </r>
  </si>
  <si>
    <r>
      <rPr>
        <rFont val="Arial"/>
        <color theme="1"/>
      </rPr>
      <t>Supply and installation of</t>
    </r>
    <r>
      <rPr>
        <rFont val="Arial"/>
        <b/>
        <color theme="1"/>
      </rPr>
      <t xml:space="preserve"> Ledge </t>
    </r>
    <r>
      <rPr>
        <rFont val="Arial"/>
        <color theme="1"/>
      </rPr>
      <t>with 36</t>
    </r>
    <r>
      <rPr>
        <rFont val="Arial"/>
        <b/>
        <color theme="1"/>
      </rPr>
      <t xml:space="preserve">mm Ledge BWP </t>
    </r>
    <r>
      <rPr>
        <rFont val="Arial"/>
        <color theme="1"/>
      </rPr>
      <t>and</t>
    </r>
    <r>
      <rPr>
        <rFont val="Arial"/>
        <b/>
        <color theme="1"/>
      </rPr>
      <t xml:space="preserve"> Designer Laminate</t>
    </r>
  </si>
  <si>
    <r>
      <rPr>
        <rFont val="Arial"/>
        <color theme="1"/>
      </rPr>
      <t>Supply and installation of</t>
    </r>
    <r>
      <rPr>
        <rFont val="Arial"/>
        <b/>
        <color theme="1"/>
      </rPr>
      <t xml:space="preserve"> Ledge </t>
    </r>
    <r>
      <rPr>
        <rFont val="Arial"/>
        <color theme="1"/>
      </rPr>
      <t>with 50</t>
    </r>
    <r>
      <rPr>
        <rFont val="Arial"/>
        <b/>
        <color theme="1"/>
      </rPr>
      <t xml:space="preserve">mm Ledge BWP </t>
    </r>
    <r>
      <rPr>
        <rFont val="Arial"/>
        <color theme="1"/>
      </rPr>
      <t>and</t>
    </r>
    <r>
      <rPr>
        <rFont val="Arial"/>
        <b/>
        <color theme="1"/>
      </rPr>
      <t xml:space="preserve"> Designer Laminate</t>
    </r>
  </si>
  <si>
    <r>
      <rPr>
        <rFont val="Arial"/>
        <color theme="1"/>
      </rPr>
      <t>Supply and installation of</t>
    </r>
    <r>
      <rPr>
        <rFont val="Arial"/>
        <b/>
        <color theme="1"/>
      </rPr>
      <t xml:space="preserve"> Partition - 75mm </t>
    </r>
    <r>
      <rPr>
        <rFont val="Arial"/>
        <color theme="1"/>
      </rPr>
      <t xml:space="preserve">with </t>
    </r>
    <r>
      <rPr>
        <rFont val="Arial"/>
        <b/>
        <color theme="1"/>
      </rPr>
      <t>BWP Ply Frame, Designer laminate</t>
    </r>
    <r>
      <rPr>
        <rFont val="Arial"/>
        <color theme="1"/>
      </rPr>
      <t xml:space="preserve"> </t>
    </r>
  </si>
  <si>
    <r>
      <rPr>
        <rFont val="Arial"/>
        <color theme="1"/>
      </rPr>
      <t>Supply and installation of</t>
    </r>
    <r>
      <rPr>
        <rFont val="Arial"/>
        <b/>
        <color theme="1"/>
      </rPr>
      <t xml:space="preserve"> Wall Panel </t>
    </r>
    <r>
      <rPr>
        <rFont val="Arial"/>
        <color theme="1"/>
      </rPr>
      <t xml:space="preserve">with </t>
    </r>
    <r>
      <rPr>
        <rFont val="Arial"/>
        <b/>
        <color theme="1"/>
      </rPr>
      <t>BWP Ply Frame, Designer laminate</t>
    </r>
    <r>
      <rPr>
        <rFont val="Arial"/>
        <color theme="1"/>
      </rPr>
      <t xml:space="preserve"> </t>
    </r>
  </si>
  <si>
    <r>
      <rPr>
        <rFont val="Arial"/>
        <color theme="1"/>
      </rPr>
      <t>Supply and installation of</t>
    </r>
    <r>
      <rPr>
        <rFont val="Arial"/>
        <b/>
        <color theme="1"/>
      </rPr>
      <t xml:space="preserve"> Pelmet Panel </t>
    </r>
    <r>
      <rPr>
        <rFont val="Arial"/>
        <color theme="1"/>
      </rPr>
      <t xml:space="preserve">with </t>
    </r>
    <r>
      <rPr>
        <rFont val="Arial"/>
        <b/>
        <color theme="1"/>
      </rPr>
      <t>BWP Ply Frame, Designer laminate</t>
    </r>
    <r>
      <rPr>
        <rFont val="Arial"/>
        <color theme="1"/>
      </rPr>
      <t xml:space="preserve"> </t>
    </r>
  </si>
  <si>
    <r>
      <rPr>
        <rFont val="Arial"/>
        <color theme="1"/>
      </rPr>
      <t>Supply and installation of</t>
    </r>
    <r>
      <rPr>
        <rFont val="Arial"/>
        <b/>
        <color theme="1"/>
      </rPr>
      <t xml:space="preserve"> Jam Panel </t>
    </r>
    <r>
      <rPr>
        <rFont val="Arial"/>
        <color theme="1"/>
      </rPr>
      <t xml:space="preserve">with </t>
    </r>
    <r>
      <rPr>
        <rFont val="Arial"/>
        <b/>
        <color theme="1"/>
      </rPr>
      <t>BWP Ply Frame, Designer laminate</t>
    </r>
    <r>
      <rPr>
        <rFont val="Arial"/>
        <color theme="1"/>
      </rPr>
      <t xml:space="preserve"> </t>
    </r>
  </si>
  <si>
    <r>
      <rPr>
        <rFont val="Arial"/>
        <color theme="1"/>
      </rPr>
      <t>Supply and installation of</t>
    </r>
    <r>
      <rPr>
        <rFont val="Arial"/>
        <b/>
        <color theme="1"/>
      </rPr>
      <t xml:space="preserve"> Ceiling Panel </t>
    </r>
    <r>
      <rPr>
        <rFont val="Arial"/>
        <color theme="1"/>
      </rPr>
      <t xml:space="preserve">with </t>
    </r>
    <r>
      <rPr>
        <rFont val="Arial"/>
        <b/>
        <color theme="1"/>
      </rPr>
      <t>BWP Ply Frame, Designer laminate</t>
    </r>
    <r>
      <rPr>
        <rFont val="Arial"/>
        <color theme="1"/>
      </rPr>
      <t xml:space="preserve"> </t>
    </r>
  </si>
  <si>
    <r>
      <rPr>
        <rFont val="Arial"/>
        <color theme="1"/>
      </rPr>
      <t>Supply and installation of</t>
    </r>
    <r>
      <rPr>
        <rFont val="Arial"/>
        <b/>
        <color theme="1"/>
      </rPr>
      <t xml:space="preserve"> Base Panel </t>
    </r>
    <r>
      <rPr>
        <rFont val="Arial"/>
        <color theme="1"/>
      </rPr>
      <t xml:space="preserve">with </t>
    </r>
    <r>
      <rPr>
        <rFont val="Arial"/>
        <b/>
        <color theme="1"/>
      </rPr>
      <t>BWP Ply Frame, Designer laminate</t>
    </r>
    <r>
      <rPr>
        <rFont val="Arial"/>
        <color theme="1"/>
      </rPr>
      <t xml:space="preserve"> </t>
    </r>
  </si>
  <si>
    <t xml:space="preserve">Carcass - Century ClubPrime or Green Gold  / Shutter - Action TESA, Blum ,  ,  , Zurich , </t>
  </si>
  <si>
    <r>
      <rPr>
        <rFont val="Arial"/>
        <color theme="1"/>
      </rPr>
      <t>Supply and installation of</t>
    </r>
    <r>
      <rPr>
        <rFont val="Arial"/>
        <b/>
        <color theme="1"/>
      </rPr>
      <t xml:space="preserve"> Base storage unit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</si>
  <si>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Wall storage unit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</si>
  <si>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Tall storage unit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</si>
  <si>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r>
      <rPr>
        <rFont val="Arial"/>
        <color theme="1"/>
      </rPr>
      <t>Supply and installation of</t>
    </r>
    <r>
      <rPr>
        <rFont val="Arial"/>
        <b/>
        <color theme="1"/>
      </rPr>
      <t xml:space="preserve"> Wardrobe </t>
    </r>
    <r>
      <rPr>
        <rFont val="Arial"/>
        <color theme="1"/>
      </rPr>
      <t xml:space="preserve">with </t>
    </r>
    <r>
      <rPr>
        <rFont val="Arial"/>
        <b/>
        <color theme="1"/>
      </rPr>
      <t>BWP Carcass, HDHMR Boilo Shutter, Acrylic laminate</t>
    </r>
    <r>
      <rPr>
        <rFont val="Arial"/>
        <color theme="1"/>
      </rPr>
      <t xml:space="preserve"> and </t>
    </r>
    <r>
      <rPr>
        <rFont val="Arial"/>
        <b/>
        <color theme="1"/>
      </rPr>
      <t xml:space="preserve">soft close hinges  </t>
    </r>
  </si>
  <si>
    <t>Blum ,  ,  , Zurich , , Carcass / Shutter - Century ClubPrime or Green Gold  with Glass</t>
  </si>
  <si>
    <t xml:space="preserve"> , Blum,  , Zurich , , Carcass -Century ClubPrime or Green Gold  / Shutter - CNR Aluminium Profile Shutters</t>
  </si>
  <si>
    <t xml:space="preserve">Carcass - Century ClubPrime or Green Gold , , Zurich , </t>
  </si>
  <si>
    <t xml:space="preserve">Blum ,  ,  , Zurich , , Frame- Century ClubPrime or Green Gold  / Shutter - Action TESA,  </t>
  </si>
  <si>
    <t xml:space="preserve">Ledge - Century ClubPrime or Green Gold ,  , Zurich , </t>
  </si>
  <si>
    <t xml:space="preserve">Century ClubPrime or Green Gold  ,  , Zurich , </t>
  </si>
  <si>
    <t xml:space="preserve">Century ClubPrime or Green Gold , Zurich ,  , </t>
  </si>
  <si>
    <t>Length (Ft)</t>
  </si>
  <si>
    <t>Height</t>
  </si>
  <si>
    <t>Qty (sqft)</t>
  </si>
  <si>
    <t>Unit</t>
  </si>
  <si>
    <t>Length (mm)</t>
  </si>
  <si>
    <t>Quantity</t>
  </si>
  <si>
    <t>Amount</t>
  </si>
  <si>
    <t xml:space="preserve">   </t>
  </si>
  <si>
    <t>Modular Work</t>
  </si>
  <si>
    <t>Living room</t>
  </si>
  <si>
    <t>Sft</t>
  </si>
  <si>
    <t>mm</t>
  </si>
  <si>
    <t xml:space="preserve">Accessories to be added </t>
  </si>
  <si>
    <t xml:space="preserve">Jam panel to be added </t>
  </si>
  <si>
    <t>Pooja unit</t>
  </si>
  <si>
    <t>Kitchen</t>
  </si>
  <si>
    <t xml:space="preserve">Mesh shutter </t>
  </si>
  <si>
    <t xml:space="preserve">Chimeny panel </t>
  </si>
  <si>
    <t>Tambour unit to be chnaged as open unit inner 0.8 and outer 1mm</t>
  </si>
  <si>
    <t>Master Bedroom</t>
  </si>
  <si>
    <t xml:space="preserve">Drawer to be added </t>
  </si>
  <si>
    <t xml:space="preserve">Mirror to be added </t>
  </si>
  <si>
    <t>Mother's bedroom</t>
  </si>
  <si>
    <t xml:space="preserve">Mirror Costing to be added </t>
  </si>
  <si>
    <t>Son's Bedroom</t>
  </si>
  <si>
    <t xml:space="preserve">CNC Costing to be added </t>
  </si>
  <si>
    <t>Balcony</t>
  </si>
  <si>
    <t>Vanity units</t>
  </si>
  <si>
    <t>TRANSPORTATION,LOADING &amp; UNLOADING</t>
  </si>
  <si>
    <t>SUB TOTAL</t>
  </si>
  <si>
    <t>Markup</t>
  </si>
  <si>
    <t>TOTAL</t>
  </si>
  <si>
    <t>GST 18%</t>
  </si>
  <si>
    <t>GRAND TOTAL</t>
  </si>
  <si>
    <t xml:space="preserve"> </t>
  </si>
  <si>
    <t>Jodular Work</t>
  </si>
  <si>
    <t xml:space="preserve">Jesh shutter </t>
  </si>
  <si>
    <t>Jaster Bedroom</t>
  </si>
  <si>
    <t xml:space="preserve">Jirror to be added </t>
  </si>
  <si>
    <t>Jother's bedroom</t>
  </si>
  <si>
    <t xml:space="preserve">Jirror Costing to be added </t>
  </si>
  <si>
    <t>Jarkup</t>
  </si>
  <si>
    <t>Quotation - Interiors:</t>
  </si>
  <si>
    <t>Material Specification</t>
  </si>
  <si>
    <t>Cabinets (Carcass)</t>
  </si>
  <si>
    <t>Kitchen - Century/Greenply BWP 710 Grade (15 Years Warranty), Rest Century/Greenply MR Grade Plywood (15 Years Warranty)</t>
  </si>
  <si>
    <t>Cabinet Panel Thickness</t>
  </si>
  <si>
    <t>18 mm(16mm+1mm+1mm)                                                                                                                                                                                 8mm</t>
  </si>
  <si>
    <t>Cabinet Back Panel Thickness</t>
  </si>
  <si>
    <t>Base material for shutters</t>
  </si>
  <si>
    <t>(Plywood) Kitchen - Century/Greenply BWP 710 Grade (10 Years Warranty), Rest Century/Greenply MR Grade Plywood (10 Years Warranty)
(HDHMR) - Action tesa</t>
  </si>
  <si>
    <t>Shutter Thickness</t>
  </si>
  <si>
    <t>18 mm(16mm+1mm+1mm)</t>
  </si>
  <si>
    <t>Laminate Thickness (Inside &amp; Outside)</t>
  </si>
  <si>
    <t>Edge Banding</t>
  </si>
  <si>
    <t>Rehau / Equivalent Make</t>
  </si>
  <si>
    <t>Laminate Finish</t>
  </si>
  <si>
    <t>As Mentioned in Description</t>
  </si>
  <si>
    <t>Colour Options</t>
  </si>
  <si>
    <t>Merino / Greenlam/ Centurylam/ NewMika</t>
  </si>
  <si>
    <t>Hinges and Drawer Slides</t>
  </si>
  <si>
    <t>Hettich  Soft close Hinges &amp; Quadro Channels for Kitchen &amp; for Wardrobe/ loft</t>
  </si>
  <si>
    <t>Handles</t>
  </si>
  <si>
    <t>4" or 6" handles for Floor Cabinets Shutters,4" or 6" handles for loft/Wall Cabinets and 8 " handles for Wardrobe . And kitchen  - basic rate Rs. 120</t>
  </si>
  <si>
    <t>Length</t>
  </si>
  <si>
    <t>Discount 40%</t>
  </si>
  <si>
    <t>Total after 40% Discount</t>
  </si>
  <si>
    <t>Quotation - Accessories:</t>
  </si>
  <si>
    <t>S.No</t>
  </si>
  <si>
    <t>Packing</t>
  </si>
  <si>
    <t>Nos</t>
  </si>
  <si>
    <t>Price</t>
  </si>
  <si>
    <t>Supply and Installation of   Hettich - OrgaTray 440 Trimmable (Fixed Partition Cutlery) (Width - 801mm-900mm | Depth - 441-520 mm)</t>
  </si>
  <si>
    <t>Set</t>
  </si>
  <si>
    <t>Supply and Installation of  Hettich - InnoTech- 470 mm (30 Kg) Full Extn. Silent tandem - Silver (70 x 470mm)</t>
  </si>
  <si>
    <t>Supply and Installation of  Hettich - InnoTech- 470 mm (30 Kg) Full Extn. Silent tandem - Silver (144 x 470 mm)</t>
  </si>
  <si>
    <t xml:space="preserve">Set </t>
  </si>
  <si>
    <t>Supply and Installation of Hettich - Cargo IQ 200 (Bottle Pull out - 2 tier) (200mm width)</t>
  </si>
  <si>
    <t>Supply and Installation of  Wicker Baskets with Beech Runner - Cane
320 x 500 x 120 (cabinet width 450 mm)</t>
  </si>
  <si>
    <t>Supply and Installation of  Wicker Baskets with Beech Runner - Cane
320 x 500 x 210 (cabinet width 450 mm)</t>
  </si>
  <si>
    <t>Supply and Installation of ROLL TOP  - Vertical (with Overlay Rails &amp; Cover Profile)
Colour - AT (Width - 600mm | Ht - 1320mm)</t>
  </si>
  <si>
    <t>Supply and Installation of quadra drawer / Nos</t>
  </si>
  <si>
    <t>The NETT Total is Inclusive of FIXING, GST &amp; TRANSPORTATION</t>
  </si>
  <si>
    <t>Quotation - Civil:</t>
  </si>
  <si>
    <t>Qty</t>
  </si>
  <si>
    <t>Offer</t>
  </si>
  <si>
    <t>CIVIL WORK</t>
  </si>
  <si>
    <t xml:space="preserve">Supply and installation of Floor Protection (Area varies as per actuals) </t>
  </si>
  <si>
    <t>sqft</t>
  </si>
  <si>
    <t>Crockery</t>
  </si>
  <si>
    <t>Supply and installation Of Single Colour 3-watt LED Cabinet  lights, including the cost of the light fixture and installation for crockery wall unit</t>
  </si>
  <si>
    <t>nos</t>
  </si>
  <si>
    <t>Providing and electrical box up to 3Meters - 3 Module - (Rate inclusive of back box, chipping , Wire Pulling and replastering - Rate not inclusive of face plate, back plate , switches and socket)</t>
  </si>
  <si>
    <t>Supply and installation of 12 mm POP Punning above TV unit</t>
  </si>
  <si>
    <t>rft</t>
  </si>
  <si>
    <t>Supply and Installation of  Cove Light ( Rate Inclusive of Led and Drivers ) for TV unit</t>
  </si>
  <si>
    <t xml:space="preserve">Supply and installation Of Single Colour 3-watt LED Cabinet  lights, including the cost of the light fixture and installation </t>
  </si>
  <si>
    <t>Supply and installation of Pop Beeding at sofa wall</t>
  </si>
  <si>
    <t>Providing a electrical light point in a wall (up to 3 meters)( Rate including the casing, wire pulling, and insulation) for false ceiling</t>
  </si>
  <si>
    <t>Providing and electrical box up to 3Meters - 2 Module - (Rate inclusive of back box, chipping , Wire Pulling and replastering - Rate not inclusive of face plate, back plate , switches and socket)</t>
  </si>
  <si>
    <t>Providing and electrical box up to 3Meters - 6 Module - (Rate inclusive of back box, chipping , Wire Pulling and replastering - Rate not inclusive of face plate, back plate , switches and socket)</t>
  </si>
  <si>
    <t>Shifting and electrical box up to 3Meters - 2 Module - (Rate inclusive of back box, chipping , Wire Pulling and replastering - Rate not inclusive of face plate, back plate , switches and socket)</t>
  </si>
  <si>
    <t>Shifting and electrical box up to 3Meters - 6 Module - (Rate inclusive of back box, chipping , Wire Pulling and replastering - Rate not inclusive of face plate, back plate , switches and socket)</t>
  </si>
  <si>
    <t>Kitchen and Pooja unit</t>
  </si>
  <si>
    <t>Supply and installation Of Single Colour 3-watt LED Cabinet  lights, including the cost of the light fixture and installation in Pooja unit</t>
  </si>
  <si>
    <t>Supply and Installation of  Profile Light ( Rate Inclusive of Led , Aluminium Profile and Drivers ) kitchen under cabinets</t>
  </si>
  <si>
    <t>Supply and installation of a 12mm thick WPC (Wood Plastic Composite) panel on the kitchen countertop, serving as a base layer for the stone surface.</t>
  </si>
  <si>
    <t>Laying Granite on Counter Top with the Adhesive (Procurement of Granite in Client Scope)</t>
  </si>
  <si>
    <t>Double Nosing on Granite</t>
  </si>
  <si>
    <t>Edge Polishing on Granite</t>
  </si>
  <si>
    <t>Laying of Wall Tiles with MYK laticrete 305 tiles adhesive 
Fixing of tiles size : 2 x 2 (Procurement  of Tile in Client Scope)</t>
  </si>
  <si>
    <t>Providing a electrical light point in a wall (up to 3 meters)( Rate including the casing, wire pulling, and insulation).</t>
  </si>
  <si>
    <t>Shifting and Electrical works for light point in ceiling ( Rate Inclusive of Wall chasing, Pipe laying , Wire Pulling and Replastering)</t>
  </si>
  <si>
    <t>Supply and installation of VOX in Direct wall - Fronto</t>
  </si>
  <si>
    <t>Supply and Apply Premium Emulsion paint in gypsum panelling (Touch up Putty + 2 coat of Emulsion )</t>
  </si>
  <si>
    <t>Supply and Installation of 75mm Gypsum wall Panneling ( Rate Inclusive of JSW Steel and Gyproc Board)</t>
  </si>
  <si>
    <t>Supply and Installation of  Cove Light ( Rate Inclusive of Led and Drivers ) for gypsum partition</t>
  </si>
  <si>
    <t>Mother's Bedroom</t>
  </si>
  <si>
    <t>Supply and installation of VOX in Direct ceiling - Fronto</t>
  </si>
  <si>
    <t>Shifting and electrical box up to 3Meters - 8 Module - (Rate inclusive of back box, chipping , Wire Pulling and replastering - Rate not inclusive of face plate, back plate , switches and socket)</t>
  </si>
  <si>
    <t>Supply and installation of Handle in Pooja unit and Janitor unit - Black (160mm) - DPP11475 Tunes</t>
  </si>
  <si>
    <t>Supply and installation of Handle in all 3 bedrooms - Black (288mm)  - DPP11475 Tunes</t>
  </si>
  <si>
    <t>Pathway VOX ceiling</t>
  </si>
  <si>
    <t>Supply and installation of VOX in Direct ceiling - Fronto in Bedroom and Kitchen pathway</t>
  </si>
  <si>
    <t>False ceiling</t>
  </si>
  <si>
    <t>449174-</t>
  </si>
  <si>
    <t>Supply installation of gypsum false ceiling ( Rate inclusive of gyproc board and jsw steel)</t>
  </si>
  <si>
    <t>Ceiling Electrical Works With Orbit Brand Wire ( Rate inclusive of conduit laying and wire pulling )</t>
  </si>
  <si>
    <t>Supply and Apply Tractor Emulsion paint in Ceiling ( 2 Coat of Putty + 1 Coat of Primer + 2 coat of Emulsion )</t>
  </si>
  <si>
    <t xml:space="preserve">Supply and Installation of  Cove Light ( Rate Inclusive of Led and Drivers ) </t>
  </si>
  <si>
    <t>Supply and installation of single-color 15-watt LED OREO Spot Light, inclusive of the light fixture and installation costs</t>
  </si>
  <si>
    <t>Supply and installation of single-color Black Body with Black Rim 12-watt LED surface drum lights, including the cost of the light fixture and installation.</t>
  </si>
  <si>
    <t>Fixing of Ceiling Hanging Light - ( Lights Rate Not Included)</t>
  </si>
  <si>
    <t>Total</t>
  </si>
  <si>
    <t>CUMULATIVE GRAND TOTAL</t>
  </si>
  <si>
    <t>INR</t>
  </si>
  <si>
    <t>Interiors</t>
  </si>
  <si>
    <t>Accessories</t>
  </si>
  <si>
    <t>Civil</t>
  </si>
  <si>
    <t>Cash back offer</t>
  </si>
  <si>
    <t>PAYMENT SCHEDULE</t>
  </si>
  <si>
    <t>Booking Advance -(10%)</t>
  </si>
  <si>
    <t>Budget Finalization -(25%)</t>
  </si>
  <si>
    <t>Design Sign Off -(25%)</t>
  </si>
  <si>
    <t>Upon Material Delivery -(40%)</t>
  </si>
  <si>
    <t>THANK YOU</t>
  </si>
  <si>
    <t/>
  </si>
  <si>
    <t xml:space="preserve">  </t>
  </si>
  <si>
    <t xml:space="preserve">Dear Mr. Madhu Bharath
Date: 09.09.2025
Location : S&amp;P Villas, New Perungalathur
Handover: Done
We would like to take this opportunity to thank you for considering Tint Tone and Shade in designing your dream home. We assure you to serve the best in terms of design, quality and service. Please find below your Project Details, Detailed Specification &amp; Proposed Quotation according to your specified requirements. </t>
  </si>
  <si>
    <t>Why Tint Tone and Shade?
• One-stop solution for all your home needs
• Clear delivery dates + Real-time project tracking
• Budget adherence + Zero hidden charges
• Photorealistic 3D images + Walkthrough
• Fittings from Premium Brands + Multiple Quality checks
• Up to 15-year warranty period
• Customer support available post project completion</t>
  </si>
  <si>
    <t>Floor Plan:</t>
  </si>
  <si>
    <t>After Discount
Amount</t>
  </si>
  <si>
    <t>Foyer</t>
  </si>
  <si>
    <t>Supply and installation of a  Open storage unit with Inner and Outer 1mm Designer finish laminate - MR</t>
  </si>
  <si>
    <t>Pooja</t>
  </si>
  <si>
    <t>Supply and installation of storage units featuring inner and outer 1mm inner Designer laminate, paired with Black aluminum profile shutters in Black tinted Fluted Glass - MR ply</t>
  </si>
  <si>
    <t>TV unit</t>
  </si>
  <si>
    <t>Supply and installation of a TV back panel with a Designer finish laminate with Basic CNC finished with matching duco paint - MR ply</t>
  </si>
  <si>
    <t>Supply and installation of a TV base drawer with a Smooth finish laminate - MR ply, Finger groove</t>
  </si>
  <si>
    <t>Supply and installation of a tall unit featuring inner and outer 1mm with Black Al. profile and black tinted fluted glass shutter with a smooth finish laminate - MR ply</t>
  </si>
  <si>
    <t>Staircase</t>
  </si>
  <si>
    <t>Supply and installation of a tall unit featuring inner 1mm with Black Al. profile and black tinted fluted glass shutter with a smooth finish laminate - MR ply</t>
  </si>
  <si>
    <t>Supply and installation of a staircase pullout unit with a Smooth finish laminate - MR ply, Handles</t>
  </si>
  <si>
    <t>Supply and installation of a Frame and shutter with a Smooth finish laminate - MR ply, Handles</t>
  </si>
  <si>
    <t>Supply and installation of a Internal Ledges with a Smooth finish laminate - MR ply</t>
  </si>
  <si>
    <t>Supply and installation of a dummy panel with a Smooth finish laminate - MR ply</t>
  </si>
  <si>
    <t>Supply and installation of a breakfast counter panel with basic groove finished with matching duco with a Smooth finish laminate - MR ply</t>
  </si>
  <si>
    <t>Supply and installation of a base unit with a Acrylic finish laminate - BWP ply, Black Gola</t>
  </si>
  <si>
    <t>Supply and installation of a wall unit with a Acrylic finish laminate - MR ply, Finger groove</t>
  </si>
  <si>
    <t>Supply and installation of a tall unit featuring inner 0.8mm with Black Al. profile and black tinted fluted glass shutter with a Acrylich finish laminate - MR ply</t>
  </si>
  <si>
    <t>Supply and installation of a wall unit featuring inner 0.8mm with Black Al. profile and black tinted fluted glass shutter with a Acrylic finish laminate - MR ply</t>
  </si>
  <si>
    <t>Supply and installation of a tall unit with a Acrylic finish laminate - MR ply, Finger groove</t>
  </si>
  <si>
    <t>Supply and installation of loft frame and shutters (excluding base ply) with a Acrylic finish laminate - MR ply, Finger groove</t>
  </si>
  <si>
    <t>Supply and installation of frame and shutters for store room with a Acrylic finish laminate - MR ply, Finger groove</t>
  </si>
  <si>
    <t>Supply and installation of exposed panel above fridge with a Acrylic finish laminate - MR ply</t>
  </si>
  <si>
    <t>Supply and installation of a Wardrobe open unit with 0.8mm inner laminate with a Smooth finish laminate - MR ply</t>
  </si>
  <si>
    <t>Supply and installation of a Laundry unit with Basic CNC ventilation finished with duco with a Designer finish laminate - MR ply, Finger groove</t>
  </si>
  <si>
    <t>Supply and installation of a TV ledge of 25mm thickness with a Designer finish laminate - MR ply</t>
  </si>
  <si>
    <t>Supply and installation of loft frame and shutters (excluding base ply) with a Smooth finish laminate - MR ply, Finger groove</t>
  </si>
  <si>
    <t>Supply and installation of Wardrobe with mixed laminate finish featuring designer laminate  - MR ply, Handles</t>
  </si>
  <si>
    <t>Kids Bedroom</t>
  </si>
  <si>
    <t>Supply and installation of a study ledge of 25mm thickness with modesty featuring a Smooth finish laminate - MR ply</t>
  </si>
  <si>
    <t>Supply and installation of a  Open storage unit in study area with Inner and Outer 1mm Smooth finish laminate - MR</t>
  </si>
  <si>
    <t>Supply and installation of a  Lacquered glass panel with back ply - MR</t>
  </si>
  <si>
    <t>Supply and installation of a Base drawer storage unit in study area with Smooth finish laminate - MR, Finger groove</t>
  </si>
  <si>
    <t>Supply and installation of a  Open storage unit in WIW area with Inner and Outer 1mm Smooth finish laminate - MR</t>
  </si>
  <si>
    <t>Supply and installation of a Mirror panel with a Smooth finish laminate - MR ply</t>
  </si>
  <si>
    <t>Supply and Installation of Pocket sliding mechanism</t>
  </si>
  <si>
    <t>Supply and Installation of Star Dust Wallpaper including Wall Preparation using Touch-up Putty and Oil Based Primer</t>
  </si>
  <si>
    <t>Laying Quartz on Counter Top with the Adhesive (Procurement of Quartz in Client Scope)</t>
  </si>
  <si>
    <t>Double Nosing on Quartz</t>
  </si>
  <si>
    <t>Edge Polishing on Quartz</t>
  </si>
  <si>
    <t>Supply and Installation of  POP beeding</t>
  </si>
  <si>
    <t>Provision and installation of concealed door stiffeners ( Shutter size 2100- 2300), including precise grooving of the shutters for a seamless fit.</t>
  </si>
  <si>
    <t>Supply and Installation of Temptation Wallpaper including Wall Preparation using Touch-up Putty and Oil Based Primer</t>
  </si>
  <si>
    <t>Supply and Installation of   Aristo F - Type Synchro or Telescopic Sliding system with Top Tracks, Aluminium Profile Metal Handles with Pain  Mirror</t>
  </si>
  <si>
    <t>Supply and Installation of Aristo F - Type Synchro or Telescopic Sliding system with Top Tracks, Aluminium Profile Metal Handles with Century or Merino lam Panel - High Gloss</t>
  </si>
  <si>
    <t>Supply and Installation of Lock - C Type - Aristo</t>
  </si>
  <si>
    <t>Supply and Installation of soft close - Aristo</t>
  </si>
  <si>
    <t>Supply and Installation of   Aristo F - Type Synchro or Telescopic Sliding system with Top Tracks, Aluminium Profile Metal Handles with Grey Tinted Glass</t>
  </si>
  <si>
    <t xml:space="preserve">Supply and installation of 906 Tunes - Black (2240mm) </t>
  </si>
  <si>
    <t>Supply and installation of Custom wooden handles</t>
  </si>
  <si>
    <t>Supply and installation of VOX in True Ceiling</t>
  </si>
  <si>
    <r>
      <rPr>
        <rFont val="Times New Roman"/>
        <b/>
        <color theme="1"/>
        <sz val="12.0"/>
      </rPr>
      <t>Inclusions of Scope:</t>
    </r>
    <r>
      <rPr>
        <rFont val="Calibri"/>
        <color theme="1"/>
        <sz val="12.0"/>
      </rPr>
      <t xml:space="preserve">
</t>
    </r>
    <r>
      <rPr>
        <rFont val="Times New Roman"/>
        <color theme="1"/>
        <sz val="12.0"/>
      </rPr>
      <t>• Cost of Standard Handles, Drawers, Wardrobe locks, Wardrobe Hanger rods, Tower bolts &amp; Skirting are included in the quotation. Packing Charges, Local Transportation, Installation and Inspection is also included in the Quotation.</t>
    </r>
    <r>
      <rPr>
        <rFont val="Calibri"/>
        <color theme="1"/>
        <sz val="12.0"/>
      </rPr>
      <t xml:space="preserve">
• Cost of Standard Handles, Drawers, Wardrobe locks, Wardrobe Hanger rods, Tower bolts &amp; Skirting are included in the quotation. Packing Charges, Local Transportation, Installation and Inspection is also included in the Quotation.
</t>
    </r>
    <r>
      <rPr>
        <rFont val="Times New Roman"/>
        <color theme="1"/>
        <sz val="12.0"/>
      </rPr>
      <t xml:space="preserve">•   Installation and Inspection is included in our Scope and the Cost for the same is included in the given rates quotation. No additional or hidden charges are there in the quotation.  </t>
    </r>
    <r>
      <rPr>
        <rFont val="Calibri"/>
        <color theme="1"/>
        <sz val="12.0"/>
      </rPr>
      <t xml:space="preserve">
</t>
    </r>
    <r>
      <rPr>
        <rFont val="Times New Roman"/>
        <color theme="1"/>
        <sz val="12.0"/>
      </rPr>
      <t xml:space="preserve">•The above is only valid for 2 Months from the date of estimation. </t>
    </r>
    <r>
      <rPr>
        <rFont val="Calibri"/>
        <color theme="1"/>
        <sz val="12.0"/>
      </rPr>
      <t xml:space="preserve">
</t>
    </r>
    <r>
      <rPr>
        <rFont val="Times New Roman"/>
        <b/>
        <color theme="1"/>
        <sz val="12.0"/>
      </rPr>
      <t>Exclusions in Quotations:</t>
    </r>
    <r>
      <rPr>
        <rFont val="Calibri"/>
        <color theme="1"/>
        <sz val="12.0"/>
      </rPr>
      <t xml:space="preserve">
</t>
    </r>
    <r>
      <rPr>
        <rFont val="Times New Roman"/>
        <color theme="1"/>
        <sz val="12.0"/>
      </rPr>
      <t>•  Incase of any civil dependency from builder,We will provide the suggestion and references but no working 3D/2D drawing will be done by team for any other third party teams to work and we do not take any responsibility for it.</t>
    </r>
    <r>
      <rPr>
        <rFont val="Calibri"/>
        <color theme="1"/>
        <sz val="12.0"/>
      </rPr>
      <t xml:space="preserve">
•  Incase of any civil dependency from builder,We will provide the suggestion and references but no working 3D/2D drawing will be done by team for any other third party teams to work and we do not take any responsibility for it.
</t>
    </r>
    <r>
      <rPr>
        <rFont val="Times New Roman"/>
        <color theme="1"/>
        <sz val="12.0"/>
      </rPr>
      <t xml:space="preserve">•  We execute as per the final drawing which is signed by the client. No additional changes or alteration at site will be entertained. </t>
    </r>
    <r>
      <rPr>
        <rFont val="Calibri"/>
        <color theme="1"/>
        <sz val="12.0"/>
      </rPr>
      <t xml:space="preserve">
</t>
    </r>
    <r>
      <rPr>
        <rFont val="Times New Roman"/>
        <b/>
        <color theme="1"/>
        <sz val="12.0"/>
      </rPr>
      <t>Production &amp; Installation Stage:</t>
    </r>
    <r>
      <rPr>
        <rFont val="Calibri"/>
        <color theme="1"/>
        <sz val="12.0"/>
      </rPr>
      <t xml:space="preserve">
</t>
    </r>
    <r>
      <rPr>
        <rFont val="Times New Roman"/>
        <color theme="1"/>
        <sz val="12.0"/>
      </rPr>
      <t>• Since we begin manufacturing upon receipt of 50% payment, you are requested to pay the balance 40% upon material delivery.</t>
    </r>
    <r>
      <rPr>
        <rFont val="Calibri"/>
        <color theme="1"/>
        <sz val="12.0"/>
      </rPr>
      <t xml:space="preserve">
</t>
    </r>
    <r>
      <rPr>
        <rFont val="Times New Roman"/>
        <color theme="1"/>
        <sz val="12.0"/>
      </rPr>
      <t>• All your woodwork is covered under the TTS 1</t>
    </r>
    <r>
      <rPr>
        <rFont val="Calibri"/>
        <color theme="1"/>
        <sz val="12.0"/>
      </rPr>
      <t>5</t>
    </r>
    <r>
      <rPr>
        <rFont val="Times New Roman"/>
        <color theme="1"/>
        <sz val="12.0"/>
      </rPr>
      <t>-year warranty. This safeguards you against any defect in manufacturing or in installation workmanship.</t>
    </r>
    <r>
      <rPr>
        <rFont val="Calibri"/>
        <color theme="1"/>
        <sz val="12.0"/>
      </rPr>
      <t xml:space="preserve">
</t>
    </r>
    <r>
      <rPr>
        <rFont val="Times New Roman"/>
        <color theme="1"/>
        <sz val="12.0"/>
      </rPr>
      <t>• All accessories, hardware and appliances are covered as per the respective Manufacturer’s Warranty Policy. You can refer to the TTS Works Contract for a detailed description of our Warranty Policy.</t>
    </r>
    <r>
      <rPr>
        <rFont val="Calibri"/>
        <color theme="1"/>
        <sz val="12.0"/>
      </rPr>
      <t xml:space="preserve">
</t>
    </r>
    <r>
      <rPr>
        <rFont val="Times New Roman"/>
        <b/>
        <color theme="1"/>
        <sz val="12.0"/>
      </rPr>
      <t>Delivery and Installation Timeline:</t>
    </r>
    <r>
      <rPr>
        <rFont val="Calibri"/>
        <color theme="1"/>
        <sz val="12.0"/>
      </rPr>
      <t xml:space="preserve">
</t>
    </r>
    <r>
      <rPr>
        <rFont val="Times New Roman"/>
        <color theme="1"/>
        <sz val="12.0"/>
      </rPr>
      <t>• The commencement of the civil work shall be made by confirmation via signature from the client.</t>
    </r>
    <r>
      <rPr>
        <rFont val="Calibri"/>
        <color theme="1"/>
        <sz val="12.0"/>
      </rPr>
      <t xml:space="preserve">
</t>
    </r>
    <r>
      <rPr>
        <rFont val="Times New Roman"/>
        <color theme="1"/>
        <sz val="12.0"/>
      </rPr>
      <t xml:space="preserve">• A period of 5 days will be taken for mobilization, followed by minimum </t>
    </r>
    <r>
      <rPr>
        <rFont val="Calibri"/>
        <color theme="1"/>
        <sz val="12.0"/>
      </rPr>
      <t>6</t>
    </r>
    <r>
      <rPr>
        <rFont val="Times New Roman"/>
        <color theme="1"/>
        <sz val="12.0"/>
      </rPr>
      <t>5 working days will be taken for the completion of the work, This timeline varies based on scope of work and precise timeline will be informed before production.</t>
    </r>
    <r>
      <rPr>
        <rFont val="Calibri"/>
        <color theme="1"/>
        <sz val="12.0"/>
      </rPr>
      <t xml:space="preserve">
</t>
    </r>
    <r>
      <rPr>
        <rFont val="Times New Roman"/>
        <color theme="1"/>
        <sz val="12.0"/>
      </rPr>
      <t xml:space="preserve">• Following the completion of civil work, the detailed measurements will be taken and updated on the design documents. </t>
    </r>
    <r>
      <rPr>
        <rFont val="Calibri"/>
        <color theme="1"/>
        <sz val="12.0"/>
      </rPr>
      <t xml:space="preserve">
</t>
    </r>
    <r>
      <rPr>
        <rFont val="Times New Roman"/>
        <color theme="1"/>
        <sz val="12.0"/>
      </rPr>
      <t>• Minimum 45 working days of work shall be taken for the execution of carpentry works (Min 30 days for factory production + Min 15 days for installation on site). This timeline varies based on scope of work.</t>
    </r>
    <r>
      <rPr>
        <rFont val="Calibri"/>
        <color theme="1"/>
        <sz val="12.0"/>
      </rPr>
      <t xml:space="preserve">
</t>
    </r>
    <r>
      <rPr>
        <rFont val="Times New Roman"/>
        <color theme="1"/>
        <sz val="12.0"/>
      </rPr>
      <t>• Back panels would be constructed of the same cabinet core material for all products.</t>
    </r>
    <r>
      <rPr>
        <rFont val="Calibri"/>
        <color theme="1"/>
        <sz val="12.0"/>
      </rPr>
      <t xml:space="preserve">
</t>
    </r>
    <r>
      <rPr>
        <rFont val="Times New Roman"/>
        <color theme="1"/>
        <sz val="12.0"/>
      </rPr>
      <t>• All lofts will be soft close by default.</t>
    </r>
    <r>
      <rPr>
        <rFont val="Calibri"/>
        <color theme="1"/>
        <sz val="12.0"/>
      </rPr>
      <t xml:space="preserve">
</t>
    </r>
    <r>
      <rPr>
        <rFont val="Times New Roman"/>
        <color theme="1"/>
        <sz val="12.0"/>
      </rPr>
      <t>• Final coat of paint should be done after completion of interior work. If any civil work is done at site including- false ceiling, electrical, plumbing, gas piping, wall demolition, wall partition etc, we are unable to avoid hand marks, scratches during installation.</t>
    </r>
    <r>
      <rPr>
        <rFont val="Calibri"/>
        <color theme="1"/>
        <sz val="12.0"/>
      </rPr>
      <t xml:space="preserve">
</t>
    </r>
    <r>
      <rPr>
        <rFont val="Times New Roman"/>
        <color theme="1"/>
        <sz val="12.0"/>
      </rPr>
      <t>• On site design changes and alteration shall not be entertained after the design sign off and approval by the client. Such alterations and design modifications will lead to delay in the completion of the project and the same will be reflected on the given final quotation.</t>
    </r>
    <r>
      <rPr>
        <rFont val="Calibri"/>
        <color theme="1"/>
        <sz val="12.0"/>
      </rPr>
      <t xml:space="preserve">
</t>
    </r>
    <r>
      <rPr>
        <rFont val="Times New Roman"/>
        <color theme="1"/>
        <sz val="12.0"/>
      </rPr>
      <t>•  The lead time starts only from receipt of 50% Payment &amp; Client’s approval on Production drawings confirming Laminates, Colours. Production will not initiate if signature on document or payment is pending.</t>
    </r>
  </si>
  <si>
    <r>
      <rPr>
        <rFont val="Times New Roman"/>
        <b/>
        <color theme="1"/>
        <sz val="12.0"/>
      </rPr>
      <t>Terms &amp; Conditions:</t>
    </r>
    <r>
      <rPr>
        <rFont val="Calibri"/>
        <color theme="1"/>
        <sz val="12.0"/>
      </rPr>
      <t xml:space="preserve">
</t>
    </r>
    <r>
      <rPr>
        <rFont val="Times New Roman"/>
        <color theme="1"/>
        <sz val="12.0"/>
      </rPr>
      <t>• The exact price of your project will depend on measurements, scope of work and change in designs/ material / finishes. Based on these revisions, you can expect the quote to raise or drop if there is any change in scope of work or selected finishes . (Minimum bill value for woodworks excluding GST will be 5 Lakhs)                                                                                                                                                                                                                                                                • To move forward with development of measurement-based designs, you will have to pay 10% of this estimate as a non-refundable advance.                                                                                                                                                                                                                                                                               • The Initial estimates may not include civil, plumbing, gas-piping or electrical chasing work. The exact value</t>
    </r>
    <r>
      <rPr>
        <rFont val="Calibri"/>
        <color theme="1"/>
        <sz val="12.0"/>
      </rPr>
      <t xml:space="preserve">
</t>
    </r>
    <r>
      <rPr>
        <rFont val="Times New Roman"/>
        <color theme="1"/>
        <sz val="12.0"/>
      </rPr>
      <t xml:space="preserve"> of the quote will depend on the site conditions.                                                                                                                                                                                                                                                                  •  Tint Tone and Shade will not be responsible for any delays from the Builder’s side. Delay of payment from the client’s side will reflect on the handover of the project.                                                                                                                                                                                                                                                                        • Accessories are also essential to complete the Installation Process. Complete Material Packages of Accessories can be dispatched only after 100% of payment for the same. There will be no deviation.                                                                                                                                                                                                                                                                      •  On occasion of project cancellation, 10% of booking advance paid by the client for doing the design, 2D Detailed Drawings &amp; 3D views will not be refunded,irrespective of the phase of design.                                                                                                                                                                                                                                                                                                                                                                                                                                            •  The Final coat of paint (If done by builder or by our team) should be done only after completion of entire works to avoid any reworks.</t>
    </r>
    <r>
      <rPr>
        <rFont val="Calibri"/>
        <color theme="1"/>
        <sz val="12.0"/>
      </rPr>
      <t xml:space="preserve">
</t>
    </r>
    <r>
      <rPr>
        <rFont val="Times New Roman"/>
        <color theme="1"/>
        <sz val="12.0"/>
      </rPr>
      <t xml:space="preserve">• All your woodwork is covered under the Tint Tone and Shade 10-year warranty.  This safeguards you against any defect in manufacturing or in installation workmanship.           </t>
    </r>
    <r>
      <rPr>
        <rFont val="Calibri"/>
        <color theme="1"/>
        <sz val="12.0"/>
      </rPr>
      <t xml:space="preserve">
</t>
    </r>
    <r>
      <rPr>
        <rFont val="Times New Roman"/>
        <color theme="1"/>
        <sz val="12.0"/>
      </rPr>
      <t xml:space="preserve">• All accessories, hardware and applications are covered as per the respective Manufacturer’s Warranty Policy. You can refer to the Tint Tone and Shade Work Contract for a detailed description of our warranty policy.                                                                                                                                                                                                             •   Sign off Post Design Finalisation- the outlined items in the document cannot be changed or removed without additional costs. If changes are requested, additional cost for the same shall be applied. If any scope of work is removed, the cost won't be refunded or deducted from future payments.                                                                             </t>
    </r>
    <r>
      <rPr>
        <rFont val="Calibri"/>
        <color theme="1"/>
        <sz val="12.0"/>
      </rPr>
      <t xml:space="preserve">
</t>
    </r>
    <r>
      <rPr>
        <rFont val="Times New Roman"/>
        <color theme="1"/>
        <sz val="12.0"/>
      </rPr>
      <t xml:space="preserve">                                                                      </t>
    </r>
  </si>
  <si>
    <r>
      <rPr>
        <rFont val="Times New Roman"/>
        <b/>
        <color theme="1"/>
        <sz val="12.0"/>
      </rPr>
      <t>Design Schedule:</t>
    </r>
    <r>
      <rPr>
        <rFont val="Calibri"/>
        <color theme="1"/>
        <sz val="12.0"/>
      </rPr>
      <t xml:space="preserve">
</t>
    </r>
    <r>
      <rPr>
        <rFont val="Times New Roman"/>
        <b/>
        <color theme="1"/>
        <sz val="12.0"/>
      </rPr>
      <t xml:space="preserve">Design Phase: </t>
    </r>
    <r>
      <rPr>
        <rFont val="Calibri"/>
        <color theme="1"/>
        <sz val="12.0"/>
      </rPr>
      <t xml:space="preserve">
</t>
    </r>
    <r>
      <rPr>
        <rFont val="Times New Roman"/>
        <color theme="1"/>
        <sz val="12.0"/>
      </rPr>
      <t>The design timeline includes discussions for the following design phase of the project:</t>
    </r>
    <r>
      <rPr>
        <rFont val="Calibri"/>
        <color theme="1"/>
        <sz val="12.0"/>
      </rPr>
      <t xml:space="preserve">
</t>
    </r>
    <r>
      <rPr>
        <rFont val="Times New Roman"/>
        <color theme="1"/>
        <sz val="12.0"/>
      </rPr>
      <t xml:space="preserve">a) Conduct an initial design study of existing site conditions and take the site measurements. </t>
    </r>
    <r>
      <rPr>
        <rFont val="Calibri"/>
        <color theme="1"/>
        <sz val="12.0"/>
      </rPr>
      <t xml:space="preserve">
</t>
    </r>
    <r>
      <rPr>
        <rFont val="Times New Roman"/>
        <color theme="1"/>
        <sz val="12.0"/>
      </rPr>
      <t xml:space="preserve">b) Discuss on the design preferences for each of the Project’s areas. </t>
    </r>
    <r>
      <rPr>
        <rFont val="Calibri"/>
        <color theme="1"/>
        <sz val="12.0"/>
      </rPr>
      <t xml:space="preserve">
</t>
    </r>
    <r>
      <rPr>
        <rFont val="Times New Roman"/>
        <color theme="1"/>
        <sz val="12.0"/>
      </rPr>
      <t xml:space="preserve">c) Prepare a conceptual discussion to generally illustrate our suggested design concepts including colour schemes, interior finishes, wall coverings, floor coverings and ceiling treatments. </t>
    </r>
    <r>
      <rPr>
        <rFont val="Calibri"/>
        <color theme="1"/>
        <sz val="12.0"/>
      </rPr>
      <t xml:space="preserve">
</t>
    </r>
    <r>
      <rPr>
        <rFont val="Times New Roman"/>
        <color theme="1"/>
        <sz val="12.0"/>
      </rPr>
      <t>d) Prepare 3D designs as per the existing plan and the preferred mood board.</t>
    </r>
    <r>
      <rPr>
        <rFont val="Calibri"/>
        <color theme="1"/>
        <sz val="12.0"/>
      </rPr>
      <t xml:space="preserve">
</t>
    </r>
    <r>
      <rPr>
        <rFont val="Times New Roman"/>
        <color theme="1"/>
        <sz val="12.0"/>
      </rPr>
      <t xml:space="preserve">e) Provide any suggestions for tiles, movable furniture and furnishings, if required. </t>
    </r>
    <r>
      <rPr>
        <rFont val="Calibri"/>
        <color theme="1"/>
        <sz val="12.0"/>
      </rPr>
      <t xml:space="preserve">
</t>
    </r>
    <r>
      <rPr>
        <rFont val="Times New Roman"/>
        <b/>
        <color theme="1"/>
        <sz val="12.0"/>
      </rPr>
      <t>Design Duration:</t>
    </r>
    <r>
      <rPr>
        <rFont val="Calibri"/>
        <color theme="1"/>
        <sz val="12.0"/>
      </rPr>
      <t xml:space="preserve">
</t>
    </r>
    <r>
      <rPr>
        <rFont val="Times New Roman"/>
        <color theme="1"/>
        <sz val="12.0"/>
      </rPr>
      <t>The design phase shall adhere to the following working days based on the type of residence:</t>
    </r>
    <r>
      <rPr>
        <rFont val="Calibri"/>
        <color theme="1"/>
        <sz val="12.0"/>
      </rPr>
      <t xml:space="preserve">
</t>
    </r>
    <r>
      <rPr>
        <rFont val="Times New Roman"/>
        <color theme="1"/>
        <sz val="12.0"/>
      </rPr>
      <t xml:space="preserve">   - 2BHK: </t>
    </r>
    <r>
      <rPr>
        <rFont val="Calibri"/>
        <color theme="1"/>
        <sz val="12.0"/>
      </rPr>
      <t>4</t>
    </r>
    <r>
      <rPr>
        <rFont val="Times New Roman"/>
        <color theme="1"/>
        <sz val="12.0"/>
      </rPr>
      <t>5 working days</t>
    </r>
    <r>
      <rPr>
        <rFont val="Calibri"/>
        <color theme="1"/>
        <sz val="12.0"/>
      </rPr>
      <t xml:space="preserve">
</t>
    </r>
    <r>
      <rPr>
        <rFont val="Times New Roman"/>
        <color theme="1"/>
        <sz val="12.0"/>
      </rPr>
      <t xml:space="preserve">   - 3BHK: </t>
    </r>
    <r>
      <rPr>
        <rFont val="Times New Roman"/>
        <color theme="1"/>
        <sz val="12.0"/>
      </rPr>
      <t>65</t>
    </r>
    <r>
      <rPr>
        <rFont val="Times New Roman"/>
        <color theme="1"/>
        <sz val="12.0"/>
      </rPr>
      <t xml:space="preserve"> working days</t>
    </r>
    <r>
      <rPr>
        <rFont val="Calibri"/>
        <color theme="1"/>
        <sz val="12.0"/>
      </rPr>
      <t xml:space="preserve">
</t>
    </r>
    <r>
      <rPr>
        <rFont val="Times New Roman"/>
        <color theme="1"/>
        <sz val="12.0"/>
      </rPr>
      <t xml:space="preserve">   - 4BHK: </t>
    </r>
    <r>
      <rPr>
        <rFont val="Calibri"/>
        <color theme="1"/>
        <sz val="12.0"/>
      </rPr>
      <t>8</t>
    </r>
    <r>
      <rPr>
        <rFont val="Times New Roman"/>
        <color theme="1"/>
        <sz val="12.0"/>
      </rPr>
      <t>0 working days</t>
    </r>
    <r>
      <rPr>
        <rFont val="Calibri"/>
        <color theme="1"/>
        <sz val="12.0"/>
      </rPr>
      <t xml:space="preserve">
</t>
    </r>
    <r>
      <rPr>
        <rFont val="Times New Roman"/>
        <color theme="1"/>
        <sz val="12.0"/>
      </rPr>
      <t xml:space="preserve">   - Additional rooms: +10 working days per room</t>
    </r>
    <r>
      <rPr>
        <rFont val="Calibri"/>
        <color theme="1"/>
        <sz val="12.0"/>
      </rPr>
      <t xml:space="preserve">
</t>
    </r>
    <r>
      <rPr>
        <rFont val="Times New Roman"/>
        <b/>
        <color theme="1"/>
        <sz val="12.0"/>
      </rPr>
      <t xml:space="preserve">Design Finalization: </t>
    </r>
    <r>
      <rPr>
        <rFont val="Calibri"/>
        <color theme="1"/>
        <sz val="12.0"/>
      </rPr>
      <t xml:space="preserve">
</t>
    </r>
    <r>
      <rPr>
        <rFont val="Times New Roman"/>
        <color theme="1"/>
        <sz val="12.0"/>
      </rPr>
      <t>Upon the successful completion of the design within the agreed-upon timeline, we will promptly provide you with the final iteration. It is important to note that once this final design is proposed, we will proceed with the utmost care and precision to ensure that all your requirements have been met in full accordance with the project's defined scope. At this juncture, It is important for us to inform you that accommodating any further changes may pose challenges to our established timelines for deliverables and additional charges will occur. We sincerely appreciate your understanding and cooperation for the defined process.</t>
    </r>
    <r>
      <rPr>
        <rFont val="Calibri"/>
        <color theme="1"/>
        <sz val="12.0"/>
      </rPr>
      <t xml:space="preserve">
</t>
    </r>
    <r>
      <rPr>
        <rFont val="Times New Roman"/>
        <b/>
        <color theme="1"/>
        <sz val="12.0"/>
      </rPr>
      <t xml:space="preserve">Additional Meetings: </t>
    </r>
    <r>
      <rPr>
        <rFont val="Calibri"/>
        <color theme="1"/>
        <sz val="12.0"/>
      </rPr>
      <t xml:space="preserve">
</t>
    </r>
    <r>
      <rPr>
        <rFont val="Times New Roman"/>
        <color theme="1"/>
        <sz val="12.0"/>
      </rPr>
      <t>In our commitment to ensuring the utmost quality and precision in our design process, we have outlined a predefined duration for our scheduled meetings. However, Should the need arise to extend the design timeline beyond the initially agreed-upon duration, we have established an additional meeting charge of Rs 5000 per session or changes. This policy is designed to account for the extra resources and effort required to maintain the excellence and comprehensiveness of our work as we work together to bring your vision to life.</t>
    </r>
    <r>
      <rPr>
        <rFont val="Calibri"/>
        <color theme="1"/>
        <sz val="12.0"/>
      </rPr>
      <t xml:space="preserve">
</t>
    </r>
    <r>
      <rPr>
        <rFont val="Times New Roman"/>
        <color theme="1"/>
        <sz val="12.0"/>
      </rPr>
      <t>Our primary aim is to provide you with the finest design solutions and a seamless collaborative experience. This policy will aid us in effectively managing our resources and ensuring that the project's progress remains on track while accommodating any evolving requirements within the timeline.</t>
    </r>
    <r>
      <rPr>
        <rFont val="Calibri"/>
        <color theme="1"/>
        <sz val="12.0"/>
      </rPr>
      <t xml:space="preserve">
</t>
    </r>
    <r>
      <rPr>
        <rFont val="Times New Roman"/>
        <b/>
        <color theme="1"/>
        <sz val="12.0"/>
      </rPr>
      <t xml:space="preserve">Project Delay by Builder: </t>
    </r>
    <r>
      <rPr>
        <rFont val="Calibri"/>
        <color theme="1"/>
        <sz val="12.0"/>
      </rPr>
      <t xml:space="preserve">
</t>
    </r>
    <r>
      <rPr>
        <rFont val="Times New Roman"/>
        <color theme="1"/>
        <sz val="12.0"/>
      </rPr>
      <t>In the event of a delay in the handover of the villa/apartment/individual house by the builder or any 3rd party team, the design phase will be completed and Resumption will occur approximately 2-3 weeks before the scheduled handover date for the formal design approval signoff to initiate the execuion process at site.</t>
    </r>
    <r>
      <rPr>
        <rFont val="Calibri"/>
        <color theme="1"/>
        <sz val="12.0"/>
      </rPr>
      <t xml:space="preserve">
</t>
    </r>
    <r>
      <rPr>
        <rFont val="Times New Roman"/>
        <b/>
        <color theme="1"/>
        <sz val="12.0"/>
      </rPr>
      <t xml:space="preserve">Resumption Steps: </t>
    </r>
    <r>
      <rPr>
        <rFont val="Calibri"/>
        <color theme="1"/>
        <sz val="12.0"/>
      </rPr>
      <t xml:space="preserve">
</t>
    </r>
    <r>
      <rPr>
        <rFont val="Times New Roman"/>
        <color theme="1"/>
        <sz val="12.0"/>
      </rPr>
      <t>Upon resumption, the design phase shall progress in the following manner:</t>
    </r>
    <r>
      <rPr>
        <rFont val="Calibri"/>
        <color theme="1"/>
        <sz val="12.0"/>
      </rPr>
      <t xml:space="preserve">
</t>
    </r>
    <r>
      <rPr>
        <rFont val="Times New Roman"/>
        <color theme="1"/>
        <sz val="12.0"/>
      </rPr>
      <t>a) Material Selection</t>
    </r>
    <r>
      <rPr>
        <rFont val="Calibri"/>
        <color theme="1"/>
        <sz val="12.0"/>
      </rPr>
      <t xml:space="preserve">
</t>
    </r>
    <r>
      <rPr>
        <rFont val="Times New Roman"/>
        <color theme="1"/>
        <sz val="12.0"/>
      </rPr>
      <t>b) Revised Final Design Quote</t>
    </r>
    <r>
      <rPr>
        <rFont val="Calibri"/>
        <color theme="1"/>
        <sz val="12.0"/>
      </rPr>
      <t xml:space="preserve">
</t>
    </r>
    <r>
      <rPr>
        <rFont val="Times New Roman"/>
        <color theme="1"/>
        <sz val="12.0"/>
      </rPr>
      <t>c) Post-confirmation of the design, Generation of GFC (Good for Construction) Drawings will be initiated by our team for Site Masking.</t>
    </r>
    <r>
      <rPr>
        <rFont val="Calibri"/>
        <color theme="1"/>
        <sz val="12.0"/>
      </rPr>
      <t xml:space="preserve">
</t>
    </r>
    <r>
      <rPr>
        <rFont val="Times New Roman"/>
        <color theme="1"/>
        <sz val="12.0"/>
      </rPr>
      <t>d) The Final design and accompanying drawings can be provided exclusively upon receiving the Signoff. Untill then, we'll ensure all elements are meticulously curated to meet your specifications.</t>
    </r>
  </si>
  <si>
    <r>
      <rPr>
        <rFont val="Times New Roman"/>
        <b/>
        <color theme="1"/>
        <sz val="12.0"/>
      </rPr>
      <t>Tint Tone &amp; Shade Care:</t>
    </r>
    <r>
      <rPr>
        <rFont val="Calibri"/>
        <color theme="1"/>
        <sz val="12.0"/>
      </rPr>
      <t xml:space="preserve">
</t>
    </r>
    <r>
      <rPr>
        <rFont val="Times New Roman"/>
        <color theme="1"/>
        <sz val="12.0"/>
      </rPr>
      <t>• We provide one free service visit to the site within 6 months of the handover. This is put in place to address routine services which cover moving parts like hinges, channels etc. Our Care team will contact you to schedule the visit. The service addresses issues like minor alignment, loose parts etc. It also covers general alignment check of all shutters, lofts, the functioning of drawers and all accessories, and any additional concealed wiring needs for the TV console.</t>
    </r>
    <r>
      <rPr>
        <rFont val="Calibri"/>
        <color theme="1"/>
        <sz val="12.0"/>
      </rPr>
      <t xml:space="preserve">
</t>
    </r>
    <r>
      <rPr>
        <rFont val="Times New Roman"/>
        <color theme="1"/>
        <sz val="12.0"/>
      </rPr>
      <t>• Since by design, the products have a lot of moving parts, our product may need occasional re-alignments and servicing. Should there be any service and maintenance calls after the free service, they will be done on a chargeable basis. TTS’s current service visit fee is a sum of Rs. 950 (Rupees Nine Hundred and Fifty) per visit. This visit includes re-alignment of all products, but without any replacements. This request will have to be raised by the customer through  http://www.tinttoneandshade.com/tts-care/</t>
    </r>
    <r>
      <rPr>
        <rFont val="Calibri"/>
        <color theme="1"/>
        <sz val="12.0"/>
      </rPr>
      <t xml:space="preserve">
</t>
    </r>
    <r>
      <rPr>
        <rFont val="Times New Roman"/>
        <color theme="1"/>
        <sz val="12.0"/>
      </rPr>
      <t>• During this visit, if an item is found to be faulty, the same will be replaced based on the below scenarios:</t>
    </r>
    <r>
      <rPr>
        <rFont val="Calibri"/>
        <color theme="1"/>
        <sz val="12.0"/>
      </rPr>
      <t xml:space="preserve">
</t>
    </r>
    <r>
      <rPr>
        <rFont val="Times New Roman"/>
        <color theme="1"/>
        <sz val="12.0"/>
      </rPr>
      <t>• If work involved is only replacement of items covered under warranty, and no other realignment/replacement, the sum of Rs 950 will be waived off</t>
    </r>
    <r>
      <rPr>
        <rFont val="Calibri"/>
        <color theme="1"/>
        <sz val="12.0"/>
      </rPr>
      <t xml:space="preserve">
</t>
    </r>
    <r>
      <rPr>
        <rFont val="Times New Roman"/>
        <color theme="1"/>
        <sz val="12.0"/>
      </rPr>
      <t>• If the work includes re-alignment of units and/or replacement of items not covered under warranty (due to physical damage, continuous water leakage, rusting, etc), the cost of replacement will be over and above Rs 950, and a bill for the same will be shared after the visit.</t>
    </r>
  </si>
  <si>
    <r>
      <rPr>
        <rFont val="Times New Roman"/>
        <b/>
        <color theme="1"/>
        <sz val="16.0"/>
      </rPr>
      <t>FAQ:</t>
    </r>
    <r>
      <rPr>
        <rFont val="Calibri"/>
        <color theme="1"/>
        <sz val="10.0"/>
      </rPr>
      <t xml:space="preserve">
</t>
    </r>
    <r>
      <rPr>
        <rFont val="Times New Roman"/>
        <b/>
        <color theme="1"/>
        <sz val="12.0"/>
      </rPr>
      <t>1. Q: What does your warranty cover?</t>
    </r>
    <r>
      <rPr>
        <rFont val="Calibri"/>
        <color theme="1"/>
        <sz val="10.0"/>
      </rPr>
      <t xml:space="preserve">
 </t>
    </r>
    <r>
      <rPr>
        <rFont val="Times New Roman"/>
        <b/>
        <color theme="1"/>
        <sz val="12.0"/>
      </rPr>
      <t xml:space="preserve">  - A:</t>
    </r>
    <r>
      <rPr>
        <rFont val="Times New Roman"/>
        <color theme="1"/>
        <sz val="12.0"/>
      </rPr>
      <t xml:space="preserve"> We offer a 1</t>
    </r>
    <r>
      <rPr>
        <rFont val="Calibri"/>
        <color theme="1"/>
        <sz val="10.0"/>
      </rPr>
      <t>5</t>
    </r>
    <r>
      <rPr>
        <rFont val="Times New Roman"/>
        <color theme="1"/>
        <sz val="12.0"/>
      </rPr>
      <t>-year warranty for modular works. For items like lights and accessories &amp; etc. The warranty duration varies based on the manufacturer's terms.</t>
    </r>
    <r>
      <rPr>
        <rFont val="Calibri"/>
        <color theme="1"/>
        <sz val="10.0"/>
      </rPr>
      <t xml:space="preserve">
</t>
    </r>
    <r>
      <rPr>
        <rFont val="Times New Roman"/>
        <b/>
        <color theme="1"/>
        <sz val="12.0"/>
      </rPr>
      <t>2. Q: What core materials do you use?</t>
    </r>
    <r>
      <rPr>
        <rFont val="Calibri"/>
        <color theme="1"/>
        <sz val="10.0"/>
      </rPr>
      <t xml:space="preserve">
</t>
    </r>
    <r>
      <rPr>
        <rFont val="Times New Roman"/>
        <color theme="1"/>
        <sz val="12.0"/>
      </rPr>
      <t xml:space="preserve">   </t>
    </r>
    <r>
      <rPr>
        <rFont val="Times New Roman"/>
        <b/>
        <color theme="1"/>
        <sz val="12.0"/>
      </rPr>
      <t xml:space="preserve">- A: </t>
    </r>
    <r>
      <rPr>
        <rFont val="Times New Roman"/>
        <color theme="1"/>
        <sz val="12.0"/>
      </rPr>
      <t xml:space="preserve">For carcasses, we use BWP Calibrated ply from Greenply or Century in wet areas and MR Calibrated ply from Greenply or Century in dry areas. For shutters, </t>
    </r>
    <r>
      <rPr>
        <rFont val="Calibri"/>
        <color theme="1"/>
        <sz val="10.0"/>
      </rPr>
      <t xml:space="preserve">
</t>
    </r>
    <r>
      <rPr>
        <rFont val="Times New Roman"/>
        <color theme="1"/>
        <sz val="12.0"/>
      </rPr>
      <t xml:space="preserve">     we  recommend HDHMR/Ply based on your choice.</t>
    </r>
    <r>
      <rPr>
        <rFont val="Calibri"/>
        <color theme="1"/>
        <sz val="10.0"/>
      </rPr>
      <t xml:space="preserve">
</t>
    </r>
    <r>
      <rPr>
        <rFont val="Times New Roman"/>
        <b/>
        <color theme="1"/>
        <sz val="12.0"/>
      </rPr>
      <t>3. Q: What is your design timeline?</t>
    </r>
    <r>
      <rPr>
        <rFont val="Calibri"/>
        <color theme="1"/>
        <sz val="10.0"/>
      </rPr>
      <t xml:space="preserve">
 </t>
    </r>
    <r>
      <rPr>
        <rFont val="Times New Roman"/>
        <b/>
        <color theme="1"/>
        <sz val="12.0"/>
      </rPr>
      <t xml:space="preserve">  - A:</t>
    </r>
    <r>
      <rPr>
        <rFont val="Times New Roman"/>
        <color theme="1"/>
        <sz val="12.0"/>
      </rPr>
      <t xml:space="preserve"> Our general timeline for design phase is as follows:</t>
    </r>
    <r>
      <rPr>
        <rFont val="Calibri"/>
        <color theme="1"/>
        <sz val="10.0"/>
      </rPr>
      <t xml:space="preserve">
</t>
    </r>
    <r>
      <rPr>
        <rFont val="Times New Roman"/>
        <color theme="1"/>
        <sz val="12.0"/>
      </rPr>
      <t xml:space="preserve">     - 2BHK: </t>
    </r>
    <r>
      <rPr>
        <rFont val="Calibri"/>
        <color theme="1"/>
        <sz val="10.0"/>
      </rPr>
      <t>2</t>
    </r>
    <r>
      <rPr>
        <rFont val="Times New Roman"/>
        <color theme="1"/>
        <sz val="12.0"/>
      </rPr>
      <t>5 working days</t>
    </r>
    <r>
      <rPr>
        <rFont val="Calibri"/>
        <color theme="1"/>
        <sz val="10.0"/>
      </rPr>
      <t xml:space="preserve">
</t>
    </r>
    <r>
      <rPr>
        <rFont val="Times New Roman"/>
        <color theme="1"/>
        <sz val="12.0"/>
      </rPr>
      <t xml:space="preserve">     - 3BHK: </t>
    </r>
    <r>
      <rPr>
        <rFont val="Times New Roman"/>
        <color theme="1"/>
        <sz val="12.0"/>
      </rPr>
      <t>40</t>
    </r>
    <r>
      <rPr>
        <rFont val="Times New Roman"/>
        <color theme="1"/>
        <sz val="12.0"/>
      </rPr>
      <t xml:space="preserve"> working days</t>
    </r>
    <r>
      <rPr>
        <rFont val="Calibri"/>
        <color theme="1"/>
        <sz val="10.0"/>
      </rPr>
      <t xml:space="preserve">
</t>
    </r>
    <r>
      <rPr>
        <rFont val="Times New Roman"/>
        <color theme="1"/>
        <sz val="12.0"/>
      </rPr>
      <t xml:space="preserve">     - 4BHK: </t>
    </r>
    <r>
      <rPr>
        <rFont val="Times New Roman"/>
        <color theme="1"/>
        <sz val="12.0"/>
      </rPr>
      <t>65</t>
    </r>
    <r>
      <rPr>
        <rFont val="Times New Roman"/>
        <color theme="1"/>
        <sz val="12.0"/>
      </rPr>
      <t xml:space="preserve"> working days</t>
    </r>
    <r>
      <rPr>
        <rFont val="Calibri"/>
        <color theme="1"/>
        <sz val="10.0"/>
      </rPr>
      <t xml:space="preserve">
</t>
    </r>
    <r>
      <rPr>
        <rFont val="Times New Roman"/>
        <color theme="1"/>
        <sz val="12.0"/>
      </rPr>
      <t xml:space="preserve">     - Additional rooms: +10 working days</t>
    </r>
    <r>
      <rPr>
        <rFont val="Calibri"/>
        <color theme="1"/>
        <sz val="10.0"/>
      </rPr>
      <t xml:space="preserve">
</t>
    </r>
    <r>
      <rPr>
        <rFont val="Times New Roman"/>
        <color theme="1"/>
        <sz val="12.0"/>
      </rPr>
      <t xml:space="preserve">     - Beyond the scheduled timeline incurs additional charges (₹5,000 per design discussion).</t>
    </r>
    <r>
      <rPr>
        <rFont val="Calibri"/>
        <color theme="1"/>
        <sz val="10.0"/>
      </rPr>
      <t xml:space="preserve">
</t>
    </r>
    <r>
      <rPr>
        <rFont val="Times New Roman"/>
        <b/>
        <color theme="1"/>
        <sz val="12.0"/>
      </rPr>
      <t>4. Q: What is the execution timeline?</t>
    </r>
    <r>
      <rPr>
        <rFont val="Calibri"/>
        <color theme="1"/>
        <sz val="10.0"/>
      </rPr>
      <t xml:space="preserve">
</t>
    </r>
    <r>
      <rPr>
        <rFont val="Times New Roman"/>
        <b/>
        <color theme="1"/>
        <sz val="12.0"/>
      </rPr>
      <t xml:space="preserve">   - A:</t>
    </r>
    <r>
      <rPr>
        <rFont val="Times New Roman"/>
        <color theme="1"/>
        <sz val="12.0"/>
      </rPr>
      <t xml:space="preserve"> Execution timelines are as follows:</t>
    </r>
    <r>
      <rPr>
        <rFont val="Calibri"/>
        <color theme="1"/>
        <sz val="10.0"/>
      </rPr>
      <t xml:space="preserve">
</t>
    </r>
    <r>
      <rPr>
        <rFont val="Times New Roman"/>
        <color theme="1"/>
        <sz val="12.0"/>
      </rPr>
      <t xml:space="preserve">     - 2BHK: 45 working days</t>
    </r>
    <r>
      <rPr>
        <rFont val="Calibri"/>
        <color theme="1"/>
        <sz val="10.0"/>
      </rPr>
      <t xml:space="preserve">
</t>
    </r>
    <r>
      <rPr>
        <rFont val="Times New Roman"/>
        <color theme="1"/>
        <sz val="12.0"/>
      </rPr>
      <t xml:space="preserve">     - 3BHK: 6</t>
    </r>
    <r>
      <rPr>
        <rFont val="Calibri"/>
        <color theme="1"/>
        <sz val="10.0"/>
      </rPr>
      <t>5</t>
    </r>
    <r>
      <rPr>
        <rFont val="Times New Roman"/>
        <color theme="1"/>
        <sz val="12.0"/>
      </rPr>
      <t xml:space="preserve"> working days</t>
    </r>
    <r>
      <rPr>
        <rFont val="Calibri"/>
        <color theme="1"/>
        <sz val="10.0"/>
      </rPr>
      <t xml:space="preserve">
</t>
    </r>
    <r>
      <rPr>
        <rFont val="Times New Roman"/>
        <color theme="1"/>
        <sz val="12.0"/>
      </rPr>
      <t xml:space="preserve">     - 4BHK: </t>
    </r>
    <r>
      <rPr>
        <rFont val="Times New Roman"/>
        <color theme="1"/>
        <sz val="12.0"/>
      </rPr>
      <t>80</t>
    </r>
    <r>
      <rPr>
        <rFont val="Times New Roman"/>
        <color theme="1"/>
        <sz val="12.0"/>
      </rPr>
      <t xml:space="preserve"> working days</t>
    </r>
    <r>
      <rPr>
        <rFont val="Calibri"/>
        <color theme="1"/>
        <sz val="10.0"/>
      </rPr>
      <t xml:space="preserve">
</t>
    </r>
    <r>
      <rPr>
        <rFont val="Times New Roman"/>
        <color theme="1"/>
        <sz val="12.0"/>
      </rPr>
      <t xml:space="preserve">     - Additional rooms: +15 working days.</t>
    </r>
    <r>
      <rPr>
        <rFont val="Calibri"/>
        <color theme="1"/>
        <sz val="10.0"/>
      </rPr>
      <t xml:space="preserve">
</t>
    </r>
    <r>
      <rPr>
        <rFont val="Times New Roman"/>
        <b/>
        <color theme="1"/>
        <sz val="12.0"/>
      </rPr>
      <t>5. Q: Do you charge for designs?</t>
    </r>
    <r>
      <rPr>
        <rFont val="Calibri"/>
        <color theme="1"/>
        <sz val="10.0"/>
      </rPr>
      <t xml:space="preserve">
</t>
    </r>
    <r>
      <rPr>
        <rFont val="Times New Roman"/>
        <b/>
        <color theme="1"/>
        <sz val="12.0"/>
      </rPr>
      <t xml:space="preserve">   - A:</t>
    </r>
    <r>
      <rPr>
        <rFont val="Times New Roman"/>
        <color theme="1"/>
        <sz val="12.0"/>
      </rPr>
      <t xml:space="preserve"> Designs are free within standard timeline mentioned. Extra charges may apply for discussions beyond the timeline.</t>
    </r>
    <r>
      <rPr>
        <rFont val="Calibri"/>
        <color theme="1"/>
        <sz val="10.0"/>
      </rPr>
      <t xml:space="preserve">
</t>
    </r>
    <r>
      <rPr>
        <rFont val="Times New Roman"/>
        <b/>
        <color theme="1"/>
        <sz val="12.0"/>
      </rPr>
      <t>6. Q: Who is Tint Tone and Shade, and how long have they been in the field?</t>
    </r>
    <r>
      <rPr>
        <rFont val="Calibri"/>
        <color theme="1"/>
        <sz val="10.0"/>
      </rPr>
      <t xml:space="preserve">
</t>
    </r>
    <r>
      <rPr>
        <rFont val="Times New Roman"/>
        <b/>
        <color theme="1"/>
        <sz val="12.0"/>
      </rPr>
      <t xml:space="preserve">   - A:</t>
    </r>
    <r>
      <rPr>
        <rFont val="Times New Roman"/>
        <color theme="1"/>
        <sz val="12.0"/>
      </rPr>
      <t xml:space="preserve"> We are a renowned residential interior design firm based in Chennai in the field since 2016 and dedicated to creating custom-made, aesthetically pleasing desiging and execution for your dream home.</t>
    </r>
    <r>
      <rPr>
        <rFont val="Calibri"/>
        <color theme="1"/>
        <sz val="10.0"/>
      </rPr>
      <t xml:space="preserve">
</t>
    </r>
    <r>
      <rPr>
        <rFont val="Times New Roman"/>
        <b/>
        <color theme="1"/>
        <sz val="12.0"/>
      </rPr>
      <t>7. Q: Who will be our one point contact during the project?</t>
    </r>
    <r>
      <rPr>
        <rFont val="Calibri"/>
        <color theme="1"/>
        <sz val="10.0"/>
      </rPr>
      <t xml:space="preserve">
</t>
    </r>
    <r>
      <rPr>
        <rFont val="Times New Roman"/>
        <b/>
        <color theme="1"/>
        <sz val="12.0"/>
      </rPr>
      <t xml:space="preserve">   - A:</t>
    </r>
    <r>
      <rPr>
        <rFont val="Times New Roman"/>
        <color theme="1"/>
        <sz val="12.0"/>
      </rPr>
      <t xml:space="preserve"> During design phase, Our Design Manager will be your one point contact and During execution, it will be the Operations Head.</t>
    </r>
    <r>
      <rPr>
        <rFont val="Calibri"/>
        <color theme="1"/>
        <sz val="10.0"/>
      </rPr>
      <t xml:space="preserve">
</t>
    </r>
    <r>
      <rPr>
        <rFont val="Times New Roman"/>
        <b/>
        <color theme="1"/>
        <sz val="12.0"/>
      </rPr>
      <t>8. Q: Do you provide standard designs or customization?</t>
    </r>
    <r>
      <rPr>
        <rFont val="Calibri"/>
        <color theme="1"/>
        <sz val="10.0"/>
      </rPr>
      <t xml:space="preserve">
</t>
    </r>
    <r>
      <rPr>
        <rFont val="Times New Roman"/>
        <b/>
        <color theme="1"/>
        <sz val="12.0"/>
      </rPr>
      <t xml:space="preserve">   - A:</t>
    </r>
    <r>
      <rPr>
        <rFont val="Times New Roman"/>
        <color theme="1"/>
        <sz val="12.0"/>
      </rPr>
      <t xml:space="preserve"> We specialize in personalized,theme based and custom made interiors with a wide variety of options without any constraints or limitations adhering to the industry standards and feasibility of the site or the scope of work.</t>
    </r>
    <r>
      <rPr>
        <rFont val="Calibri"/>
        <color theme="1"/>
        <sz val="10.0"/>
      </rPr>
      <t xml:space="preserve">
</t>
    </r>
    <r>
      <rPr>
        <rFont val="Times New Roman"/>
        <b/>
        <color theme="1"/>
        <sz val="12.0"/>
      </rPr>
      <t>9. Q: What is not within your scope of work?</t>
    </r>
    <r>
      <rPr>
        <rFont val="Calibri"/>
        <color theme="1"/>
        <sz val="10.0"/>
      </rPr>
      <t xml:space="preserve">
</t>
    </r>
    <r>
      <rPr>
        <rFont val="Times New Roman"/>
        <b/>
        <color theme="1"/>
        <sz val="12.0"/>
      </rPr>
      <t xml:space="preserve">   - A:</t>
    </r>
    <r>
      <rPr>
        <rFont val="Times New Roman"/>
        <color theme="1"/>
        <sz val="12.0"/>
      </rPr>
      <t xml:space="preserve"> We do not directly involve in construction works, bathroom revamps, mosquito mesh, grill or any MS works etc.</t>
    </r>
    <r>
      <rPr>
        <rFont val="Calibri"/>
        <color theme="1"/>
        <sz val="10.0"/>
      </rPr>
      <t xml:space="preserve">
</t>
    </r>
    <r>
      <rPr>
        <rFont val="Times New Roman"/>
        <b/>
        <color theme="1"/>
        <sz val="12.0"/>
      </rPr>
      <t>10. Q: Do you offer architectural consultation?</t>
    </r>
    <r>
      <rPr>
        <rFont val="Calibri"/>
        <color theme="1"/>
        <sz val="10.0"/>
      </rPr>
      <t xml:space="preserve">
</t>
    </r>
    <r>
      <rPr>
        <rFont val="Times New Roman"/>
        <b/>
        <color theme="1"/>
        <sz val="12.0"/>
      </rPr>
      <t xml:space="preserve">    - A:</t>
    </r>
    <r>
      <rPr>
        <rFont val="Times New Roman"/>
        <color theme="1"/>
        <sz val="12.0"/>
      </rPr>
      <t xml:space="preserve"> Our lead designer shall provide required suggestions, but we don't provide 2D or 3D drawings for external or third-party teams to work with.</t>
    </r>
    <r>
      <rPr>
        <rFont val="Calibri"/>
        <color theme="1"/>
        <sz val="10.0"/>
      </rPr>
      <t xml:space="preserve">
</t>
    </r>
    <r>
      <rPr>
        <rFont val="Times New Roman"/>
        <b/>
        <color theme="1"/>
        <sz val="12.0"/>
      </rPr>
      <t>11. Q: Do you offer only design consultation services?</t>
    </r>
    <r>
      <rPr>
        <rFont val="Calibri"/>
        <color theme="1"/>
        <sz val="10.0"/>
      </rPr>
      <t xml:space="preserve">
</t>
    </r>
    <r>
      <rPr>
        <rFont val="Times New Roman"/>
        <b/>
        <color theme="1"/>
        <sz val="12.0"/>
      </rPr>
      <t xml:space="preserve">    - A: </t>
    </r>
    <r>
      <rPr>
        <rFont val="Times New Roman"/>
        <color theme="1"/>
        <sz val="12.0"/>
      </rPr>
      <t>We provide complete turnkey solutions, including design and execution; we don't offer design consultation seperately.</t>
    </r>
    <r>
      <rPr>
        <rFont val="Calibri"/>
        <color theme="1"/>
        <sz val="10.0"/>
      </rPr>
      <t xml:space="preserve">
</t>
    </r>
    <r>
      <rPr>
        <rFont val="Times New Roman"/>
        <b/>
        <color theme="1"/>
        <sz val="12.0"/>
      </rPr>
      <t>12. Q: Will you execute my project if I provide the designs?</t>
    </r>
    <r>
      <rPr>
        <rFont val="Calibri"/>
        <color theme="1"/>
        <sz val="10.0"/>
      </rPr>
      <t xml:space="preserve">
</t>
    </r>
    <r>
      <rPr>
        <rFont val="Times New Roman"/>
        <b/>
        <color theme="1"/>
        <sz val="12.0"/>
      </rPr>
      <t xml:space="preserve">    - A:</t>
    </r>
    <r>
      <rPr>
        <rFont val="Times New Roman"/>
        <color theme="1"/>
        <sz val="12.0"/>
      </rPr>
      <t xml:space="preserve"> Yes, we can execute your project if all required design data and details are provided subject to the agreed upon timeline and payment terms.</t>
    </r>
    <r>
      <rPr>
        <rFont val="Calibri"/>
        <color theme="1"/>
        <sz val="10.0"/>
      </rPr>
      <t xml:space="preserve">
</t>
    </r>
    <r>
      <rPr>
        <rFont val="Times New Roman"/>
        <b/>
        <color theme="1"/>
        <sz val="12.0"/>
      </rPr>
      <t>13. Q: Will there be a project engineer at my location full-time?</t>
    </r>
    <r>
      <rPr>
        <rFont val="Calibri"/>
        <color theme="1"/>
        <sz val="10.0"/>
      </rPr>
      <t xml:space="preserve">
</t>
    </r>
    <r>
      <rPr>
        <rFont val="Times New Roman"/>
        <b/>
        <color theme="1"/>
        <sz val="12.0"/>
      </rPr>
      <t xml:space="preserve">    - A:</t>
    </r>
    <r>
      <rPr>
        <rFont val="Times New Roman"/>
        <color theme="1"/>
        <sz val="12.0"/>
      </rPr>
      <t xml:space="preserve"> A dedicated project engineer will provide daily morning/evening updates of the site in whatsapp group, visiting the site three times a week, and conducting quality checks at the factory the other days.</t>
    </r>
    <r>
      <rPr>
        <rFont val="Calibri"/>
        <color theme="1"/>
        <sz val="10.0"/>
      </rPr>
      <t xml:space="preserve">
</t>
    </r>
    <r>
      <rPr>
        <rFont val="Times New Roman"/>
        <b/>
        <color theme="1"/>
        <sz val="12.0"/>
      </rPr>
      <t>14. Q: When will the design work begin?</t>
    </r>
    <r>
      <rPr>
        <rFont val="Calibri"/>
        <color theme="1"/>
        <sz val="10.0"/>
      </rPr>
      <t xml:space="preserve">
</t>
    </r>
    <r>
      <rPr>
        <rFont val="Times New Roman"/>
        <b/>
        <color theme="1"/>
        <sz val="12.0"/>
      </rPr>
      <t xml:space="preserve">    - A:</t>
    </r>
    <r>
      <rPr>
        <rFont val="Times New Roman"/>
        <color theme="1"/>
        <sz val="12.0"/>
      </rPr>
      <t xml:space="preserve"> After a 10% official booking advance, a dedicated lead designer shall be assigned to start working on your designs.</t>
    </r>
    <r>
      <rPr>
        <rFont val="Calibri"/>
        <color theme="1"/>
        <sz val="10.0"/>
      </rPr>
      <t xml:space="preserve">
</t>
    </r>
    <r>
      <rPr>
        <rFont val="Times New Roman"/>
        <b/>
        <color theme="1"/>
        <sz val="12.0"/>
      </rPr>
      <t>15. Q: Is there a minimum bill value for your services?</t>
    </r>
    <r>
      <rPr>
        <rFont val="Calibri"/>
        <color theme="1"/>
        <sz val="10.0"/>
      </rPr>
      <t xml:space="preserve">
</t>
    </r>
    <r>
      <rPr>
        <rFont val="Times New Roman"/>
        <b/>
        <color theme="1"/>
        <sz val="12.0"/>
      </rPr>
      <t xml:space="preserve">    - A:</t>
    </r>
    <r>
      <rPr>
        <rFont val="Times New Roman"/>
        <color theme="1"/>
        <sz val="12.0"/>
      </rPr>
      <t xml:space="preserve"> Yes, we only take up projects in and around Chennai with a minimum bill value of 5 lakhs in woodworks excluding GST.</t>
    </r>
    <r>
      <rPr>
        <rFont val="Calibri"/>
        <color theme="1"/>
        <sz val="10.0"/>
      </rPr>
      <t xml:space="preserve">
</t>
    </r>
    <r>
      <rPr>
        <rFont val="Times New Roman"/>
        <b/>
        <color theme="1"/>
        <sz val="12.0"/>
      </rPr>
      <t>16. Q: Do you handle furniture orders?</t>
    </r>
    <r>
      <rPr>
        <rFont val="Calibri"/>
        <color theme="1"/>
        <sz val="10.0"/>
      </rPr>
      <t xml:space="preserve">
</t>
    </r>
    <r>
      <rPr>
        <rFont val="Times New Roman"/>
        <b/>
        <color theme="1"/>
        <sz val="12.0"/>
      </rPr>
      <t xml:space="preserve">    - A:</t>
    </r>
    <r>
      <rPr>
        <rFont val="Times New Roman"/>
        <color theme="1"/>
        <sz val="12.0"/>
      </rPr>
      <t xml:space="preserve"> Yes, we take up furniture and furnishings orders along with woodworks.</t>
    </r>
    <r>
      <rPr>
        <rFont val="Calibri"/>
        <color theme="1"/>
        <sz val="10.0"/>
      </rPr>
      <t xml:space="preserve">
</t>
    </r>
    <r>
      <rPr>
        <rFont val="Times New Roman"/>
        <b/>
        <color theme="1"/>
        <sz val="12.0"/>
      </rPr>
      <t>17. Q: Can you explain your VR facility for clients?</t>
    </r>
    <r>
      <rPr>
        <rFont val="Calibri"/>
        <color theme="1"/>
        <sz val="10.0"/>
      </rPr>
      <t xml:space="preserve">
</t>
    </r>
    <r>
      <rPr>
        <rFont val="Times New Roman"/>
        <b/>
        <color theme="1"/>
        <sz val="12.0"/>
      </rPr>
      <t xml:space="preserve">    - A:</t>
    </r>
    <r>
      <rPr>
        <rFont val="Times New Roman"/>
        <color theme="1"/>
        <sz val="12.0"/>
      </rPr>
      <t xml:space="preserve"> With VR experience, We can iterate on designs quickly and test them in an immersive 3D environment, allowing for more confident decisions and proper visualisation to understand the volume. This facility is subject to the project scope, time line and value.</t>
    </r>
    <r>
      <rPr>
        <rFont val="Calibri"/>
        <color theme="1"/>
        <sz val="10.0"/>
      </rPr>
      <t xml:space="preserve">
</t>
    </r>
    <r>
      <rPr>
        <rFont val="Times New Roman"/>
        <b/>
        <color theme="1"/>
        <sz val="12.0"/>
      </rPr>
      <t>18. Q: What restrictions do you have on taking up projects?</t>
    </r>
    <r>
      <rPr>
        <rFont val="Calibri"/>
        <color theme="1"/>
        <sz val="10.0"/>
      </rPr>
      <t xml:space="preserve">
</t>
    </r>
    <r>
      <rPr>
        <rFont val="Times New Roman"/>
        <b/>
        <color theme="1"/>
        <sz val="12.0"/>
      </rPr>
      <t xml:space="preserve">    - A:</t>
    </r>
    <r>
      <rPr>
        <rFont val="Times New Roman"/>
        <color theme="1"/>
        <sz val="12.0"/>
      </rPr>
      <t xml:space="preserve"> We won't take up projects if and when the site is outside Chennai or if its less than a minimum bill value of 5 lakhs excludiong GST in woodworks and also if you are unable to relocate from the property during site execution for safety and health concerns.</t>
    </r>
    <r>
      <rPr>
        <rFont val="Calibri"/>
        <color theme="1"/>
        <sz val="10.0"/>
      </rPr>
      <t xml:space="preserve">
</t>
    </r>
    <r>
      <rPr>
        <rFont val="Times New Roman"/>
        <b/>
        <color theme="1"/>
        <sz val="12.0"/>
      </rPr>
      <t>19. Q: Where do you provide your services?</t>
    </r>
    <r>
      <rPr>
        <rFont val="Calibri"/>
        <color theme="1"/>
        <sz val="10.0"/>
      </rPr>
      <t xml:space="preserve">
</t>
    </r>
    <r>
      <rPr>
        <rFont val="Times New Roman"/>
        <b/>
        <color theme="1"/>
        <sz val="12.0"/>
      </rPr>
      <t xml:space="preserve">    - A:</t>
    </r>
    <r>
      <rPr>
        <rFont val="Times New Roman"/>
        <color theme="1"/>
        <sz val="12.0"/>
      </rPr>
      <t xml:space="preserve"> We provide services in and around Chennai.</t>
    </r>
    <r>
      <rPr>
        <rFont val="Calibri"/>
        <color theme="1"/>
        <sz val="10.0"/>
      </rPr>
      <t xml:space="preserve">
</t>
    </r>
    <r>
      <rPr>
        <rFont val="Times New Roman"/>
        <b/>
        <color theme="1"/>
        <sz val="12.0"/>
      </rPr>
      <t>20. Q: Do you coordinate with work beyond your scope?</t>
    </r>
    <r>
      <rPr>
        <rFont val="Calibri"/>
        <color theme="1"/>
        <sz val="10.0"/>
      </rPr>
      <t xml:space="preserve">
</t>
    </r>
    <r>
      <rPr>
        <rFont val="Times New Roman"/>
        <color theme="1"/>
        <sz val="12.0"/>
      </rPr>
      <t xml:space="preserve">    </t>
    </r>
    <r>
      <rPr>
        <rFont val="Times New Roman"/>
        <b/>
        <color theme="1"/>
        <sz val="12.0"/>
      </rPr>
      <t>- A:</t>
    </r>
    <r>
      <rPr>
        <rFont val="Times New Roman"/>
        <color theme="1"/>
        <sz val="12.0"/>
      </rPr>
      <t xml:space="preserve"> Yes, our designers provide design suggestion, and our site team coordinates those works at site works which are beyond our scope if neccesory.</t>
    </r>
    <r>
      <rPr>
        <rFont val="Calibri"/>
        <color theme="1"/>
        <sz val="10.0"/>
      </rPr>
      <t xml:space="preserve">
</t>
    </r>
    <r>
      <rPr>
        <rFont val="Times New Roman"/>
        <b/>
        <color theme="1"/>
        <sz val="12.0"/>
      </rPr>
      <t>21. Q: Are you an one-stop solution provider?</t>
    </r>
    <r>
      <rPr>
        <rFont val="Calibri"/>
        <color theme="1"/>
        <sz val="10.0"/>
      </rPr>
      <t xml:space="preserve">
</t>
    </r>
    <r>
      <rPr>
        <rFont val="Times New Roman"/>
        <b/>
        <color theme="1"/>
        <sz val="12.0"/>
      </rPr>
      <t xml:space="preserve">    - A:</t>
    </r>
    <r>
      <rPr>
        <rFont val="Times New Roman"/>
        <color theme="1"/>
        <sz val="12.0"/>
      </rPr>
      <t xml:space="preserve"> Yes, we offer solutions for woodworks, furniture, false ceiling, lighting and furnishings in interiors.</t>
    </r>
    <r>
      <rPr>
        <rFont val="Calibri"/>
        <color theme="1"/>
        <sz val="10.0"/>
      </rPr>
      <t xml:space="preserve">
</t>
    </r>
    <r>
      <rPr>
        <rFont val="Times New Roman"/>
        <b/>
        <color theme="1"/>
        <sz val="12.0"/>
      </rPr>
      <t>22. Q: Are you available on weekends?</t>
    </r>
    <r>
      <rPr>
        <rFont val="Calibri"/>
        <color theme="1"/>
        <sz val="10.0"/>
      </rPr>
      <t xml:space="preserve">
</t>
    </r>
    <r>
      <rPr>
        <rFont val="Times New Roman"/>
        <b/>
        <color theme="1"/>
        <sz val="12.0"/>
      </rPr>
      <t xml:space="preserve">    - A:</t>
    </r>
    <r>
      <rPr>
        <rFont val="Times New Roman"/>
        <color theme="1"/>
        <sz val="12.0"/>
      </rPr>
      <t xml:space="preserve"> Yes, we are open from Monday to Sunday, 10:30 am - 7:30 pm. Our weekly off is on Tuesdays, with occasional Tuesday and Wednesday off during the second week of the month.</t>
    </r>
    <r>
      <rPr>
        <rFont val="Calibri"/>
        <color theme="1"/>
        <sz val="10.0"/>
      </rPr>
      <t xml:space="preserve">
</t>
    </r>
    <r>
      <rPr>
        <rFont val="Times New Roman"/>
        <b/>
        <color theme="1"/>
        <sz val="12.0"/>
      </rPr>
      <t>23. Q: Why should I visit the experience center?</t>
    </r>
    <r>
      <rPr>
        <rFont val="Calibri"/>
        <color theme="1"/>
        <sz val="10.0"/>
      </rPr>
      <t xml:space="preserve">
</t>
    </r>
    <r>
      <rPr>
        <rFont val="Times New Roman"/>
        <b/>
        <color theme="1"/>
        <sz val="12.0"/>
      </rPr>
      <t xml:space="preserve">    - A:</t>
    </r>
    <r>
      <rPr>
        <rFont val="Times New Roman"/>
        <color theme="1"/>
        <sz val="12.0"/>
      </rPr>
      <t xml:space="preserve"> The process begins with an initial meeting at our experience center, where you get a free consultation with our design experts and also experience real-time materials,furniture, lighting and Modular solutions in regards to your lifestyle preferences and proceed accordingly with the rest of the process as per your needs and our suggestions.</t>
    </r>
    <r>
      <rPr>
        <rFont val="Calibri"/>
        <color theme="1"/>
        <sz val="10.0"/>
      </rPr>
      <t xml:space="preserve">
</t>
    </r>
    <r>
      <rPr>
        <rFont val="Times New Roman"/>
        <b/>
        <color theme="1"/>
        <sz val="12.0"/>
      </rPr>
      <t>24. Q: Can I visit a completed site of yours?</t>
    </r>
    <r>
      <rPr>
        <rFont val="Calibri"/>
        <color theme="1"/>
        <sz val="10.0"/>
      </rPr>
      <t xml:space="preserve">
</t>
    </r>
    <r>
      <rPr>
        <rFont val="Times New Roman"/>
        <b/>
        <color theme="1"/>
        <sz val="12.0"/>
      </rPr>
      <t xml:space="preserve">    - A:</t>
    </r>
    <r>
      <rPr>
        <rFont val="Times New Roman"/>
        <color theme="1"/>
        <sz val="12.0"/>
      </rPr>
      <t xml:space="preserve"> Yes, you are welcome to visit one of our ongoing sites with the homeowner's permission.</t>
    </r>
    <r>
      <rPr>
        <rFont val="Calibri"/>
        <color theme="1"/>
        <sz val="10.0"/>
      </rPr>
      <t xml:space="preserve">
</t>
    </r>
    <r>
      <rPr>
        <rFont val="Times New Roman"/>
        <b/>
        <color theme="1"/>
        <sz val="12.0"/>
      </rPr>
      <t>25. Q: What is your refund policy?</t>
    </r>
    <r>
      <rPr>
        <rFont val="Calibri"/>
        <color theme="1"/>
        <sz val="10.0"/>
      </rPr>
      <t xml:space="preserve">
</t>
    </r>
    <r>
      <rPr>
        <rFont val="Times New Roman"/>
        <b/>
        <color theme="1"/>
        <sz val="12.0"/>
      </rPr>
      <t xml:space="preserve">    - A:</t>
    </r>
    <r>
      <rPr>
        <rFont val="Times New Roman"/>
        <color theme="1"/>
        <sz val="12.0"/>
      </rPr>
      <t xml:space="preserve"> Booking is made to execute our unique designs, hence we kindly inform you that once the booking advance has been made, our policy stipulates that refunds are not available. </t>
    </r>
  </si>
  <si>
    <t xml:space="preserve">Dear Mr. Madhu Bharath
Date: 11.09.2025
Location : S&amp;P Villas, New Perungalathur
Handover: Done
We would like to take this opportunity to thank you for considering Tint Tone and Shade in designing your dream home. We assure you to serve the best in terms of design, quality and service. Please find below your Project Details, Detailed Specification &amp; Proposed Quotation according to your specified requirements. </t>
  </si>
  <si>
    <t>MR+</t>
  </si>
  <si>
    <t>Supply and installation of a tall unit featuring inner 0.8mm with Black Al. profile and black tinted fluted glass shutter with a smooth finish laminate - MR ply</t>
  </si>
  <si>
    <t>Supply and installation of a Jamb paneling with a Smooth finish laminate - MR ply</t>
  </si>
  <si>
    <t>Supply and installation of a Wardrobe with a Designer finish laminate - MR ply</t>
  </si>
  <si>
    <t>Supply and Installation of Lift up accessory in Kitchen</t>
  </si>
  <si>
    <t xml:space="preserve">Supply and Installation of  Profile Light ( Rate Inclusive of Led , Aluminium Profile and Drivers ) </t>
  </si>
  <si>
    <t>Providing and electrical box up to 3Meters - 4 Module - (Rate inclusive of back box, chipping , Wire Pulling and replastering - Rate not inclusive of face plate, back plate , switches and socket)</t>
  </si>
  <si>
    <t>Sink Cutting and fixing of sink with Adhesive ( Rate Not Inclusive of Plumbing works )</t>
  </si>
  <si>
    <t>Hob Cutting</t>
  </si>
  <si>
    <t>Providing and Fixing of dummy Sheet in existing electrical box</t>
  </si>
  <si>
    <t>Shifting and Providing One Inlet and Outlet Point for Washing machine ( Rate Inclusive of surface mounted PVC Pipe ) ( Rate Not Inclusive of CP Fittings )</t>
  </si>
  <si>
    <t xml:space="preserve">Supply and installation of SL-04 Conceal handle - Creatic - Black - Black (900mm) </t>
  </si>
  <si>
    <r>
      <rPr>
        <rFont val="Times New Roman"/>
        <b/>
        <color theme="1"/>
        <sz val="12.0"/>
      </rPr>
      <t>Inclusions of Scope:</t>
    </r>
    <r>
      <rPr>
        <rFont val="Calibri"/>
        <color theme="1"/>
        <sz val="12.0"/>
      </rPr>
      <t xml:space="preserve">
</t>
    </r>
    <r>
      <rPr>
        <rFont val="Times New Roman"/>
        <color theme="1"/>
        <sz val="12.0"/>
      </rPr>
      <t>• Cost of Standard Handles, Drawers, Wardrobe locks, Wardrobe Hanger rods, Tower bolts &amp; Skirting are included in the quotation. Packing Charges, Local Transportation, Installation and Inspection is also included in the Quotation.</t>
    </r>
    <r>
      <rPr>
        <rFont val="Calibri"/>
        <color theme="1"/>
        <sz val="12.0"/>
      </rPr>
      <t xml:space="preserve">
• Cost of Standard Handles, Drawers, Wardrobe locks, Wardrobe Hanger rods, Tower bolts &amp; Skirting are included in the quotation. Packing Charges, Local Transportation, Installation and Inspection is also included in the Quotation.
</t>
    </r>
    <r>
      <rPr>
        <rFont val="Times New Roman"/>
        <color theme="1"/>
        <sz val="12.0"/>
      </rPr>
      <t xml:space="preserve">•   Installation and Inspection is included in our Scope and the Cost for the same is included in the given rates quotation. No additional or hidden charges are there in the quotation.  </t>
    </r>
    <r>
      <rPr>
        <rFont val="Calibri"/>
        <color theme="1"/>
        <sz val="12.0"/>
      </rPr>
      <t xml:space="preserve">
</t>
    </r>
    <r>
      <rPr>
        <rFont val="Times New Roman"/>
        <color theme="1"/>
        <sz val="12.0"/>
      </rPr>
      <t xml:space="preserve">•The above is only valid for 2 Months from the date of estimation. </t>
    </r>
    <r>
      <rPr>
        <rFont val="Calibri"/>
        <color theme="1"/>
        <sz val="12.0"/>
      </rPr>
      <t xml:space="preserve">
</t>
    </r>
    <r>
      <rPr>
        <rFont val="Times New Roman"/>
        <b/>
        <color theme="1"/>
        <sz val="12.0"/>
      </rPr>
      <t>Exclusions in Quotations:</t>
    </r>
    <r>
      <rPr>
        <rFont val="Calibri"/>
        <color theme="1"/>
        <sz val="12.0"/>
      </rPr>
      <t xml:space="preserve">
</t>
    </r>
    <r>
      <rPr>
        <rFont val="Times New Roman"/>
        <color theme="1"/>
        <sz val="12.0"/>
      </rPr>
      <t>•  Incase of any civil dependency from builder,We will provide the suggestion and references but no working 3D/2D drawing will be done by team for any other third party teams to work and we do not take any responsibility for it.</t>
    </r>
    <r>
      <rPr>
        <rFont val="Calibri"/>
        <color theme="1"/>
        <sz val="12.0"/>
      </rPr>
      <t xml:space="preserve">
•  Incase of any civil dependency from builder,We will provide the suggestion and references but no working 3D/2D drawing will be done by team for any other third party teams to work and we do not take any responsibility for it.
</t>
    </r>
    <r>
      <rPr>
        <rFont val="Times New Roman"/>
        <color theme="1"/>
        <sz val="12.0"/>
      </rPr>
      <t xml:space="preserve">•  We execute as per the final drawing which is signed by the client. No additional changes or alteration at site will be entertained. </t>
    </r>
    <r>
      <rPr>
        <rFont val="Calibri"/>
        <color theme="1"/>
        <sz val="12.0"/>
      </rPr>
      <t xml:space="preserve">
</t>
    </r>
    <r>
      <rPr>
        <rFont val="Times New Roman"/>
        <b/>
        <color theme="1"/>
        <sz val="12.0"/>
      </rPr>
      <t>Production &amp; Installation Stage:</t>
    </r>
    <r>
      <rPr>
        <rFont val="Calibri"/>
        <color theme="1"/>
        <sz val="12.0"/>
      </rPr>
      <t xml:space="preserve">
</t>
    </r>
    <r>
      <rPr>
        <rFont val="Times New Roman"/>
        <color theme="1"/>
        <sz val="12.0"/>
      </rPr>
      <t>• Since we begin manufacturing upon receipt of 50% payment, you are requested to pay the balance 40% upon material delivery.</t>
    </r>
    <r>
      <rPr>
        <rFont val="Calibri"/>
        <color theme="1"/>
        <sz val="12.0"/>
      </rPr>
      <t xml:space="preserve">
</t>
    </r>
    <r>
      <rPr>
        <rFont val="Times New Roman"/>
        <color theme="1"/>
        <sz val="12.0"/>
      </rPr>
      <t>• All your woodwork is covered under the TTS 1</t>
    </r>
    <r>
      <rPr>
        <rFont val="Calibri"/>
        <color theme="1"/>
        <sz val="12.0"/>
      </rPr>
      <t>5</t>
    </r>
    <r>
      <rPr>
        <rFont val="Times New Roman"/>
        <color theme="1"/>
        <sz val="12.0"/>
      </rPr>
      <t>-year warranty. This safeguards you against any defect in manufacturing or in installation workmanship.</t>
    </r>
    <r>
      <rPr>
        <rFont val="Calibri"/>
        <color theme="1"/>
        <sz val="12.0"/>
      </rPr>
      <t xml:space="preserve">
</t>
    </r>
    <r>
      <rPr>
        <rFont val="Times New Roman"/>
        <color theme="1"/>
        <sz val="12.0"/>
      </rPr>
      <t>• All accessories, hardware and appliances are covered as per the respective Manufacturer’s Warranty Policy. You can refer to the TTS Works Contract for a detailed description of our Warranty Policy.</t>
    </r>
    <r>
      <rPr>
        <rFont val="Calibri"/>
        <color theme="1"/>
        <sz val="12.0"/>
      </rPr>
      <t xml:space="preserve">
</t>
    </r>
    <r>
      <rPr>
        <rFont val="Times New Roman"/>
        <b/>
        <color theme="1"/>
        <sz val="12.0"/>
      </rPr>
      <t>Delivery and Installation Timeline:</t>
    </r>
    <r>
      <rPr>
        <rFont val="Calibri"/>
        <color theme="1"/>
        <sz val="12.0"/>
      </rPr>
      <t xml:space="preserve">
</t>
    </r>
    <r>
      <rPr>
        <rFont val="Times New Roman"/>
        <color theme="1"/>
        <sz val="12.0"/>
      </rPr>
      <t>• The commencement of the civil work shall be made by confirmation via signature from the client.</t>
    </r>
    <r>
      <rPr>
        <rFont val="Calibri"/>
        <color theme="1"/>
        <sz val="12.0"/>
      </rPr>
      <t xml:space="preserve">
</t>
    </r>
    <r>
      <rPr>
        <rFont val="Times New Roman"/>
        <color theme="1"/>
        <sz val="12.0"/>
      </rPr>
      <t xml:space="preserve">• A period of 5 days will be taken for mobilization, followed by minimum </t>
    </r>
    <r>
      <rPr>
        <rFont val="Calibri"/>
        <color theme="1"/>
        <sz val="12.0"/>
      </rPr>
      <t>6</t>
    </r>
    <r>
      <rPr>
        <rFont val="Times New Roman"/>
        <color theme="1"/>
        <sz val="12.0"/>
      </rPr>
      <t>5 working days will be taken for the completion of the work, This timeline varies based on scope of work and precise timeline will be informed before production.</t>
    </r>
    <r>
      <rPr>
        <rFont val="Calibri"/>
        <color theme="1"/>
        <sz val="12.0"/>
      </rPr>
      <t xml:space="preserve">
</t>
    </r>
    <r>
      <rPr>
        <rFont val="Times New Roman"/>
        <color theme="1"/>
        <sz val="12.0"/>
      </rPr>
      <t xml:space="preserve">• Following the completion of civil work, the detailed measurements will be taken and updated on the design documents. </t>
    </r>
    <r>
      <rPr>
        <rFont val="Calibri"/>
        <color theme="1"/>
        <sz val="12.0"/>
      </rPr>
      <t xml:space="preserve">
</t>
    </r>
    <r>
      <rPr>
        <rFont val="Times New Roman"/>
        <color theme="1"/>
        <sz val="12.0"/>
      </rPr>
      <t>• Minimum 45 working days of work shall be taken for the execution of carpentry works (Min 30 days for factory production + Min 15 days for installation on site). This timeline varies based on scope of work.</t>
    </r>
    <r>
      <rPr>
        <rFont val="Calibri"/>
        <color theme="1"/>
        <sz val="12.0"/>
      </rPr>
      <t xml:space="preserve">
</t>
    </r>
    <r>
      <rPr>
        <rFont val="Times New Roman"/>
        <color theme="1"/>
        <sz val="12.0"/>
      </rPr>
      <t>• Back panels would be constructed of the same cabinet core material for all products.</t>
    </r>
    <r>
      <rPr>
        <rFont val="Calibri"/>
        <color theme="1"/>
        <sz val="12.0"/>
      </rPr>
      <t xml:space="preserve">
</t>
    </r>
    <r>
      <rPr>
        <rFont val="Times New Roman"/>
        <color theme="1"/>
        <sz val="12.0"/>
      </rPr>
      <t>• All lofts will be soft close by default.</t>
    </r>
    <r>
      <rPr>
        <rFont val="Calibri"/>
        <color theme="1"/>
        <sz val="12.0"/>
      </rPr>
      <t xml:space="preserve">
</t>
    </r>
    <r>
      <rPr>
        <rFont val="Times New Roman"/>
        <color theme="1"/>
        <sz val="12.0"/>
      </rPr>
      <t>• Final coat of paint should be done after completion of interior work. If any civil work is done at site including- false ceiling, electrical, plumbing, gas piping, wall demolition, wall partition etc, we are unable to avoid hand marks, scratches during installation.</t>
    </r>
    <r>
      <rPr>
        <rFont val="Calibri"/>
        <color theme="1"/>
        <sz val="12.0"/>
      </rPr>
      <t xml:space="preserve">
</t>
    </r>
    <r>
      <rPr>
        <rFont val="Times New Roman"/>
        <color theme="1"/>
        <sz val="12.0"/>
      </rPr>
      <t>• On site design changes and alteration shall not be entertained after the design sign off and approval by the client. Such alterations and design modifications will lead to delay in the completion of the project and the same will be reflected on the given final quotation.</t>
    </r>
    <r>
      <rPr>
        <rFont val="Calibri"/>
        <color theme="1"/>
        <sz val="12.0"/>
      </rPr>
      <t xml:space="preserve">
</t>
    </r>
    <r>
      <rPr>
        <rFont val="Times New Roman"/>
        <color theme="1"/>
        <sz val="12.0"/>
      </rPr>
      <t>•  The lead time starts only from receipt of 50% Payment &amp; Client’s approval on Production drawings confirming Laminates, Colours. Production will not initiate if signature on document or payment is pending.</t>
    </r>
  </si>
  <si>
    <r>
      <rPr>
        <rFont val="Times New Roman"/>
        <b/>
        <color theme="1"/>
        <sz val="12.0"/>
      </rPr>
      <t>Terms &amp; Conditions:</t>
    </r>
    <r>
      <rPr>
        <rFont val="Calibri"/>
        <color theme="1"/>
        <sz val="12.0"/>
      </rPr>
      <t xml:space="preserve">
</t>
    </r>
    <r>
      <rPr>
        <rFont val="Times New Roman"/>
        <color theme="1"/>
        <sz val="12.0"/>
      </rPr>
      <t>• The exact price of your project will depend on measurements, scope of work and change in designs/ material / finishes. Based on these revisions, you can expect the quote to raise or drop if there is any change in scope of work or selected finishes . (Minimum bill value for woodworks excluding GST will be 5 Lakhs)                                                                                                                                                                                                                                                                • To move forward with development of measurement-based designs, you will have to pay 10% of this estimate as a non-refundable advance.                                                                                                                                                                                                                                                                               • The Initial estimates may not include civil, plumbing, gas-piping or electrical chasing work. The exact value</t>
    </r>
    <r>
      <rPr>
        <rFont val="Calibri"/>
        <color theme="1"/>
        <sz val="12.0"/>
      </rPr>
      <t xml:space="preserve">
</t>
    </r>
    <r>
      <rPr>
        <rFont val="Times New Roman"/>
        <color theme="1"/>
        <sz val="12.0"/>
      </rPr>
      <t xml:space="preserve"> of the quote will depend on the site conditions.                                                                                                                                                                                                                                                                  •  Tint Tone and Shade will not be responsible for any delays from the Builder’s side. Delay of payment from the client’s side will reflect on the handover of the project.                                                                                                                                                                                                                                                                        • Accessories are also essential to complete the Installation Process. Complete Material Packages of Accessories can be dispatched only after 100% of payment for the same. There will be no deviation.                                                                                                                                                                                                                                                                      •  On occasion of project cancellation, 10% of booking advance paid by the client for doing the design, 2D Detailed Drawings &amp; 3D views will not be refunded,irrespective of the phase of design.                                                                                                                                                                                                                                                                                                                                                                                                                                            •  The Final coat of paint (If done by builder or by our team) should be done only after completion of entire works to avoid any reworks.</t>
    </r>
    <r>
      <rPr>
        <rFont val="Calibri"/>
        <color theme="1"/>
        <sz val="12.0"/>
      </rPr>
      <t xml:space="preserve">
</t>
    </r>
    <r>
      <rPr>
        <rFont val="Times New Roman"/>
        <color theme="1"/>
        <sz val="12.0"/>
      </rPr>
      <t xml:space="preserve">• All your woodwork is covered under the Tint Tone and Shade 10-year warranty.  This safeguards you against any defect in manufacturing or in installation workmanship.           </t>
    </r>
    <r>
      <rPr>
        <rFont val="Calibri"/>
        <color theme="1"/>
        <sz val="12.0"/>
      </rPr>
      <t xml:space="preserve">
</t>
    </r>
    <r>
      <rPr>
        <rFont val="Times New Roman"/>
        <color theme="1"/>
        <sz val="12.0"/>
      </rPr>
      <t xml:space="preserve">• All accessories, hardware and applications are covered as per the respective Manufacturer’s Warranty Policy. You can refer to the Tint Tone and Shade Work Contract for a detailed description of our warranty policy.                                                                                                                                                                                                             •   Sign off Post Design Finalisation- the outlined items in the document cannot be changed or removed without additional costs. If changes are requested, additional cost for the same shall be applied. If any scope of work is removed, the cost won't be refunded or deducted from future payments.                                                                             </t>
    </r>
    <r>
      <rPr>
        <rFont val="Calibri"/>
        <color theme="1"/>
        <sz val="12.0"/>
      </rPr>
      <t xml:space="preserve">
</t>
    </r>
    <r>
      <rPr>
        <rFont val="Times New Roman"/>
        <color theme="1"/>
        <sz val="12.0"/>
      </rPr>
      <t xml:space="preserve">                                                                      </t>
    </r>
  </si>
  <si>
    <r>
      <rPr>
        <rFont val="Times New Roman"/>
        <b/>
        <color theme="1"/>
        <sz val="12.0"/>
      </rPr>
      <t>Design Schedule:</t>
    </r>
    <r>
      <rPr>
        <rFont val="Calibri"/>
        <color theme="1"/>
        <sz val="12.0"/>
      </rPr>
      <t xml:space="preserve">
</t>
    </r>
    <r>
      <rPr>
        <rFont val="Times New Roman"/>
        <b/>
        <color theme="1"/>
        <sz val="12.0"/>
      </rPr>
      <t xml:space="preserve">Design Phase: </t>
    </r>
    <r>
      <rPr>
        <rFont val="Calibri"/>
        <color theme="1"/>
        <sz val="12.0"/>
      </rPr>
      <t xml:space="preserve">
</t>
    </r>
    <r>
      <rPr>
        <rFont val="Times New Roman"/>
        <color theme="1"/>
        <sz val="12.0"/>
      </rPr>
      <t>The design timeline includes discussions for the following design phase of the project:</t>
    </r>
    <r>
      <rPr>
        <rFont val="Calibri"/>
        <color theme="1"/>
        <sz val="12.0"/>
      </rPr>
      <t xml:space="preserve">
</t>
    </r>
    <r>
      <rPr>
        <rFont val="Times New Roman"/>
        <color theme="1"/>
        <sz val="12.0"/>
      </rPr>
      <t xml:space="preserve">a) Conduct an initial design study of existing site conditions and take the site measurements. </t>
    </r>
    <r>
      <rPr>
        <rFont val="Calibri"/>
        <color theme="1"/>
        <sz val="12.0"/>
      </rPr>
      <t xml:space="preserve">
</t>
    </r>
    <r>
      <rPr>
        <rFont val="Times New Roman"/>
        <color theme="1"/>
        <sz val="12.0"/>
      </rPr>
      <t xml:space="preserve">b) Discuss on the design preferences for each of the Project’s areas. </t>
    </r>
    <r>
      <rPr>
        <rFont val="Calibri"/>
        <color theme="1"/>
        <sz val="12.0"/>
      </rPr>
      <t xml:space="preserve">
</t>
    </r>
    <r>
      <rPr>
        <rFont val="Times New Roman"/>
        <color theme="1"/>
        <sz val="12.0"/>
      </rPr>
      <t xml:space="preserve">c) Prepare a conceptual discussion to generally illustrate our suggested design concepts including colour schemes, interior finishes, wall coverings, floor coverings and ceiling treatments. </t>
    </r>
    <r>
      <rPr>
        <rFont val="Calibri"/>
        <color theme="1"/>
        <sz val="12.0"/>
      </rPr>
      <t xml:space="preserve">
</t>
    </r>
    <r>
      <rPr>
        <rFont val="Times New Roman"/>
        <color theme="1"/>
        <sz val="12.0"/>
      </rPr>
      <t>d) Prepare 3D designs as per the existing plan and the preferred mood board.</t>
    </r>
    <r>
      <rPr>
        <rFont val="Calibri"/>
        <color theme="1"/>
        <sz val="12.0"/>
      </rPr>
      <t xml:space="preserve">
</t>
    </r>
    <r>
      <rPr>
        <rFont val="Times New Roman"/>
        <color theme="1"/>
        <sz val="12.0"/>
      </rPr>
      <t xml:space="preserve">e) Provide any suggestions for tiles, movable furniture and furnishings, if required. </t>
    </r>
    <r>
      <rPr>
        <rFont val="Calibri"/>
        <color theme="1"/>
        <sz val="12.0"/>
      </rPr>
      <t xml:space="preserve">
</t>
    </r>
    <r>
      <rPr>
        <rFont val="Times New Roman"/>
        <b/>
        <color theme="1"/>
        <sz val="12.0"/>
      </rPr>
      <t>Design Duration:</t>
    </r>
    <r>
      <rPr>
        <rFont val="Calibri"/>
        <color theme="1"/>
        <sz val="12.0"/>
      </rPr>
      <t xml:space="preserve">
</t>
    </r>
    <r>
      <rPr>
        <rFont val="Times New Roman"/>
        <color theme="1"/>
        <sz val="12.0"/>
      </rPr>
      <t>The design phase shall adhere to the following working days based on the type of residence:</t>
    </r>
    <r>
      <rPr>
        <rFont val="Calibri"/>
        <color theme="1"/>
        <sz val="12.0"/>
      </rPr>
      <t xml:space="preserve">
</t>
    </r>
    <r>
      <rPr>
        <rFont val="Times New Roman"/>
        <color theme="1"/>
        <sz val="12.0"/>
      </rPr>
      <t xml:space="preserve">   - 2BHK: </t>
    </r>
    <r>
      <rPr>
        <rFont val="Calibri"/>
        <color theme="1"/>
        <sz val="12.0"/>
      </rPr>
      <t>4</t>
    </r>
    <r>
      <rPr>
        <rFont val="Times New Roman"/>
        <color theme="1"/>
        <sz val="12.0"/>
      </rPr>
      <t>5 working days</t>
    </r>
    <r>
      <rPr>
        <rFont val="Calibri"/>
        <color theme="1"/>
        <sz val="12.0"/>
      </rPr>
      <t xml:space="preserve">
</t>
    </r>
    <r>
      <rPr>
        <rFont val="Times New Roman"/>
        <color theme="1"/>
        <sz val="12.0"/>
      </rPr>
      <t xml:space="preserve">   - 3BHK: </t>
    </r>
    <r>
      <rPr>
        <rFont val="Times New Roman"/>
        <color theme="1"/>
        <sz val="12.0"/>
      </rPr>
      <t>65</t>
    </r>
    <r>
      <rPr>
        <rFont val="Times New Roman"/>
        <color theme="1"/>
        <sz val="12.0"/>
      </rPr>
      <t xml:space="preserve"> working days</t>
    </r>
    <r>
      <rPr>
        <rFont val="Calibri"/>
        <color theme="1"/>
        <sz val="12.0"/>
      </rPr>
      <t xml:space="preserve">
</t>
    </r>
    <r>
      <rPr>
        <rFont val="Times New Roman"/>
        <color theme="1"/>
        <sz val="12.0"/>
      </rPr>
      <t xml:space="preserve">   - 4BHK: </t>
    </r>
    <r>
      <rPr>
        <rFont val="Calibri"/>
        <color theme="1"/>
        <sz val="12.0"/>
      </rPr>
      <t>8</t>
    </r>
    <r>
      <rPr>
        <rFont val="Times New Roman"/>
        <color theme="1"/>
        <sz val="12.0"/>
      </rPr>
      <t>0 working days</t>
    </r>
    <r>
      <rPr>
        <rFont val="Calibri"/>
        <color theme="1"/>
        <sz val="12.0"/>
      </rPr>
      <t xml:space="preserve">
</t>
    </r>
    <r>
      <rPr>
        <rFont val="Times New Roman"/>
        <color theme="1"/>
        <sz val="12.0"/>
      </rPr>
      <t xml:space="preserve">   - Additional rooms: +10 working days per room</t>
    </r>
    <r>
      <rPr>
        <rFont val="Calibri"/>
        <color theme="1"/>
        <sz val="12.0"/>
      </rPr>
      <t xml:space="preserve">
</t>
    </r>
    <r>
      <rPr>
        <rFont val="Times New Roman"/>
        <b/>
        <color theme="1"/>
        <sz val="12.0"/>
      </rPr>
      <t xml:space="preserve">Design Finalization: </t>
    </r>
    <r>
      <rPr>
        <rFont val="Calibri"/>
        <color theme="1"/>
        <sz val="12.0"/>
      </rPr>
      <t xml:space="preserve">
</t>
    </r>
    <r>
      <rPr>
        <rFont val="Times New Roman"/>
        <color theme="1"/>
        <sz val="12.0"/>
      </rPr>
      <t>Upon the successful completion of the design within the agreed-upon timeline, we will promptly provide you with the final iteration. It is important to note that once this final design is proposed, we will proceed with the utmost care and precision to ensure that all your requirements have been met in full accordance with the project's defined scope. At this juncture, It is important for us to inform you that accommodating any further changes may pose challenges to our established timelines for deliverables and additional charges will occur. We sincerely appreciate your understanding and cooperation for the defined process.</t>
    </r>
    <r>
      <rPr>
        <rFont val="Calibri"/>
        <color theme="1"/>
        <sz val="12.0"/>
      </rPr>
      <t xml:space="preserve">
</t>
    </r>
    <r>
      <rPr>
        <rFont val="Times New Roman"/>
        <b/>
        <color theme="1"/>
        <sz val="12.0"/>
      </rPr>
      <t xml:space="preserve">Additional Meetings: </t>
    </r>
    <r>
      <rPr>
        <rFont val="Calibri"/>
        <color theme="1"/>
        <sz val="12.0"/>
      </rPr>
      <t xml:space="preserve">
</t>
    </r>
    <r>
      <rPr>
        <rFont val="Times New Roman"/>
        <color theme="1"/>
        <sz val="12.0"/>
      </rPr>
      <t>In our commitment to ensuring the utmost quality and precision in our design process, we have outlined a predefined duration for our scheduled meetings. However, Should the need arise to extend the design timeline beyond the initially agreed-upon duration, we have established an additional meeting charge of Rs 5000 per session or changes. This policy is designed to account for the extra resources and effort required to maintain the excellence and comprehensiveness of our work as we work together to bring your vision to life.</t>
    </r>
    <r>
      <rPr>
        <rFont val="Calibri"/>
        <color theme="1"/>
        <sz val="12.0"/>
      </rPr>
      <t xml:space="preserve">
</t>
    </r>
    <r>
      <rPr>
        <rFont val="Times New Roman"/>
        <color theme="1"/>
        <sz val="12.0"/>
      </rPr>
      <t>Our primary aim is to provide you with the finest design solutions and a seamless collaborative experience. This policy will aid us in effectively managing our resources and ensuring that the project's progress remains on track while accommodating any evolving requirements within the timeline.</t>
    </r>
    <r>
      <rPr>
        <rFont val="Calibri"/>
        <color theme="1"/>
        <sz val="12.0"/>
      </rPr>
      <t xml:space="preserve">
</t>
    </r>
    <r>
      <rPr>
        <rFont val="Times New Roman"/>
        <b/>
        <color theme="1"/>
        <sz val="12.0"/>
      </rPr>
      <t xml:space="preserve">Project Delay by Builder: </t>
    </r>
    <r>
      <rPr>
        <rFont val="Calibri"/>
        <color theme="1"/>
        <sz val="12.0"/>
      </rPr>
      <t xml:space="preserve">
</t>
    </r>
    <r>
      <rPr>
        <rFont val="Times New Roman"/>
        <color theme="1"/>
        <sz val="12.0"/>
      </rPr>
      <t>In the event of a delay in the handover of the villa/apartment/individual house by the builder or any 3rd party team, the design phase will be completed and Resumption will occur approximately 2-3 weeks before the scheduled handover date for the formal design approval signoff to initiate the execuion process at site.</t>
    </r>
    <r>
      <rPr>
        <rFont val="Calibri"/>
        <color theme="1"/>
        <sz val="12.0"/>
      </rPr>
      <t xml:space="preserve">
</t>
    </r>
    <r>
      <rPr>
        <rFont val="Times New Roman"/>
        <b/>
        <color theme="1"/>
        <sz val="12.0"/>
      </rPr>
      <t xml:space="preserve">Resumption Steps: </t>
    </r>
    <r>
      <rPr>
        <rFont val="Calibri"/>
        <color theme="1"/>
        <sz val="12.0"/>
      </rPr>
      <t xml:space="preserve">
</t>
    </r>
    <r>
      <rPr>
        <rFont val="Times New Roman"/>
        <color theme="1"/>
        <sz val="12.0"/>
      </rPr>
      <t>Upon resumption, the design phase shall progress in the following manner:</t>
    </r>
    <r>
      <rPr>
        <rFont val="Calibri"/>
        <color theme="1"/>
        <sz val="12.0"/>
      </rPr>
      <t xml:space="preserve">
</t>
    </r>
    <r>
      <rPr>
        <rFont val="Times New Roman"/>
        <color theme="1"/>
        <sz val="12.0"/>
      </rPr>
      <t>a) Material Selection</t>
    </r>
    <r>
      <rPr>
        <rFont val="Calibri"/>
        <color theme="1"/>
        <sz val="12.0"/>
      </rPr>
      <t xml:space="preserve">
</t>
    </r>
    <r>
      <rPr>
        <rFont val="Times New Roman"/>
        <color theme="1"/>
        <sz val="12.0"/>
      </rPr>
      <t>b) Revised Final Design Quote</t>
    </r>
    <r>
      <rPr>
        <rFont val="Calibri"/>
        <color theme="1"/>
        <sz val="12.0"/>
      </rPr>
      <t xml:space="preserve">
</t>
    </r>
    <r>
      <rPr>
        <rFont val="Times New Roman"/>
        <color theme="1"/>
        <sz val="12.0"/>
      </rPr>
      <t>c) Post-confirmation of the design, Generation of GFC (Good for Construction) Drawings will be initiated by our team for Site Masking.</t>
    </r>
    <r>
      <rPr>
        <rFont val="Calibri"/>
        <color theme="1"/>
        <sz val="12.0"/>
      </rPr>
      <t xml:space="preserve">
</t>
    </r>
    <r>
      <rPr>
        <rFont val="Times New Roman"/>
        <color theme="1"/>
        <sz val="12.0"/>
      </rPr>
      <t>d) The Final design and accompanying drawings can be provided exclusively upon receiving the Signoff. Untill then, we'll ensure all elements are meticulously curated to meet your specifications.</t>
    </r>
  </si>
  <si>
    <r>
      <rPr>
        <rFont val="Times New Roman"/>
        <b/>
        <color theme="1"/>
        <sz val="12.0"/>
      </rPr>
      <t>Tint Tone &amp; Shade Care:</t>
    </r>
    <r>
      <rPr>
        <rFont val="Calibri"/>
        <color theme="1"/>
        <sz val="12.0"/>
      </rPr>
      <t xml:space="preserve">
</t>
    </r>
    <r>
      <rPr>
        <rFont val="Times New Roman"/>
        <color theme="1"/>
        <sz val="12.0"/>
      </rPr>
      <t>• We provide one free service visit to the site within 6 months of the handover. This is put in place to address routine services which cover moving parts like hinges, channels etc. Our Care team will contact you to schedule the visit. The service addresses issues like minor alignment, loose parts etc. It also covers general alignment check of all shutters, lofts, the functioning of drawers and all accessories, and any additional concealed wiring needs for the TV console.</t>
    </r>
    <r>
      <rPr>
        <rFont val="Calibri"/>
        <color theme="1"/>
        <sz val="12.0"/>
      </rPr>
      <t xml:space="preserve">
</t>
    </r>
    <r>
      <rPr>
        <rFont val="Times New Roman"/>
        <color theme="1"/>
        <sz val="12.0"/>
      </rPr>
      <t>• Since by design, the products have a lot of moving parts, our product may need occasional re-alignments and servicing. Should there be any service and maintenance calls after the free service, they will be done on a chargeable basis. TTS’s current service visit fee is a sum of Rs. 950 (Rupees Nine Hundred and Fifty) per visit. This visit includes re-alignment of all products, but without any replacements. This request will have to be raised by the customer through  http://www.tinttoneandshade.com/tts-care/</t>
    </r>
    <r>
      <rPr>
        <rFont val="Calibri"/>
        <color theme="1"/>
        <sz val="12.0"/>
      </rPr>
      <t xml:space="preserve">
</t>
    </r>
    <r>
      <rPr>
        <rFont val="Times New Roman"/>
        <color theme="1"/>
        <sz val="12.0"/>
      </rPr>
      <t>• During this visit, if an item is found to be faulty, the same will be replaced based on the below scenarios:</t>
    </r>
    <r>
      <rPr>
        <rFont val="Calibri"/>
        <color theme="1"/>
        <sz val="12.0"/>
      </rPr>
      <t xml:space="preserve">
</t>
    </r>
    <r>
      <rPr>
        <rFont val="Times New Roman"/>
        <color theme="1"/>
        <sz val="12.0"/>
      </rPr>
      <t>• If work involved is only replacement of items covered under warranty, and no other realignment/replacement, the sum of Rs 950 will be waived off</t>
    </r>
    <r>
      <rPr>
        <rFont val="Calibri"/>
        <color theme="1"/>
        <sz val="12.0"/>
      </rPr>
      <t xml:space="preserve">
</t>
    </r>
    <r>
      <rPr>
        <rFont val="Times New Roman"/>
        <color theme="1"/>
        <sz val="12.0"/>
      </rPr>
      <t>• If the work includes re-alignment of units and/or replacement of items not covered under warranty (due to physical damage, continuous water leakage, rusting, etc), the cost of replacement will be over and above Rs 950, and a bill for the same will be shared after the visit.</t>
    </r>
  </si>
  <si>
    <r>
      <rPr>
        <rFont val="Times New Roman"/>
        <b/>
        <color theme="1"/>
        <sz val="16.0"/>
      </rPr>
      <t>FAQ:</t>
    </r>
    <r>
      <rPr>
        <rFont val="Calibri"/>
        <color theme="1"/>
        <sz val="10.0"/>
      </rPr>
      <t xml:space="preserve">
</t>
    </r>
    <r>
      <rPr>
        <rFont val="Times New Roman"/>
        <b/>
        <color theme="1"/>
        <sz val="12.0"/>
      </rPr>
      <t>1. Q: What does your warranty cover?</t>
    </r>
    <r>
      <rPr>
        <rFont val="Calibri"/>
        <color theme="1"/>
        <sz val="10.0"/>
      </rPr>
      <t xml:space="preserve">
 </t>
    </r>
    <r>
      <rPr>
        <rFont val="Times New Roman"/>
        <b/>
        <color theme="1"/>
        <sz val="12.0"/>
      </rPr>
      <t xml:space="preserve">  - A:</t>
    </r>
    <r>
      <rPr>
        <rFont val="Times New Roman"/>
        <color theme="1"/>
        <sz val="12.0"/>
      </rPr>
      <t xml:space="preserve"> We offer a 1</t>
    </r>
    <r>
      <rPr>
        <rFont val="Calibri"/>
        <color theme="1"/>
        <sz val="10.0"/>
      </rPr>
      <t>5</t>
    </r>
    <r>
      <rPr>
        <rFont val="Times New Roman"/>
        <color theme="1"/>
        <sz val="12.0"/>
      </rPr>
      <t>-year warranty for modular works. For items like lights and accessories &amp; etc. The warranty duration varies based on the manufacturer's terms.</t>
    </r>
    <r>
      <rPr>
        <rFont val="Calibri"/>
        <color theme="1"/>
        <sz val="10.0"/>
      </rPr>
      <t xml:space="preserve">
</t>
    </r>
    <r>
      <rPr>
        <rFont val="Times New Roman"/>
        <b/>
        <color theme="1"/>
        <sz val="12.0"/>
      </rPr>
      <t>2. Q: What core materials do you use?</t>
    </r>
    <r>
      <rPr>
        <rFont val="Calibri"/>
        <color theme="1"/>
        <sz val="10.0"/>
      </rPr>
      <t xml:space="preserve">
</t>
    </r>
    <r>
      <rPr>
        <rFont val="Times New Roman"/>
        <color theme="1"/>
        <sz val="12.0"/>
      </rPr>
      <t xml:space="preserve">   </t>
    </r>
    <r>
      <rPr>
        <rFont val="Times New Roman"/>
        <b/>
        <color theme="1"/>
        <sz val="12.0"/>
      </rPr>
      <t xml:space="preserve">- A: </t>
    </r>
    <r>
      <rPr>
        <rFont val="Times New Roman"/>
        <color theme="1"/>
        <sz val="12.0"/>
      </rPr>
      <t xml:space="preserve">For carcasses, we use BWP Calibrated ply from Greenply or Century in wet areas and MR Calibrated ply from Greenply or Century in dry areas. For shutters, </t>
    </r>
    <r>
      <rPr>
        <rFont val="Calibri"/>
        <color theme="1"/>
        <sz val="10.0"/>
      </rPr>
      <t xml:space="preserve">
</t>
    </r>
    <r>
      <rPr>
        <rFont val="Times New Roman"/>
        <color theme="1"/>
        <sz val="12.0"/>
      </rPr>
      <t xml:space="preserve">     we  recommend HDHMR/Ply based on your choice.</t>
    </r>
    <r>
      <rPr>
        <rFont val="Calibri"/>
        <color theme="1"/>
        <sz val="10.0"/>
      </rPr>
      <t xml:space="preserve">
</t>
    </r>
    <r>
      <rPr>
        <rFont val="Times New Roman"/>
        <b/>
        <color theme="1"/>
        <sz val="12.0"/>
      </rPr>
      <t>3. Q: What is your design timeline?</t>
    </r>
    <r>
      <rPr>
        <rFont val="Calibri"/>
        <color theme="1"/>
        <sz val="10.0"/>
      </rPr>
      <t xml:space="preserve">
 </t>
    </r>
    <r>
      <rPr>
        <rFont val="Times New Roman"/>
        <b/>
        <color theme="1"/>
        <sz val="12.0"/>
      </rPr>
      <t xml:space="preserve">  - A:</t>
    </r>
    <r>
      <rPr>
        <rFont val="Times New Roman"/>
        <color theme="1"/>
        <sz val="12.0"/>
      </rPr>
      <t xml:space="preserve"> Our general timeline for design phase is as follows:</t>
    </r>
    <r>
      <rPr>
        <rFont val="Calibri"/>
        <color theme="1"/>
        <sz val="10.0"/>
      </rPr>
      <t xml:space="preserve">
</t>
    </r>
    <r>
      <rPr>
        <rFont val="Times New Roman"/>
        <color theme="1"/>
        <sz val="12.0"/>
      </rPr>
      <t xml:space="preserve">     - 2BHK: </t>
    </r>
    <r>
      <rPr>
        <rFont val="Calibri"/>
        <color theme="1"/>
        <sz val="10.0"/>
      </rPr>
      <t>2</t>
    </r>
    <r>
      <rPr>
        <rFont val="Times New Roman"/>
        <color theme="1"/>
        <sz val="12.0"/>
      </rPr>
      <t>5 working days</t>
    </r>
    <r>
      <rPr>
        <rFont val="Calibri"/>
        <color theme="1"/>
        <sz val="10.0"/>
      </rPr>
      <t xml:space="preserve">
</t>
    </r>
    <r>
      <rPr>
        <rFont val="Times New Roman"/>
        <color theme="1"/>
        <sz val="12.0"/>
      </rPr>
      <t xml:space="preserve">     - 3BHK: </t>
    </r>
    <r>
      <rPr>
        <rFont val="Times New Roman"/>
        <color theme="1"/>
        <sz val="12.0"/>
      </rPr>
      <t>40</t>
    </r>
    <r>
      <rPr>
        <rFont val="Times New Roman"/>
        <color theme="1"/>
        <sz val="12.0"/>
      </rPr>
      <t xml:space="preserve"> working days</t>
    </r>
    <r>
      <rPr>
        <rFont val="Calibri"/>
        <color theme="1"/>
        <sz val="10.0"/>
      </rPr>
      <t xml:space="preserve">
</t>
    </r>
    <r>
      <rPr>
        <rFont val="Times New Roman"/>
        <color theme="1"/>
        <sz val="12.0"/>
      </rPr>
      <t xml:space="preserve">     - 4BHK: </t>
    </r>
    <r>
      <rPr>
        <rFont val="Times New Roman"/>
        <color theme="1"/>
        <sz val="12.0"/>
      </rPr>
      <t>65</t>
    </r>
    <r>
      <rPr>
        <rFont val="Times New Roman"/>
        <color theme="1"/>
        <sz val="12.0"/>
      </rPr>
      <t xml:space="preserve"> working days</t>
    </r>
    <r>
      <rPr>
        <rFont val="Calibri"/>
        <color theme="1"/>
        <sz val="10.0"/>
      </rPr>
      <t xml:space="preserve">
</t>
    </r>
    <r>
      <rPr>
        <rFont val="Times New Roman"/>
        <color theme="1"/>
        <sz val="12.0"/>
      </rPr>
      <t xml:space="preserve">     - Additional rooms: +10 working days</t>
    </r>
    <r>
      <rPr>
        <rFont val="Calibri"/>
        <color theme="1"/>
        <sz val="10.0"/>
      </rPr>
      <t xml:space="preserve">
</t>
    </r>
    <r>
      <rPr>
        <rFont val="Times New Roman"/>
        <color theme="1"/>
        <sz val="12.0"/>
      </rPr>
      <t xml:space="preserve">     - Beyond the scheduled timeline incurs additional charges (₹5,000 per design discussion).</t>
    </r>
    <r>
      <rPr>
        <rFont val="Calibri"/>
        <color theme="1"/>
        <sz val="10.0"/>
      </rPr>
      <t xml:space="preserve">
</t>
    </r>
    <r>
      <rPr>
        <rFont val="Times New Roman"/>
        <b/>
        <color theme="1"/>
        <sz val="12.0"/>
      </rPr>
      <t>4. Q: What is the execution timeline?</t>
    </r>
    <r>
      <rPr>
        <rFont val="Calibri"/>
        <color theme="1"/>
        <sz val="10.0"/>
      </rPr>
      <t xml:space="preserve">
</t>
    </r>
    <r>
      <rPr>
        <rFont val="Times New Roman"/>
        <b/>
        <color theme="1"/>
        <sz val="12.0"/>
      </rPr>
      <t xml:space="preserve">   - A:</t>
    </r>
    <r>
      <rPr>
        <rFont val="Times New Roman"/>
        <color theme="1"/>
        <sz val="12.0"/>
      </rPr>
      <t xml:space="preserve"> Execution timelines are as follows:</t>
    </r>
    <r>
      <rPr>
        <rFont val="Calibri"/>
        <color theme="1"/>
        <sz val="10.0"/>
      </rPr>
      <t xml:space="preserve">
</t>
    </r>
    <r>
      <rPr>
        <rFont val="Times New Roman"/>
        <color theme="1"/>
        <sz val="12.0"/>
      </rPr>
      <t xml:space="preserve">     - 2BHK: 45 working days</t>
    </r>
    <r>
      <rPr>
        <rFont val="Calibri"/>
        <color theme="1"/>
        <sz val="10.0"/>
      </rPr>
      <t xml:space="preserve">
</t>
    </r>
    <r>
      <rPr>
        <rFont val="Times New Roman"/>
        <color theme="1"/>
        <sz val="12.0"/>
      </rPr>
      <t xml:space="preserve">     - 3BHK: 6</t>
    </r>
    <r>
      <rPr>
        <rFont val="Calibri"/>
        <color theme="1"/>
        <sz val="10.0"/>
      </rPr>
      <t>5</t>
    </r>
    <r>
      <rPr>
        <rFont val="Times New Roman"/>
        <color theme="1"/>
        <sz val="12.0"/>
      </rPr>
      <t xml:space="preserve"> working days</t>
    </r>
    <r>
      <rPr>
        <rFont val="Calibri"/>
        <color theme="1"/>
        <sz val="10.0"/>
      </rPr>
      <t xml:space="preserve">
</t>
    </r>
    <r>
      <rPr>
        <rFont val="Times New Roman"/>
        <color theme="1"/>
        <sz val="12.0"/>
      </rPr>
      <t xml:space="preserve">     - 4BHK: </t>
    </r>
    <r>
      <rPr>
        <rFont val="Times New Roman"/>
        <color theme="1"/>
        <sz val="12.0"/>
      </rPr>
      <t>80</t>
    </r>
    <r>
      <rPr>
        <rFont val="Times New Roman"/>
        <color theme="1"/>
        <sz val="12.0"/>
      </rPr>
      <t xml:space="preserve"> working days</t>
    </r>
    <r>
      <rPr>
        <rFont val="Calibri"/>
        <color theme="1"/>
        <sz val="10.0"/>
      </rPr>
      <t xml:space="preserve">
</t>
    </r>
    <r>
      <rPr>
        <rFont val="Times New Roman"/>
        <color theme="1"/>
        <sz val="12.0"/>
      </rPr>
      <t xml:space="preserve">     - Additional rooms: +15 working days.</t>
    </r>
    <r>
      <rPr>
        <rFont val="Calibri"/>
        <color theme="1"/>
        <sz val="10.0"/>
      </rPr>
      <t xml:space="preserve">
</t>
    </r>
    <r>
      <rPr>
        <rFont val="Times New Roman"/>
        <b/>
        <color theme="1"/>
        <sz val="12.0"/>
      </rPr>
      <t>5. Q: Do you charge for designs?</t>
    </r>
    <r>
      <rPr>
        <rFont val="Calibri"/>
        <color theme="1"/>
        <sz val="10.0"/>
      </rPr>
      <t xml:space="preserve">
</t>
    </r>
    <r>
      <rPr>
        <rFont val="Times New Roman"/>
        <b/>
        <color theme="1"/>
        <sz val="12.0"/>
      </rPr>
      <t xml:space="preserve">   - A:</t>
    </r>
    <r>
      <rPr>
        <rFont val="Times New Roman"/>
        <color theme="1"/>
        <sz val="12.0"/>
      </rPr>
      <t xml:space="preserve"> Designs are free within standard timeline mentioned. Extra charges may apply for discussions beyond the timeline.</t>
    </r>
    <r>
      <rPr>
        <rFont val="Calibri"/>
        <color theme="1"/>
        <sz val="10.0"/>
      </rPr>
      <t xml:space="preserve">
</t>
    </r>
    <r>
      <rPr>
        <rFont val="Times New Roman"/>
        <b/>
        <color theme="1"/>
        <sz val="12.0"/>
      </rPr>
      <t>6. Q: Who is Tint Tone and Shade, and how long have they been in the field?</t>
    </r>
    <r>
      <rPr>
        <rFont val="Calibri"/>
        <color theme="1"/>
        <sz val="10.0"/>
      </rPr>
      <t xml:space="preserve">
</t>
    </r>
    <r>
      <rPr>
        <rFont val="Times New Roman"/>
        <b/>
        <color theme="1"/>
        <sz val="12.0"/>
      </rPr>
      <t xml:space="preserve">   - A:</t>
    </r>
    <r>
      <rPr>
        <rFont val="Times New Roman"/>
        <color theme="1"/>
        <sz val="12.0"/>
      </rPr>
      <t xml:space="preserve"> We are a renowned residential interior design firm based in Chennai in the field since 2016 and dedicated to creating custom-made, aesthetically pleasing desiging and execution for your dream home.</t>
    </r>
    <r>
      <rPr>
        <rFont val="Calibri"/>
        <color theme="1"/>
        <sz val="10.0"/>
      </rPr>
      <t xml:space="preserve">
</t>
    </r>
    <r>
      <rPr>
        <rFont val="Times New Roman"/>
        <b/>
        <color theme="1"/>
        <sz val="12.0"/>
      </rPr>
      <t>7. Q: Who will be our one point contact during the project?</t>
    </r>
    <r>
      <rPr>
        <rFont val="Calibri"/>
        <color theme="1"/>
        <sz val="10.0"/>
      </rPr>
      <t xml:space="preserve">
</t>
    </r>
    <r>
      <rPr>
        <rFont val="Times New Roman"/>
        <b/>
        <color theme="1"/>
        <sz val="12.0"/>
      </rPr>
      <t xml:space="preserve">   - A:</t>
    </r>
    <r>
      <rPr>
        <rFont val="Times New Roman"/>
        <color theme="1"/>
        <sz val="12.0"/>
      </rPr>
      <t xml:space="preserve"> During design phase, Our Design Manager will be your one point contact and During execution, it will be the Operations Head.</t>
    </r>
    <r>
      <rPr>
        <rFont val="Calibri"/>
        <color theme="1"/>
        <sz val="10.0"/>
      </rPr>
      <t xml:space="preserve">
</t>
    </r>
    <r>
      <rPr>
        <rFont val="Times New Roman"/>
        <b/>
        <color theme="1"/>
        <sz val="12.0"/>
      </rPr>
      <t>8. Q: Do you provide standard designs or customization?</t>
    </r>
    <r>
      <rPr>
        <rFont val="Calibri"/>
        <color theme="1"/>
        <sz val="10.0"/>
      </rPr>
      <t xml:space="preserve">
</t>
    </r>
    <r>
      <rPr>
        <rFont val="Times New Roman"/>
        <b/>
        <color theme="1"/>
        <sz val="12.0"/>
      </rPr>
      <t xml:space="preserve">   - A:</t>
    </r>
    <r>
      <rPr>
        <rFont val="Times New Roman"/>
        <color theme="1"/>
        <sz val="12.0"/>
      </rPr>
      <t xml:space="preserve"> We specialize in personalized,theme based and custom made interiors with a wide variety of options without any constraints or limitations adhering to the industry standards and feasibility of the site or the scope of work.</t>
    </r>
    <r>
      <rPr>
        <rFont val="Calibri"/>
        <color theme="1"/>
        <sz val="10.0"/>
      </rPr>
      <t xml:space="preserve">
</t>
    </r>
    <r>
      <rPr>
        <rFont val="Times New Roman"/>
        <b/>
        <color theme="1"/>
        <sz val="12.0"/>
      </rPr>
      <t>9. Q: What is not within your scope of work?</t>
    </r>
    <r>
      <rPr>
        <rFont val="Calibri"/>
        <color theme="1"/>
        <sz val="10.0"/>
      </rPr>
      <t xml:space="preserve">
</t>
    </r>
    <r>
      <rPr>
        <rFont val="Times New Roman"/>
        <b/>
        <color theme="1"/>
        <sz val="12.0"/>
      </rPr>
      <t xml:space="preserve">   - A:</t>
    </r>
    <r>
      <rPr>
        <rFont val="Times New Roman"/>
        <color theme="1"/>
        <sz val="12.0"/>
      </rPr>
      <t xml:space="preserve"> We do not directly involve in construction works, bathroom revamps, mosquito mesh, grill or any MS works etc.</t>
    </r>
    <r>
      <rPr>
        <rFont val="Calibri"/>
        <color theme="1"/>
        <sz val="10.0"/>
      </rPr>
      <t xml:space="preserve">
</t>
    </r>
    <r>
      <rPr>
        <rFont val="Times New Roman"/>
        <b/>
        <color theme="1"/>
        <sz val="12.0"/>
      </rPr>
      <t>10. Q: Do you offer architectural consultation?</t>
    </r>
    <r>
      <rPr>
        <rFont val="Calibri"/>
        <color theme="1"/>
        <sz val="10.0"/>
      </rPr>
      <t xml:space="preserve">
</t>
    </r>
    <r>
      <rPr>
        <rFont val="Times New Roman"/>
        <b/>
        <color theme="1"/>
        <sz val="12.0"/>
      </rPr>
      <t xml:space="preserve">    - A:</t>
    </r>
    <r>
      <rPr>
        <rFont val="Times New Roman"/>
        <color theme="1"/>
        <sz val="12.0"/>
      </rPr>
      <t xml:space="preserve"> Our lead designer shall provide required suggestions, but we don't provide 2D or 3D drawings for external or third-party teams to work with.</t>
    </r>
    <r>
      <rPr>
        <rFont val="Calibri"/>
        <color theme="1"/>
        <sz val="10.0"/>
      </rPr>
      <t xml:space="preserve">
</t>
    </r>
    <r>
      <rPr>
        <rFont val="Times New Roman"/>
        <b/>
        <color theme="1"/>
        <sz val="12.0"/>
      </rPr>
      <t>11. Q: Do you offer only design consultation services?</t>
    </r>
    <r>
      <rPr>
        <rFont val="Calibri"/>
        <color theme="1"/>
        <sz val="10.0"/>
      </rPr>
      <t xml:space="preserve">
</t>
    </r>
    <r>
      <rPr>
        <rFont val="Times New Roman"/>
        <b/>
        <color theme="1"/>
        <sz val="12.0"/>
      </rPr>
      <t xml:space="preserve">    - A: </t>
    </r>
    <r>
      <rPr>
        <rFont val="Times New Roman"/>
        <color theme="1"/>
        <sz val="12.0"/>
      </rPr>
      <t>We provide complete turnkey solutions, including design and execution; we don't offer design consultation seperately.</t>
    </r>
    <r>
      <rPr>
        <rFont val="Calibri"/>
        <color theme="1"/>
        <sz val="10.0"/>
      </rPr>
      <t xml:space="preserve">
</t>
    </r>
    <r>
      <rPr>
        <rFont val="Times New Roman"/>
        <b/>
        <color theme="1"/>
        <sz val="12.0"/>
      </rPr>
      <t>12. Q: Will you execute my project if I provide the designs?</t>
    </r>
    <r>
      <rPr>
        <rFont val="Calibri"/>
        <color theme="1"/>
        <sz val="10.0"/>
      </rPr>
      <t xml:space="preserve">
</t>
    </r>
    <r>
      <rPr>
        <rFont val="Times New Roman"/>
        <b/>
        <color theme="1"/>
        <sz val="12.0"/>
      </rPr>
      <t xml:space="preserve">    - A:</t>
    </r>
    <r>
      <rPr>
        <rFont val="Times New Roman"/>
        <color theme="1"/>
        <sz val="12.0"/>
      </rPr>
      <t xml:space="preserve"> Yes, we can execute your project if all required design data and details are provided subject to the agreed upon timeline and payment terms.</t>
    </r>
    <r>
      <rPr>
        <rFont val="Calibri"/>
        <color theme="1"/>
        <sz val="10.0"/>
      </rPr>
      <t xml:space="preserve">
</t>
    </r>
    <r>
      <rPr>
        <rFont val="Times New Roman"/>
        <b/>
        <color theme="1"/>
        <sz val="12.0"/>
      </rPr>
      <t>13. Q: Will there be a project engineer at my location full-time?</t>
    </r>
    <r>
      <rPr>
        <rFont val="Calibri"/>
        <color theme="1"/>
        <sz val="10.0"/>
      </rPr>
      <t xml:space="preserve">
</t>
    </r>
    <r>
      <rPr>
        <rFont val="Times New Roman"/>
        <b/>
        <color theme="1"/>
        <sz val="12.0"/>
      </rPr>
      <t xml:space="preserve">    - A:</t>
    </r>
    <r>
      <rPr>
        <rFont val="Times New Roman"/>
        <color theme="1"/>
        <sz val="12.0"/>
      </rPr>
      <t xml:space="preserve"> A dedicated project engineer will provide daily morning/evening updates of the site in whatsapp group, visiting the site three times a week, and conducting quality checks at the factory the other days.</t>
    </r>
    <r>
      <rPr>
        <rFont val="Calibri"/>
        <color theme="1"/>
        <sz val="10.0"/>
      </rPr>
      <t xml:space="preserve">
</t>
    </r>
    <r>
      <rPr>
        <rFont val="Times New Roman"/>
        <b/>
        <color theme="1"/>
        <sz val="12.0"/>
      </rPr>
      <t>14. Q: When will the design work begin?</t>
    </r>
    <r>
      <rPr>
        <rFont val="Calibri"/>
        <color theme="1"/>
        <sz val="10.0"/>
      </rPr>
      <t xml:space="preserve">
</t>
    </r>
    <r>
      <rPr>
        <rFont val="Times New Roman"/>
        <b/>
        <color theme="1"/>
        <sz val="12.0"/>
      </rPr>
      <t xml:space="preserve">    - A:</t>
    </r>
    <r>
      <rPr>
        <rFont val="Times New Roman"/>
        <color theme="1"/>
        <sz val="12.0"/>
      </rPr>
      <t xml:space="preserve"> After a 10% official booking advance, a dedicated lead designer shall be assigned to start working on your designs.</t>
    </r>
    <r>
      <rPr>
        <rFont val="Calibri"/>
        <color theme="1"/>
        <sz val="10.0"/>
      </rPr>
      <t xml:space="preserve">
</t>
    </r>
    <r>
      <rPr>
        <rFont val="Times New Roman"/>
        <b/>
        <color theme="1"/>
        <sz val="12.0"/>
      </rPr>
      <t>15. Q: Is there a minimum bill value for your services?</t>
    </r>
    <r>
      <rPr>
        <rFont val="Calibri"/>
        <color theme="1"/>
        <sz val="10.0"/>
      </rPr>
      <t xml:space="preserve">
</t>
    </r>
    <r>
      <rPr>
        <rFont val="Times New Roman"/>
        <b/>
        <color theme="1"/>
        <sz val="12.0"/>
      </rPr>
      <t xml:space="preserve">    - A:</t>
    </r>
    <r>
      <rPr>
        <rFont val="Times New Roman"/>
        <color theme="1"/>
        <sz val="12.0"/>
      </rPr>
      <t xml:space="preserve"> Yes, we only take up projects in and around Chennai with a minimum bill value of 5 lakhs in woodworks excluding GST.</t>
    </r>
    <r>
      <rPr>
        <rFont val="Calibri"/>
        <color theme="1"/>
        <sz val="10.0"/>
      </rPr>
      <t xml:space="preserve">
</t>
    </r>
    <r>
      <rPr>
        <rFont val="Times New Roman"/>
        <b/>
        <color theme="1"/>
        <sz val="12.0"/>
      </rPr>
      <t>16. Q: Do you handle furniture orders?</t>
    </r>
    <r>
      <rPr>
        <rFont val="Calibri"/>
        <color theme="1"/>
        <sz val="10.0"/>
      </rPr>
      <t xml:space="preserve">
</t>
    </r>
    <r>
      <rPr>
        <rFont val="Times New Roman"/>
        <b/>
        <color theme="1"/>
        <sz val="12.0"/>
      </rPr>
      <t xml:space="preserve">    - A:</t>
    </r>
    <r>
      <rPr>
        <rFont val="Times New Roman"/>
        <color theme="1"/>
        <sz val="12.0"/>
      </rPr>
      <t xml:space="preserve"> Yes, we take up furniture and furnishings orders along with woodworks.</t>
    </r>
    <r>
      <rPr>
        <rFont val="Calibri"/>
        <color theme="1"/>
        <sz val="10.0"/>
      </rPr>
      <t xml:space="preserve">
</t>
    </r>
    <r>
      <rPr>
        <rFont val="Times New Roman"/>
        <b/>
        <color theme="1"/>
        <sz val="12.0"/>
      </rPr>
      <t>17. Q: Can you explain your VR facility for clients?</t>
    </r>
    <r>
      <rPr>
        <rFont val="Calibri"/>
        <color theme="1"/>
        <sz val="10.0"/>
      </rPr>
      <t xml:space="preserve">
</t>
    </r>
    <r>
      <rPr>
        <rFont val="Times New Roman"/>
        <b/>
        <color theme="1"/>
        <sz val="12.0"/>
      </rPr>
      <t xml:space="preserve">    - A:</t>
    </r>
    <r>
      <rPr>
        <rFont val="Times New Roman"/>
        <color theme="1"/>
        <sz val="12.0"/>
      </rPr>
      <t xml:space="preserve"> With VR experience, We can iterate on designs quickly and test them in an immersive 3D environment, allowing for more confident decisions and proper visualisation to understand the volume. This facility is subject to the project scope, time line and value.</t>
    </r>
    <r>
      <rPr>
        <rFont val="Calibri"/>
        <color theme="1"/>
        <sz val="10.0"/>
      </rPr>
      <t xml:space="preserve">
</t>
    </r>
    <r>
      <rPr>
        <rFont val="Times New Roman"/>
        <b/>
        <color theme="1"/>
        <sz val="12.0"/>
      </rPr>
      <t>18. Q: What restrictions do you have on taking up projects?</t>
    </r>
    <r>
      <rPr>
        <rFont val="Calibri"/>
        <color theme="1"/>
        <sz val="10.0"/>
      </rPr>
      <t xml:space="preserve">
</t>
    </r>
    <r>
      <rPr>
        <rFont val="Times New Roman"/>
        <b/>
        <color theme="1"/>
        <sz val="12.0"/>
      </rPr>
      <t xml:space="preserve">    - A:</t>
    </r>
    <r>
      <rPr>
        <rFont val="Times New Roman"/>
        <color theme="1"/>
        <sz val="12.0"/>
      </rPr>
      <t xml:space="preserve"> We won't take up projects if and when the site is outside Chennai or if its less than a minimum bill value of 5 lakhs excludiong GST in woodworks and also if you are unable to relocate from the property during site execution for safety and health concerns.</t>
    </r>
    <r>
      <rPr>
        <rFont val="Calibri"/>
        <color theme="1"/>
        <sz val="10.0"/>
      </rPr>
      <t xml:space="preserve">
</t>
    </r>
    <r>
      <rPr>
        <rFont val="Times New Roman"/>
        <b/>
        <color theme="1"/>
        <sz val="12.0"/>
      </rPr>
      <t>19. Q: Where do you provide your services?</t>
    </r>
    <r>
      <rPr>
        <rFont val="Calibri"/>
        <color theme="1"/>
        <sz val="10.0"/>
      </rPr>
      <t xml:space="preserve">
</t>
    </r>
    <r>
      <rPr>
        <rFont val="Times New Roman"/>
        <b/>
        <color theme="1"/>
        <sz val="12.0"/>
      </rPr>
      <t xml:space="preserve">    - A:</t>
    </r>
    <r>
      <rPr>
        <rFont val="Times New Roman"/>
        <color theme="1"/>
        <sz val="12.0"/>
      </rPr>
      <t xml:space="preserve"> We provide services in and around Chennai.</t>
    </r>
    <r>
      <rPr>
        <rFont val="Calibri"/>
        <color theme="1"/>
        <sz val="10.0"/>
      </rPr>
      <t xml:space="preserve">
</t>
    </r>
    <r>
      <rPr>
        <rFont val="Times New Roman"/>
        <b/>
        <color theme="1"/>
        <sz val="12.0"/>
      </rPr>
      <t>20. Q: Do you coordinate with work beyond your scope?</t>
    </r>
    <r>
      <rPr>
        <rFont val="Calibri"/>
        <color theme="1"/>
        <sz val="10.0"/>
      </rPr>
      <t xml:space="preserve">
</t>
    </r>
    <r>
      <rPr>
        <rFont val="Times New Roman"/>
        <color theme="1"/>
        <sz val="12.0"/>
      </rPr>
      <t xml:space="preserve">    </t>
    </r>
    <r>
      <rPr>
        <rFont val="Times New Roman"/>
        <b/>
        <color theme="1"/>
        <sz val="12.0"/>
      </rPr>
      <t>- A:</t>
    </r>
    <r>
      <rPr>
        <rFont val="Times New Roman"/>
        <color theme="1"/>
        <sz val="12.0"/>
      </rPr>
      <t xml:space="preserve"> Yes, our designers provide design suggestion, and our site team coordinates those works at site works which are beyond our scope if neccesory.</t>
    </r>
    <r>
      <rPr>
        <rFont val="Calibri"/>
        <color theme="1"/>
        <sz val="10.0"/>
      </rPr>
      <t xml:space="preserve">
</t>
    </r>
    <r>
      <rPr>
        <rFont val="Times New Roman"/>
        <b/>
        <color theme="1"/>
        <sz val="12.0"/>
      </rPr>
      <t>21. Q: Are you an one-stop solution provider?</t>
    </r>
    <r>
      <rPr>
        <rFont val="Calibri"/>
        <color theme="1"/>
        <sz val="10.0"/>
      </rPr>
      <t xml:space="preserve">
</t>
    </r>
    <r>
      <rPr>
        <rFont val="Times New Roman"/>
        <b/>
        <color theme="1"/>
        <sz val="12.0"/>
      </rPr>
      <t xml:space="preserve">    - A:</t>
    </r>
    <r>
      <rPr>
        <rFont val="Times New Roman"/>
        <color theme="1"/>
        <sz val="12.0"/>
      </rPr>
      <t xml:space="preserve"> Yes, we offer solutions for woodworks, furniture, false ceiling, lighting and furnishings in interiors.</t>
    </r>
    <r>
      <rPr>
        <rFont val="Calibri"/>
        <color theme="1"/>
        <sz val="10.0"/>
      </rPr>
      <t xml:space="preserve">
</t>
    </r>
    <r>
      <rPr>
        <rFont val="Times New Roman"/>
        <b/>
        <color theme="1"/>
        <sz val="12.0"/>
      </rPr>
      <t>22. Q: Are you available on weekends?</t>
    </r>
    <r>
      <rPr>
        <rFont val="Calibri"/>
        <color theme="1"/>
        <sz val="10.0"/>
      </rPr>
      <t xml:space="preserve">
</t>
    </r>
    <r>
      <rPr>
        <rFont val="Times New Roman"/>
        <b/>
        <color theme="1"/>
        <sz val="12.0"/>
      </rPr>
      <t xml:space="preserve">    - A:</t>
    </r>
    <r>
      <rPr>
        <rFont val="Times New Roman"/>
        <color theme="1"/>
        <sz val="12.0"/>
      </rPr>
      <t xml:space="preserve"> Yes, we are open from Monday to Sunday, 10:30 am - 7:30 pm. Our weekly off is on Tuesdays, with occasional Tuesday and Wednesday off during the second week of the month.</t>
    </r>
    <r>
      <rPr>
        <rFont val="Calibri"/>
        <color theme="1"/>
        <sz val="10.0"/>
      </rPr>
      <t xml:space="preserve">
</t>
    </r>
    <r>
      <rPr>
        <rFont val="Times New Roman"/>
        <b/>
        <color theme="1"/>
        <sz val="12.0"/>
      </rPr>
      <t>23. Q: Why should I visit the experience center?</t>
    </r>
    <r>
      <rPr>
        <rFont val="Calibri"/>
        <color theme="1"/>
        <sz val="10.0"/>
      </rPr>
      <t xml:space="preserve">
</t>
    </r>
    <r>
      <rPr>
        <rFont val="Times New Roman"/>
        <b/>
        <color theme="1"/>
        <sz val="12.0"/>
      </rPr>
      <t xml:space="preserve">    - A:</t>
    </r>
    <r>
      <rPr>
        <rFont val="Times New Roman"/>
        <color theme="1"/>
        <sz val="12.0"/>
      </rPr>
      <t xml:space="preserve"> The process begins with an initial meeting at our experience center, where you get a free consultation with our design experts and also experience real-time materials,furniture, lighting and Modular solutions in regards to your lifestyle preferences and proceed accordingly with the rest of the process as per your needs and our suggestions.</t>
    </r>
    <r>
      <rPr>
        <rFont val="Calibri"/>
        <color theme="1"/>
        <sz val="10.0"/>
      </rPr>
      <t xml:space="preserve">
</t>
    </r>
    <r>
      <rPr>
        <rFont val="Times New Roman"/>
        <b/>
        <color theme="1"/>
        <sz val="12.0"/>
      </rPr>
      <t>24. Q: Can I visit a completed site of yours?</t>
    </r>
    <r>
      <rPr>
        <rFont val="Calibri"/>
        <color theme="1"/>
        <sz val="10.0"/>
      </rPr>
      <t xml:space="preserve">
</t>
    </r>
    <r>
      <rPr>
        <rFont val="Times New Roman"/>
        <b/>
        <color theme="1"/>
        <sz val="12.0"/>
      </rPr>
      <t xml:space="preserve">    - A:</t>
    </r>
    <r>
      <rPr>
        <rFont val="Times New Roman"/>
        <color theme="1"/>
        <sz val="12.0"/>
      </rPr>
      <t xml:space="preserve"> Yes, you are welcome to visit one of our ongoing sites with the homeowner's permission.</t>
    </r>
    <r>
      <rPr>
        <rFont val="Calibri"/>
        <color theme="1"/>
        <sz val="10.0"/>
      </rPr>
      <t xml:space="preserve">
</t>
    </r>
    <r>
      <rPr>
        <rFont val="Times New Roman"/>
        <b/>
        <color theme="1"/>
        <sz val="12.0"/>
      </rPr>
      <t>25. Q: What is your refund policy?</t>
    </r>
    <r>
      <rPr>
        <rFont val="Calibri"/>
        <color theme="1"/>
        <sz val="10.0"/>
      </rPr>
      <t xml:space="preserve">
</t>
    </r>
    <r>
      <rPr>
        <rFont val="Times New Roman"/>
        <b/>
        <color theme="1"/>
        <sz val="12.0"/>
      </rPr>
      <t xml:space="preserve">    - A:</t>
    </r>
    <r>
      <rPr>
        <rFont val="Times New Roman"/>
        <color theme="1"/>
        <sz val="12.0"/>
      </rPr>
      <t xml:space="preserve"> Booking is made to execute our unique designs, hence we kindly inform you that once the booking advance has been made, our policy stipulates that refunds are not available. </t>
    </r>
  </si>
  <si>
    <t>Glossy mr</t>
  </si>
  <si>
    <t>MR+ , bwp</t>
  </si>
  <si>
    <t>Glossy  mr</t>
  </si>
  <si>
    <t>JR+</t>
  </si>
  <si>
    <t>JR+ , bwp</t>
  </si>
  <si>
    <t>MODULAR WORK (Actual designs and price will vary)</t>
  </si>
  <si>
    <t>Ground Floor</t>
  </si>
  <si>
    <t>Veranda</t>
  </si>
  <si>
    <t>Lobby</t>
  </si>
  <si>
    <t>Office room</t>
  </si>
  <si>
    <t xml:space="preserve">Glossy </t>
  </si>
  <si>
    <t>Guest room</t>
  </si>
  <si>
    <t>Servant room</t>
  </si>
  <si>
    <t>First Floor</t>
  </si>
  <si>
    <t>TV Unit</t>
  </si>
  <si>
    <t>mr+</t>
  </si>
  <si>
    <t>Pooja Unit</t>
  </si>
  <si>
    <t>mR+</t>
  </si>
  <si>
    <t>Kitchen - BWP</t>
  </si>
  <si>
    <t>SF</t>
  </si>
  <si>
    <t>Acrylic</t>
  </si>
  <si>
    <t>Utility</t>
  </si>
  <si>
    <t>Store room</t>
  </si>
  <si>
    <t>Courtyard</t>
  </si>
  <si>
    <t>Second Floor</t>
  </si>
  <si>
    <t>Sons Bedroom</t>
  </si>
  <si>
    <t>Study Unit</t>
  </si>
  <si>
    <t>Walkin wardrobe</t>
  </si>
  <si>
    <t>Library</t>
  </si>
  <si>
    <t>Daughters Bedroom</t>
  </si>
  <si>
    <t>Bay window</t>
  </si>
  <si>
    <t>Dad's Bedroom</t>
  </si>
  <si>
    <t>Mom's Bedroom</t>
  </si>
  <si>
    <t>Terrace Floor</t>
  </si>
  <si>
    <t>Multipurpose room</t>
  </si>
  <si>
    <t>Vanity - 4nos</t>
  </si>
  <si>
    <t>MLDULAR WLRK (Actual designs and price will vary)</t>
  </si>
  <si>
    <t>Lffice room</t>
  </si>
  <si>
    <t>Poooa Unit</t>
  </si>
  <si>
    <t>TRANSPLRTATILN,LLADING &amp; UNLLADING</t>
  </si>
  <si>
    <t>SUB TLTAL</t>
  </si>
  <si>
    <t>GRAND TLTAL</t>
  </si>
  <si>
    <t xml:space="preserve">Dear Mr. Madhu Bharath
Date: 05.08.2025
Location : Brigade Xanadu, Nolambur
Handover: Done
We would like to take this opportunity to thank you for considering Tint Tone and Shade in designing your dream home. We assure you to serve the best in terms of design, quality and service. Please find below your Project Details, Detailed Specification &amp; Proposed Quotation according to your specified requirements. </t>
  </si>
  <si>
    <t>buffer added in dimension</t>
  </si>
  <si>
    <t>Supply and installation of Wardrobe with mixed laminate finish featuring designer laminate with basic cnc groove with duco paint - MR ply, Handles</t>
  </si>
  <si>
    <t>Foyer and Pooja</t>
  </si>
  <si>
    <t>Supply and installation of 20x20 black aluminum rods.</t>
  </si>
  <si>
    <t>Fasle ceiling</t>
  </si>
  <si>
    <r>
      <rPr>
        <rFont val="Times New Roman"/>
        <b/>
        <color theme="1"/>
        <sz val="12.0"/>
      </rPr>
      <t>Inclusions of Scope:</t>
    </r>
    <r>
      <rPr>
        <rFont val="Calibri"/>
        <color theme="1"/>
        <sz val="12.0"/>
      </rPr>
      <t xml:space="preserve">
</t>
    </r>
    <r>
      <rPr>
        <rFont val="Times New Roman"/>
        <color theme="1"/>
        <sz val="12.0"/>
      </rPr>
      <t>• Cost of Standard Handles, Drawers, Wardrobe locks, Wardrobe Hanger rods, Tower bolts &amp; Skirting are included in the quotation. Packing Charges, Local Transportation, Installation and Inspection is also included in the Quotation.</t>
    </r>
    <r>
      <rPr>
        <rFont val="Calibri"/>
        <color theme="1"/>
        <sz val="12.0"/>
      </rPr>
      <t xml:space="preserve">
• Cost of Standard Handles, Drawers, Wardrobe locks, Wardrobe Hanger rods, Tower bolts &amp; Skirting are included in the quotation. Packing Charges, Local Transportation, Installation and Inspection is also included in the Quotation.
</t>
    </r>
    <r>
      <rPr>
        <rFont val="Times New Roman"/>
        <color theme="1"/>
        <sz val="12.0"/>
      </rPr>
      <t xml:space="preserve">•   Installation and Inspection is included in our Scope and the Cost for the same is included in the given rates quotation. No additional or hidden charges are there in the quotation.  </t>
    </r>
    <r>
      <rPr>
        <rFont val="Calibri"/>
        <color theme="1"/>
        <sz val="12.0"/>
      </rPr>
      <t xml:space="preserve">
</t>
    </r>
    <r>
      <rPr>
        <rFont val="Times New Roman"/>
        <color theme="1"/>
        <sz val="12.0"/>
      </rPr>
      <t xml:space="preserve">•The above is only valid for 2 Months from the date of estimation. </t>
    </r>
    <r>
      <rPr>
        <rFont val="Calibri"/>
        <color theme="1"/>
        <sz val="12.0"/>
      </rPr>
      <t xml:space="preserve">
</t>
    </r>
    <r>
      <rPr>
        <rFont val="Times New Roman"/>
        <b/>
        <color theme="1"/>
        <sz val="12.0"/>
      </rPr>
      <t>Exclusions in Quotations:</t>
    </r>
    <r>
      <rPr>
        <rFont val="Calibri"/>
        <color theme="1"/>
        <sz val="12.0"/>
      </rPr>
      <t xml:space="preserve">
</t>
    </r>
    <r>
      <rPr>
        <rFont val="Times New Roman"/>
        <color theme="1"/>
        <sz val="12.0"/>
      </rPr>
      <t>•  Incase of any civil dependency from builder,We will provide the suggestion and references but no working 3D/2D drawing will be done by team for any other third party teams to work and we do not take any responsibility for it.</t>
    </r>
    <r>
      <rPr>
        <rFont val="Calibri"/>
        <color theme="1"/>
        <sz val="12.0"/>
      </rPr>
      <t xml:space="preserve">
•  Incase of any civil dependency from builder,We will provide the suggestion and references but no working 3D/2D drawing will be done by team for any other third party teams to work and we do not take any responsibility for it.
</t>
    </r>
    <r>
      <rPr>
        <rFont val="Times New Roman"/>
        <color theme="1"/>
        <sz val="12.0"/>
      </rPr>
      <t xml:space="preserve">•  We execute as per the final drawing which is signed by the client. No additional changes or alteration at site will be entertained. </t>
    </r>
    <r>
      <rPr>
        <rFont val="Calibri"/>
        <color theme="1"/>
        <sz val="12.0"/>
      </rPr>
      <t xml:space="preserve">
</t>
    </r>
    <r>
      <rPr>
        <rFont val="Times New Roman"/>
        <b/>
        <color theme="1"/>
        <sz val="12.0"/>
      </rPr>
      <t>Production &amp; Installation Stage:</t>
    </r>
    <r>
      <rPr>
        <rFont val="Calibri"/>
        <color theme="1"/>
        <sz val="12.0"/>
      </rPr>
      <t xml:space="preserve">
</t>
    </r>
    <r>
      <rPr>
        <rFont val="Times New Roman"/>
        <color theme="1"/>
        <sz val="12.0"/>
      </rPr>
      <t>• Since we begin manufacturing upon receipt of 50% payment, you are requested to pay the balance 40% upon material delivery.</t>
    </r>
    <r>
      <rPr>
        <rFont val="Calibri"/>
        <color theme="1"/>
        <sz val="12.0"/>
      </rPr>
      <t xml:space="preserve">
</t>
    </r>
    <r>
      <rPr>
        <rFont val="Times New Roman"/>
        <color theme="1"/>
        <sz val="12.0"/>
      </rPr>
      <t>• All your woodwork is covered under the TTS 1</t>
    </r>
    <r>
      <rPr>
        <rFont val="Calibri"/>
        <color theme="1"/>
        <sz val="12.0"/>
      </rPr>
      <t>5</t>
    </r>
    <r>
      <rPr>
        <rFont val="Times New Roman"/>
        <color theme="1"/>
        <sz val="12.0"/>
      </rPr>
      <t>-year warranty. This safeguards you against any defect in manufacturing or in installation workmanship.</t>
    </r>
    <r>
      <rPr>
        <rFont val="Calibri"/>
        <color theme="1"/>
        <sz val="12.0"/>
      </rPr>
      <t xml:space="preserve">
</t>
    </r>
    <r>
      <rPr>
        <rFont val="Times New Roman"/>
        <color theme="1"/>
        <sz val="12.0"/>
      </rPr>
      <t>• All accessories, hardware and appliances are covered as per the respective Manufacturer’s Warranty Policy. You can refer to the TTS Works Contract for a detailed description of our Warranty Policy.</t>
    </r>
    <r>
      <rPr>
        <rFont val="Calibri"/>
        <color theme="1"/>
        <sz val="12.0"/>
      </rPr>
      <t xml:space="preserve">
</t>
    </r>
    <r>
      <rPr>
        <rFont val="Times New Roman"/>
        <b/>
        <color theme="1"/>
        <sz val="12.0"/>
      </rPr>
      <t>Delivery and Installation Timeline:</t>
    </r>
    <r>
      <rPr>
        <rFont val="Calibri"/>
        <color theme="1"/>
        <sz val="12.0"/>
      </rPr>
      <t xml:space="preserve">
</t>
    </r>
    <r>
      <rPr>
        <rFont val="Times New Roman"/>
        <color theme="1"/>
        <sz val="12.0"/>
      </rPr>
      <t>• The commencement of the civil work shall be made by confirmation via signature from the client.</t>
    </r>
    <r>
      <rPr>
        <rFont val="Calibri"/>
        <color theme="1"/>
        <sz val="12.0"/>
      </rPr>
      <t xml:space="preserve">
</t>
    </r>
    <r>
      <rPr>
        <rFont val="Times New Roman"/>
        <color theme="1"/>
        <sz val="12.0"/>
      </rPr>
      <t xml:space="preserve">• A period of 5 days will be taken for mobilization, followed by minimum </t>
    </r>
    <r>
      <rPr>
        <rFont val="Calibri"/>
        <color theme="1"/>
        <sz val="12.0"/>
      </rPr>
      <t>6</t>
    </r>
    <r>
      <rPr>
        <rFont val="Times New Roman"/>
        <color theme="1"/>
        <sz val="12.0"/>
      </rPr>
      <t>5 working days will be taken for the completion of the work, This timeline varies based on scope of work and precise timeline will be informed before production.</t>
    </r>
    <r>
      <rPr>
        <rFont val="Calibri"/>
        <color theme="1"/>
        <sz val="12.0"/>
      </rPr>
      <t xml:space="preserve">
</t>
    </r>
    <r>
      <rPr>
        <rFont val="Times New Roman"/>
        <color theme="1"/>
        <sz val="12.0"/>
      </rPr>
      <t xml:space="preserve">• Following the completion of civil work, the detailed measurements will be taken and updated on the design documents. </t>
    </r>
    <r>
      <rPr>
        <rFont val="Calibri"/>
        <color theme="1"/>
        <sz val="12.0"/>
      </rPr>
      <t xml:space="preserve">
</t>
    </r>
    <r>
      <rPr>
        <rFont val="Times New Roman"/>
        <color theme="1"/>
        <sz val="12.0"/>
      </rPr>
      <t>• Minimum 45 working days of work shall be taken for the execution of carpentry works (Min 30 days for factory production + Min 15 days for installation on site). This timeline varies based on scope of work.</t>
    </r>
    <r>
      <rPr>
        <rFont val="Calibri"/>
        <color theme="1"/>
        <sz val="12.0"/>
      </rPr>
      <t xml:space="preserve">
</t>
    </r>
    <r>
      <rPr>
        <rFont val="Times New Roman"/>
        <color theme="1"/>
        <sz val="12.0"/>
      </rPr>
      <t>• Back panels would be constructed of the same cabinet core material for all products.</t>
    </r>
    <r>
      <rPr>
        <rFont val="Calibri"/>
        <color theme="1"/>
        <sz val="12.0"/>
      </rPr>
      <t xml:space="preserve">
</t>
    </r>
    <r>
      <rPr>
        <rFont val="Times New Roman"/>
        <color theme="1"/>
        <sz val="12.0"/>
      </rPr>
      <t>• All lofts will be soft close by default.</t>
    </r>
    <r>
      <rPr>
        <rFont val="Calibri"/>
        <color theme="1"/>
        <sz val="12.0"/>
      </rPr>
      <t xml:space="preserve">
</t>
    </r>
    <r>
      <rPr>
        <rFont val="Times New Roman"/>
        <color theme="1"/>
        <sz val="12.0"/>
      </rPr>
      <t>• Final coat of paint should be done after completion of interior work. If any civil work is done at site including- false ceiling, electrical, plumbing, gas piping, wall demolition, wall partition etc, we are unable to avoid hand marks, scratches during installation.</t>
    </r>
    <r>
      <rPr>
        <rFont val="Calibri"/>
        <color theme="1"/>
        <sz val="12.0"/>
      </rPr>
      <t xml:space="preserve">
</t>
    </r>
    <r>
      <rPr>
        <rFont val="Times New Roman"/>
        <color theme="1"/>
        <sz val="12.0"/>
      </rPr>
      <t>• On site design changes and alteration shall not be entertained after the design sign off and approval by the client. Such alterations and design modifications will lead to delay in the completion of the project and the same will be reflected on the given final quotation.</t>
    </r>
    <r>
      <rPr>
        <rFont val="Calibri"/>
        <color theme="1"/>
        <sz val="12.0"/>
      </rPr>
      <t xml:space="preserve">
</t>
    </r>
    <r>
      <rPr>
        <rFont val="Times New Roman"/>
        <color theme="1"/>
        <sz val="12.0"/>
      </rPr>
      <t>•  The lead time starts only from receipt of 50% Payment &amp; Client’s approval on Production drawings confirming Laminates, Colours. Production will not initiate if signature on document or payment is pending.</t>
    </r>
  </si>
  <si>
    <r>
      <rPr>
        <rFont val="Times New Roman"/>
        <b/>
        <color theme="1"/>
        <sz val="12.0"/>
      </rPr>
      <t>Terms &amp; Conditions:</t>
    </r>
    <r>
      <rPr>
        <rFont val="Calibri"/>
        <color theme="1"/>
        <sz val="12.0"/>
      </rPr>
      <t xml:space="preserve">
</t>
    </r>
    <r>
      <rPr>
        <rFont val="Times New Roman"/>
        <color theme="1"/>
        <sz val="12.0"/>
      </rPr>
      <t>• The exact price of your project will depend on measurements, scope of work and change in designs/ material / finishes. Based on these revisions, you can expect the quote to raise or drop if there is any change in scope of work or selected finishes . (Minimum bill value for woodworks excluding GST will be 5 Lakhs)                                                                                                                                                                                                                                                                • To move forward with development of measurement-based designs, you will have to pay 10% of this estimate as a non-refundable advance.                                                                                                                                                                                                                                                                               • The Initial estimates may not include civil, plumbing, gas-piping or electrical chasing work. The exact value</t>
    </r>
    <r>
      <rPr>
        <rFont val="Calibri"/>
        <color theme="1"/>
        <sz val="12.0"/>
      </rPr>
      <t xml:space="preserve">
</t>
    </r>
    <r>
      <rPr>
        <rFont val="Times New Roman"/>
        <color theme="1"/>
        <sz val="12.0"/>
      </rPr>
      <t xml:space="preserve"> of the quote will depend on the site conditions.                                                                                                                                                                                                                                                                  •  Tint Tone and Shade will not be responsible for any delays from the Builder’s side. Delay of payment from the client’s side will reflect on the handover of the project.                                                                                                                                                                                                                                                                        • Accessories are also essential to complete the Installation Process. Complete Material Packages of Accessories can be dispatched only after 100% of payment for the same. There will be no deviation.                                                                                                                                                                                                                                                                      •  On occasion of project cancellation, 10% of booking advance paid by the client for doing the design, 2D Detailed Drawings &amp; 3D views will not be refunded,irrespective of the phase of design.                                                                                                                                                                                                                                                                                                                                                                                                                                            •  The Final coat of paint (If done by builder or by our team) should be done only after completion of entire works to avoid any reworks.</t>
    </r>
    <r>
      <rPr>
        <rFont val="Calibri"/>
        <color theme="1"/>
        <sz val="12.0"/>
      </rPr>
      <t xml:space="preserve">
</t>
    </r>
    <r>
      <rPr>
        <rFont val="Times New Roman"/>
        <color theme="1"/>
        <sz val="12.0"/>
      </rPr>
      <t xml:space="preserve">• All your woodwork is covered under the Tint Tone and Shade 10-year warranty.  This safeguards you against any defect in manufacturing or in installation workmanship.           </t>
    </r>
    <r>
      <rPr>
        <rFont val="Calibri"/>
        <color theme="1"/>
        <sz val="12.0"/>
      </rPr>
      <t xml:space="preserve">
</t>
    </r>
    <r>
      <rPr>
        <rFont val="Times New Roman"/>
        <color theme="1"/>
        <sz val="12.0"/>
      </rPr>
      <t xml:space="preserve">• All accessories, hardware and applications are covered as per the respective Manufacturer’s Warranty Policy. You can refer to the Tint Tone and Shade Work Contract for a detailed description of our warranty policy.                                                                                                                                                                                                             •   Sign off Post Design Finalisation- the outlined items in the document cannot be changed or removed without additional costs. If changes are requested, additional cost for the same shall be applied. If any scope of work is removed, the cost won't be refunded or deducted from future payments.                                                                             </t>
    </r>
    <r>
      <rPr>
        <rFont val="Calibri"/>
        <color theme="1"/>
        <sz val="12.0"/>
      </rPr>
      <t xml:space="preserve">
</t>
    </r>
    <r>
      <rPr>
        <rFont val="Times New Roman"/>
        <color theme="1"/>
        <sz val="12.0"/>
      </rPr>
      <t xml:space="preserve">                                                                      </t>
    </r>
  </si>
  <si>
    <r>
      <rPr>
        <rFont val="Times New Roman"/>
        <b/>
        <color theme="1"/>
        <sz val="12.0"/>
      </rPr>
      <t>Design Schedule:</t>
    </r>
    <r>
      <rPr>
        <rFont val="Calibri"/>
        <color theme="1"/>
        <sz val="12.0"/>
      </rPr>
      <t xml:space="preserve">
</t>
    </r>
    <r>
      <rPr>
        <rFont val="Times New Roman"/>
        <b/>
        <color theme="1"/>
        <sz val="12.0"/>
      </rPr>
      <t xml:space="preserve">Design Phase: </t>
    </r>
    <r>
      <rPr>
        <rFont val="Calibri"/>
        <color theme="1"/>
        <sz val="12.0"/>
      </rPr>
      <t xml:space="preserve">
</t>
    </r>
    <r>
      <rPr>
        <rFont val="Times New Roman"/>
        <color theme="1"/>
        <sz val="12.0"/>
      </rPr>
      <t>The design timeline includes discussions for the following design phase of the project:</t>
    </r>
    <r>
      <rPr>
        <rFont val="Calibri"/>
        <color theme="1"/>
        <sz val="12.0"/>
      </rPr>
      <t xml:space="preserve">
</t>
    </r>
    <r>
      <rPr>
        <rFont val="Times New Roman"/>
        <color theme="1"/>
        <sz val="12.0"/>
      </rPr>
      <t xml:space="preserve">a) Conduct an initial design study of existing site conditions and take the site measurements. </t>
    </r>
    <r>
      <rPr>
        <rFont val="Calibri"/>
        <color theme="1"/>
        <sz val="12.0"/>
      </rPr>
      <t xml:space="preserve">
</t>
    </r>
    <r>
      <rPr>
        <rFont val="Times New Roman"/>
        <color theme="1"/>
        <sz val="12.0"/>
      </rPr>
      <t xml:space="preserve">b) Discuss on the design preferences for each of the Project’s areas. </t>
    </r>
    <r>
      <rPr>
        <rFont val="Calibri"/>
        <color theme="1"/>
        <sz val="12.0"/>
      </rPr>
      <t xml:space="preserve">
</t>
    </r>
    <r>
      <rPr>
        <rFont val="Times New Roman"/>
        <color theme="1"/>
        <sz val="12.0"/>
      </rPr>
      <t xml:space="preserve">c) Prepare a conceptual discussion to generally illustrate our suggested design concepts including colour schemes, interior finishes, wall coverings, floor coverings and ceiling treatments. </t>
    </r>
    <r>
      <rPr>
        <rFont val="Calibri"/>
        <color theme="1"/>
        <sz val="12.0"/>
      </rPr>
      <t xml:space="preserve">
</t>
    </r>
    <r>
      <rPr>
        <rFont val="Times New Roman"/>
        <color theme="1"/>
        <sz val="12.0"/>
      </rPr>
      <t>d) Prepare 3D designs as per the existing plan and the preferred mood board.</t>
    </r>
    <r>
      <rPr>
        <rFont val="Calibri"/>
        <color theme="1"/>
        <sz val="12.0"/>
      </rPr>
      <t xml:space="preserve">
</t>
    </r>
    <r>
      <rPr>
        <rFont val="Times New Roman"/>
        <color theme="1"/>
        <sz val="12.0"/>
      </rPr>
      <t xml:space="preserve">e) Provide any suggestions for tiles, movable furniture and furnishings, if required. </t>
    </r>
    <r>
      <rPr>
        <rFont val="Calibri"/>
        <color theme="1"/>
        <sz val="12.0"/>
      </rPr>
      <t xml:space="preserve">
</t>
    </r>
    <r>
      <rPr>
        <rFont val="Times New Roman"/>
        <b/>
        <color theme="1"/>
        <sz val="12.0"/>
      </rPr>
      <t>Design Duration:</t>
    </r>
    <r>
      <rPr>
        <rFont val="Calibri"/>
        <color theme="1"/>
        <sz val="12.0"/>
      </rPr>
      <t xml:space="preserve">
</t>
    </r>
    <r>
      <rPr>
        <rFont val="Times New Roman"/>
        <color theme="1"/>
        <sz val="12.0"/>
      </rPr>
      <t>The design phase shall adhere to the following working days based on the type of residence:</t>
    </r>
    <r>
      <rPr>
        <rFont val="Calibri"/>
        <color theme="1"/>
        <sz val="12.0"/>
      </rPr>
      <t xml:space="preserve">
</t>
    </r>
    <r>
      <rPr>
        <rFont val="Times New Roman"/>
        <color theme="1"/>
        <sz val="12.0"/>
      </rPr>
      <t xml:space="preserve">   - 2BHK: </t>
    </r>
    <r>
      <rPr>
        <rFont val="Calibri"/>
        <color theme="1"/>
        <sz val="12.0"/>
      </rPr>
      <t>4</t>
    </r>
    <r>
      <rPr>
        <rFont val="Times New Roman"/>
        <color theme="1"/>
        <sz val="12.0"/>
      </rPr>
      <t>5 working days</t>
    </r>
    <r>
      <rPr>
        <rFont val="Calibri"/>
        <color theme="1"/>
        <sz val="12.0"/>
      </rPr>
      <t xml:space="preserve">
</t>
    </r>
    <r>
      <rPr>
        <rFont val="Times New Roman"/>
        <color theme="1"/>
        <sz val="12.0"/>
      </rPr>
      <t xml:space="preserve">   - 3BHK: </t>
    </r>
    <r>
      <rPr>
        <rFont val="Times New Roman"/>
        <color theme="1"/>
        <sz val="12.0"/>
      </rPr>
      <t>65</t>
    </r>
    <r>
      <rPr>
        <rFont val="Times New Roman"/>
        <color theme="1"/>
        <sz val="12.0"/>
      </rPr>
      <t xml:space="preserve"> working days</t>
    </r>
    <r>
      <rPr>
        <rFont val="Calibri"/>
        <color theme="1"/>
        <sz val="12.0"/>
      </rPr>
      <t xml:space="preserve">
</t>
    </r>
    <r>
      <rPr>
        <rFont val="Times New Roman"/>
        <color theme="1"/>
        <sz val="12.0"/>
      </rPr>
      <t xml:space="preserve">   - 4BHK: </t>
    </r>
    <r>
      <rPr>
        <rFont val="Calibri"/>
        <color theme="1"/>
        <sz val="12.0"/>
      </rPr>
      <t>8</t>
    </r>
    <r>
      <rPr>
        <rFont val="Times New Roman"/>
        <color theme="1"/>
        <sz val="12.0"/>
      </rPr>
      <t>0 working days</t>
    </r>
    <r>
      <rPr>
        <rFont val="Calibri"/>
        <color theme="1"/>
        <sz val="12.0"/>
      </rPr>
      <t xml:space="preserve">
</t>
    </r>
    <r>
      <rPr>
        <rFont val="Times New Roman"/>
        <color theme="1"/>
        <sz val="12.0"/>
      </rPr>
      <t xml:space="preserve">   - Additional rooms: +10 working days per room</t>
    </r>
    <r>
      <rPr>
        <rFont val="Calibri"/>
        <color theme="1"/>
        <sz val="12.0"/>
      </rPr>
      <t xml:space="preserve">
</t>
    </r>
    <r>
      <rPr>
        <rFont val="Times New Roman"/>
        <b/>
        <color theme="1"/>
        <sz val="12.0"/>
      </rPr>
      <t xml:space="preserve">Design Finalization: </t>
    </r>
    <r>
      <rPr>
        <rFont val="Calibri"/>
        <color theme="1"/>
        <sz val="12.0"/>
      </rPr>
      <t xml:space="preserve">
</t>
    </r>
    <r>
      <rPr>
        <rFont val="Times New Roman"/>
        <color theme="1"/>
        <sz val="12.0"/>
      </rPr>
      <t>Upon the successful completion of the design within the agreed-upon timeline, we will promptly provide you with the final iteration. It is important to note that once this final design is proposed, we will proceed with the utmost care and precision to ensure that all your requirements have been met in full accordance with the project's defined scope. At this juncture, It is important for us to inform you that accommodating any further changes may pose challenges to our established timelines for deliverables and additional charges will occur. We sincerely appreciate your understanding and cooperation for the defined process.</t>
    </r>
    <r>
      <rPr>
        <rFont val="Calibri"/>
        <color theme="1"/>
        <sz val="12.0"/>
      </rPr>
      <t xml:space="preserve">
</t>
    </r>
    <r>
      <rPr>
        <rFont val="Times New Roman"/>
        <b/>
        <color theme="1"/>
        <sz val="12.0"/>
      </rPr>
      <t xml:space="preserve">Additional Meetings: </t>
    </r>
    <r>
      <rPr>
        <rFont val="Calibri"/>
        <color theme="1"/>
        <sz val="12.0"/>
      </rPr>
      <t xml:space="preserve">
</t>
    </r>
    <r>
      <rPr>
        <rFont val="Times New Roman"/>
        <color theme="1"/>
        <sz val="12.0"/>
      </rPr>
      <t>In our commitment to ensuring the utmost quality and precision in our design process, we have outlined a predefined duration for our scheduled meetings. However, Should the need arise to extend the design timeline beyond the initially agreed-upon duration, we have established an additional meeting charge of Rs 5000 per session or changes. This policy is designed to account for the extra resources and effort required to maintain the excellence and comprehensiveness of our work as we work together to bring your vision to life.</t>
    </r>
    <r>
      <rPr>
        <rFont val="Calibri"/>
        <color theme="1"/>
        <sz val="12.0"/>
      </rPr>
      <t xml:space="preserve">
</t>
    </r>
    <r>
      <rPr>
        <rFont val="Times New Roman"/>
        <color theme="1"/>
        <sz val="12.0"/>
      </rPr>
      <t>Our primary aim is to provide you with the finest design solutions and a seamless collaborative experience. This policy will aid us in effectively managing our resources and ensuring that the project's progress remains on track while accommodating any evolving requirements within the timeline.</t>
    </r>
    <r>
      <rPr>
        <rFont val="Calibri"/>
        <color theme="1"/>
        <sz val="12.0"/>
      </rPr>
      <t xml:space="preserve">
</t>
    </r>
    <r>
      <rPr>
        <rFont val="Times New Roman"/>
        <b/>
        <color theme="1"/>
        <sz val="12.0"/>
      </rPr>
      <t xml:space="preserve">Project Delay by Builder: </t>
    </r>
    <r>
      <rPr>
        <rFont val="Calibri"/>
        <color theme="1"/>
        <sz val="12.0"/>
      </rPr>
      <t xml:space="preserve">
</t>
    </r>
    <r>
      <rPr>
        <rFont val="Times New Roman"/>
        <color theme="1"/>
        <sz val="12.0"/>
      </rPr>
      <t>In the event of a delay in the handover of the villa/apartment/individual house by the builder or any 3rd party team, the design phase will be completed and Resumption will occur approximately 2-3 weeks before the scheduled handover date for the formal design approval signoff to initiate the execuion process at site.</t>
    </r>
    <r>
      <rPr>
        <rFont val="Calibri"/>
        <color theme="1"/>
        <sz val="12.0"/>
      </rPr>
      <t xml:space="preserve">
</t>
    </r>
    <r>
      <rPr>
        <rFont val="Times New Roman"/>
        <b/>
        <color theme="1"/>
        <sz val="12.0"/>
      </rPr>
      <t xml:space="preserve">Resumption Steps: </t>
    </r>
    <r>
      <rPr>
        <rFont val="Calibri"/>
        <color theme="1"/>
        <sz val="12.0"/>
      </rPr>
      <t xml:space="preserve">
</t>
    </r>
    <r>
      <rPr>
        <rFont val="Times New Roman"/>
        <color theme="1"/>
        <sz val="12.0"/>
      </rPr>
      <t>Upon resumption, the design phase shall progress in the following manner:</t>
    </r>
    <r>
      <rPr>
        <rFont val="Calibri"/>
        <color theme="1"/>
        <sz val="12.0"/>
      </rPr>
      <t xml:space="preserve">
</t>
    </r>
    <r>
      <rPr>
        <rFont val="Times New Roman"/>
        <color theme="1"/>
        <sz val="12.0"/>
      </rPr>
      <t>a) Material Selection</t>
    </r>
    <r>
      <rPr>
        <rFont val="Calibri"/>
        <color theme="1"/>
        <sz val="12.0"/>
      </rPr>
      <t xml:space="preserve">
</t>
    </r>
    <r>
      <rPr>
        <rFont val="Times New Roman"/>
        <color theme="1"/>
        <sz val="12.0"/>
      </rPr>
      <t>b) Revised Final Design Quote</t>
    </r>
    <r>
      <rPr>
        <rFont val="Calibri"/>
        <color theme="1"/>
        <sz val="12.0"/>
      </rPr>
      <t xml:space="preserve">
</t>
    </r>
    <r>
      <rPr>
        <rFont val="Times New Roman"/>
        <color theme="1"/>
        <sz val="12.0"/>
      </rPr>
      <t>c) Post-confirmation of the design, Generation of GFC (Good for Construction) Drawings will be initiated by our team for Site Masking.</t>
    </r>
    <r>
      <rPr>
        <rFont val="Calibri"/>
        <color theme="1"/>
        <sz val="12.0"/>
      </rPr>
      <t xml:space="preserve">
</t>
    </r>
    <r>
      <rPr>
        <rFont val="Times New Roman"/>
        <color theme="1"/>
        <sz val="12.0"/>
      </rPr>
      <t>d) The Final design and accompanying drawings can be provided exclusively upon receiving the Signoff. Untill then, we'll ensure all elements are meticulously curated to meet your specifications.</t>
    </r>
  </si>
  <si>
    <r>
      <rPr>
        <rFont val="Times New Roman"/>
        <b/>
        <color theme="1"/>
        <sz val="12.0"/>
      </rPr>
      <t>Tint Tone &amp; Shade Care:</t>
    </r>
    <r>
      <rPr>
        <rFont val="Calibri"/>
        <color theme="1"/>
        <sz val="12.0"/>
      </rPr>
      <t xml:space="preserve">
</t>
    </r>
    <r>
      <rPr>
        <rFont val="Times New Roman"/>
        <color theme="1"/>
        <sz val="12.0"/>
      </rPr>
      <t>• We provide one free service visit to the site within 6 months of the handover. This is put in place to address routine services which cover moving parts like hinges, channels etc. Our Care team will contact you to schedule the visit. The service addresses issues like minor alignment, loose parts etc. It also covers general alignment check of all shutters, lofts, the functioning of drawers and all accessories, and any additional concealed wiring needs for the TV console.</t>
    </r>
    <r>
      <rPr>
        <rFont val="Calibri"/>
        <color theme="1"/>
        <sz val="12.0"/>
      </rPr>
      <t xml:space="preserve">
</t>
    </r>
    <r>
      <rPr>
        <rFont val="Times New Roman"/>
        <color theme="1"/>
        <sz val="12.0"/>
      </rPr>
      <t>• Since by design, the products have a lot of moving parts, our product may need occasional re-alignments and servicing. Should there be any service and maintenance calls after the free service, they will be done on a chargeable basis. TTS’s current service visit fee is a sum of Rs. 950 (Rupees Nine Hundred and Fifty) per visit. This visit includes re-alignment of all products, but without any replacements. This request will have to be raised by the customer through  http://www.tinttoneandshade.com/tts-care/</t>
    </r>
    <r>
      <rPr>
        <rFont val="Calibri"/>
        <color theme="1"/>
        <sz val="12.0"/>
      </rPr>
      <t xml:space="preserve">
</t>
    </r>
    <r>
      <rPr>
        <rFont val="Times New Roman"/>
        <color theme="1"/>
        <sz val="12.0"/>
      </rPr>
      <t>• During this visit, if an item is found to be faulty, the same will be replaced based on the below scenarios:</t>
    </r>
    <r>
      <rPr>
        <rFont val="Calibri"/>
        <color theme="1"/>
        <sz val="12.0"/>
      </rPr>
      <t xml:space="preserve">
</t>
    </r>
    <r>
      <rPr>
        <rFont val="Times New Roman"/>
        <color theme="1"/>
        <sz val="12.0"/>
      </rPr>
      <t>• If work involved is only replacement of items covered under warranty, and no other realignment/replacement, the sum of Rs 950 will be waived off</t>
    </r>
    <r>
      <rPr>
        <rFont val="Calibri"/>
        <color theme="1"/>
        <sz val="12.0"/>
      </rPr>
      <t xml:space="preserve">
</t>
    </r>
    <r>
      <rPr>
        <rFont val="Times New Roman"/>
        <color theme="1"/>
        <sz val="12.0"/>
      </rPr>
      <t>• If the work includes re-alignment of units and/or replacement of items not covered under warranty (due to physical damage, continuous water leakage, rusting, etc), the cost of replacement will be over and above Rs 950, and a bill for the same will be shared after the visit.</t>
    </r>
  </si>
  <si>
    <r>
      <rPr>
        <rFont val="Times New Roman"/>
        <b/>
        <color theme="1"/>
        <sz val="16.0"/>
      </rPr>
      <t>FAQ:</t>
    </r>
    <r>
      <rPr>
        <rFont val="Calibri"/>
        <color theme="1"/>
        <sz val="10.0"/>
      </rPr>
      <t xml:space="preserve">
</t>
    </r>
    <r>
      <rPr>
        <rFont val="Times New Roman"/>
        <b/>
        <color theme="1"/>
        <sz val="12.0"/>
      </rPr>
      <t>1. Q: What does your warranty cover?</t>
    </r>
    <r>
      <rPr>
        <rFont val="Calibri"/>
        <color theme="1"/>
        <sz val="10.0"/>
      </rPr>
      <t xml:space="preserve">
 </t>
    </r>
    <r>
      <rPr>
        <rFont val="Times New Roman"/>
        <b/>
        <color theme="1"/>
        <sz val="12.0"/>
      </rPr>
      <t xml:space="preserve">  - A:</t>
    </r>
    <r>
      <rPr>
        <rFont val="Times New Roman"/>
        <color theme="1"/>
        <sz val="12.0"/>
      </rPr>
      <t xml:space="preserve"> We offer a 1</t>
    </r>
    <r>
      <rPr>
        <rFont val="Calibri"/>
        <color theme="1"/>
        <sz val="10.0"/>
      </rPr>
      <t>5</t>
    </r>
    <r>
      <rPr>
        <rFont val="Times New Roman"/>
        <color theme="1"/>
        <sz val="12.0"/>
      </rPr>
      <t>-year warranty for modular works. For items like lights and accessories &amp; etc. The warranty duration varies based on the manufacturer's terms.</t>
    </r>
    <r>
      <rPr>
        <rFont val="Calibri"/>
        <color theme="1"/>
        <sz val="10.0"/>
      </rPr>
      <t xml:space="preserve">
</t>
    </r>
    <r>
      <rPr>
        <rFont val="Times New Roman"/>
        <b/>
        <color theme="1"/>
        <sz val="12.0"/>
      </rPr>
      <t>2. Q: What core materials do you use?</t>
    </r>
    <r>
      <rPr>
        <rFont val="Calibri"/>
        <color theme="1"/>
        <sz val="10.0"/>
      </rPr>
      <t xml:space="preserve">
</t>
    </r>
    <r>
      <rPr>
        <rFont val="Times New Roman"/>
        <color theme="1"/>
        <sz val="12.0"/>
      </rPr>
      <t xml:space="preserve">   </t>
    </r>
    <r>
      <rPr>
        <rFont val="Times New Roman"/>
        <b/>
        <color theme="1"/>
        <sz val="12.0"/>
      </rPr>
      <t xml:space="preserve">- A: </t>
    </r>
    <r>
      <rPr>
        <rFont val="Times New Roman"/>
        <color theme="1"/>
        <sz val="12.0"/>
      </rPr>
      <t xml:space="preserve">For carcasses, we use BWP Calibrated ply from Greenply or Century in wet areas and MR Calibrated ply from Greenply or Century in dry areas. For shutters, </t>
    </r>
    <r>
      <rPr>
        <rFont val="Calibri"/>
        <color theme="1"/>
        <sz val="10.0"/>
      </rPr>
      <t xml:space="preserve">
</t>
    </r>
    <r>
      <rPr>
        <rFont val="Times New Roman"/>
        <color theme="1"/>
        <sz val="12.0"/>
      </rPr>
      <t xml:space="preserve">     we  recommend HDHMR/Ply based on your choice.</t>
    </r>
    <r>
      <rPr>
        <rFont val="Calibri"/>
        <color theme="1"/>
        <sz val="10.0"/>
      </rPr>
      <t xml:space="preserve">
</t>
    </r>
    <r>
      <rPr>
        <rFont val="Times New Roman"/>
        <b/>
        <color theme="1"/>
        <sz val="12.0"/>
      </rPr>
      <t>3. Q: What is your design timeline?</t>
    </r>
    <r>
      <rPr>
        <rFont val="Calibri"/>
        <color theme="1"/>
        <sz val="10.0"/>
      </rPr>
      <t xml:space="preserve">
 </t>
    </r>
    <r>
      <rPr>
        <rFont val="Times New Roman"/>
        <b/>
        <color theme="1"/>
        <sz val="12.0"/>
      </rPr>
      <t xml:space="preserve">  - A:</t>
    </r>
    <r>
      <rPr>
        <rFont val="Times New Roman"/>
        <color theme="1"/>
        <sz val="12.0"/>
      </rPr>
      <t xml:space="preserve"> Our general timeline for design phase is as follows:</t>
    </r>
    <r>
      <rPr>
        <rFont val="Calibri"/>
        <color theme="1"/>
        <sz val="10.0"/>
      </rPr>
      <t xml:space="preserve">
</t>
    </r>
    <r>
      <rPr>
        <rFont val="Times New Roman"/>
        <color theme="1"/>
        <sz val="12.0"/>
      </rPr>
      <t xml:space="preserve">     - 2BHK: </t>
    </r>
    <r>
      <rPr>
        <rFont val="Calibri"/>
        <color theme="1"/>
        <sz val="10.0"/>
      </rPr>
      <t>2</t>
    </r>
    <r>
      <rPr>
        <rFont val="Times New Roman"/>
        <color theme="1"/>
        <sz val="12.0"/>
      </rPr>
      <t>5 working days</t>
    </r>
    <r>
      <rPr>
        <rFont val="Calibri"/>
        <color theme="1"/>
        <sz val="10.0"/>
      </rPr>
      <t xml:space="preserve">
</t>
    </r>
    <r>
      <rPr>
        <rFont val="Times New Roman"/>
        <color theme="1"/>
        <sz val="12.0"/>
      </rPr>
      <t xml:space="preserve">     - 3BHK: </t>
    </r>
    <r>
      <rPr>
        <rFont val="Times New Roman"/>
        <color theme="1"/>
        <sz val="12.0"/>
      </rPr>
      <t>40</t>
    </r>
    <r>
      <rPr>
        <rFont val="Times New Roman"/>
        <color theme="1"/>
        <sz val="12.0"/>
      </rPr>
      <t xml:space="preserve"> working days</t>
    </r>
    <r>
      <rPr>
        <rFont val="Calibri"/>
        <color theme="1"/>
        <sz val="10.0"/>
      </rPr>
      <t xml:space="preserve">
</t>
    </r>
    <r>
      <rPr>
        <rFont val="Times New Roman"/>
        <color theme="1"/>
        <sz val="12.0"/>
      </rPr>
      <t xml:space="preserve">     - 4BHK: </t>
    </r>
    <r>
      <rPr>
        <rFont val="Times New Roman"/>
        <color theme="1"/>
        <sz val="12.0"/>
      </rPr>
      <t>65</t>
    </r>
    <r>
      <rPr>
        <rFont val="Times New Roman"/>
        <color theme="1"/>
        <sz val="12.0"/>
      </rPr>
      <t xml:space="preserve"> working days</t>
    </r>
    <r>
      <rPr>
        <rFont val="Calibri"/>
        <color theme="1"/>
        <sz val="10.0"/>
      </rPr>
      <t xml:space="preserve">
</t>
    </r>
    <r>
      <rPr>
        <rFont val="Times New Roman"/>
        <color theme="1"/>
        <sz val="12.0"/>
      </rPr>
      <t xml:space="preserve">     - Additional rooms: +10 working days</t>
    </r>
    <r>
      <rPr>
        <rFont val="Calibri"/>
        <color theme="1"/>
        <sz val="10.0"/>
      </rPr>
      <t xml:space="preserve">
</t>
    </r>
    <r>
      <rPr>
        <rFont val="Times New Roman"/>
        <color theme="1"/>
        <sz val="12.0"/>
      </rPr>
      <t xml:space="preserve">     - Beyond the scheduled timeline incurs additional charges (₹5,000 per design discussion).</t>
    </r>
    <r>
      <rPr>
        <rFont val="Calibri"/>
        <color theme="1"/>
        <sz val="10.0"/>
      </rPr>
      <t xml:space="preserve">
</t>
    </r>
    <r>
      <rPr>
        <rFont val="Times New Roman"/>
        <b/>
        <color theme="1"/>
        <sz val="12.0"/>
      </rPr>
      <t>4. Q: What is the execution timeline?</t>
    </r>
    <r>
      <rPr>
        <rFont val="Calibri"/>
        <color theme="1"/>
        <sz val="10.0"/>
      </rPr>
      <t xml:space="preserve">
</t>
    </r>
    <r>
      <rPr>
        <rFont val="Times New Roman"/>
        <b/>
        <color theme="1"/>
        <sz val="12.0"/>
      </rPr>
      <t xml:space="preserve">   - A:</t>
    </r>
    <r>
      <rPr>
        <rFont val="Times New Roman"/>
        <color theme="1"/>
        <sz val="12.0"/>
      </rPr>
      <t xml:space="preserve"> Execution timelines are as follows:</t>
    </r>
    <r>
      <rPr>
        <rFont val="Calibri"/>
        <color theme="1"/>
        <sz val="10.0"/>
      </rPr>
      <t xml:space="preserve">
</t>
    </r>
    <r>
      <rPr>
        <rFont val="Times New Roman"/>
        <color theme="1"/>
        <sz val="12.0"/>
      </rPr>
      <t xml:space="preserve">     - 2BHK: 45 working days</t>
    </r>
    <r>
      <rPr>
        <rFont val="Calibri"/>
        <color theme="1"/>
        <sz val="10.0"/>
      </rPr>
      <t xml:space="preserve">
</t>
    </r>
    <r>
      <rPr>
        <rFont val="Times New Roman"/>
        <color theme="1"/>
        <sz val="12.0"/>
      </rPr>
      <t xml:space="preserve">     - 3BHK: 6</t>
    </r>
    <r>
      <rPr>
        <rFont val="Calibri"/>
        <color theme="1"/>
        <sz val="10.0"/>
      </rPr>
      <t>5</t>
    </r>
    <r>
      <rPr>
        <rFont val="Times New Roman"/>
        <color theme="1"/>
        <sz val="12.0"/>
      </rPr>
      <t xml:space="preserve"> working days</t>
    </r>
    <r>
      <rPr>
        <rFont val="Calibri"/>
        <color theme="1"/>
        <sz val="10.0"/>
      </rPr>
      <t xml:space="preserve">
</t>
    </r>
    <r>
      <rPr>
        <rFont val="Times New Roman"/>
        <color theme="1"/>
        <sz val="12.0"/>
      </rPr>
      <t xml:space="preserve">     - 4BHK: </t>
    </r>
    <r>
      <rPr>
        <rFont val="Times New Roman"/>
        <color theme="1"/>
        <sz val="12.0"/>
      </rPr>
      <t>80</t>
    </r>
    <r>
      <rPr>
        <rFont val="Times New Roman"/>
        <color theme="1"/>
        <sz val="12.0"/>
      </rPr>
      <t xml:space="preserve"> working days</t>
    </r>
    <r>
      <rPr>
        <rFont val="Calibri"/>
        <color theme="1"/>
        <sz val="10.0"/>
      </rPr>
      <t xml:space="preserve">
</t>
    </r>
    <r>
      <rPr>
        <rFont val="Times New Roman"/>
        <color theme="1"/>
        <sz val="12.0"/>
      </rPr>
      <t xml:space="preserve">     - Additional rooms: +15 working days.</t>
    </r>
    <r>
      <rPr>
        <rFont val="Calibri"/>
        <color theme="1"/>
        <sz val="10.0"/>
      </rPr>
      <t xml:space="preserve">
</t>
    </r>
    <r>
      <rPr>
        <rFont val="Times New Roman"/>
        <b/>
        <color theme="1"/>
        <sz val="12.0"/>
      </rPr>
      <t>5. Q: Do you charge for designs?</t>
    </r>
    <r>
      <rPr>
        <rFont val="Calibri"/>
        <color theme="1"/>
        <sz val="10.0"/>
      </rPr>
      <t xml:space="preserve">
</t>
    </r>
    <r>
      <rPr>
        <rFont val="Times New Roman"/>
        <b/>
        <color theme="1"/>
        <sz val="12.0"/>
      </rPr>
      <t xml:space="preserve">   - A:</t>
    </r>
    <r>
      <rPr>
        <rFont val="Times New Roman"/>
        <color theme="1"/>
        <sz val="12.0"/>
      </rPr>
      <t xml:space="preserve"> Designs are free within standard timeline mentioned. Extra charges may apply for discussions beyond the timeline.</t>
    </r>
    <r>
      <rPr>
        <rFont val="Calibri"/>
        <color theme="1"/>
        <sz val="10.0"/>
      </rPr>
      <t xml:space="preserve">
</t>
    </r>
    <r>
      <rPr>
        <rFont val="Times New Roman"/>
        <b/>
        <color theme="1"/>
        <sz val="12.0"/>
      </rPr>
      <t>6. Q: Who is Tint Tone and Shade, and how long have they been in the field?</t>
    </r>
    <r>
      <rPr>
        <rFont val="Calibri"/>
        <color theme="1"/>
        <sz val="10.0"/>
      </rPr>
      <t xml:space="preserve">
</t>
    </r>
    <r>
      <rPr>
        <rFont val="Times New Roman"/>
        <b/>
        <color theme="1"/>
        <sz val="12.0"/>
      </rPr>
      <t xml:space="preserve">   - A:</t>
    </r>
    <r>
      <rPr>
        <rFont val="Times New Roman"/>
        <color theme="1"/>
        <sz val="12.0"/>
      </rPr>
      <t xml:space="preserve"> We are a renowned residential interior design firm based in Chennai in the field since 2016 and dedicated to creating custom-made, aesthetically pleasing desiging and execution for your dream home.</t>
    </r>
    <r>
      <rPr>
        <rFont val="Calibri"/>
        <color theme="1"/>
        <sz val="10.0"/>
      </rPr>
      <t xml:space="preserve">
</t>
    </r>
    <r>
      <rPr>
        <rFont val="Times New Roman"/>
        <b/>
        <color theme="1"/>
        <sz val="12.0"/>
      </rPr>
      <t>7. Q: Who will be our one point contact during the project?</t>
    </r>
    <r>
      <rPr>
        <rFont val="Calibri"/>
        <color theme="1"/>
        <sz val="10.0"/>
      </rPr>
      <t xml:space="preserve">
</t>
    </r>
    <r>
      <rPr>
        <rFont val="Times New Roman"/>
        <b/>
        <color theme="1"/>
        <sz val="12.0"/>
      </rPr>
      <t xml:space="preserve">   - A:</t>
    </r>
    <r>
      <rPr>
        <rFont val="Times New Roman"/>
        <color theme="1"/>
        <sz val="12.0"/>
      </rPr>
      <t xml:space="preserve"> During design phase, Our Design Manager will be your one point contact and During execution, it will be the Operations Head.</t>
    </r>
    <r>
      <rPr>
        <rFont val="Calibri"/>
        <color theme="1"/>
        <sz val="10.0"/>
      </rPr>
      <t xml:space="preserve">
</t>
    </r>
    <r>
      <rPr>
        <rFont val="Times New Roman"/>
        <b/>
        <color theme="1"/>
        <sz val="12.0"/>
      </rPr>
      <t>8. Q: Do you provide standard designs or customization?</t>
    </r>
    <r>
      <rPr>
        <rFont val="Calibri"/>
        <color theme="1"/>
        <sz val="10.0"/>
      </rPr>
      <t xml:space="preserve">
</t>
    </r>
    <r>
      <rPr>
        <rFont val="Times New Roman"/>
        <b/>
        <color theme="1"/>
        <sz val="12.0"/>
      </rPr>
      <t xml:space="preserve">   - A:</t>
    </r>
    <r>
      <rPr>
        <rFont val="Times New Roman"/>
        <color theme="1"/>
        <sz val="12.0"/>
      </rPr>
      <t xml:space="preserve"> We specialize in personalized,theme based and custom made interiors with a wide variety of options without any constraints or limitations adhering to the industry standards and feasibility of the site or the scope of work.</t>
    </r>
    <r>
      <rPr>
        <rFont val="Calibri"/>
        <color theme="1"/>
        <sz val="10.0"/>
      </rPr>
      <t xml:space="preserve">
</t>
    </r>
    <r>
      <rPr>
        <rFont val="Times New Roman"/>
        <b/>
        <color theme="1"/>
        <sz val="12.0"/>
      </rPr>
      <t>9. Q: What is not within your scope of work?</t>
    </r>
    <r>
      <rPr>
        <rFont val="Calibri"/>
        <color theme="1"/>
        <sz val="10.0"/>
      </rPr>
      <t xml:space="preserve">
</t>
    </r>
    <r>
      <rPr>
        <rFont val="Times New Roman"/>
        <b/>
        <color theme="1"/>
        <sz val="12.0"/>
      </rPr>
      <t xml:space="preserve">   - A:</t>
    </r>
    <r>
      <rPr>
        <rFont val="Times New Roman"/>
        <color theme="1"/>
        <sz val="12.0"/>
      </rPr>
      <t xml:space="preserve"> We do not directly involve in construction works, bathroom revamps, mosquito mesh, grill or any MS works etc.</t>
    </r>
    <r>
      <rPr>
        <rFont val="Calibri"/>
        <color theme="1"/>
        <sz val="10.0"/>
      </rPr>
      <t xml:space="preserve">
</t>
    </r>
    <r>
      <rPr>
        <rFont val="Times New Roman"/>
        <b/>
        <color theme="1"/>
        <sz val="12.0"/>
      </rPr>
      <t>10. Q: Do you offer architectural consultation?</t>
    </r>
    <r>
      <rPr>
        <rFont val="Calibri"/>
        <color theme="1"/>
        <sz val="10.0"/>
      </rPr>
      <t xml:space="preserve">
</t>
    </r>
    <r>
      <rPr>
        <rFont val="Times New Roman"/>
        <b/>
        <color theme="1"/>
        <sz val="12.0"/>
      </rPr>
      <t xml:space="preserve">    - A:</t>
    </r>
    <r>
      <rPr>
        <rFont val="Times New Roman"/>
        <color theme="1"/>
        <sz val="12.0"/>
      </rPr>
      <t xml:space="preserve"> Our lead designer shall provide required suggestions, but we don't provide 2D or 3D drawings for external or third-party teams to work with.</t>
    </r>
    <r>
      <rPr>
        <rFont val="Calibri"/>
        <color theme="1"/>
        <sz val="10.0"/>
      </rPr>
      <t xml:space="preserve">
</t>
    </r>
    <r>
      <rPr>
        <rFont val="Times New Roman"/>
        <b/>
        <color theme="1"/>
        <sz val="12.0"/>
      </rPr>
      <t>11. Q: Do you offer only design consultation services?</t>
    </r>
    <r>
      <rPr>
        <rFont val="Calibri"/>
        <color theme="1"/>
        <sz val="10.0"/>
      </rPr>
      <t xml:space="preserve">
</t>
    </r>
    <r>
      <rPr>
        <rFont val="Times New Roman"/>
        <b/>
        <color theme="1"/>
        <sz val="12.0"/>
      </rPr>
      <t xml:space="preserve">    - A: </t>
    </r>
    <r>
      <rPr>
        <rFont val="Times New Roman"/>
        <color theme="1"/>
        <sz val="12.0"/>
      </rPr>
      <t>We provide complete turnkey solutions, including design and execution; we don't offer design consultation seperately.</t>
    </r>
    <r>
      <rPr>
        <rFont val="Calibri"/>
        <color theme="1"/>
        <sz val="10.0"/>
      </rPr>
      <t xml:space="preserve">
</t>
    </r>
    <r>
      <rPr>
        <rFont val="Times New Roman"/>
        <b/>
        <color theme="1"/>
        <sz val="12.0"/>
      </rPr>
      <t>12. Q: Will you execute my project if I provide the designs?</t>
    </r>
    <r>
      <rPr>
        <rFont val="Calibri"/>
        <color theme="1"/>
        <sz val="10.0"/>
      </rPr>
      <t xml:space="preserve">
</t>
    </r>
    <r>
      <rPr>
        <rFont val="Times New Roman"/>
        <b/>
        <color theme="1"/>
        <sz val="12.0"/>
      </rPr>
      <t xml:space="preserve">    - A:</t>
    </r>
    <r>
      <rPr>
        <rFont val="Times New Roman"/>
        <color theme="1"/>
        <sz val="12.0"/>
      </rPr>
      <t xml:space="preserve"> Yes, we can execute your project if all required design data and details are provided subject to the agreed upon timeline and payment terms.</t>
    </r>
    <r>
      <rPr>
        <rFont val="Calibri"/>
        <color theme="1"/>
        <sz val="10.0"/>
      </rPr>
      <t xml:space="preserve">
</t>
    </r>
    <r>
      <rPr>
        <rFont val="Times New Roman"/>
        <b/>
        <color theme="1"/>
        <sz val="12.0"/>
      </rPr>
      <t>13. Q: Will there be a project engineer at my location full-time?</t>
    </r>
    <r>
      <rPr>
        <rFont val="Calibri"/>
        <color theme="1"/>
        <sz val="10.0"/>
      </rPr>
      <t xml:space="preserve">
</t>
    </r>
    <r>
      <rPr>
        <rFont val="Times New Roman"/>
        <b/>
        <color theme="1"/>
        <sz val="12.0"/>
      </rPr>
      <t xml:space="preserve">    - A:</t>
    </r>
    <r>
      <rPr>
        <rFont val="Times New Roman"/>
        <color theme="1"/>
        <sz val="12.0"/>
      </rPr>
      <t xml:space="preserve"> A dedicated project engineer will provide daily morning/evening updates of the site in whatsapp group, visiting the site three times a week, and conducting quality checks at the factory the other days.</t>
    </r>
    <r>
      <rPr>
        <rFont val="Calibri"/>
        <color theme="1"/>
        <sz val="10.0"/>
      </rPr>
      <t xml:space="preserve">
</t>
    </r>
    <r>
      <rPr>
        <rFont val="Times New Roman"/>
        <b/>
        <color theme="1"/>
        <sz val="12.0"/>
      </rPr>
      <t>14. Q: When will the design work begin?</t>
    </r>
    <r>
      <rPr>
        <rFont val="Calibri"/>
        <color theme="1"/>
        <sz val="10.0"/>
      </rPr>
      <t xml:space="preserve">
</t>
    </r>
    <r>
      <rPr>
        <rFont val="Times New Roman"/>
        <b/>
        <color theme="1"/>
        <sz val="12.0"/>
      </rPr>
      <t xml:space="preserve">    - A:</t>
    </r>
    <r>
      <rPr>
        <rFont val="Times New Roman"/>
        <color theme="1"/>
        <sz val="12.0"/>
      </rPr>
      <t xml:space="preserve"> After a 10% official booking advance, a dedicated lead designer shall be assigned to start working on your designs.</t>
    </r>
    <r>
      <rPr>
        <rFont val="Calibri"/>
        <color theme="1"/>
        <sz val="10.0"/>
      </rPr>
      <t xml:space="preserve">
</t>
    </r>
    <r>
      <rPr>
        <rFont val="Times New Roman"/>
        <b/>
        <color theme="1"/>
        <sz val="12.0"/>
      </rPr>
      <t>15. Q: Is there a minimum bill value for your services?</t>
    </r>
    <r>
      <rPr>
        <rFont val="Calibri"/>
        <color theme="1"/>
        <sz val="10.0"/>
      </rPr>
      <t xml:space="preserve">
</t>
    </r>
    <r>
      <rPr>
        <rFont val="Times New Roman"/>
        <b/>
        <color theme="1"/>
        <sz val="12.0"/>
      </rPr>
      <t xml:space="preserve">    - A:</t>
    </r>
    <r>
      <rPr>
        <rFont val="Times New Roman"/>
        <color theme="1"/>
        <sz val="12.0"/>
      </rPr>
      <t xml:space="preserve"> Yes, we only take up projects in and around Chennai with a minimum bill value of 5 lakhs in woodworks excluding GST.</t>
    </r>
    <r>
      <rPr>
        <rFont val="Calibri"/>
        <color theme="1"/>
        <sz val="10.0"/>
      </rPr>
      <t xml:space="preserve">
</t>
    </r>
    <r>
      <rPr>
        <rFont val="Times New Roman"/>
        <b/>
        <color theme="1"/>
        <sz val="12.0"/>
      </rPr>
      <t>16. Q: Do you handle furniture orders?</t>
    </r>
    <r>
      <rPr>
        <rFont val="Calibri"/>
        <color theme="1"/>
        <sz val="10.0"/>
      </rPr>
      <t xml:space="preserve">
</t>
    </r>
    <r>
      <rPr>
        <rFont val="Times New Roman"/>
        <b/>
        <color theme="1"/>
        <sz val="12.0"/>
      </rPr>
      <t xml:space="preserve">    - A:</t>
    </r>
    <r>
      <rPr>
        <rFont val="Times New Roman"/>
        <color theme="1"/>
        <sz val="12.0"/>
      </rPr>
      <t xml:space="preserve"> Yes, we take up furniture and furnishings orders along with woodworks.</t>
    </r>
    <r>
      <rPr>
        <rFont val="Calibri"/>
        <color theme="1"/>
        <sz val="10.0"/>
      </rPr>
      <t xml:space="preserve">
</t>
    </r>
    <r>
      <rPr>
        <rFont val="Times New Roman"/>
        <b/>
        <color theme="1"/>
        <sz val="12.0"/>
      </rPr>
      <t>17. Q: Can you explain your VR facility for clients?</t>
    </r>
    <r>
      <rPr>
        <rFont val="Calibri"/>
        <color theme="1"/>
        <sz val="10.0"/>
      </rPr>
      <t xml:space="preserve">
</t>
    </r>
    <r>
      <rPr>
        <rFont val="Times New Roman"/>
        <b/>
        <color theme="1"/>
        <sz val="12.0"/>
      </rPr>
      <t xml:space="preserve">    - A:</t>
    </r>
    <r>
      <rPr>
        <rFont val="Times New Roman"/>
        <color theme="1"/>
        <sz val="12.0"/>
      </rPr>
      <t xml:space="preserve"> With VR experience, We can iterate on designs quickly and test them in an immersive 3D environment, allowing for more confident decisions and proper visualisation to understand the volume. This facility is subject to the project scope, time line and value.</t>
    </r>
    <r>
      <rPr>
        <rFont val="Calibri"/>
        <color theme="1"/>
        <sz val="10.0"/>
      </rPr>
      <t xml:space="preserve">
</t>
    </r>
    <r>
      <rPr>
        <rFont val="Times New Roman"/>
        <b/>
        <color theme="1"/>
        <sz val="12.0"/>
      </rPr>
      <t>18. Q: What restrictions do you have on taking up projects?</t>
    </r>
    <r>
      <rPr>
        <rFont val="Calibri"/>
        <color theme="1"/>
        <sz val="10.0"/>
      </rPr>
      <t xml:space="preserve">
</t>
    </r>
    <r>
      <rPr>
        <rFont val="Times New Roman"/>
        <b/>
        <color theme="1"/>
        <sz val="12.0"/>
      </rPr>
      <t xml:space="preserve">    - A:</t>
    </r>
    <r>
      <rPr>
        <rFont val="Times New Roman"/>
        <color theme="1"/>
        <sz val="12.0"/>
      </rPr>
      <t xml:space="preserve"> We won't take up projects if and when the site is outside Chennai or if its less than a minimum bill value of 5 lakhs excludiong GST in woodworks and also if you are unable to relocate from the property during site execution for safety and health concerns.</t>
    </r>
    <r>
      <rPr>
        <rFont val="Calibri"/>
        <color theme="1"/>
        <sz val="10.0"/>
      </rPr>
      <t xml:space="preserve">
</t>
    </r>
    <r>
      <rPr>
        <rFont val="Times New Roman"/>
        <b/>
        <color theme="1"/>
        <sz val="12.0"/>
      </rPr>
      <t>19. Q: Where do you provide your services?</t>
    </r>
    <r>
      <rPr>
        <rFont val="Calibri"/>
        <color theme="1"/>
        <sz val="10.0"/>
      </rPr>
      <t xml:space="preserve">
</t>
    </r>
    <r>
      <rPr>
        <rFont val="Times New Roman"/>
        <b/>
        <color theme="1"/>
        <sz val="12.0"/>
      </rPr>
      <t xml:space="preserve">    - A:</t>
    </r>
    <r>
      <rPr>
        <rFont val="Times New Roman"/>
        <color theme="1"/>
        <sz val="12.0"/>
      </rPr>
      <t xml:space="preserve"> We provide services in and around Chennai.</t>
    </r>
    <r>
      <rPr>
        <rFont val="Calibri"/>
        <color theme="1"/>
        <sz val="10.0"/>
      </rPr>
      <t xml:space="preserve">
</t>
    </r>
    <r>
      <rPr>
        <rFont val="Times New Roman"/>
        <b/>
        <color theme="1"/>
        <sz val="12.0"/>
      </rPr>
      <t>20. Q: Do you coordinate with work beyond your scope?</t>
    </r>
    <r>
      <rPr>
        <rFont val="Calibri"/>
        <color theme="1"/>
        <sz val="10.0"/>
      </rPr>
      <t xml:space="preserve">
</t>
    </r>
    <r>
      <rPr>
        <rFont val="Times New Roman"/>
        <color theme="1"/>
        <sz val="12.0"/>
      </rPr>
      <t xml:space="preserve">    </t>
    </r>
    <r>
      <rPr>
        <rFont val="Times New Roman"/>
        <b/>
        <color theme="1"/>
        <sz val="12.0"/>
      </rPr>
      <t>- A:</t>
    </r>
    <r>
      <rPr>
        <rFont val="Times New Roman"/>
        <color theme="1"/>
        <sz val="12.0"/>
      </rPr>
      <t xml:space="preserve"> Yes, our designers provide design suggestion, and our site team coordinates those works at site works which are beyond our scope if neccesory.</t>
    </r>
    <r>
      <rPr>
        <rFont val="Calibri"/>
        <color theme="1"/>
        <sz val="10.0"/>
      </rPr>
      <t xml:space="preserve">
</t>
    </r>
    <r>
      <rPr>
        <rFont val="Times New Roman"/>
        <b/>
        <color theme="1"/>
        <sz val="12.0"/>
      </rPr>
      <t>21. Q: Are you an one-stop solution provider?</t>
    </r>
    <r>
      <rPr>
        <rFont val="Calibri"/>
        <color theme="1"/>
        <sz val="10.0"/>
      </rPr>
      <t xml:space="preserve">
</t>
    </r>
    <r>
      <rPr>
        <rFont val="Times New Roman"/>
        <b/>
        <color theme="1"/>
        <sz val="12.0"/>
      </rPr>
      <t xml:space="preserve">    - A:</t>
    </r>
    <r>
      <rPr>
        <rFont val="Times New Roman"/>
        <color theme="1"/>
        <sz val="12.0"/>
      </rPr>
      <t xml:space="preserve"> Yes, we offer solutions for woodworks, furniture, false ceiling, lighting and furnishings in interiors.</t>
    </r>
    <r>
      <rPr>
        <rFont val="Calibri"/>
        <color theme="1"/>
        <sz val="10.0"/>
      </rPr>
      <t xml:space="preserve">
</t>
    </r>
    <r>
      <rPr>
        <rFont val="Times New Roman"/>
        <b/>
        <color theme="1"/>
        <sz val="12.0"/>
      </rPr>
      <t>22. Q: Are you available on weekends?</t>
    </r>
    <r>
      <rPr>
        <rFont val="Calibri"/>
        <color theme="1"/>
        <sz val="10.0"/>
      </rPr>
      <t xml:space="preserve">
</t>
    </r>
    <r>
      <rPr>
        <rFont val="Times New Roman"/>
        <b/>
        <color theme="1"/>
        <sz val="12.0"/>
      </rPr>
      <t xml:space="preserve">    - A:</t>
    </r>
    <r>
      <rPr>
        <rFont val="Times New Roman"/>
        <color theme="1"/>
        <sz val="12.0"/>
      </rPr>
      <t xml:space="preserve"> Yes, we are open from Monday to Sunday, 10:30 am - 7:30 pm. Our weekly off is on Tuesdays, with occasional Tuesday and Wednesday off during the second week of the month.</t>
    </r>
    <r>
      <rPr>
        <rFont val="Calibri"/>
        <color theme="1"/>
        <sz val="10.0"/>
      </rPr>
      <t xml:space="preserve">
</t>
    </r>
    <r>
      <rPr>
        <rFont val="Times New Roman"/>
        <b/>
        <color theme="1"/>
        <sz val="12.0"/>
      </rPr>
      <t>23. Q: Why should I visit the experience center?</t>
    </r>
    <r>
      <rPr>
        <rFont val="Calibri"/>
        <color theme="1"/>
        <sz val="10.0"/>
      </rPr>
      <t xml:space="preserve">
</t>
    </r>
    <r>
      <rPr>
        <rFont val="Times New Roman"/>
        <b/>
        <color theme="1"/>
        <sz val="12.0"/>
      </rPr>
      <t xml:space="preserve">    - A:</t>
    </r>
    <r>
      <rPr>
        <rFont val="Times New Roman"/>
        <color theme="1"/>
        <sz val="12.0"/>
      </rPr>
      <t xml:space="preserve"> The process begins with an initial meeting at our experience center, where you get a free consultation with our design experts and also experience real-time materials,furniture, lighting and Modular solutions in regards to your lifestyle preferences and proceed accordingly with the rest of the process as per your needs and our suggestions.</t>
    </r>
    <r>
      <rPr>
        <rFont val="Calibri"/>
        <color theme="1"/>
        <sz val="10.0"/>
      </rPr>
      <t xml:space="preserve">
</t>
    </r>
    <r>
      <rPr>
        <rFont val="Times New Roman"/>
        <b/>
        <color theme="1"/>
        <sz val="12.0"/>
      </rPr>
      <t>24. Q: Can I visit a completed site of yours?</t>
    </r>
    <r>
      <rPr>
        <rFont val="Calibri"/>
        <color theme="1"/>
        <sz val="10.0"/>
      </rPr>
      <t xml:space="preserve">
</t>
    </r>
    <r>
      <rPr>
        <rFont val="Times New Roman"/>
        <b/>
        <color theme="1"/>
        <sz val="12.0"/>
      </rPr>
      <t xml:space="preserve">    - A:</t>
    </r>
    <r>
      <rPr>
        <rFont val="Times New Roman"/>
        <color theme="1"/>
        <sz val="12.0"/>
      </rPr>
      <t xml:space="preserve"> Yes, you are welcome to visit one of our ongoing sites with the homeowner's permission.</t>
    </r>
    <r>
      <rPr>
        <rFont val="Calibri"/>
        <color theme="1"/>
        <sz val="10.0"/>
      </rPr>
      <t xml:space="preserve">
</t>
    </r>
    <r>
      <rPr>
        <rFont val="Times New Roman"/>
        <b/>
        <color theme="1"/>
        <sz val="12.0"/>
      </rPr>
      <t>25. Q: What is your refund policy?</t>
    </r>
    <r>
      <rPr>
        <rFont val="Calibri"/>
        <color theme="1"/>
        <sz val="10.0"/>
      </rPr>
      <t xml:space="preserve">
</t>
    </r>
    <r>
      <rPr>
        <rFont val="Times New Roman"/>
        <b/>
        <color theme="1"/>
        <sz val="12.0"/>
      </rPr>
      <t xml:space="preserve">    - A:</t>
    </r>
    <r>
      <rPr>
        <rFont val="Times New Roman"/>
        <color theme="1"/>
        <sz val="12.0"/>
      </rPr>
      <t xml:space="preserve"> Booking is made to execute our unique designs, hence we kindly inform you that once the booking advance has been made, our policy stipulates that refunds are not available. </t>
    </r>
  </si>
  <si>
    <t>SL.
NO.</t>
  </si>
  <si>
    <t>SEPCIFICATION</t>
  </si>
  <si>
    <t>QTY</t>
  </si>
  <si>
    <t>UNIT
S</t>
  </si>
  <si>
    <t>RATE</t>
  </si>
  <si>
    <t>AMOUNT</t>
  </si>
  <si>
    <t>Kitchen - Base unit storage -  Box type - Ply with lam finish  (Dimension -9'3" L x</t>
  </si>
  <si>
    <t>Sq Ft</t>
  </si>
  <si>
    <t>Kitchen - Over head storage -Ply with lam finish  (Dimension - 2'0" L x 2'9" H)</t>
  </si>
  <si>
    <t>Kitchen - Loft - F&amp;S - Ply with lam finish (Dimension - 2'0" L x 2'0" H)</t>
  </si>
  <si>
    <t>Sliding Wardrobe - Box type  - Ply with lam finish (Dimension - 5'0" L x 7'0" H)</t>
  </si>
  <si>
    <t>Wardrobe Drawers</t>
  </si>
  <si>
    <t>Wardrobe - Loft - F &amp; S Type - Ply with lam finish (Dimension - 7'0"L x 2'0"H)</t>
  </si>
  <si>
    <t>25 mm Ledge  - Box type  - Ply with lam finish (Dimension - 3'0" L x 1'0" W - 2
nos. &amp; 3'0" L x 2'0" W - 1 nos.)</t>
  </si>
  <si>
    <t>Wall panel &amp; Top beading with grooves Duco finish -  Panelling  - Ply with
Laminate Finish -  (Dimension - 8'6" L x 4'0" H)</t>
  </si>
  <si>
    <t>TV Wall panel with grooves Duco finish -  Panelling  - Ply with Laminate Finish -
(Dimension - 1'0" L x 7'0" H)</t>
  </si>
  <si>
    <t>TV Box with Curved Edges with grooves Duco finish -  Box Type  - Ply with
Laminate Finish -  (Dimension - 3'3" L x 0'6" H)</t>
  </si>
  <si>
    <t>TV unit Drawers</t>
  </si>
  <si>
    <t>Elevation E  - F &amp; S Type - Ply with lam finish (Dimension - 3'0"L x 7'0"H)</t>
  </si>
  <si>
    <t>Elevation E  - Side panel - Ply with lam finish (Dimension - 1'4"L x 7'0"H)</t>
  </si>
  <si>
    <t>Elevation E  - Loft F &amp; S Type - Ply with lam finish (Dimension - 4'6"L x 2'6"H)</t>
  </si>
  <si>
    <t>Elevation E  - Loft Fixed panels - Ply with lam finish (Dimension - 2'0"L x 2'0"H)</t>
  </si>
  <si>
    <t>Elevation E  - Aluminium Profile mirror box - Ply with lam finish (Dimension -
2'6"L x 3'0"H)</t>
  </si>
  <si>
    <t>4" Tandom Box -  Hettich - InnoTech- 470 mm (30 Kg)
Full Extn. Silent tandem - Silver 70*470 mm</t>
  </si>
  <si>
    <t>No.</t>
  </si>
  <si>
    <t>6" Tandom Box - Hettich - InnoTech- 470 mm (30 Kg) Full Extn.
Silent tandem - Pot &amp; pan drawer with railing, height 144 mm - Silver144*470 mm</t>
  </si>
  <si>
    <t>PVC Cutlery tray *  Hettich - OrgaTray 440 Trimmable
(Fixed Partition Cutlery) Width - (300mm - 600mm ) Depth(370-520 mm)</t>
  </si>
  <si>
    <t>Hafele Slido F-Li18 50-Hardware set for 2 door Surface Mounted Track</t>
  </si>
  <si>
    <t>OHS Lift up fitting</t>
  </si>
  <si>
    <t>Gola Profile Handles ( Ebco)</t>
  </si>
  <si>
    <t>Folding table Fitting ( Ebco )</t>
  </si>
  <si>
    <t>Materials</t>
  </si>
  <si>
    <t>MR Plywood Century Sainik for all rooms except Kitchen Base unit &amp; Vanity/ Hand wash Counter</t>
  </si>
  <si>
    <t>BWP Plywood Century Sainik for Kitchen Unit &amp; Vanity/ Hand wash Counter</t>
  </si>
  <si>
    <t xml:space="preserve">1mm Laminate for Exposed &amp; Shutter panels. 0.8 mm Liner backer laminate for inner  </t>
  </si>
  <si>
    <t>Handles - Basic handles</t>
  </si>
  <si>
    <t>Hardwares - Hettich Onsys Soft close (including, hinges, channels etc)</t>
  </si>
  <si>
    <t>0.5 mm PVC Edge band for carcass and 1.5/ 2 mm PVC Edge band for Shutters &amp; Table tops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</si>
</sst>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
    <numFmt numFmtId="165" formatCode="#0.0"/>
    <numFmt numFmtId="166" formatCode="[&gt;0]_(&quot;INR&quot; * #,##0.00_);[&lt;0]_(&quot;INR&quot; * \(#,##0.00\);_(&quot;INR&quot; * \-#??_)"/>
    <numFmt numFmtId="167" formatCode="#0.00"/>
    <numFmt numFmtId="168" formatCode="[&gt;0]_ &quot;₹&quot; * #,##0.00_ ;[&lt;0]_ &quot;₹&quot; * \-#,##0.00_ ;_ &quot;₹&quot; * &quot;-&quot;#??_ "/>
    <numFmt numFmtId="169" formatCode="#0.000%"/>
  </numFmts>
  <fonts count="30">
    <font>
      <sz val="10.0"/>
      <color rgb="FF000000"/>
      <name val="Arial"/>
      <scheme val="minor"/>
    </font>
    <font>
      <color theme="1"/>
      <name val="Arial"/>
      <scheme val="minor"/>
    </font>
    <font>
      <b/>
      <sz val="12.0"/>
      <color theme="1"/>
      <name val="Arial"/>
      <scheme val="minor"/>
    </font>
    <font>
      <sz val="10.0"/>
      <color theme="1"/>
      <name val="Arial"/>
      <scheme val="minor"/>
    </font>
    <font>
      <sz val="12.0"/>
      <color theme="1"/>
      <name val="Times New Roman"/>
    </font>
    <font>
      <sz val="11.0"/>
      <color theme="1"/>
      <name val="Arial"/>
      <scheme val="minor"/>
    </font>
    <font>
      <color theme="1"/>
      <name val="Arial"/>
    </font>
    <font>
      <color theme="1"/>
      <name val="Times New Roman"/>
    </font>
    <font>
      <b/>
      <color theme="1"/>
      <name val="Calibri"/>
    </font>
    <font/>
    <font>
      <color theme="1"/>
      <name val="Calibri"/>
    </font>
    <font>
      <b/>
      <sz val="12.0"/>
      <color theme="1"/>
      <name val="Calibri"/>
    </font>
    <font>
      <b/>
      <sz val="16.0"/>
      <color theme="1"/>
      <name val="Calibri"/>
    </font>
    <font>
      <b/>
      <sz val="20.0"/>
      <color theme="1"/>
      <name val="Calibri"/>
    </font>
    <font>
      <b/>
      <sz val="10.0"/>
      <color theme="1"/>
      <name val="Calibri"/>
    </font>
    <font>
      <b/>
      <sz val="14.0"/>
      <color theme="1"/>
      <name val="Calibri"/>
    </font>
    <font>
      <b/>
      <sz val="16.0"/>
      <color theme="1"/>
      <name val="Times New Roman"/>
    </font>
    <font>
      <b/>
      <sz val="10.0"/>
      <color theme="1"/>
      <name val="Times New Roman"/>
    </font>
    <font>
      <b/>
      <sz val="9.0"/>
      <color theme="1"/>
      <name val="Calibri"/>
    </font>
    <font>
      <sz val="10.0"/>
      <color theme="1"/>
      <name val="Calibri"/>
    </font>
    <font>
      <b/>
      <sz val="9.0"/>
      <color theme="1"/>
      <name val="Arial"/>
    </font>
    <font>
      <sz val="10.0"/>
      <color theme="1"/>
      <name val="Times New Roman"/>
    </font>
    <font>
      <sz val="10.0"/>
      <color theme="1"/>
      <name val="Arial"/>
    </font>
    <font>
      <b/>
      <sz val="10.0"/>
      <color rgb="FF365623"/>
      <name val="Calibri"/>
    </font>
    <font>
      <sz val="9.0"/>
      <color theme="1"/>
      <name val="Arial"/>
    </font>
    <font>
      <sz val="12.0"/>
      <color theme="1"/>
      <name val="Calibri"/>
    </font>
    <font>
      <b/>
      <sz val="20.0"/>
      <color theme="1"/>
      <name val="Arial"/>
    </font>
    <font>
      <sz val="11.0"/>
      <color rgb="FF000000"/>
      <name val="Calibri"/>
    </font>
    <font>
      <b/>
      <sz val="11.0"/>
      <color rgb="FF000000"/>
      <name val="Calibri"/>
    </font>
    <font>
      <b/>
      <sz val="11.0"/>
      <color rgb="FFFB0007"/>
      <name val="Calibri"/>
    </font>
  </fonts>
  <fills count="1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CE6F2"/>
        <bgColor rgb="FFDCE6F2"/>
      </patternFill>
    </fill>
    <fill>
      <patternFill patternType="solid">
        <fgColor rgb="FFFBD4B4"/>
        <bgColor rgb="FFFBD4B4"/>
      </patternFill>
    </fill>
    <fill>
      <patternFill patternType="solid">
        <fgColor rgb="FFFCD5B5"/>
        <bgColor rgb="FFFCD5B5"/>
      </patternFill>
    </fill>
    <fill>
      <patternFill patternType="solid">
        <fgColor rgb="FFFABF8F"/>
        <bgColor rgb="FFFABF8F"/>
      </patternFill>
    </fill>
    <fill>
      <patternFill patternType="solid">
        <fgColor rgb="FFC0504D"/>
        <bgColor rgb="FFC0504D"/>
      </patternFill>
    </fill>
    <fill>
      <patternFill patternType="solid">
        <fgColor rgb="FFD6EAF8"/>
        <bgColor rgb="FFD6EAF8"/>
      </patternFill>
    </fill>
    <fill>
      <patternFill patternType="solid">
        <fgColor rgb="FFFAD4B4"/>
        <bgColor rgb="FFFAD4B4"/>
      </patternFill>
    </fill>
    <fill>
      <patternFill patternType="solid">
        <fgColor rgb="FFFFF1CC"/>
        <bgColor rgb="FFFFF1CC"/>
      </patternFill>
    </fill>
    <fill>
      <patternFill patternType="solid">
        <fgColor rgb="FFDBE5F1"/>
        <bgColor rgb="FFDBE5F1"/>
      </patternFill>
    </fill>
    <fill>
      <patternFill patternType="solid">
        <fgColor rgb="FFDAE4F1"/>
        <bgColor rgb="FFDAE4F1"/>
      </patternFill>
    </fill>
    <fill>
      <patternFill patternType="solid">
        <fgColor rgb="FFCBCBCB"/>
        <bgColor rgb="FFCBCBCB"/>
      </patternFill>
    </fill>
  </fills>
  <borders count="63">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top style="thin">
        <color rgb="FF000000"/>
      </top>
      <bottom/>
    </border>
    <border>
      <left style="thin">
        <color rgb="FF000000"/>
      </left>
      <right/>
      <top style="thin">
        <color rgb="FF000000"/>
      </top>
      <bottom style="thin">
        <color rgb="FF000000"/>
      </bottom>
    </border>
    <border>
      <left/>
      <right/>
      <top/>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right/>
      <top/>
      <bottom/>
    </border>
    <border>
      <left style="thick">
        <color rgb="FF000000"/>
      </left>
      <top style="thick">
        <color rgb="FF000000"/>
      </top>
      <bottom/>
    </border>
    <border>
      <top style="thick">
        <color rgb="FF000000"/>
      </top>
      <bottom/>
    </border>
    <border>
      <right style="thick">
        <color rgb="FF000000"/>
      </right>
      <top style="thick">
        <color rgb="FF000000"/>
      </top>
      <bottom/>
    </border>
    <border>
      <right style="thick">
        <color rgb="FF000000"/>
      </right>
      <top style="thin">
        <color rgb="FF000000"/>
      </top>
      <bottom style="thin">
        <color rgb="FF000000"/>
      </bottom>
    </border>
    <border>
      <left style="thin">
        <color rgb="FF000000"/>
      </left>
      <top style="thin">
        <color rgb="FF000000"/>
      </top>
    </border>
    <border>
      <top style="thin">
        <color rgb="FF000000"/>
      </top>
    </border>
    <border>
      <right style="thick">
        <color rgb="FF000000"/>
      </right>
      <top style="thin">
        <color rgb="FF000000"/>
      </top>
    </border>
    <border>
      <left style="thin">
        <color rgb="FF000000"/>
      </left>
      <bottom style="thin">
        <color rgb="FF000000"/>
      </bottom>
    </border>
    <border>
      <bottom style="thin">
        <color rgb="FF000000"/>
      </bottom>
    </border>
    <border>
      <right style="thick">
        <color rgb="FF000000"/>
      </right>
      <bottom style="thin">
        <color rgb="FF000000"/>
      </bottom>
    </border>
    <border>
      <left style="thin">
        <color rgb="FF000000"/>
      </left>
      <right style="thin">
        <color rgb="FF000000"/>
      </righ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right style="thick">
        <color rgb="FF000000"/>
      </right>
      <top style="thin">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top/>
      <bottom/>
    </border>
    <border>
      <top/>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right style="thick">
        <color rgb="FF000000"/>
      </right>
      <top style="thin">
        <color rgb="FF000000"/>
      </top>
      <bottom/>
    </border>
    <border>
      <left style="thin">
        <color rgb="FF000000"/>
      </left>
      <right style="thick">
        <color rgb="FF000000"/>
      </right>
      <top style="thin">
        <color rgb="FF000000"/>
      </top>
      <bottom style="thick">
        <color rgb="FF000000"/>
      </bottom>
    </border>
    <border>
      <left style="thin">
        <color rgb="FF000000"/>
      </left>
      <right style="thick">
        <color rgb="FF000000"/>
      </right>
      <top style="thick">
        <color rgb="FF000000"/>
      </top>
    </border>
    <border>
      <left style="thin">
        <color rgb="FF000000"/>
      </left>
      <right style="thick">
        <color rgb="FF000000"/>
      </right>
      <bottom style="thin">
        <color rgb="FF000000"/>
      </bottom>
    </border>
    <border>
      <right style="thick">
        <color rgb="FF000000"/>
      </right>
      <top style="thin">
        <color rgb="FF000000"/>
      </top>
      <bottom/>
    </border>
    <border>
      <left/>
      <right/>
      <bottom/>
    </border>
    <border>
      <left style="thin">
        <color rgb="FF000000"/>
      </left>
      <right style="thin">
        <color rgb="FF000000"/>
      </right>
      <top/>
      <bottom style="thin">
        <color rgb="FF000000"/>
      </bottom>
    </border>
  </borders>
  <cellStyleXfs count="1">
    <xf borderId="0" fillId="0" fontId="0" numFmtId="0" applyAlignment="1" applyFont="1"/>
  </cellStyleXfs>
  <cellXfs count="53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1"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9" xfId="0" applyAlignment="1" applyFont="1" applyNumberFormat="1">
      <alignment horizontal="center" readingOrder="0" shrinkToFit="0" vertical="center" wrapText="1"/>
    </xf>
    <xf borderId="0" fillId="0" fontId="1" numFmtId="0" xfId="0" applyAlignment="1" applyFont="1">
      <alignment horizontal="left" shrinkToFit="0" vertical="center" wrapText="1"/>
    </xf>
    <xf borderId="0" fillId="2" fontId="1" numFmtId="0" xfId="0" applyAlignment="1" applyFill="1" applyFont="1">
      <alignment horizontal="left" readingOrder="0" shrinkToFit="0" vertical="center" wrapText="1"/>
    </xf>
    <xf borderId="1" fillId="0" fontId="4" numFmtId="164" xfId="0" applyAlignment="1" applyBorder="1" applyFont="1" applyNumberFormat="1">
      <alignment shrinkToFit="0" vertical="bottom" wrapText="1"/>
    </xf>
    <xf borderId="2" fillId="3" fontId="4" numFmtId="164" xfId="0" applyAlignment="1" applyBorder="1" applyFill="1" applyFont="1" applyNumberFormat="1">
      <alignment horizontal="center" shrinkToFit="0" vertical="bottom" wrapText="1"/>
    </xf>
    <xf borderId="0" fillId="0" fontId="1" numFmtId="164" xfId="0" applyAlignment="1" applyFont="1" applyNumberFormat="1">
      <alignment horizontal="left" shrinkToFit="0" vertical="center" wrapText="1"/>
    </xf>
    <xf borderId="3" fillId="3" fontId="4" numFmtId="164" xfId="0" applyAlignment="1" applyBorder="1" applyFont="1" applyNumberFormat="1">
      <alignment horizontal="center" shrinkToFit="0" vertical="bottom" wrapText="1"/>
    </xf>
    <xf borderId="4" fillId="2" fontId="4" numFmtId="164" xfId="0" applyAlignment="1" applyBorder="1" applyFont="1" applyNumberFormat="1">
      <alignment shrinkToFit="0" vertical="bottom" wrapText="1"/>
    </xf>
    <xf borderId="4" fillId="3" fontId="4" numFmtId="164" xfId="0" applyAlignment="1" applyBorder="1" applyFont="1" applyNumberFormat="1">
      <alignment shrinkToFit="0" vertical="bottom" wrapText="1"/>
    </xf>
    <xf borderId="0" fillId="0" fontId="5" numFmtId="0" xfId="0" applyAlignment="1" applyFont="1">
      <alignment horizontal="left" readingOrder="0" shrinkToFit="0" vertical="center" wrapText="1"/>
    </xf>
    <xf borderId="0" fillId="0" fontId="1"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shrinkToFit="0" wrapText="1"/>
    </xf>
    <xf borderId="0" fillId="0" fontId="6" numFmtId="9" xfId="0" applyAlignment="1" applyFont="1" applyNumberFormat="1">
      <alignment horizontal="center" shrinkToFit="0" wrapText="1"/>
    </xf>
    <xf borderId="0" fillId="0" fontId="6" numFmtId="1" xfId="0" applyAlignment="1" applyFont="1" applyNumberFormat="1">
      <alignment horizontal="center" shrinkToFit="0" wrapText="1"/>
    </xf>
    <xf borderId="0" fillId="0" fontId="6" numFmtId="0" xfId="0" applyFont="1"/>
    <xf borderId="0" fillId="0" fontId="6" numFmtId="0" xfId="0" applyAlignment="1" applyFont="1">
      <alignment horizontal="center" shrinkToFit="0" wrapText="1"/>
    </xf>
    <xf borderId="0" fillId="0" fontId="6" numFmtId="0" xfId="0" applyAlignment="1" applyFont="1">
      <alignment vertical="bottom"/>
    </xf>
    <xf borderId="0" fillId="0" fontId="6" numFmtId="0" xfId="0" applyFont="1"/>
    <xf borderId="0" fillId="0" fontId="1" numFmtId="1" xfId="0" applyAlignment="1" applyFont="1" applyNumberFormat="1">
      <alignment horizontal="center" vertical="center"/>
    </xf>
    <xf borderId="0" fillId="0" fontId="1" numFmtId="1" xfId="0" applyAlignment="1" applyFont="1" applyNumberFormat="1">
      <alignment horizontal="left" readingOrder="0" shrinkToFit="0" vertical="center" wrapText="1"/>
    </xf>
    <xf borderId="0" fillId="0" fontId="1" numFmtId="9" xfId="0" applyAlignment="1" applyFont="1" applyNumberFormat="1">
      <alignment horizontal="left" readingOrder="0" shrinkToFit="0" vertical="center" wrapText="1"/>
    </xf>
    <xf borderId="0" fillId="0" fontId="1" numFmtId="1" xfId="0" applyAlignment="1" applyFont="1" applyNumberFormat="1">
      <alignment horizontal="left" shrinkToFit="0" vertical="center" wrapText="1"/>
    </xf>
    <xf borderId="0" fillId="0" fontId="1" numFmtId="1" xfId="0" applyFont="1" applyNumberFormat="1"/>
    <xf borderId="0" fillId="0" fontId="1" numFmtId="0" xfId="0" applyAlignment="1" applyFont="1">
      <alignment readingOrder="0" vertical="center"/>
    </xf>
    <xf borderId="0" fillId="0" fontId="7" numFmtId="0" xfId="0" applyFont="1"/>
    <xf borderId="0" fillId="0" fontId="7" numFmtId="0" xfId="0" applyAlignment="1" applyFont="1">
      <alignment shrinkToFit="0" vertical="center" wrapText="1"/>
    </xf>
    <xf borderId="5" fillId="4" fontId="7" numFmtId="0" xfId="0" applyBorder="1" applyFill="1" applyFont="1"/>
    <xf borderId="0" fillId="0" fontId="7" numFmtId="0" xfId="0" applyFont="1"/>
    <xf borderId="5" fillId="4" fontId="7" numFmtId="0" xfId="0" applyAlignment="1" applyBorder="1" applyFont="1">
      <alignment vertical="top"/>
    </xf>
    <xf borderId="0" fillId="0" fontId="7" numFmtId="0" xfId="0" applyAlignment="1" applyFont="1">
      <alignment vertical="top"/>
    </xf>
    <xf borderId="6" fillId="5" fontId="8" numFmtId="0" xfId="0" applyAlignment="1" applyBorder="1" applyFill="1" applyFont="1">
      <alignment horizontal="center" shrinkToFit="0" wrapText="1"/>
    </xf>
    <xf borderId="7" fillId="5" fontId="8" numFmtId="0" xfId="0" applyAlignment="1" applyBorder="1" applyFont="1">
      <alignment horizontal="center" shrinkToFit="0" vertical="center" wrapText="1"/>
    </xf>
    <xf borderId="7" fillId="4" fontId="8" numFmtId="0" xfId="0" applyAlignment="1" applyBorder="1" applyFont="1">
      <alignment horizontal="center" readingOrder="0" shrinkToFit="0" wrapText="1"/>
    </xf>
    <xf borderId="7" fillId="4" fontId="8" numFmtId="0" xfId="0" applyAlignment="1" applyBorder="1" applyFont="1">
      <alignment horizontal="center" shrinkToFit="0" wrapText="1"/>
    </xf>
    <xf borderId="7" fillId="5" fontId="8" numFmtId="0" xfId="0" applyAlignment="1" applyBorder="1" applyFont="1">
      <alignment horizontal="center" readingOrder="0" shrinkToFit="0" wrapText="1"/>
    </xf>
    <xf borderId="7" fillId="5" fontId="8" numFmtId="0" xfId="0" applyAlignment="1" applyBorder="1" applyFont="1">
      <alignment horizontal="center" shrinkToFit="0" wrapText="1"/>
    </xf>
    <xf borderId="7" fillId="5" fontId="8" numFmtId="0" xfId="0" applyAlignment="1" applyBorder="1" applyFont="1">
      <alignment horizontal="center" shrinkToFit="0" wrapText="1"/>
    </xf>
    <xf borderId="7" fillId="4" fontId="8" numFmtId="0" xfId="0" applyAlignment="1" applyBorder="1" applyFont="1">
      <alignment horizontal="center" shrinkToFit="0" wrapText="1"/>
    </xf>
    <xf borderId="0" fillId="0" fontId="7" numFmtId="0" xfId="0" applyAlignment="1" applyFont="1">
      <alignment shrinkToFit="0" vertical="top" wrapText="1"/>
    </xf>
    <xf borderId="8" fillId="0" fontId="9" numFmtId="0" xfId="0" applyBorder="1" applyFont="1"/>
    <xf borderId="9" fillId="0" fontId="9" numFmtId="0" xfId="0" applyBorder="1" applyFont="1"/>
    <xf borderId="2" fillId="5" fontId="7" numFmtId="0" xfId="0" applyBorder="1" applyFont="1"/>
    <xf borderId="10" fillId="5" fontId="8" numFmtId="0" xfId="0" applyAlignment="1" applyBorder="1" applyFont="1">
      <alignment shrinkToFit="0" vertical="center" wrapText="1"/>
    </xf>
    <xf borderId="10" fillId="4" fontId="7" numFmtId="0" xfId="0" applyBorder="1" applyFont="1"/>
    <xf borderId="10" fillId="5" fontId="7" numFmtId="0" xfId="0" applyBorder="1" applyFont="1"/>
    <xf borderId="10" fillId="5" fontId="7" numFmtId="0" xfId="0" applyBorder="1" applyFont="1"/>
    <xf borderId="10" fillId="4" fontId="7" numFmtId="0" xfId="0" applyBorder="1" applyFont="1"/>
    <xf borderId="10" fillId="5" fontId="7" numFmtId="164" xfId="0" applyBorder="1" applyFont="1" applyNumberFormat="1"/>
    <xf borderId="5" fillId="3" fontId="7" numFmtId="0" xfId="0" applyAlignment="1" applyBorder="1" applyFont="1">
      <alignment vertical="top"/>
    </xf>
    <xf borderId="5" fillId="5" fontId="7" numFmtId="0" xfId="0" applyAlignment="1" applyBorder="1" applyFont="1">
      <alignment vertical="top"/>
    </xf>
    <xf borderId="2" fillId="3" fontId="7" numFmtId="0" xfId="0" applyBorder="1" applyFont="1"/>
    <xf borderId="10" fillId="0" fontId="10" numFmtId="164" xfId="0" applyAlignment="1" applyBorder="1" applyFont="1" applyNumberFormat="1">
      <alignment shrinkToFit="0" vertical="center" wrapText="1"/>
    </xf>
    <xf borderId="10" fillId="4" fontId="10" numFmtId="0" xfId="0" applyAlignment="1" applyBorder="1" applyFont="1">
      <alignment horizontal="center" shrinkToFit="0" wrapText="1"/>
    </xf>
    <xf borderId="10" fillId="4" fontId="10" numFmtId="165" xfId="0" applyAlignment="1" applyBorder="1" applyFont="1" applyNumberFormat="1">
      <alignment horizontal="center"/>
    </xf>
    <xf borderId="10" fillId="3" fontId="10" numFmtId="0" xfId="0" applyAlignment="1" applyBorder="1" applyFont="1">
      <alignment horizontal="center" shrinkToFit="0" wrapText="1"/>
    </xf>
    <xf borderId="10" fillId="3" fontId="10" numFmtId="0" xfId="0" applyAlignment="1" applyBorder="1" applyFont="1">
      <alignment horizontal="center" shrinkToFit="0" wrapText="1"/>
    </xf>
    <xf borderId="10" fillId="4" fontId="7" numFmtId="164" xfId="0" applyBorder="1" applyFont="1" applyNumberFormat="1"/>
    <xf borderId="10" fillId="4" fontId="10" numFmtId="164" xfId="0" applyAlignment="1" applyBorder="1" applyFont="1" applyNumberFormat="1">
      <alignment horizontal="center"/>
    </xf>
    <xf borderId="10" fillId="0" fontId="10" numFmtId="164" xfId="0" applyAlignment="1" applyBorder="1" applyFont="1" applyNumberFormat="1">
      <alignment horizontal="center"/>
    </xf>
    <xf borderId="10" fillId="4" fontId="7" numFmtId="164" xfId="0" applyAlignment="1" applyBorder="1" applyFont="1" applyNumberFormat="1">
      <alignment shrinkToFit="0" vertical="center" wrapText="1"/>
    </xf>
    <xf borderId="5" fillId="3" fontId="7" numFmtId="0" xfId="0" applyAlignment="1" applyBorder="1" applyFont="1">
      <alignment readingOrder="0" vertical="top"/>
    </xf>
    <xf borderId="2" fillId="0" fontId="7" numFmtId="0" xfId="0" applyBorder="1" applyFont="1"/>
    <xf borderId="10" fillId="4" fontId="7" numFmtId="0" xfId="0" applyAlignment="1" applyBorder="1" applyFont="1">
      <alignment shrinkToFit="0" wrapText="1"/>
    </xf>
    <xf borderId="10" fillId="0" fontId="10" numFmtId="0" xfId="0" applyAlignment="1" applyBorder="1" applyFont="1">
      <alignment horizontal="center" shrinkToFit="0" wrapText="1"/>
    </xf>
    <xf borderId="10" fillId="4" fontId="7" numFmtId="1" xfId="0" applyBorder="1" applyFont="1" applyNumberFormat="1"/>
    <xf borderId="10" fillId="4" fontId="10" numFmtId="0" xfId="0" applyAlignment="1" applyBorder="1" applyFont="1">
      <alignment horizontal="center"/>
    </xf>
    <xf borderId="10" fillId="5" fontId="8" numFmtId="0" xfId="0" applyAlignment="1" applyBorder="1" applyFont="1">
      <alignment shrinkToFit="0" vertical="center" wrapText="1"/>
    </xf>
    <xf borderId="10" fillId="4" fontId="7" numFmtId="165" xfId="0" applyBorder="1" applyFont="1" applyNumberFormat="1"/>
    <xf borderId="10" fillId="4" fontId="7" numFmtId="164" xfId="0" applyAlignment="1" applyBorder="1" applyFont="1" applyNumberFormat="1">
      <alignment shrinkToFit="0" wrapText="1"/>
    </xf>
    <xf borderId="5" fillId="3" fontId="7" numFmtId="0" xfId="0" applyAlignment="1" applyBorder="1" applyFont="1">
      <alignment vertical="top"/>
    </xf>
    <xf borderId="0" fillId="0" fontId="7" numFmtId="0" xfId="0" applyAlignment="1" applyFont="1">
      <alignment vertical="bottom"/>
    </xf>
    <xf borderId="10" fillId="4" fontId="10" numFmtId="0" xfId="0" applyAlignment="1" applyBorder="1" applyFont="1">
      <alignment horizontal="center"/>
    </xf>
    <xf borderId="10" fillId="0" fontId="10" numFmtId="0" xfId="0" applyAlignment="1" applyBorder="1" applyFont="1">
      <alignment horizontal="center" shrinkToFit="0" wrapText="1"/>
    </xf>
    <xf borderId="0" fillId="0" fontId="7" numFmtId="0" xfId="0" applyAlignment="1" applyFont="1">
      <alignment readingOrder="0" vertical="top"/>
    </xf>
    <xf borderId="10" fillId="3" fontId="8" numFmtId="0" xfId="0" applyAlignment="1" applyBorder="1" applyFont="1">
      <alignment shrinkToFit="0" vertical="center" wrapText="1"/>
    </xf>
    <xf borderId="10" fillId="3" fontId="7" numFmtId="0" xfId="0" applyBorder="1" applyFont="1"/>
    <xf borderId="10" fillId="3" fontId="7" numFmtId="0" xfId="0" applyBorder="1" applyFont="1"/>
    <xf borderId="10" fillId="3" fontId="7" numFmtId="164" xfId="0" applyBorder="1" applyFont="1" applyNumberFormat="1"/>
    <xf borderId="5" fillId="3" fontId="7" numFmtId="0" xfId="0" applyAlignment="1" applyBorder="1" applyFont="1">
      <alignment shrinkToFit="0" vertical="top" wrapText="1"/>
    </xf>
    <xf borderId="1" fillId="5" fontId="8" numFmtId="0" xfId="0" applyAlignment="1" applyBorder="1" applyFont="1">
      <alignment shrinkToFit="0" vertical="center" wrapText="1"/>
    </xf>
    <xf borderId="11" fillId="0" fontId="9" numFmtId="0" xfId="0" applyBorder="1" applyFont="1"/>
    <xf borderId="12" fillId="0" fontId="9" numFmtId="0" xfId="0" applyBorder="1" applyFont="1"/>
    <xf borderId="10" fillId="5" fontId="8" numFmtId="164" xfId="0" applyAlignment="1" applyBorder="1" applyFont="1" applyNumberFormat="1">
      <alignment horizontal="center" shrinkToFit="0" wrapText="1"/>
    </xf>
    <xf borderId="1" fillId="5" fontId="8" numFmtId="0" xfId="0" applyAlignment="1" applyBorder="1" applyFont="1">
      <alignment readingOrder="0" shrinkToFit="0" vertical="center" wrapText="1"/>
    </xf>
    <xf borderId="10" fillId="5" fontId="8" numFmtId="9" xfId="0" applyAlignment="1" applyBorder="1" applyFont="1" applyNumberFormat="1">
      <alignment horizontal="center" readingOrder="0" shrinkToFit="0" wrapText="1"/>
    </xf>
    <xf borderId="11" fillId="5" fontId="8" numFmtId="0" xfId="0" applyAlignment="1" applyBorder="1" applyFont="1">
      <alignment readingOrder="0" shrinkToFit="0" vertical="center" wrapText="1"/>
    </xf>
    <xf borderId="11" fillId="5" fontId="8" numFmtId="0" xfId="0" applyAlignment="1" applyBorder="1" applyFont="1">
      <alignment shrinkToFit="0" vertical="center" wrapText="1"/>
    </xf>
    <xf borderId="0" fillId="0" fontId="7" numFmtId="164" xfId="0" applyAlignment="1" applyFont="1" applyNumberFormat="1">
      <alignment vertical="top"/>
    </xf>
    <xf borderId="13" fillId="5" fontId="7" numFmtId="0" xfId="0" applyBorder="1" applyFont="1"/>
    <xf borderId="14" fillId="5" fontId="8" numFmtId="0" xfId="0" applyAlignment="1" applyBorder="1" applyFont="1">
      <alignment shrinkToFit="0" vertical="center" wrapText="1"/>
    </xf>
    <xf borderId="15" fillId="5" fontId="8" numFmtId="0" xfId="0" applyAlignment="1" applyBorder="1" applyFont="1">
      <alignment shrinkToFit="0" vertical="center" wrapText="1"/>
    </xf>
    <xf borderId="16" fillId="5" fontId="8" numFmtId="164" xfId="0" applyAlignment="1" applyBorder="1" applyFont="1" applyNumberFormat="1">
      <alignment shrinkToFit="0" vertical="center" wrapText="1"/>
    </xf>
    <xf borderId="17" fillId="3" fontId="7" numFmtId="164" xfId="0" applyAlignment="1" applyBorder="1" applyFont="1" applyNumberFormat="1">
      <alignment vertical="top"/>
    </xf>
    <xf borderId="0" fillId="0" fontId="10" numFmtId="0" xfId="0" applyAlignment="1" applyFont="1">
      <alignment shrinkToFit="0" vertical="top" wrapText="1"/>
    </xf>
    <xf borderId="0" fillId="0" fontId="1" numFmtId="0" xfId="0" applyAlignment="1" applyFont="1">
      <alignment shrinkToFit="0" vertical="center" wrapText="1"/>
    </xf>
    <xf borderId="10" fillId="5" fontId="8" numFmtId="0" xfId="0" applyAlignment="1" applyBorder="1" applyFont="1">
      <alignment readingOrder="0" shrinkToFit="0" vertical="center" wrapText="1"/>
    </xf>
    <xf borderId="0" fillId="0" fontId="11" numFmtId="0" xfId="0" applyAlignment="1" applyFont="1">
      <alignment shrinkToFit="0" vertical="top" wrapText="1"/>
    </xf>
    <xf borderId="0" fillId="0" fontId="7" numFmtId="0" xfId="0" applyAlignment="1" applyFont="1">
      <alignment vertical="top"/>
    </xf>
    <xf borderId="18" fillId="3" fontId="12" numFmtId="0" xfId="0" applyAlignment="1" applyBorder="1" applyFont="1">
      <alignment horizontal="center" shrinkToFit="0" wrapText="1"/>
    </xf>
    <xf borderId="19" fillId="0" fontId="9" numFmtId="0" xfId="0" applyBorder="1" applyFont="1"/>
    <xf borderId="20" fillId="0" fontId="9" numFmtId="0" xfId="0" applyBorder="1" applyFont="1"/>
    <xf borderId="10" fillId="3" fontId="10" numFmtId="0" xfId="0" applyAlignment="1" applyBorder="1" applyFont="1">
      <alignment shrinkToFit="0" vertical="center" wrapText="1"/>
    </xf>
    <xf borderId="1" fillId="3" fontId="10" numFmtId="0" xfId="0" applyAlignment="1" applyBorder="1" applyFont="1">
      <alignment horizontal="center" shrinkToFit="0" wrapText="1"/>
    </xf>
    <xf borderId="21" fillId="0" fontId="9" numFmtId="0" xfId="0" applyBorder="1" applyFont="1"/>
    <xf borderId="1" fillId="3" fontId="10" numFmtId="0" xfId="0" applyAlignment="1" applyBorder="1" applyFont="1">
      <alignment horizontal="center" shrinkToFit="0" wrapText="1"/>
    </xf>
    <xf borderId="22" fillId="3" fontId="10" numFmtId="0" xfId="0" applyAlignment="1" applyBorder="1" applyFont="1">
      <alignment horizontal="center" shrinkToFit="0" wrapText="1"/>
    </xf>
    <xf borderId="23" fillId="0" fontId="9" numFmtId="0" xfId="0" applyBorder="1" applyFont="1"/>
    <xf borderId="24" fillId="0" fontId="9" numFmtId="0" xfId="0" applyBorder="1" applyFont="1"/>
    <xf borderId="25" fillId="0" fontId="9" numFmtId="0" xfId="0" applyBorder="1" applyFont="1"/>
    <xf borderId="26" fillId="0" fontId="9" numFmtId="0" xfId="0" applyBorder="1" applyFont="1"/>
    <xf borderId="27" fillId="0" fontId="9" numFmtId="0" xfId="0" applyBorder="1" applyFont="1"/>
    <xf borderId="1" fillId="3" fontId="7" numFmtId="0" xfId="0" applyBorder="1" applyFont="1"/>
    <xf borderId="13" fillId="3" fontId="7" numFmtId="0" xfId="0" applyBorder="1" applyFont="1"/>
    <xf borderId="28" fillId="3" fontId="10" numFmtId="0" xfId="0" applyAlignment="1" applyBorder="1" applyFont="1">
      <alignment shrinkToFit="0" vertical="center" wrapText="1"/>
    </xf>
    <xf borderId="28" fillId="3" fontId="7" numFmtId="0" xfId="0" applyBorder="1" applyFont="1"/>
    <xf borderId="14" fillId="3" fontId="10" numFmtId="0" xfId="0" applyAlignment="1" applyBorder="1" applyFont="1">
      <alignment horizontal="center" shrinkToFit="0" wrapText="1"/>
    </xf>
    <xf borderId="15" fillId="0" fontId="9" numFmtId="0" xfId="0" applyBorder="1" applyFont="1"/>
    <xf borderId="29" fillId="0" fontId="9" numFmtId="0" xfId="0" applyBorder="1" applyFont="1"/>
    <xf borderId="10" fillId="4" fontId="7" numFmtId="164" xfId="0" applyAlignment="1" applyBorder="1" applyFont="1" applyNumberFormat="1">
      <alignment readingOrder="0"/>
    </xf>
    <xf borderId="10" fillId="4" fontId="7" numFmtId="0" xfId="0" applyAlignment="1" applyBorder="1" applyFont="1">
      <alignment readingOrder="0"/>
    </xf>
    <xf borderId="5" fillId="3" fontId="7" numFmtId="164" xfId="0" applyAlignment="1" applyBorder="1" applyFont="1" applyNumberFormat="1">
      <alignment vertical="top"/>
    </xf>
    <xf borderId="1" fillId="5" fontId="8" numFmtId="0" xfId="0" applyAlignment="1" applyBorder="1" applyFont="1">
      <alignment shrinkToFit="0" vertical="center" wrapText="1"/>
    </xf>
    <xf borderId="16" fillId="0" fontId="9" numFmtId="0" xfId="0" applyBorder="1" applyFont="1"/>
    <xf borderId="0" fillId="0" fontId="7" numFmtId="164" xfId="0" applyFont="1" applyNumberFormat="1"/>
    <xf borderId="0" fillId="0" fontId="7" numFmtId="166" xfId="0" applyFont="1" applyNumberFormat="1"/>
    <xf borderId="5" fillId="4" fontId="7" numFmtId="0" xfId="0" applyBorder="1" applyFont="1"/>
    <xf borderId="0" fillId="0" fontId="8" numFmtId="0" xfId="0" applyAlignment="1" applyFont="1">
      <alignment shrinkToFit="0" wrapText="1"/>
    </xf>
    <xf borderId="30" fillId="5" fontId="8" numFmtId="0" xfId="0" applyAlignment="1" applyBorder="1" applyFont="1">
      <alignment horizontal="center" shrinkToFit="0" wrapText="1"/>
    </xf>
    <xf borderId="31" fillId="5" fontId="8" numFmtId="0" xfId="0" applyAlignment="1" applyBorder="1" applyFont="1">
      <alignment horizontal="center" shrinkToFit="0" vertical="center" wrapText="1"/>
    </xf>
    <xf borderId="31" fillId="4" fontId="8" numFmtId="0" xfId="0" applyAlignment="1" applyBorder="1" applyFont="1">
      <alignment horizontal="center" shrinkToFit="0" wrapText="1"/>
    </xf>
    <xf borderId="32" fillId="4" fontId="7" numFmtId="0" xfId="0" applyBorder="1" applyFont="1"/>
    <xf borderId="33" fillId="0" fontId="9" numFmtId="0" xfId="0" applyBorder="1" applyFont="1"/>
    <xf borderId="31" fillId="5" fontId="8" numFmtId="0" xfId="0" applyAlignment="1" applyBorder="1" applyFont="1">
      <alignment horizontal="center" shrinkToFit="0" wrapText="1"/>
    </xf>
    <xf borderId="31" fillId="5" fontId="8" numFmtId="0" xfId="0" applyAlignment="1" applyBorder="1" applyFont="1">
      <alignment horizontal="center" shrinkToFit="0" wrapText="1"/>
    </xf>
    <xf borderId="32" fillId="4" fontId="8" numFmtId="0" xfId="0" applyAlignment="1" applyBorder="1" applyFont="1">
      <alignment horizontal="center" shrinkToFit="0" wrapText="1"/>
    </xf>
    <xf borderId="34" fillId="5" fontId="8" numFmtId="0" xfId="0" applyAlignment="1" applyBorder="1" applyFont="1">
      <alignment horizontal="center" shrinkToFit="0" wrapText="1"/>
    </xf>
    <xf borderId="2" fillId="0" fontId="10" numFmtId="164" xfId="0" applyAlignment="1" applyBorder="1" applyFont="1" applyNumberFormat="1">
      <alignment horizontal="center"/>
    </xf>
    <xf borderId="10" fillId="0" fontId="10" numFmtId="0" xfId="0" applyAlignment="1" applyBorder="1" applyFont="1">
      <alignment shrinkToFit="0" vertical="center" wrapText="1"/>
    </xf>
    <xf borderId="10" fillId="4" fontId="8" numFmtId="0" xfId="0" applyAlignment="1" applyBorder="1" applyFont="1">
      <alignment horizontal="center" shrinkToFit="0" wrapText="1"/>
    </xf>
    <xf borderId="1" fillId="4" fontId="7" numFmtId="164" xfId="0" applyBorder="1" applyFont="1" applyNumberFormat="1"/>
    <xf borderId="10" fillId="0" fontId="8" numFmtId="0" xfId="0" applyAlignment="1" applyBorder="1" applyFont="1">
      <alignment horizontal="center" shrinkToFit="0" wrapText="1"/>
    </xf>
    <xf borderId="10" fillId="0" fontId="7" numFmtId="4" xfId="0" applyBorder="1" applyFont="1" applyNumberFormat="1"/>
    <xf borderId="1" fillId="4" fontId="7" numFmtId="0" xfId="0" applyBorder="1" applyFont="1"/>
    <xf borderId="35" fillId="0" fontId="7" numFmtId="0" xfId="0" applyBorder="1" applyFont="1"/>
    <xf borderId="4" fillId="4" fontId="7" numFmtId="164" xfId="0" applyBorder="1" applyFont="1" applyNumberFormat="1"/>
    <xf borderId="36" fillId="4" fontId="7" numFmtId="0" xfId="0" applyBorder="1" applyFont="1"/>
    <xf borderId="37" fillId="0" fontId="7" numFmtId="0" xfId="0" applyBorder="1" applyFont="1"/>
    <xf borderId="38" fillId="0" fontId="7" numFmtId="0" xfId="0" applyAlignment="1" applyBorder="1" applyFont="1">
      <alignment shrinkToFit="0" vertical="center" wrapText="1"/>
    </xf>
    <xf borderId="39" fillId="4" fontId="7" numFmtId="0" xfId="0" applyBorder="1" applyFont="1"/>
    <xf borderId="40" fillId="4" fontId="7" numFmtId="0" xfId="0" applyBorder="1" applyFont="1"/>
    <xf borderId="38" fillId="0" fontId="7" numFmtId="0" xfId="0" applyBorder="1" applyFont="1"/>
    <xf borderId="38" fillId="0" fontId="10" numFmtId="0" xfId="0" applyAlignment="1" applyBorder="1" applyFont="1">
      <alignment horizontal="center" shrinkToFit="0" wrapText="1"/>
    </xf>
    <xf borderId="38" fillId="0" fontId="8" numFmtId="3" xfId="0" applyAlignment="1" applyBorder="1" applyFont="1" applyNumberFormat="1">
      <alignment horizontal="center"/>
    </xf>
    <xf borderId="41" fillId="4" fontId="7" numFmtId="0" xfId="0" applyBorder="1" applyFont="1"/>
    <xf borderId="42" fillId="0" fontId="9" numFmtId="0" xfId="0" applyBorder="1" applyFont="1"/>
    <xf borderId="43" fillId="0" fontId="7" numFmtId="0" xfId="0" applyBorder="1" applyFont="1"/>
    <xf borderId="44" fillId="0" fontId="10" numFmtId="0" xfId="0" applyAlignment="1" applyBorder="1" applyFont="1">
      <alignment shrinkToFit="0" wrapText="1"/>
    </xf>
    <xf borderId="45" fillId="0" fontId="9" numFmtId="0" xfId="0" applyBorder="1" applyFont="1"/>
    <xf borderId="46" fillId="0" fontId="9" numFmtId="0" xfId="0" applyBorder="1" applyFont="1"/>
    <xf borderId="47" fillId="4" fontId="7" numFmtId="0" xfId="0" applyBorder="1" applyFont="1"/>
    <xf borderId="48" fillId="0" fontId="9" numFmtId="0" xfId="0" applyBorder="1" applyFont="1"/>
    <xf borderId="17" fillId="0" fontId="9" numFmtId="0" xfId="0" applyBorder="1" applyFont="1"/>
    <xf borderId="47" fillId="4" fontId="7" numFmtId="0" xfId="0" applyBorder="1" applyFont="1"/>
    <xf borderId="32" fillId="6" fontId="8" numFmtId="164" xfId="0" applyAlignment="1" applyBorder="1" applyFill="1" applyFont="1" applyNumberFormat="1">
      <alignment horizontal="center" shrinkToFit="0" wrapText="1"/>
    </xf>
    <xf borderId="49" fillId="0" fontId="9" numFmtId="0" xfId="0" applyBorder="1" applyFont="1"/>
    <xf borderId="50" fillId="0" fontId="9" numFmtId="0" xfId="0" applyBorder="1" applyFont="1"/>
    <xf borderId="10" fillId="6" fontId="7" numFmtId="0" xfId="0" applyBorder="1" applyFont="1"/>
    <xf borderId="10" fillId="6" fontId="8" numFmtId="0" xfId="0" applyAlignment="1" applyBorder="1" applyFont="1">
      <alignment horizontal="center" shrinkToFit="0" wrapText="1"/>
    </xf>
    <xf borderId="35" fillId="6" fontId="8" numFmtId="164" xfId="0" applyAlignment="1" applyBorder="1" applyFont="1" applyNumberFormat="1">
      <alignment horizontal="center" shrinkToFit="0" wrapText="1"/>
    </xf>
    <xf borderId="1" fillId="5" fontId="7" numFmtId="0" xfId="0" applyBorder="1" applyFont="1"/>
    <xf borderId="35" fillId="5" fontId="7" numFmtId="164" xfId="0" applyBorder="1" applyFont="1" applyNumberFormat="1"/>
    <xf borderId="51" fillId="3" fontId="7" numFmtId="0" xfId="0" applyBorder="1" applyFont="1"/>
    <xf borderId="52" fillId="0" fontId="10" numFmtId="0" xfId="0" applyAlignment="1" applyBorder="1" applyFont="1">
      <alignment shrinkToFit="0" vertical="center" wrapText="1"/>
    </xf>
    <xf borderId="53" fillId="4" fontId="10" numFmtId="0" xfId="0" applyAlignment="1" applyBorder="1" applyFont="1">
      <alignment horizontal="center"/>
    </xf>
    <xf borderId="53" fillId="4" fontId="7" numFmtId="0" xfId="0" applyBorder="1" applyFont="1"/>
    <xf borderId="53" fillId="4" fontId="10" numFmtId="166" xfId="0" applyAlignment="1" applyBorder="1" applyFont="1" applyNumberFormat="1">
      <alignment horizontal="center"/>
    </xf>
    <xf borderId="54" fillId="3" fontId="10" numFmtId="0" xfId="0" applyAlignment="1" applyBorder="1" applyFont="1">
      <alignment horizontal="center"/>
    </xf>
    <xf borderId="55" fillId="0" fontId="9" numFmtId="0" xfId="0" applyBorder="1" applyFont="1"/>
    <xf borderId="53" fillId="3" fontId="10" numFmtId="166" xfId="0" applyAlignment="1" applyBorder="1" applyFont="1" applyNumberFormat="1">
      <alignment horizontal="center"/>
    </xf>
    <xf borderId="53" fillId="4" fontId="7" numFmtId="164" xfId="0" applyBorder="1" applyFont="1" applyNumberFormat="1"/>
    <xf borderId="56" fillId="3" fontId="10" numFmtId="164" xfId="0" applyAlignment="1" applyBorder="1" applyFont="1" applyNumberFormat="1">
      <alignment horizontal="center" shrinkToFit="0" wrapText="1"/>
    </xf>
    <xf borderId="1" fillId="6" fontId="7" numFmtId="0" xfId="0" applyBorder="1" applyFont="1"/>
    <xf borderId="10" fillId="4" fontId="10" numFmtId="166" xfId="0" applyAlignment="1" applyBorder="1" applyFont="1" applyNumberFormat="1">
      <alignment horizontal="center"/>
    </xf>
    <xf borderId="1" fillId="3" fontId="10" numFmtId="0" xfId="0" applyAlignment="1" applyBorder="1" applyFont="1">
      <alignment horizontal="center"/>
    </xf>
    <xf borderId="10" fillId="3" fontId="10" numFmtId="166" xfId="0" applyAlignment="1" applyBorder="1" applyFont="1" applyNumberFormat="1">
      <alignment horizontal="center"/>
    </xf>
    <xf borderId="35" fillId="3" fontId="10" numFmtId="164" xfId="0" applyAlignment="1" applyBorder="1" applyFont="1" applyNumberFormat="1">
      <alignment horizontal="center" shrinkToFit="0" wrapText="1"/>
    </xf>
    <xf borderId="2" fillId="5" fontId="7" numFmtId="0" xfId="0" applyBorder="1" applyFont="1"/>
    <xf borderId="2" fillId="3" fontId="7" numFmtId="0" xfId="0" applyBorder="1" applyFont="1"/>
    <xf borderId="10" fillId="3" fontId="10" numFmtId="0" xfId="0" applyAlignment="1" applyBorder="1" applyFont="1">
      <alignment shrinkToFit="0" vertical="center" wrapText="1"/>
    </xf>
    <xf borderId="10" fillId="3" fontId="10" numFmtId="0" xfId="0" applyAlignment="1" applyBorder="1" applyFont="1">
      <alignment horizontal="center"/>
    </xf>
    <xf borderId="10" fillId="0" fontId="10" numFmtId="0" xfId="0" applyAlignment="1" applyBorder="1" applyFont="1">
      <alignment shrinkToFit="0" vertical="center" wrapText="1"/>
    </xf>
    <xf borderId="2" fillId="0" fontId="7" numFmtId="0" xfId="0" applyAlignment="1" applyBorder="1" applyFont="1">
      <alignment vertical="top"/>
    </xf>
    <xf borderId="10" fillId="4" fontId="10" numFmtId="0" xfId="0" applyAlignment="1" applyBorder="1" applyFont="1">
      <alignment horizontal="center" shrinkToFit="0" vertical="top" wrapText="1"/>
    </xf>
    <xf borderId="10" fillId="4" fontId="7" numFmtId="0" xfId="0" applyAlignment="1" applyBorder="1" applyFont="1">
      <alignment vertical="top"/>
    </xf>
    <xf borderId="1" fillId="0" fontId="10" numFmtId="0" xfId="0" applyAlignment="1" applyBorder="1" applyFont="1">
      <alignment horizontal="center" shrinkToFit="0" vertical="top" wrapText="1"/>
    </xf>
    <xf borderId="10" fillId="0" fontId="10" numFmtId="0" xfId="0" applyAlignment="1" applyBorder="1" applyFont="1">
      <alignment horizontal="center" shrinkToFit="0" vertical="top" wrapText="1"/>
    </xf>
    <xf borderId="2" fillId="5" fontId="7" numFmtId="0" xfId="0" applyAlignment="1" applyBorder="1" applyFont="1">
      <alignment vertical="top"/>
    </xf>
    <xf borderId="10" fillId="6" fontId="7" numFmtId="0" xfId="0" applyAlignment="1" applyBorder="1" applyFont="1">
      <alignment vertical="top"/>
    </xf>
    <xf borderId="10" fillId="5" fontId="7" numFmtId="0" xfId="0" applyAlignment="1" applyBorder="1" applyFont="1">
      <alignment vertical="top"/>
    </xf>
    <xf borderId="35" fillId="5" fontId="7" numFmtId="0" xfId="0" applyAlignment="1" applyBorder="1" applyFont="1">
      <alignment vertical="top"/>
    </xf>
    <xf borderId="10" fillId="3" fontId="8" numFmtId="0" xfId="0" applyAlignment="1" applyBorder="1" applyFont="1">
      <alignment shrinkToFit="0" vertical="center" wrapText="1"/>
    </xf>
    <xf borderId="10" fillId="4" fontId="7" numFmtId="167" xfId="0" applyBorder="1" applyFont="1" applyNumberFormat="1"/>
    <xf borderId="10" fillId="4" fontId="7" numFmtId="166" xfId="0" applyBorder="1" applyFont="1" applyNumberFormat="1"/>
    <xf borderId="1" fillId="3" fontId="7" numFmtId="0" xfId="0" applyBorder="1" applyFont="1"/>
    <xf borderId="10" fillId="3" fontId="7" numFmtId="166" xfId="0" applyBorder="1" applyFont="1" applyNumberFormat="1"/>
    <xf borderId="35" fillId="3" fontId="8" numFmtId="164" xfId="0" applyAlignment="1" applyBorder="1" applyFont="1" applyNumberFormat="1">
      <alignment horizontal="center" shrinkToFit="0" wrapText="1"/>
    </xf>
    <xf borderId="2" fillId="0" fontId="7" numFmtId="0" xfId="0" applyBorder="1" applyFont="1"/>
    <xf borderId="35" fillId="5" fontId="8" numFmtId="164" xfId="0" applyAlignment="1" applyBorder="1" applyFont="1" applyNumberFormat="1">
      <alignment horizontal="center" shrinkToFit="0" wrapText="1"/>
    </xf>
    <xf borderId="13" fillId="0" fontId="7" numFmtId="0" xfId="0" applyBorder="1" applyFont="1"/>
    <xf borderId="28" fillId="5" fontId="8" numFmtId="0" xfId="0" applyAlignment="1" applyBorder="1" applyFont="1">
      <alignment shrinkToFit="0" vertical="center" wrapText="1"/>
    </xf>
    <xf borderId="28" fillId="4" fontId="7" numFmtId="0" xfId="0" applyBorder="1" applyFont="1"/>
    <xf borderId="14" fillId="5" fontId="7" numFmtId="0" xfId="0" applyBorder="1" applyFont="1"/>
    <xf borderId="57" fillId="5" fontId="8" numFmtId="164" xfId="0" applyAlignment="1" applyBorder="1" applyFont="1" applyNumberFormat="1">
      <alignment horizontal="center" shrinkToFit="0" wrapText="1"/>
    </xf>
    <xf borderId="0" fillId="0" fontId="7" numFmtId="0" xfId="0" applyAlignment="1" applyFont="1">
      <alignment shrinkToFit="0" vertical="center" wrapText="1"/>
    </xf>
    <xf borderId="30" fillId="7" fontId="8" numFmtId="0" xfId="0" applyAlignment="1" applyBorder="1" applyFill="1" applyFont="1">
      <alignment shrinkToFit="0" vertical="center" wrapText="1"/>
    </xf>
    <xf borderId="31" fillId="4" fontId="7" numFmtId="0" xfId="0" applyBorder="1" applyFont="1"/>
    <xf borderId="31" fillId="7" fontId="7" numFmtId="0" xfId="0" applyBorder="1" applyFont="1"/>
    <xf borderId="31" fillId="7" fontId="7" numFmtId="166" xfId="0" applyBorder="1" applyFont="1" applyNumberFormat="1"/>
    <xf borderId="34" fillId="7" fontId="8" numFmtId="168" xfId="0" applyAlignment="1" applyBorder="1" applyFont="1" applyNumberFormat="1">
      <alignment horizontal="center" shrinkToFit="0" wrapText="1"/>
    </xf>
    <xf borderId="2" fillId="0" fontId="10" numFmtId="0" xfId="0" applyAlignment="1" applyBorder="1" applyFont="1">
      <alignment shrinkToFit="0" vertical="center" wrapText="1"/>
    </xf>
    <xf borderId="10" fillId="0" fontId="7" numFmtId="0" xfId="0" applyBorder="1" applyFont="1"/>
    <xf borderId="10" fillId="0" fontId="7" numFmtId="166" xfId="0" applyBorder="1" applyFont="1" applyNumberFormat="1"/>
    <xf borderId="35" fillId="0" fontId="10" numFmtId="164" xfId="0" applyAlignment="1" applyBorder="1" applyFont="1" applyNumberFormat="1">
      <alignment horizontal="center" shrinkToFit="0" wrapText="1"/>
    </xf>
    <xf borderId="35" fillId="0" fontId="7" numFmtId="164" xfId="0" applyBorder="1" applyFont="1" applyNumberFormat="1"/>
    <xf borderId="13" fillId="7" fontId="8" numFmtId="0" xfId="0" applyAlignment="1" applyBorder="1" applyFont="1">
      <alignment shrinkToFit="0" vertical="center" wrapText="1"/>
    </xf>
    <xf borderId="28" fillId="7" fontId="7" numFmtId="0" xfId="0" applyBorder="1" applyFont="1"/>
    <xf borderId="28" fillId="7" fontId="7" numFmtId="166" xfId="0" applyBorder="1" applyFont="1" applyNumberFormat="1"/>
    <xf borderId="57" fillId="7" fontId="8" numFmtId="164" xfId="0" applyAlignment="1" applyBorder="1" applyFont="1" applyNumberFormat="1">
      <alignment horizontal="center" shrinkToFit="0" wrapText="1"/>
    </xf>
    <xf borderId="10" fillId="0" fontId="7" numFmtId="164" xfId="0" applyBorder="1" applyFont="1" applyNumberFormat="1"/>
    <xf borderId="0" fillId="0" fontId="13" numFmtId="0" xfId="0" applyAlignment="1" applyFont="1">
      <alignment horizontal="center" shrinkToFit="0" wrapText="1"/>
    </xf>
    <xf borderId="0" fillId="0" fontId="14" numFmtId="0" xfId="0" applyAlignment="1" applyFont="1">
      <alignment horizontal="center" shrinkToFit="0" vertical="top" wrapText="1"/>
    </xf>
    <xf borderId="0" fillId="0" fontId="14" numFmtId="0" xfId="0" applyAlignment="1" applyFont="1">
      <alignment horizontal="left" shrinkToFit="0" vertical="top" wrapText="1"/>
    </xf>
    <xf borderId="0" fillId="0" fontId="15" numFmtId="0" xfId="0" applyAlignment="1" applyFont="1">
      <alignment horizontal="left" shrinkToFit="0" vertical="top" wrapText="1"/>
    </xf>
    <xf borderId="0" fillId="0" fontId="15" numFmtId="0" xfId="0" applyAlignment="1" applyFont="1">
      <alignment horizontal="left" shrinkToFit="0" vertical="center" wrapText="1"/>
    </xf>
    <xf borderId="0" fillId="0" fontId="11" numFmtId="0" xfId="0" applyAlignment="1" applyFont="1">
      <alignment horizontal="left" shrinkToFit="0" vertical="center" wrapText="1"/>
    </xf>
    <xf borderId="0" fillId="0" fontId="16" numFmtId="0" xfId="0" applyAlignment="1" applyFont="1">
      <alignment horizontal="left" shrinkToFit="0" vertical="top" wrapText="1"/>
    </xf>
    <xf borderId="0" fillId="0" fontId="17" numFmtId="0" xfId="0" applyAlignment="1" applyFont="1">
      <alignment horizontal="left" shrinkToFit="0" vertical="top" wrapText="1"/>
    </xf>
    <xf borderId="0" fillId="0" fontId="17" numFmtId="0" xfId="0" applyAlignment="1" applyFont="1">
      <alignment horizontal="center" shrinkToFit="0" vertical="top" wrapText="1"/>
    </xf>
    <xf borderId="5" fillId="4" fontId="14" numFmtId="0" xfId="0" applyAlignment="1" applyBorder="1" applyFont="1">
      <alignment horizontal="center" shrinkToFit="0" vertical="top" wrapText="1"/>
    </xf>
    <xf borderId="0" fillId="0" fontId="11" numFmtId="0" xfId="0" applyAlignment="1" applyFont="1">
      <alignment horizontal="left" shrinkToFit="0" vertical="top" wrapText="1"/>
    </xf>
    <xf borderId="18" fillId="3" fontId="12" numFmtId="0" xfId="0" applyAlignment="1" applyBorder="1" applyFont="1">
      <alignment horizontal="center" shrinkToFit="0" vertical="center" wrapText="1"/>
    </xf>
    <xf borderId="2" fillId="3" fontId="18" numFmtId="0" xfId="0" applyAlignment="1" applyBorder="1" applyFont="1">
      <alignment horizontal="left" shrinkToFit="0" vertical="center" wrapText="1"/>
    </xf>
    <xf borderId="10" fillId="3" fontId="19" numFmtId="0" xfId="0" applyAlignment="1" applyBorder="1" applyFont="1">
      <alignment horizontal="left" shrinkToFit="0" vertical="center" wrapText="1"/>
    </xf>
    <xf borderId="1" fillId="3" fontId="19" numFmtId="0" xfId="0" applyAlignment="1" applyBorder="1" applyFont="1">
      <alignment horizontal="center" shrinkToFit="0" vertical="center" wrapText="1"/>
    </xf>
    <xf borderId="22" fillId="3" fontId="19" numFmtId="0" xfId="0" applyAlignment="1" applyBorder="1" applyFont="1">
      <alignment horizontal="center" shrinkToFit="0" vertical="center" wrapText="1"/>
    </xf>
    <xf borderId="13" fillId="3" fontId="18" numFmtId="0" xfId="0" applyAlignment="1" applyBorder="1" applyFont="1">
      <alignment horizontal="left" shrinkToFit="0" vertical="center" wrapText="1"/>
    </xf>
    <xf borderId="28" fillId="3" fontId="19" numFmtId="0" xfId="0" applyAlignment="1" applyBorder="1" applyFont="1">
      <alignment horizontal="left" shrinkToFit="0" vertical="center" wrapText="1"/>
    </xf>
    <xf borderId="14" fillId="3" fontId="19" numFmtId="0" xfId="0" applyAlignment="1" applyBorder="1" applyFont="1">
      <alignment horizontal="center" shrinkToFit="0" vertical="center" wrapText="1"/>
    </xf>
    <xf borderId="5" fillId="3" fontId="14" numFmtId="0" xfId="0" applyAlignment="1" applyBorder="1" applyFont="1">
      <alignment horizontal="left" shrinkToFit="0" vertical="top" wrapText="1"/>
    </xf>
    <xf borderId="0" fillId="0" fontId="20" numFmtId="0" xfId="0" applyAlignment="1" applyFont="1">
      <alignment horizontal="center" shrinkToFit="0" vertical="center" wrapText="1"/>
    </xf>
    <xf borderId="5" fillId="4" fontId="20" numFmtId="0" xfId="0" applyAlignment="1" applyBorder="1" applyFont="1">
      <alignment horizontal="center" shrinkToFit="0" vertical="center" wrapText="1"/>
    </xf>
    <xf borderId="5" fillId="4" fontId="20" numFmtId="0" xfId="0" applyAlignment="1" applyBorder="1" applyFont="1">
      <alignment horizontal="left" shrinkToFit="0" vertical="center" wrapText="1"/>
    </xf>
    <xf borderId="5" fillId="4" fontId="20" numFmtId="0" xfId="0" applyAlignment="1" applyBorder="1" applyFont="1">
      <alignment horizontal="left" shrinkToFit="0" vertical="top" wrapText="1"/>
    </xf>
    <xf borderId="0" fillId="0" fontId="21" numFmtId="0" xfId="0" applyAlignment="1" applyFont="1">
      <alignment horizontal="left" shrinkToFit="0" vertical="top" wrapText="1"/>
    </xf>
    <xf borderId="6" fillId="5" fontId="14" numFmtId="0" xfId="0" applyAlignment="1" applyBorder="1" applyFont="1">
      <alignment horizontal="center" shrinkToFit="0" vertical="center" wrapText="1"/>
    </xf>
    <xf borderId="7" fillId="5" fontId="14" numFmtId="0" xfId="0" applyAlignment="1" applyBorder="1" applyFont="1">
      <alignment horizontal="center" shrinkToFit="0" vertical="center" wrapText="1"/>
    </xf>
    <xf borderId="7" fillId="4" fontId="14" numFmtId="0" xfId="0" applyAlignment="1" applyBorder="1" applyFont="1">
      <alignment horizontal="center" shrinkToFit="0" vertical="center" wrapText="1"/>
    </xf>
    <xf borderId="58" fillId="5" fontId="14" numFmtId="0" xfId="0" applyAlignment="1" applyBorder="1" applyFont="1">
      <alignment horizontal="center" shrinkToFit="0" vertical="center" wrapText="1"/>
    </xf>
    <xf borderId="59" fillId="0" fontId="9" numFmtId="0" xfId="0" applyBorder="1" applyFont="1"/>
    <xf borderId="2" fillId="5" fontId="14" numFmtId="0" xfId="0" applyAlignment="1" applyBorder="1" applyFont="1">
      <alignment horizontal="center" shrinkToFit="0" vertical="center" wrapText="1"/>
    </xf>
    <xf borderId="10" fillId="5" fontId="14" numFmtId="0" xfId="0" applyAlignment="1" applyBorder="1" applyFont="1">
      <alignment horizontal="left" shrinkToFit="0" vertical="center" wrapText="1"/>
    </xf>
    <xf borderId="10" fillId="4" fontId="19" numFmtId="0" xfId="0" applyAlignment="1" applyBorder="1" applyFont="1">
      <alignment horizontal="left" shrinkToFit="0" vertical="center" wrapText="1"/>
    </xf>
    <xf borderId="10" fillId="5" fontId="19" numFmtId="0" xfId="0" applyAlignment="1" applyBorder="1" applyFont="1">
      <alignment horizontal="left" shrinkToFit="0" vertical="center" wrapText="1"/>
    </xf>
    <xf borderId="10" fillId="5" fontId="19" numFmtId="164" xfId="0" applyAlignment="1" applyBorder="1" applyFont="1" applyNumberFormat="1">
      <alignment horizontal="center" shrinkToFit="1" vertical="center" wrapText="0"/>
    </xf>
    <xf borderId="35" fillId="5" fontId="19" numFmtId="164" xfId="0" applyAlignment="1" applyBorder="1" applyFont="1" applyNumberFormat="1">
      <alignment horizontal="right" shrinkToFit="1" vertical="center" wrapText="0"/>
    </xf>
    <xf borderId="5" fillId="3" fontId="21" numFmtId="0" xfId="0" applyAlignment="1" applyBorder="1" applyFont="1">
      <alignment horizontal="left" shrinkToFit="0" vertical="top" wrapText="1"/>
    </xf>
    <xf borderId="5" fillId="5" fontId="21" numFmtId="0" xfId="0" applyAlignment="1" applyBorder="1" applyFont="1">
      <alignment horizontal="left" shrinkToFit="0" vertical="top" wrapText="1"/>
    </xf>
    <xf borderId="2" fillId="5" fontId="14" numFmtId="0" xfId="0" applyAlignment="1" applyBorder="1" applyFont="1">
      <alignment horizontal="left" shrinkToFit="0" vertical="center" wrapText="1"/>
    </xf>
    <xf borderId="10" fillId="4" fontId="14" numFmtId="0" xfId="0" applyAlignment="1" applyBorder="1" applyFont="1">
      <alignment horizontal="left" shrinkToFit="0" vertical="center" wrapText="1"/>
    </xf>
    <xf borderId="10" fillId="5" fontId="14" numFmtId="0" xfId="0" applyAlignment="1" applyBorder="1" applyFont="1">
      <alignment horizontal="center" shrinkToFit="0" vertical="center" wrapText="1"/>
    </xf>
    <xf borderId="35" fillId="5" fontId="14"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0" fillId="0" fontId="19" numFmtId="164" xfId="0" applyAlignment="1" applyBorder="1" applyFont="1" applyNumberFormat="1">
      <alignment horizontal="left" shrinkToFit="0" vertical="center" wrapText="1"/>
    </xf>
    <xf borderId="10" fillId="4" fontId="19" numFmtId="0" xfId="0" applyAlignment="1" applyBorder="1" applyFont="1">
      <alignment horizontal="center" shrinkToFit="0" vertical="center" wrapText="1"/>
    </xf>
    <xf borderId="10" fillId="4" fontId="19" numFmtId="165" xfId="0" applyAlignment="1" applyBorder="1" applyFont="1" applyNumberFormat="1">
      <alignment horizontal="center" shrinkToFit="1" vertical="center" wrapText="0"/>
    </xf>
    <xf borderId="10" fillId="3" fontId="19" numFmtId="0" xfId="0" applyAlignment="1" applyBorder="1" applyFont="1">
      <alignment horizontal="center" shrinkToFit="0" vertical="center" wrapText="1"/>
    </xf>
    <xf borderId="10" fillId="4" fontId="19" numFmtId="164" xfId="0" applyAlignment="1" applyBorder="1" applyFont="1" applyNumberFormat="1">
      <alignment horizontal="center" shrinkToFit="1" vertical="center" wrapText="0"/>
    </xf>
    <xf borderId="10" fillId="0" fontId="19" numFmtId="164" xfId="0" applyAlignment="1" applyBorder="1" applyFont="1" applyNumberFormat="1">
      <alignment horizontal="center" shrinkToFit="1" vertical="center" wrapText="0"/>
    </xf>
    <xf borderId="35" fillId="3" fontId="19" numFmtId="164" xfId="0" applyAlignment="1" applyBorder="1" applyFont="1" applyNumberFormat="1">
      <alignment horizontal="center" shrinkToFit="1" vertical="center" wrapText="0"/>
    </xf>
    <xf borderId="0" fillId="0" fontId="21" numFmtId="0" xfId="0" applyAlignment="1" applyFont="1">
      <alignment horizontal="left" vertical="top"/>
    </xf>
    <xf borderId="2" fillId="0" fontId="14" numFmtId="0" xfId="0" applyAlignment="1" applyBorder="1" applyFont="1">
      <alignment horizontal="center" shrinkToFit="0" vertical="center" wrapText="1"/>
    </xf>
    <xf borderId="10" fillId="0" fontId="19" numFmtId="0" xfId="0" applyAlignment="1" applyBorder="1" applyFont="1">
      <alignment horizontal="left" shrinkToFit="0" vertical="center" wrapText="1"/>
    </xf>
    <xf borderId="10" fillId="0" fontId="19" numFmtId="0" xfId="0" applyAlignment="1" applyBorder="1" applyFont="1">
      <alignment horizontal="center" shrinkToFit="0" vertical="center" wrapText="1"/>
    </xf>
    <xf borderId="10" fillId="4" fontId="19" numFmtId="0" xfId="0" applyAlignment="1" applyBorder="1" applyFont="1">
      <alignment horizontal="center" shrinkToFit="1" vertical="center" wrapText="0"/>
    </xf>
    <xf borderId="2" fillId="5" fontId="19" numFmtId="0" xfId="0" applyAlignment="1" applyBorder="1" applyFont="1">
      <alignment horizontal="left" vertical="center"/>
    </xf>
    <xf borderId="10" fillId="4" fontId="19" numFmtId="0" xfId="0" applyAlignment="1" applyBorder="1" applyFont="1">
      <alignment horizontal="left" vertical="center"/>
    </xf>
    <xf borderId="10" fillId="4" fontId="19" numFmtId="165" xfId="0" applyAlignment="1" applyBorder="1" applyFont="1" applyNumberFormat="1">
      <alignment horizontal="left" vertical="center"/>
    </xf>
    <xf borderId="10" fillId="5" fontId="19" numFmtId="0" xfId="0" applyAlignment="1" applyBorder="1" applyFont="1">
      <alignment horizontal="left" vertical="center"/>
    </xf>
    <xf borderId="10" fillId="4" fontId="19" numFmtId="164" xfId="0" applyAlignment="1" applyBorder="1" applyFont="1" applyNumberFormat="1">
      <alignment horizontal="left" vertical="center"/>
    </xf>
    <xf borderId="10" fillId="5" fontId="19" numFmtId="164" xfId="0" applyAlignment="1" applyBorder="1" applyFont="1" applyNumberFormat="1">
      <alignment horizontal="center" vertical="center"/>
    </xf>
    <xf borderId="5" fillId="3" fontId="22" numFmtId="0" xfId="0" applyAlignment="1" applyBorder="1" applyFont="1">
      <alignment horizontal="left" vertical="top"/>
    </xf>
    <xf borderId="5" fillId="2" fontId="21" numFmtId="0" xfId="0" applyAlignment="1" applyBorder="1" applyFont="1">
      <alignment horizontal="left" shrinkToFit="0" vertical="top" wrapText="1"/>
    </xf>
    <xf borderId="2" fillId="3" fontId="19" numFmtId="0" xfId="0" applyAlignment="1" applyBorder="1" applyFont="1">
      <alignment horizontal="left" vertical="center"/>
    </xf>
    <xf borderId="0" fillId="0" fontId="22" numFmtId="0" xfId="0" applyAlignment="1" applyFont="1">
      <alignment horizontal="left" vertical="bottom"/>
    </xf>
    <xf borderId="10" fillId="4" fontId="14" numFmtId="0" xfId="0" applyAlignment="1" applyBorder="1" applyFont="1">
      <alignment horizontal="center" shrinkToFit="0" vertical="center" wrapText="1"/>
    </xf>
    <xf borderId="10" fillId="3" fontId="14" numFmtId="0" xfId="0" applyAlignment="1" applyBorder="1" applyFont="1">
      <alignment horizontal="left" shrinkToFit="0" vertical="center" wrapText="1"/>
    </xf>
    <xf borderId="10" fillId="3" fontId="19" numFmtId="0" xfId="0" applyAlignment="1" applyBorder="1" applyFont="1">
      <alignment horizontal="left" vertical="center"/>
    </xf>
    <xf borderId="10" fillId="3" fontId="19" numFmtId="164" xfId="0" applyAlignment="1" applyBorder="1" applyFont="1" applyNumberFormat="1">
      <alignment horizontal="center" vertical="center"/>
    </xf>
    <xf borderId="35" fillId="3" fontId="14" numFmtId="164" xfId="0" applyAlignment="1" applyBorder="1" applyFont="1" applyNumberFormat="1">
      <alignment horizontal="center" vertical="center"/>
    </xf>
    <xf borderId="1" fillId="5" fontId="14" numFmtId="0" xfId="0" applyAlignment="1" applyBorder="1" applyFont="1">
      <alignment horizontal="left" shrinkToFit="0" vertical="center" wrapText="1"/>
    </xf>
    <xf borderId="10" fillId="5" fontId="14" numFmtId="164" xfId="0" applyAlignment="1" applyBorder="1" applyFont="1" applyNumberFormat="1">
      <alignment horizontal="center" shrinkToFit="0" vertical="center" wrapText="1"/>
    </xf>
    <xf borderId="35" fillId="5" fontId="14" numFmtId="164" xfId="0" applyAlignment="1" applyBorder="1" applyFont="1" applyNumberFormat="1">
      <alignment horizontal="left" vertical="center"/>
    </xf>
    <xf borderId="35" fillId="5" fontId="14" numFmtId="164" xfId="0" applyAlignment="1" applyBorder="1" applyFont="1" applyNumberFormat="1">
      <alignment horizontal="center" shrinkToFit="0" vertical="center" wrapText="1"/>
    </xf>
    <xf borderId="0" fillId="0" fontId="21" numFmtId="164" xfId="0" applyAlignment="1" applyFont="1" applyNumberFormat="1">
      <alignment horizontal="left" shrinkToFit="0" vertical="top" wrapText="1"/>
    </xf>
    <xf borderId="0" fillId="0" fontId="21" numFmtId="169" xfId="0" applyAlignment="1" applyFont="1" applyNumberFormat="1">
      <alignment horizontal="left" shrinkToFit="0" vertical="top" wrapText="1"/>
    </xf>
    <xf borderId="0" fillId="0" fontId="19" numFmtId="0" xfId="0" applyAlignment="1" applyFont="1">
      <alignment horizontal="left" shrinkToFit="0" vertical="top" wrapText="1"/>
    </xf>
    <xf borderId="0" fillId="0" fontId="19" numFmtId="164" xfId="0" applyAlignment="1" applyFont="1" applyNumberFormat="1">
      <alignment horizontal="left" shrinkToFit="0" vertical="top" wrapText="1"/>
    </xf>
    <xf borderId="13" fillId="5" fontId="19" numFmtId="0" xfId="0" applyAlignment="1" applyBorder="1" applyFont="1">
      <alignment horizontal="left" vertical="center"/>
    </xf>
    <xf borderId="14" fillId="5" fontId="14" numFmtId="0" xfId="0" applyAlignment="1" applyBorder="1" applyFont="1">
      <alignment horizontal="left" shrinkToFit="0" vertical="center" wrapText="1"/>
    </xf>
    <xf borderId="57" fillId="5" fontId="14" numFmtId="164" xfId="0" applyAlignment="1" applyBorder="1" applyFont="1" applyNumberFormat="1">
      <alignment horizontal="center" shrinkToFit="0" vertical="center" wrapText="1"/>
    </xf>
    <xf borderId="5" fillId="3" fontId="19" numFmtId="164" xfId="0" applyAlignment="1" applyBorder="1" applyFont="1" applyNumberFormat="1">
      <alignment horizontal="left" shrinkToFit="0" vertical="top" wrapText="1"/>
    </xf>
    <xf borderId="0" fillId="0" fontId="14" numFmtId="0" xfId="0" applyAlignment="1" applyFont="1">
      <alignment horizontal="left" shrinkToFit="0" vertical="center" wrapText="1"/>
    </xf>
    <xf borderId="5" fillId="4" fontId="14" numFmtId="0" xfId="0" applyAlignment="1" applyBorder="1" applyFont="1">
      <alignment horizontal="left" shrinkToFit="0" vertical="center" wrapText="1"/>
    </xf>
    <xf borderId="5" fillId="4" fontId="19" numFmtId="0" xfId="0" applyAlignment="1" applyBorder="1" applyFont="1">
      <alignment horizontal="left" shrinkToFit="0" vertical="center" wrapText="1"/>
    </xf>
    <xf borderId="0" fillId="0" fontId="14" numFmtId="164" xfId="0" applyAlignment="1" applyFont="1" applyNumberFormat="1">
      <alignment horizontal="center" shrinkToFit="0" vertical="center" wrapText="1"/>
    </xf>
    <xf borderId="0" fillId="0" fontId="14" numFmtId="166" xfId="0" applyAlignment="1" applyFont="1" applyNumberFormat="1">
      <alignment horizontal="right" shrinkToFit="0" vertical="center" wrapText="1"/>
    </xf>
    <xf borderId="0" fillId="0" fontId="14" numFmtId="166" xfId="0" applyAlignment="1" applyFont="1" applyNumberFormat="1">
      <alignment horizontal="left" shrinkToFit="0" vertical="center" wrapText="1"/>
    </xf>
    <xf borderId="0" fillId="0" fontId="19" numFmtId="0" xfId="0" applyAlignment="1" applyFont="1">
      <alignment horizontal="center" shrinkToFit="0" vertical="center" wrapText="1"/>
    </xf>
    <xf borderId="0" fillId="0" fontId="19" numFmtId="0" xfId="0" applyAlignment="1" applyFont="1">
      <alignment horizontal="left" shrinkToFit="0" vertical="center" wrapText="1"/>
    </xf>
    <xf borderId="30" fillId="5" fontId="14" numFmtId="0" xfId="0" applyAlignment="1" applyBorder="1" applyFont="1">
      <alignment horizontal="center" shrinkToFit="0" vertical="center" wrapText="1"/>
    </xf>
    <xf borderId="31" fillId="5" fontId="14" numFmtId="0" xfId="0" applyAlignment="1" applyBorder="1" applyFont="1">
      <alignment horizontal="center" shrinkToFit="0" vertical="center" wrapText="1"/>
    </xf>
    <xf borderId="31" fillId="4" fontId="14" numFmtId="0" xfId="0" applyAlignment="1" applyBorder="1" applyFont="1">
      <alignment horizontal="center" shrinkToFit="0" vertical="center" wrapText="1"/>
    </xf>
    <xf borderId="32" fillId="4" fontId="14" numFmtId="0" xfId="0" applyAlignment="1" applyBorder="1" applyFont="1">
      <alignment horizontal="center" shrinkToFit="0" vertical="center" wrapText="1"/>
    </xf>
    <xf borderId="34" fillId="5"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2" fillId="0" fontId="19" numFmtId="164" xfId="0" applyAlignment="1" applyBorder="1" applyFont="1" applyNumberFormat="1">
      <alignment horizontal="center" shrinkToFit="1" vertical="center" wrapText="0"/>
    </xf>
    <xf borderId="1" fillId="4" fontId="23" numFmtId="164" xfId="0" applyAlignment="1" applyBorder="1" applyFont="1" applyNumberFormat="1">
      <alignment horizontal="center" shrinkToFit="1" vertical="center" wrapText="0"/>
    </xf>
    <xf borderId="10" fillId="0" fontId="14" numFmtId="0" xfId="0" applyAlignment="1" applyBorder="1" applyFont="1">
      <alignment horizontal="center" shrinkToFit="0" vertical="center" wrapText="1"/>
    </xf>
    <xf borderId="10" fillId="0" fontId="19" numFmtId="4" xfId="0" applyAlignment="1" applyBorder="1" applyFont="1" applyNumberFormat="1">
      <alignment horizontal="center" shrinkToFit="1" vertical="center" wrapText="0"/>
    </xf>
    <xf borderId="1" fillId="4" fontId="19" numFmtId="0" xfId="0" applyAlignment="1" applyBorder="1" applyFont="1">
      <alignment horizontal="center" shrinkToFit="0" vertical="center" wrapText="1"/>
    </xf>
    <xf borderId="35" fillId="0" fontId="19" numFmtId="0" xfId="0" applyAlignment="1" applyBorder="1" applyFont="1">
      <alignment horizontal="left" vertical="center"/>
    </xf>
    <xf borderId="0" fillId="0" fontId="19" numFmtId="0" xfId="0" applyAlignment="1" applyFont="1">
      <alignment vertical="center"/>
    </xf>
    <xf borderId="0" fillId="0" fontId="19" numFmtId="0" xfId="0" applyAlignment="1" applyFont="1">
      <alignment horizontal="left" vertical="center"/>
    </xf>
    <xf borderId="0" fillId="0" fontId="21" numFmtId="0" xfId="0" applyAlignment="1" applyFont="1">
      <alignment vertical="top"/>
    </xf>
    <xf borderId="4" fillId="4" fontId="23" numFmtId="164" xfId="0" applyAlignment="1" applyBorder="1" applyFont="1" applyNumberFormat="1">
      <alignment horizontal="center" shrinkToFit="1" vertical="center" wrapText="0"/>
    </xf>
    <xf borderId="36" fillId="4" fontId="19" numFmtId="0" xfId="0" applyAlignment="1" applyBorder="1" applyFont="1">
      <alignment horizontal="left" vertical="center"/>
    </xf>
    <xf borderId="37" fillId="0" fontId="19" numFmtId="0" xfId="0" applyAlignment="1" applyBorder="1" applyFont="1">
      <alignment horizontal="left" shrinkToFit="0" vertical="center" wrapText="1"/>
    </xf>
    <xf borderId="38" fillId="0" fontId="19" numFmtId="0" xfId="0" applyAlignment="1" applyBorder="1" applyFont="1">
      <alignment horizontal="left" shrinkToFit="0" vertical="center" wrapText="1"/>
    </xf>
    <xf borderId="39" fillId="4" fontId="19" numFmtId="0" xfId="0" applyAlignment="1" applyBorder="1" applyFont="1">
      <alignment horizontal="center" shrinkToFit="0" vertical="center" wrapText="1"/>
    </xf>
    <xf borderId="40" fillId="4" fontId="19" numFmtId="0" xfId="0" applyAlignment="1" applyBorder="1" applyFont="1">
      <alignment horizontal="left" vertical="center"/>
    </xf>
    <xf borderId="38" fillId="0" fontId="19" numFmtId="0" xfId="0" applyAlignment="1" applyBorder="1" applyFont="1">
      <alignment horizontal="center" shrinkToFit="0" vertical="center" wrapText="1"/>
    </xf>
    <xf borderId="38" fillId="0" fontId="14" numFmtId="3" xfId="0" applyAlignment="1" applyBorder="1" applyFont="1" applyNumberFormat="1">
      <alignment horizontal="center" shrinkToFit="1" vertical="center" wrapText="0"/>
    </xf>
    <xf borderId="41" fillId="4" fontId="19" numFmtId="0" xfId="0" applyAlignment="1" applyBorder="1" applyFont="1">
      <alignment horizontal="center" shrinkToFit="0" vertical="center" wrapText="1"/>
    </xf>
    <xf borderId="43" fillId="0" fontId="19" numFmtId="0" xfId="0" applyAlignment="1" applyBorder="1" applyFont="1">
      <alignment horizontal="center" vertical="center"/>
    </xf>
    <xf borderId="44" fillId="0" fontId="19" numFmtId="0" xfId="0" applyAlignment="1" applyBorder="1" applyFont="1">
      <alignment horizontal="left" shrinkToFit="0" vertical="center" wrapText="1"/>
    </xf>
    <xf borderId="47" fillId="4" fontId="19" numFmtId="0" xfId="0" applyAlignment="1" applyBorder="1" applyFont="1">
      <alignment horizontal="center" shrinkToFit="0" vertical="center" wrapText="1"/>
    </xf>
    <xf borderId="0" fillId="0" fontId="19" numFmtId="164" xfId="0" applyAlignment="1" applyFont="1" applyNumberFormat="1">
      <alignment horizontal="left" vertical="center"/>
    </xf>
    <xf borderId="32" fillId="6" fontId="14" numFmtId="164" xfId="0" applyAlignment="1" applyBorder="1" applyFont="1" applyNumberFormat="1">
      <alignment horizontal="center" shrinkToFit="0" vertical="center" wrapText="1"/>
    </xf>
    <xf borderId="0" fillId="0" fontId="21" numFmtId="0" xfId="0" applyAlignment="1" applyFont="1">
      <alignment horizontal="center" shrinkToFit="0" vertical="center" wrapText="1"/>
    </xf>
    <xf borderId="0" fillId="0" fontId="21" numFmtId="0" xfId="0" applyAlignment="1" applyFont="1">
      <alignment horizontal="center" vertical="center"/>
    </xf>
    <xf borderId="10" fillId="6" fontId="14" numFmtId="0" xfId="0" applyAlignment="1" applyBorder="1" applyFont="1">
      <alignment horizontal="center" shrinkToFit="0" vertical="center" wrapText="1"/>
    </xf>
    <xf borderId="1" fillId="6" fontId="14" numFmtId="164" xfId="0" applyAlignment="1" applyBorder="1" applyFont="1" applyNumberFormat="1">
      <alignment horizontal="center" shrinkToFit="0" vertical="center" wrapText="1"/>
    </xf>
    <xf borderId="1" fillId="5" fontId="19" numFmtId="0" xfId="0" applyAlignment="1" applyBorder="1" applyFont="1">
      <alignment horizontal="center" vertical="center"/>
    </xf>
    <xf borderId="1" fillId="5" fontId="19" numFmtId="164" xfId="0" applyAlignment="1" applyBorder="1" applyFont="1" applyNumberFormat="1">
      <alignment horizontal="left" vertical="center"/>
    </xf>
    <xf borderId="0" fillId="0" fontId="24" numFmtId="0" xfId="0" applyAlignment="1" applyFont="1">
      <alignment horizontal="left" shrinkToFit="0" vertical="center" wrapText="1"/>
    </xf>
    <xf borderId="0" fillId="0" fontId="24" numFmtId="0" xfId="0" applyAlignment="1" applyFont="1">
      <alignment vertical="center"/>
    </xf>
    <xf borderId="51" fillId="3" fontId="19" numFmtId="0" xfId="0" applyAlignment="1" applyBorder="1" applyFont="1">
      <alignment horizontal="left" vertical="center"/>
    </xf>
    <xf borderId="52" fillId="0" fontId="19" numFmtId="0" xfId="0" applyAlignment="1" applyBorder="1" applyFont="1">
      <alignment horizontal="left" vertical="center"/>
    </xf>
    <xf borderId="53" fillId="4" fontId="19" numFmtId="0" xfId="0" applyAlignment="1" applyBorder="1" applyFont="1">
      <alignment horizontal="center" vertical="center"/>
    </xf>
    <xf borderId="53" fillId="4" fontId="19" numFmtId="166" xfId="0" applyAlignment="1" applyBorder="1" applyFont="1" applyNumberFormat="1">
      <alignment horizontal="center" vertical="center"/>
    </xf>
    <xf borderId="54" fillId="3" fontId="19" numFmtId="0" xfId="0" applyAlignment="1" applyBorder="1" applyFont="1">
      <alignment horizontal="center" vertical="center"/>
    </xf>
    <xf borderId="53" fillId="3" fontId="19" numFmtId="166" xfId="0" applyAlignment="1" applyBorder="1" applyFont="1" applyNumberFormat="1">
      <alignment horizontal="center" vertical="center"/>
    </xf>
    <xf borderId="53" fillId="4" fontId="19" numFmtId="164" xfId="0" applyAlignment="1" applyBorder="1" applyFont="1" applyNumberFormat="1">
      <alignment horizontal="center" vertical="center"/>
    </xf>
    <xf borderId="54" fillId="3" fontId="19" numFmtId="164" xfId="0" applyAlignment="1" applyBorder="1" applyFont="1" applyNumberFormat="1">
      <alignment horizontal="center" shrinkToFit="0" vertical="center" wrapText="1"/>
    </xf>
    <xf borderId="60" fillId="0" fontId="9" numFmtId="0" xfId="0" applyBorder="1" applyFont="1"/>
    <xf borderId="10" fillId="4" fontId="19" numFmtId="0" xfId="0" applyAlignment="1" applyBorder="1" applyFont="1">
      <alignment horizontal="center" vertical="center"/>
    </xf>
    <xf borderId="10" fillId="6" fontId="19" numFmtId="0" xfId="0" applyAlignment="1" applyBorder="1" applyFont="1">
      <alignment horizontal="center" vertical="center"/>
    </xf>
    <xf borderId="10" fillId="5" fontId="19" numFmtId="0" xfId="0" applyAlignment="1" applyBorder="1" applyFont="1">
      <alignment horizontal="center" vertical="center"/>
    </xf>
    <xf borderId="10" fillId="4" fontId="19" numFmtId="164" xfId="0" applyAlignment="1" applyBorder="1" applyFont="1" applyNumberFormat="1">
      <alignment horizontal="center" vertical="center"/>
    </xf>
    <xf borderId="1" fillId="5" fontId="19" numFmtId="164" xfId="0" applyAlignment="1" applyBorder="1" applyFont="1" applyNumberFormat="1">
      <alignment horizontal="center" vertical="center"/>
    </xf>
    <xf borderId="1" fillId="3" fontId="19" numFmtId="0" xfId="0" applyAlignment="1" applyBorder="1" applyFont="1">
      <alignment horizontal="center" vertical="center"/>
    </xf>
    <xf borderId="10" fillId="3" fontId="19" numFmtId="0" xfId="0" applyAlignment="1" applyBorder="1" applyFont="1">
      <alignment horizontal="center" vertical="center"/>
    </xf>
    <xf borderId="1" fillId="3" fontId="19" numFmtId="164" xfId="0" applyAlignment="1" applyBorder="1" applyFont="1" applyNumberFormat="1">
      <alignment horizontal="center" shrinkToFit="0" vertical="center" wrapText="1"/>
    </xf>
    <xf borderId="5" fillId="3" fontId="21" numFmtId="0" xfId="0" applyAlignment="1" applyBorder="1" applyFont="1">
      <alignment horizontal="left" vertical="top"/>
    </xf>
    <xf borderId="10" fillId="4" fontId="19" numFmtId="166" xfId="0" applyAlignment="1" applyBorder="1" applyFont="1" applyNumberFormat="1">
      <alignment horizontal="center" vertical="center"/>
    </xf>
    <xf borderId="10" fillId="3" fontId="19" numFmtId="166" xfId="0" applyAlignment="1" applyBorder="1" applyFont="1" applyNumberFormat="1">
      <alignment horizontal="center" vertical="center"/>
    </xf>
    <xf borderId="10" fillId="8" fontId="19" numFmtId="164" xfId="0" applyAlignment="1" applyBorder="1" applyFill="1" applyFont="1" applyNumberFormat="1">
      <alignment horizontal="center" vertical="center"/>
    </xf>
    <xf borderId="2" fillId="3" fontId="14" numFmtId="0" xfId="0" applyAlignment="1" applyBorder="1" applyFont="1">
      <alignment horizontal="left" vertical="center"/>
    </xf>
    <xf borderId="10" fillId="4" fontId="14" numFmtId="0" xfId="0" applyAlignment="1" applyBorder="1" applyFont="1">
      <alignment horizontal="center" vertical="center"/>
    </xf>
    <xf borderId="10" fillId="4" fontId="14" numFmtId="167" xfId="0" applyAlignment="1" applyBorder="1" applyFont="1" applyNumberFormat="1">
      <alignment horizontal="center" vertical="center"/>
    </xf>
    <xf borderId="10" fillId="4" fontId="14" numFmtId="166" xfId="0" applyAlignment="1" applyBorder="1" applyFont="1" applyNumberFormat="1">
      <alignment horizontal="center" vertical="center"/>
    </xf>
    <xf borderId="10" fillId="4" fontId="14" numFmtId="164" xfId="0" applyAlignment="1" applyBorder="1" applyFont="1" applyNumberFormat="1">
      <alignment horizontal="center" vertical="center"/>
    </xf>
    <xf borderId="1" fillId="3" fontId="14" numFmtId="164" xfId="0" applyAlignment="1" applyBorder="1" applyFont="1" applyNumberFormat="1">
      <alignment horizontal="center" shrinkToFit="0" vertical="center" wrapText="1"/>
    </xf>
    <xf borderId="0" fillId="0" fontId="17" numFmtId="0" xfId="0" applyAlignment="1" applyFont="1">
      <alignment vertical="top"/>
    </xf>
    <xf borderId="2" fillId="0" fontId="19" numFmtId="0" xfId="0" applyAlignment="1" applyBorder="1" applyFont="1">
      <alignment horizontal="left" vertical="center"/>
    </xf>
    <xf borderId="1" fillId="5" fontId="14" numFmtId="164" xfId="0" applyAlignment="1" applyBorder="1" applyFont="1" applyNumberFormat="1">
      <alignment horizontal="center" shrinkToFit="0" vertical="center" wrapText="1"/>
    </xf>
    <xf borderId="13" fillId="0" fontId="19" numFmtId="0" xfId="0" applyAlignment="1" applyBorder="1" applyFont="1">
      <alignment horizontal="left" vertical="center"/>
    </xf>
    <xf borderId="28" fillId="5" fontId="14" numFmtId="0" xfId="0" applyAlignment="1" applyBorder="1" applyFont="1">
      <alignment horizontal="left" shrinkToFit="0" vertical="center" wrapText="1"/>
    </xf>
    <xf borderId="28" fillId="4" fontId="19" numFmtId="0" xfId="0" applyAlignment="1" applyBorder="1" applyFont="1">
      <alignment horizontal="left" vertical="center"/>
    </xf>
    <xf borderId="14" fillId="5" fontId="19" numFmtId="0" xfId="0" applyAlignment="1" applyBorder="1" applyFont="1">
      <alignment horizontal="center" vertical="center"/>
    </xf>
    <xf borderId="14" fillId="5" fontId="14" numFmtId="164" xfId="0" applyAlignment="1" applyBorder="1" applyFont="1" applyNumberFormat="1">
      <alignment horizontal="center" shrinkToFit="0" vertical="center" wrapText="1"/>
    </xf>
    <xf borderId="5" fillId="4" fontId="19" numFmtId="0" xfId="0" applyAlignment="1" applyBorder="1" applyFont="1">
      <alignment horizontal="left" vertical="center"/>
    </xf>
    <xf borderId="0" fillId="0" fontId="19" numFmtId="0" xfId="0" applyAlignment="1" applyFont="1">
      <alignment horizontal="center" vertical="center"/>
    </xf>
    <xf borderId="30" fillId="7" fontId="14" numFmtId="0" xfId="0" applyAlignment="1" applyBorder="1" applyFont="1">
      <alignment horizontal="left" shrinkToFit="0" vertical="center" wrapText="1"/>
    </xf>
    <xf borderId="31" fillId="4" fontId="14" numFmtId="0" xfId="0" applyAlignment="1" applyBorder="1" applyFont="1">
      <alignment horizontal="left" shrinkToFit="0" vertical="center" wrapText="1"/>
    </xf>
    <xf borderId="31" fillId="4" fontId="19" numFmtId="0" xfId="0" applyAlignment="1" applyBorder="1" applyFont="1">
      <alignment horizontal="left" shrinkToFit="0" vertical="center" wrapText="1"/>
    </xf>
    <xf borderId="31" fillId="7" fontId="19" numFmtId="0" xfId="0" applyAlignment="1" applyBorder="1" applyFont="1">
      <alignment horizontal="left" shrinkToFit="0" vertical="center" wrapText="1"/>
    </xf>
    <xf borderId="31" fillId="7" fontId="14" numFmtId="166" xfId="0" applyAlignment="1" applyBorder="1" applyFont="1" applyNumberFormat="1">
      <alignment horizontal="right" shrinkToFit="0" vertical="center" wrapText="1"/>
    </xf>
    <xf borderId="31" fillId="7" fontId="14" numFmtId="166" xfId="0" applyAlignment="1" applyBorder="1" applyFont="1" applyNumberFormat="1">
      <alignment horizontal="left" shrinkToFit="0" vertical="center" wrapText="1"/>
    </xf>
    <xf borderId="34" fillId="7" fontId="14" numFmtId="168" xfId="0" applyAlignment="1" applyBorder="1" applyFont="1" applyNumberFormat="1">
      <alignment horizontal="center" shrinkToFit="0" vertical="center" wrapText="1"/>
    </xf>
    <xf borderId="2" fillId="0" fontId="19" numFmtId="0" xfId="0" applyAlignment="1" applyBorder="1" applyFont="1">
      <alignment horizontal="left" shrinkToFit="0" vertical="center" wrapText="1"/>
    </xf>
    <xf borderId="10" fillId="0" fontId="14" numFmtId="166" xfId="0" applyAlignment="1" applyBorder="1" applyFont="1" applyNumberFormat="1">
      <alignment horizontal="right" shrinkToFit="0" vertical="center" wrapText="1"/>
    </xf>
    <xf borderId="10" fillId="0" fontId="14" numFmtId="166" xfId="0" applyAlignment="1" applyBorder="1" applyFont="1" applyNumberFormat="1">
      <alignment horizontal="left" shrinkToFit="0" vertical="center" wrapText="1"/>
    </xf>
    <xf borderId="35" fillId="0" fontId="19" numFmtId="164" xfId="0" applyAlignment="1" applyBorder="1" applyFont="1" applyNumberFormat="1">
      <alignment horizontal="center" shrinkToFit="0" vertical="center" wrapText="1"/>
    </xf>
    <xf borderId="13" fillId="7" fontId="14" numFmtId="0" xfId="0" applyAlignment="1" applyBorder="1" applyFont="1">
      <alignment horizontal="left" shrinkToFit="0" vertical="center" wrapText="1"/>
    </xf>
    <xf borderId="28" fillId="4" fontId="14" numFmtId="0" xfId="0" applyAlignment="1" applyBorder="1" applyFont="1">
      <alignment horizontal="left" shrinkToFit="0" vertical="center" wrapText="1"/>
    </xf>
    <xf borderId="28" fillId="4" fontId="19" numFmtId="0" xfId="0" applyAlignment="1" applyBorder="1" applyFont="1">
      <alignment horizontal="left" shrinkToFit="0" vertical="center" wrapText="1"/>
    </xf>
    <xf borderId="28" fillId="7" fontId="19" numFmtId="0" xfId="0" applyAlignment="1" applyBorder="1" applyFont="1">
      <alignment horizontal="left" shrinkToFit="0" vertical="center" wrapText="1"/>
    </xf>
    <xf borderId="28" fillId="7" fontId="14" numFmtId="166" xfId="0" applyAlignment="1" applyBorder="1" applyFont="1" applyNumberFormat="1">
      <alignment horizontal="right" shrinkToFit="0" vertical="center" wrapText="1"/>
    </xf>
    <xf borderId="28" fillId="7" fontId="14" numFmtId="166" xfId="0" applyAlignment="1" applyBorder="1" applyFont="1" applyNumberFormat="1">
      <alignment horizontal="left" shrinkToFit="0" vertical="center" wrapText="1"/>
    </xf>
    <xf borderId="57" fillId="7" fontId="14" numFmtId="164" xfId="0" applyAlignment="1" applyBorder="1" applyFont="1" applyNumberFormat="1">
      <alignment horizontal="center" shrinkToFit="0" vertical="center" wrapText="1"/>
    </xf>
    <xf borderId="10" fillId="4" fontId="19" numFmtId="164" xfId="0" applyAlignment="1" applyBorder="1" applyFont="1" applyNumberFormat="1">
      <alignment horizontal="center" shrinkToFit="0" vertical="center" wrapText="1"/>
    </xf>
    <xf borderId="10" fillId="0" fontId="19" numFmtId="164" xfId="0" applyAlignment="1" applyBorder="1" applyFont="1" applyNumberFormat="1">
      <alignment horizontal="center" shrinkToFit="0" vertical="center" wrapText="1"/>
    </xf>
    <xf borderId="0" fillId="0" fontId="19" numFmtId="0" xfId="0" applyAlignment="1" applyFont="1">
      <alignment horizontal="left" vertical="top"/>
    </xf>
    <xf borderId="5" fillId="4" fontId="19" numFmtId="0" xfId="0" applyAlignment="1" applyBorder="1" applyFont="1">
      <alignment horizontal="left" vertical="top"/>
    </xf>
    <xf borderId="0" fillId="0" fontId="19" numFmtId="0" xfId="0" applyAlignment="1" applyFont="1">
      <alignment horizontal="center" vertical="top"/>
    </xf>
    <xf borderId="0" fillId="0" fontId="25" numFmtId="0" xfId="0" applyAlignment="1" applyFont="1">
      <alignment horizontal="left" shrinkToFit="0" vertical="top" wrapText="1"/>
    </xf>
    <xf borderId="0" fillId="0" fontId="13" numFmtId="0" xfId="0" applyAlignment="1" applyFont="1">
      <alignment horizontal="center" shrinkToFit="0" vertical="center" wrapText="1"/>
    </xf>
    <xf borderId="0" fillId="0" fontId="26" numFmtId="0" xfId="0" applyAlignment="1" applyFont="1">
      <alignment horizontal="left" shrinkToFit="0" vertical="center" wrapText="1"/>
    </xf>
    <xf borderId="5" fillId="4" fontId="21" numFmtId="0" xfId="0" applyAlignment="1" applyBorder="1" applyFont="1">
      <alignment horizontal="left" shrinkToFit="0" vertical="top" wrapText="1"/>
    </xf>
    <xf borderId="0" fillId="0" fontId="21" numFmtId="0" xfId="0" applyAlignment="1" applyFont="1">
      <alignment horizontal="center" shrinkToFit="0" vertical="top" wrapText="1"/>
    </xf>
    <xf borderId="10" fillId="9" fontId="19" numFmtId="166" xfId="0" applyAlignment="1" applyBorder="1" applyFill="1" applyFont="1" applyNumberFormat="1">
      <alignment horizontal="center" vertical="center"/>
    </xf>
    <xf borderId="10" fillId="9" fontId="19" numFmtId="164" xfId="0" applyAlignment="1" applyBorder="1" applyFont="1" applyNumberFormat="1">
      <alignment horizontal="center" vertical="center"/>
    </xf>
    <xf borderId="0" fillId="0" fontId="20" numFmtId="0" xfId="0" applyAlignment="1" applyFont="1">
      <alignment horizontal="left" shrinkToFit="0" vertical="center" wrapText="1"/>
    </xf>
    <xf borderId="7" fillId="5" fontId="14" numFmtId="0" xfId="0" applyAlignment="1" applyBorder="1" applyFont="1">
      <alignment horizontal="left" shrinkToFit="0" vertical="center" wrapText="1"/>
    </xf>
    <xf borderId="10" fillId="4" fontId="19" numFmtId="164" xfId="0" applyAlignment="1" applyBorder="1" applyFont="1" applyNumberFormat="1">
      <alignment horizontal="left" shrinkToFit="0" vertical="center" wrapText="1"/>
    </xf>
    <xf borderId="10" fillId="4" fontId="19" numFmtId="1" xfId="0" applyAlignment="1" applyBorder="1" applyFont="1" applyNumberFormat="1">
      <alignment horizontal="center" shrinkToFit="1" vertical="center" wrapText="0"/>
    </xf>
    <xf borderId="0" fillId="2" fontId="21" numFmtId="0" xfId="0" applyAlignment="1" applyFont="1">
      <alignment horizontal="left" readingOrder="0" vertical="top"/>
    </xf>
    <xf borderId="0" fillId="0" fontId="21" numFmtId="0" xfId="0" applyAlignment="1" applyFont="1">
      <alignment horizontal="left" readingOrder="0" vertical="top"/>
    </xf>
    <xf borderId="11" fillId="5" fontId="14" numFmtId="0" xfId="0" applyAlignment="1" applyBorder="1" applyFont="1">
      <alignment horizontal="left" shrinkToFit="0" vertical="center" wrapText="1"/>
    </xf>
    <xf borderId="15" fillId="5" fontId="14" numFmtId="0" xfId="0" applyAlignment="1" applyBorder="1" applyFont="1">
      <alignment horizontal="left" shrinkToFit="0" vertical="center" wrapText="1"/>
    </xf>
    <xf borderId="61" fillId="4" fontId="14" numFmtId="0" xfId="0" applyAlignment="1" applyBorder="1" applyFont="1">
      <alignment horizontal="left" shrinkToFit="0" vertical="center" wrapText="1"/>
    </xf>
    <xf borderId="61" fillId="4" fontId="19" numFmtId="0" xfId="0" applyAlignment="1" applyBorder="1" applyFont="1">
      <alignment horizontal="left" shrinkToFit="0" vertical="center" wrapText="1"/>
    </xf>
    <xf borderId="0" fillId="0" fontId="1" numFmtId="0" xfId="0" applyAlignment="1" applyFont="1">
      <alignment horizontal="left" shrinkToFit="0" wrapText="1"/>
    </xf>
    <xf borderId="10" fillId="5" fontId="14" numFmtId="0" xfId="0" applyAlignment="1" applyBorder="1" applyFont="1">
      <alignment horizontal="left" readingOrder="0" shrinkToFit="0" vertical="center" wrapText="1"/>
    </xf>
    <xf borderId="0" fillId="0" fontId="1" numFmtId="10" xfId="0" applyFont="1" applyNumberFormat="1"/>
    <xf borderId="62" fillId="10" fontId="20" numFmtId="0" xfId="0" applyAlignment="1" applyBorder="1" applyFill="1" applyFont="1">
      <alignment horizontal="center" shrinkToFit="0" vertical="center" wrapText="1"/>
    </xf>
    <xf borderId="62" fillId="10" fontId="20" numFmtId="0" xfId="0" applyAlignment="1" applyBorder="1" applyFont="1">
      <alignment horizontal="center" vertical="center"/>
    </xf>
    <xf borderId="0" fillId="0" fontId="24" numFmtId="0" xfId="0" applyAlignment="1" applyFont="1">
      <alignment horizontal="center" vertical="center"/>
    </xf>
    <xf borderId="0" fillId="0" fontId="24" numFmtId="0" xfId="0" applyAlignment="1" applyFont="1">
      <alignment horizontal="left" vertical="center"/>
    </xf>
    <xf borderId="10" fillId="10" fontId="24" numFmtId="0" xfId="0" applyAlignment="1" applyBorder="1" applyFont="1">
      <alignment horizontal="center" vertical="center"/>
    </xf>
    <xf borderId="10" fillId="10" fontId="20" numFmtId="0" xfId="0" applyAlignment="1" applyBorder="1" applyFont="1">
      <alignment horizontal="left" shrinkToFit="0" vertical="center" wrapText="1"/>
    </xf>
    <xf borderId="10" fillId="10" fontId="20" numFmtId="0" xfId="0" applyAlignment="1" applyBorder="1" applyFont="1">
      <alignment horizontal="center" vertical="center"/>
    </xf>
    <xf borderId="53" fillId="10" fontId="24" numFmtId="0" xfId="0" applyAlignment="1" applyBorder="1" applyFont="1">
      <alignment horizontal="center" vertical="center"/>
    </xf>
    <xf borderId="10" fillId="0" fontId="24" numFmtId="0" xfId="0" applyAlignment="1" applyBorder="1" applyFont="1">
      <alignment horizontal="center" vertical="center"/>
    </xf>
    <xf borderId="4" fillId="11" fontId="20" numFmtId="0" xfId="0" applyAlignment="1" applyBorder="1" applyFill="1" applyFont="1">
      <alignment horizontal="left" shrinkToFit="0" vertical="center" wrapText="1"/>
    </xf>
    <xf borderId="10" fillId="0" fontId="21" numFmtId="0" xfId="0" applyAlignment="1" applyBorder="1" applyFont="1">
      <alignment vertical="center"/>
    </xf>
    <xf borderId="62" fillId="12" fontId="24" numFmtId="164" xfId="0" applyAlignment="1" applyBorder="1" applyFill="1" applyFont="1" applyNumberFormat="1">
      <alignment horizontal="left" shrinkToFit="0" vertical="center" wrapText="1"/>
    </xf>
    <xf borderId="9" fillId="0" fontId="24" numFmtId="0" xfId="0" applyAlignment="1" applyBorder="1" applyFont="1">
      <alignment horizontal="center" vertical="center"/>
    </xf>
    <xf borderId="62" fillId="12" fontId="24" numFmtId="165" xfId="0" applyAlignment="1" applyBorder="1" applyFont="1" applyNumberFormat="1">
      <alignment horizontal="center" shrinkToFit="0" vertical="center" wrapText="1"/>
    </xf>
    <xf borderId="62" fillId="13" fontId="24" numFmtId="0" xfId="0" applyAlignment="1" applyBorder="1" applyFill="1" applyFont="1">
      <alignment horizontal="center" shrinkToFit="0" vertical="center" wrapText="1"/>
    </xf>
    <xf borderId="9" fillId="0" fontId="24" numFmtId="0" xfId="0" applyAlignment="1" applyBorder="1" applyFont="1">
      <alignment horizontal="center" shrinkToFit="0" vertical="center" wrapText="1"/>
    </xf>
    <xf borderId="62" fillId="12" fontId="24" numFmtId="164" xfId="0" applyAlignment="1" applyBorder="1" applyFont="1" applyNumberFormat="1">
      <alignment horizontal="center" shrinkToFit="0" vertical="center" wrapText="1"/>
    </xf>
    <xf borderId="9" fillId="0" fontId="24" numFmtId="164" xfId="0" applyAlignment="1" applyBorder="1" applyFont="1" applyNumberFormat="1">
      <alignment horizontal="center" shrinkToFit="0" vertical="center" wrapText="1"/>
    </xf>
    <xf borderId="0" fillId="0" fontId="20" numFmtId="0" xfId="0" applyAlignment="1" applyFont="1">
      <alignment vertical="center"/>
    </xf>
    <xf borderId="10" fillId="12" fontId="24" numFmtId="165" xfId="0" applyAlignment="1" applyBorder="1" applyFont="1" applyNumberFormat="1">
      <alignment horizontal="center" shrinkToFit="0" vertical="center" wrapText="1"/>
    </xf>
    <xf borderId="10" fillId="13" fontId="24" numFmtId="0" xfId="0" applyAlignment="1" applyBorder="1" applyFont="1">
      <alignment horizontal="center" shrinkToFit="0" vertical="center" wrapText="1"/>
    </xf>
    <xf borderId="10" fillId="0" fontId="24" numFmtId="0" xfId="0" applyAlignment="1" applyBorder="1" applyFont="1">
      <alignment horizontal="center" shrinkToFit="0" vertical="center" wrapText="1"/>
    </xf>
    <xf borderId="10" fillId="12" fontId="24" numFmtId="164" xfId="0" applyAlignment="1" applyBorder="1" applyFont="1" applyNumberFormat="1">
      <alignment horizontal="center" shrinkToFit="0" vertical="center" wrapText="1"/>
    </xf>
    <xf borderId="10" fillId="11" fontId="20" numFmtId="0" xfId="0" applyAlignment="1" applyBorder="1" applyFont="1">
      <alignment horizontal="left" shrinkToFit="0" vertical="center" wrapText="1"/>
    </xf>
    <xf borderId="5" fillId="2" fontId="24" numFmtId="0" xfId="0" applyAlignment="1" applyBorder="1" applyFont="1">
      <alignment horizontal="center" vertical="center"/>
    </xf>
    <xf borderId="0" fillId="2" fontId="24" numFmtId="0" xfId="0" applyAlignment="1" applyFont="1">
      <alignment horizontal="center" readingOrder="0" vertical="center"/>
    </xf>
    <xf borderId="0" fillId="0" fontId="24" numFmtId="0" xfId="0" applyAlignment="1" applyFont="1">
      <alignment horizontal="center" readingOrder="0" vertical="center"/>
    </xf>
    <xf borderId="4" fillId="10" fontId="24" numFmtId="0" xfId="0" applyAlignment="1" applyBorder="1" applyFont="1">
      <alignment horizontal="center" vertical="center"/>
    </xf>
    <xf borderId="36" fillId="10" fontId="24" numFmtId="0" xfId="0" applyAlignment="1" applyBorder="1" applyFont="1">
      <alignment horizontal="center" vertical="center"/>
    </xf>
    <xf borderId="9" fillId="0" fontId="21" numFmtId="0" xfId="0" applyAlignment="1" applyBorder="1" applyFont="1">
      <alignment vertical="center"/>
    </xf>
    <xf borderId="10" fillId="0" fontId="20" numFmtId="0" xfId="0" applyAlignment="1" applyBorder="1" applyFont="1">
      <alignment horizontal="left" shrinkToFit="0" vertical="center" wrapText="1"/>
    </xf>
    <xf borderId="10" fillId="0" fontId="24" numFmtId="0" xfId="0" applyAlignment="1" applyBorder="1" applyFont="1">
      <alignment horizontal="left" shrinkToFit="0" vertical="center" wrapText="1"/>
    </xf>
    <xf borderId="10" fillId="3" fontId="20" numFmtId="0" xfId="0" applyAlignment="1" applyBorder="1" applyFont="1">
      <alignment horizontal="center" shrinkToFit="0" vertical="center" wrapText="1"/>
    </xf>
    <xf borderId="10" fillId="3" fontId="20" numFmtId="0" xfId="0" applyAlignment="1" applyBorder="1" applyFont="1">
      <alignment horizontal="left" shrinkToFit="0" vertical="center" wrapText="1"/>
    </xf>
    <xf borderId="10" fillId="3" fontId="24" numFmtId="0" xfId="0" applyAlignment="1" applyBorder="1" applyFont="1">
      <alignment horizontal="center" shrinkToFit="0" vertical="center" wrapText="1"/>
    </xf>
    <xf borderId="10" fillId="14" fontId="24" numFmtId="165" xfId="0" applyAlignment="1" applyBorder="1" applyFill="1" applyFont="1" applyNumberFormat="1">
      <alignment horizontal="center" shrinkToFit="0" vertical="center" wrapText="1"/>
    </xf>
    <xf borderId="10" fillId="14" fontId="24" numFmtId="0" xfId="0" applyAlignment="1" applyBorder="1" applyFont="1">
      <alignment horizontal="center" shrinkToFit="0" vertical="center" wrapText="1"/>
    </xf>
    <xf borderId="10" fillId="14" fontId="24" numFmtId="164" xfId="0" applyAlignment="1" applyBorder="1" applyFont="1" applyNumberFormat="1">
      <alignment horizontal="center" shrinkToFit="0" vertical="center" wrapText="1"/>
    </xf>
    <xf borderId="10" fillId="3" fontId="24" numFmtId="164" xfId="0" applyAlignment="1" applyBorder="1" applyFont="1" applyNumberFormat="1">
      <alignment horizontal="center" shrinkToFit="0" vertical="center" wrapText="1"/>
    </xf>
    <xf borderId="10" fillId="5" fontId="20" numFmtId="0" xfId="0" applyAlignment="1" applyBorder="1" applyFont="1">
      <alignment horizontal="left" shrinkToFit="0" vertical="center" wrapText="1"/>
    </xf>
    <xf borderId="1" fillId="5" fontId="20" numFmtId="0" xfId="0" applyAlignment="1" applyBorder="1" applyFont="1">
      <alignment horizontal="left" shrinkToFit="0" vertical="center" wrapText="1"/>
    </xf>
    <xf borderId="10" fillId="5" fontId="20" numFmtId="164" xfId="0" applyAlignment="1" applyBorder="1" applyFont="1" applyNumberFormat="1">
      <alignment horizontal="center" shrinkToFit="0" vertical="center" wrapText="1"/>
    </xf>
    <xf borderId="0" fillId="0" fontId="24" numFmtId="164" xfId="0" applyAlignment="1" applyFont="1" applyNumberFormat="1">
      <alignment horizontal="left" shrinkToFit="0" vertical="center" wrapText="1"/>
    </xf>
    <xf borderId="62" fillId="10" fontId="20" numFmtId="0" xfId="0" applyAlignment="1" applyBorder="1" applyFont="1">
      <alignment horizontal="center" readingOrder="0" shrinkToFit="0" vertical="center" wrapText="1"/>
    </xf>
    <xf borderId="10" fillId="10" fontId="20" numFmtId="0" xfId="0" applyAlignment="1" applyBorder="1" applyFont="1">
      <alignment horizontal="left" readingOrder="0" shrinkToFit="0" vertical="center" wrapText="1"/>
    </xf>
    <xf borderId="10" fillId="11" fontId="20" numFmtId="0" xfId="0" applyAlignment="1" applyBorder="1" applyFont="1">
      <alignment horizontal="left" readingOrder="0" shrinkToFit="0" vertical="center" wrapText="1"/>
    </xf>
    <xf borderId="10" fillId="0" fontId="20" numFmtId="0" xfId="0" applyAlignment="1" applyBorder="1" applyFont="1">
      <alignment horizontal="left" readingOrder="0" shrinkToFit="0" vertical="center" wrapText="1"/>
    </xf>
    <xf borderId="0" fillId="0" fontId="24" numFmtId="0" xfId="0" applyAlignment="1" applyFont="1">
      <alignment readingOrder="0" vertical="center"/>
    </xf>
    <xf borderId="10" fillId="0" fontId="24" numFmtId="0" xfId="0" applyAlignment="1" applyBorder="1" applyFont="1">
      <alignment horizontal="left" readingOrder="0" shrinkToFit="0" vertical="center" wrapText="1"/>
    </xf>
    <xf borderId="0" fillId="0" fontId="24" numFmtId="164" xfId="0" applyAlignment="1" applyFont="1" applyNumberFormat="1">
      <alignment vertical="center"/>
    </xf>
    <xf borderId="0" fillId="0" fontId="24" numFmtId="10" xfId="0" applyAlignment="1" applyFont="1" applyNumberFormat="1">
      <alignment vertical="center"/>
    </xf>
    <xf borderId="10" fillId="3" fontId="20" numFmtId="0" xfId="0" applyAlignment="1" applyBorder="1" applyFont="1">
      <alignment horizontal="left" readingOrder="0" shrinkToFit="0" vertical="center" wrapText="1"/>
    </xf>
    <xf borderId="1" fillId="5" fontId="20" numFmtId="0" xfId="0" applyAlignment="1" applyBorder="1" applyFont="1">
      <alignment horizontal="left" readingOrder="0" shrinkToFit="0" vertical="center" wrapText="1"/>
    </xf>
    <xf borderId="0" fillId="0" fontId="24" numFmtId="9" xfId="0" applyAlignment="1" applyFont="1" applyNumberFormat="1">
      <alignment horizontal="left" shrinkToFit="0" vertical="center" wrapText="1"/>
    </xf>
    <xf borderId="10" fillId="5" fontId="20" numFmtId="0" xfId="0" applyAlignment="1" applyBorder="1" applyFont="1">
      <alignment horizontal="left" readingOrder="0" shrinkToFit="0" vertical="center" wrapText="1"/>
    </xf>
    <xf borderId="5" fillId="4" fontId="14" numFmtId="0" xfId="0" applyAlignment="1" applyBorder="1" applyFont="1">
      <alignment horizontal="left" shrinkToFit="0" vertical="top" wrapText="1"/>
    </xf>
    <xf borderId="1" fillId="6" fontId="19" numFmtId="0" xfId="0" applyAlignment="1" applyBorder="1" applyFont="1">
      <alignment horizontal="center" vertical="center"/>
    </xf>
    <xf borderId="10" fillId="3" fontId="14" numFmtId="0" xfId="0" applyAlignment="1" applyBorder="1" applyFont="1">
      <alignment horizontal="left" readingOrder="0" shrinkToFit="0" vertical="center" wrapText="1"/>
    </xf>
    <xf borderId="1" fillId="5" fontId="14" numFmtId="0" xfId="0" applyAlignment="1" applyBorder="1" applyFont="1">
      <alignment horizontal="left" readingOrder="0" shrinkToFit="0" vertical="center" wrapText="1"/>
    </xf>
    <xf borderId="14" fillId="5" fontId="14" numFmtId="0" xfId="0" applyAlignment="1" applyBorder="1" applyFont="1">
      <alignment horizontal="left" readingOrder="0" shrinkToFit="0" vertical="center" wrapText="1"/>
    </xf>
    <xf borderId="1" fillId="3" fontId="27" numFmtId="0" xfId="0" applyAlignment="1" applyBorder="1" applyFont="1">
      <alignment vertical="bottom"/>
    </xf>
    <xf borderId="10" fillId="3" fontId="28" numFmtId="0" xfId="0" applyAlignment="1" applyBorder="1" applyFont="1">
      <alignment readingOrder="0" vertical="top"/>
    </xf>
    <xf borderId="10" fillId="3" fontId="28" numFmtId="0" xfId="0" applyAlignment="1" applyBorder="1" applyFont="1">
      <alignment horizontal="center" readingOrder="0" shrinkToFit="0" vertical="top" wrapText="1"/>
    </xf>
    <xf borderId="10" fillId="3" fontId="28" numFmtId="0" xfId="0" applyAlignment="1" applyBorder="1" applyFont="1">
      <alignment horizontal="right" readingOrder="0" vertical="top"/>
    </xf>
    <xf borderId="10" fillId="3" fontId="28" numFmtId="0" xfId="0" applyAlignment="1" applyBorder="1" applyFont="1">
      <alignment horizontal="center" readingOrder="0" vertical="top"/>
    </xf>
    <xf borderId="10" fillId="0" fontId="27" numFmtId="0" xfId="0" applyAlignment="1" applyBorder="1" applyFont="1">
      <alignment horizontal="right" readingOrder="0" vertical="top"/>
    </xf>
    <xf borderId="10" fillId="3" fontId="27" numFmtId="0" xfId="0" applyAlignment="1" applyBorder="1" applyFont="1">
      <alignment readingOrder="0" shrinkToFit="0" vertical="top" wrapText="1"/>
    </xf>
    <xf borderId="10" fillId="3" fontId="27" numFmtId="0" xfId="0" applyAlignment="1" applyBorder="1" applyFont="1">
      <alignment horizontal="center" readingOrder="0" vertical="top"/>
    </xf>
    <xf borderId="10" fillId="0" fontId="27" numFmtId="0" xfId="0" applyAlignment="1" applyBorder="1" applyFont="1">
      <alignment horizontal="center" readingOrder="0" vertical="top"/>
    </xf>
    <xf borderId="10" fillId="3" fontId="27" numFmtId="0" xfId="0" applyBorder="1" applyFont="1"/>
    <xf borderId="10" fillId="3" fontId="28" numFmtId="0" xfId="0" applyAlignment="1" applyBorder="1" applyFont="1">
      <alignment readingOrder="0" shrinkToFit="0" vertical="top" wrapText="1"/>
    </xf>
    <xf borderId="10" fillId="3" fontId="27" numFmtId="0" xfId="0" applyAlignment="1" applyBorder="1" applyFont="1">
      <alignment horizontal="right" readingOrder="0"/>
    </xf>
    <xf borderId="10" fillId="3" fontId="27" numFmtId="0" xfId="0" applyAlignment="1" applyBorder="1" applyFont="1">
      <alignment horizontal="center" readingOrder="0"/>
    </xf>
    <xf borderId="10" fillId="3" fontId="27" numFmtId="0" xfId="0" applyAlignment="1" applyBorder="1" applyFont="1">
      <alignment vertical="bottom"/>
    </xf>
    <xf borderId="10" fillId="3" fontId="27" numFmtId="0" xfId="0" applyAlignment="1" applyBorder="1" applyFont="1">
      <alignment shrinkToFit="0" vertical="bottom" wrapText="1"/>
    </xf>
    <xf borderId="10" fillId="3" fontId="28" numFmtId="0" xfId="0" applyAlignment="1" applyBorder="1" applyFont="1">
      <alignment horizontal="right" readingOrder="0" shrinkToFit="0" vertical="top" wrapText="1"/>
    </xf>
    <xf borderId="1" fillId="3" fontId="28" numFmtId="0" xfId="0" applyAlignment="1" applyBorder="1" applyFont="1">
      <alignment readingOrder="0" vertical="top"/>
    </xf>
    <xf borderId="1" fillId="3" fontId="28" numFmtId="0" xfId="0" applyAlignment="1" applyBorder="1" applyFont="1">
      <alignment readingOrder="0" shrinkToFit="0" vertical="top" wrapText="1"/>
    </xf>
    <xf borderId="11" fillId="3" fontId="27" numFmtId="0" xfId="0" applyAlignment="1" applyBorder="1" applyFont="1">
      <alignment shrinkToFit="0" vertical="bottom" wrapText="1"/>
    </xf>
    <xf borderId="1" fillId="3" fontId="29" numFmtId="0" xfId="0" applyAlignment="1" applyBorder="1" applyFont="1">
      <alignment readingOrder="0" vertical="top"/>
    </xf>
    <xf borderId="1" fillId="3" fontId="27"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jp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jp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4.jp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jpg"/><Relationship Id="rId3" Type="http://schemas.openxmlformats.org/officeDocument/2006/relationships/image" Target="../media/image3.png"/><Relationship Id="rId4" Type="http://schemas.openxmlformats.org/officeDocument/2006/relationships/image" Target="../media/image5.jp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89</xdr:row>
      <xdr:rowOff>190500</xdr:rowOff>
    </xdr:from>
    <xdr:ext cx="9972675" cy="4067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2649200" cy="85725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172</xdr:row>
      <xdr:rowOff>0</xdr:rowOff>
    </xdr:from>
    <xdr:ext cx="1714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173</xdr:row>
      <xdr:rowOff>0</xdr:rowOff>
    </xdr:from>
    <xdr:ext cx="2190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174</xdr:row>
      <xdr:rowOff>0</xdr:rowOff>
    </xdr:from>
    <xdr:ext cx="219075" cy="171450"/>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89</xdr:row>
      <xdr:rowOff>190500</xdr:rowOff>
    </xdr:from>
    <xdr:ext cx="9972675" cy="4067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2649200" cy="85725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172</xdr:row>
      <xdr:rowOff>0</xdr:rowOff>
    </xdr:from>
    <xdr:ext cx="1714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173</xdr:row>
      <xdr:rowOff>0</xdr:rowOff>
    </xdr:from>
    <xdr:ext cx="2190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174</xdr:row>
      <xdr:rowOff>0</xdr:rowOff>
    </xdr:from>
    <xdr:ext cx="219075" cy="171450"/>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180975</xdr:colOff>
      <xdr:row>152</xdr:row>
      <xdr:rowOff>66675</xdr:rowOff>
    </xdr:from>
    <xdr:ext cx="533400" cy="657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114300</xdr:colOff>
      <xdr:row>153</xdr:row>
      <xdr:rowOff>228600</xdr:rowOff>
    </xdr:from>
    <xdr:ext cx="647700" cy="58102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86</xdr:row>
      <xdr:rowOff>247650</xdr:rowOff>
    </xdr:from>
    <xdr:ext cx="10687050" cy="42195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xdr:row>
      <xdr:rowOff>0</xdr:rowOff>
    </xdr:from>
    <xdr:ext cx="12896850" cy="17145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151</xdr:row>
      <xdr:rowOff>0</xdr:rowOff>
    </xdr:from>
    <xdr:ext cx="847725" cy="3429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15.88"/>
    <col customWidth="1" min="3" max="3" width="21.38"/>
    <col customWidth="1" min="4" max="4" width="16.0"/>
    <col customWidth="1" min="5" max="5" width="15.88"/>
    <col customWidth="1" min="6" max="6" width="16.0"/>
    <col customWidth="1" min="7" max="7" width="14.38"/>
    <col customWidth="1" min="8" max="8" width="8.63"/>
    <col customWidth="1" min="9" max="9" width="12.0"/>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row>
    <row r="2">
      <c r="A2" s="3" t="s">
        <v>9</v>
      </c>
      <c r="B2" s="3" t="s">
        <v>10</v>
      </c>
      <c r="C2" s="3" t="s">
        <v>11</v>
      </c>
      <c r="D2" s="3" t="s">
        <v>12</v>
      </c>
      <c r="E2" s="3" t="s">
        <v>13</v>
      </c>
      <c r="F2" s="3" t="s">
        <v>14</v>
      </c>
      <c r="G2" s="3" t="s">
        <v>15</v>
      </c>
      <c r="H2" s="3" t="s">
        <v>16</v>
      </c>
      <c r="I2" s="3" t="s">
        <v>16</v>
      </c>
    </row>
    <row r="3">
      <c r="A3" s="3" t="s">
        <v>9</v>
      </c>
      <c r="B3" s="3" t="s">
        <v>10</v>
      </c>
      <c r="C3" s="3" t="s">
        <v>17</v>
      </c>
      <c r="D3" s="3" t="s">
        <v>18</v>
      </c>
      <c r="E3" s="3" t="s">
        <v>13</v>
      </c>
      <c r="F3" s="3" t="s">
        <v>14</v>
      </c>
      <c r="G3" s="3" t="s">
        <v>19</v>
      </c>
      <c r="H3" s="3" t="s">
        <v>16</v>
      </c>
      <c r="I3" s="3" t="s">
        <v>16</v>
      </c>
    </row>
    <row r="4">
      <c r="A4" s="3" t="s">
        <v>9</v>
      </c>
      <c r="B4" s="3" t="s">
        <v>10</v>
      </c>
      <c r="C4" s="3" t="s">
        <v>17</v>
      </c>
      <c r="D4" s="3" t="s">
        <v>20</v>
      </c>
      <c r="E4" s="3" t="s">
        <v>13</v>
      </c>
      <c r="F4" s="3" t="s">
        <v>14</v>
      </c>
      <c r="G4" s="3" t="s">
        <v>19</v>
      </c>
      <c r="H4" s="3" t="s">
        <v>16</v>
      </c>
      <c r="I4" s="3" t="s">
        <v>16</v>
      </c>
    </row>
    <row r="5">
      <c r="A5" s="3" t="s">
        <v>9</v>
      </c>
      <c r="B5" s="3" t="s">
        <v>10</v>
      </c>
      <c r="C5" s="3" t="s">
        <v>17</v>
      </c>
      <c r="D5" s="3" t="s">
        <v>21</v>
      </c>
      <c r="E5" s="3" t="s">
        <v>13</v>
      </c>
      <c r="F5" s="3" t="s">
        <v>14</v>
      </c>
      <c r="G5" s="3" t="s">
        <v>19</v>
      </c>
      <c r="H5" s="3" t="s">
        <v>16</v>
      </c>
      <c r="I5" s="3" t="s">
        <v>16</v>
      </c>
    </row>
    <row r="6">
      <c r="A6" s="3" t="s">
        <v>9</v>
      </c>
      <c r="B6" s="3" t="s">
        <v>10</v>
      </c>
      <c r="C6" s="3" t="s">
        <v>11</v>
      </c>
      <c r="D6" s="3" t="s">
        <v>12</v>
      </c>
      <c r="E6" s="3" t="s">
        <v>22</v>
      </c>
      <c r="F6" s="3" t="s">
        <v>23</v>
      </c>
      <c r="G6" s="3" t="s">
        <v>24</v>
      </c>
      <c r="H6" s="3" t="s">
        <v>16</v>
      </c>
      <c r="I6" s="3" t="s">
        <v>16</v>
      </c>
    </row>
    <row r="7">
      <c r="A7" s="3" t="s">
        <v>9</v>
      </c>
      <c r="B7" s="3" t="s">
        <v>10</v>
      </c>
      <c r="C7" s="3" t="s">
        <v>17</v>
      </c>
      <c r="D7" s="3" t="s">
        <v>18</v>
      </c>
      <c r="E7" s="3" t="s">
        <v>22</v>
      </c>
      <c r="F7" s="3" t="s">
        <v>23</v>
      </c>
      <c r="G7" s="3" t="s">
        <v>24</v>
      </c>
      <c r="H7" s="3" t="s">
        <v>16</v>
      </c>
      <c r="I7" s="3" t="s">
        <v>16</v>
      </c>
    </row>
    <row r="8">
      <c r="A8" s="3" t="s">
        <v>9</v>
      </c>
      <c r="B8" s="3" t="s">
        <v>10</v>
      </c>
      <c r="C8" s="3" t="s">
        <v>17</v>
      </c>
      <c r="D8" s="3" t="s">
        <v>21</v>
      </c>
      <c r="E8" s="3" t="s">
        <v>22</v>
      </c>
      <c r="F8" s="3" t="s">
        <v>23</v>
      </c>
      <c r="G8" s="3" t="s">
        <v>24</v>
      </c>
      <c r="H8" s="3" t="s">
        <v>16</v>
      </c>
      <c r="I8" s="3" t="s">
        <v>16</v>
      </c>
    </row>
    <row r="9">
      <c r="A9" s="3" t="s">
        <v>9</v>
      </c>
      <c r="B9" s="3" t="s">
        <v>10</v>
      </c>
      <c r="C9" s="3" t="s">
        <v>11</v>
      </c>
      <c r="D9" s="3" t="s">
        <v>12</v>
      </c>
      <c r="E9" s="3" t="s">
        <v>25</v>
      </c>
      <c r="F9" s="3" t="s">
        <v>26</v>
      </c>
      <c r="G9" s="3" t="s">
        <v>27</v>
      </c>
      <c r="H9" s="3" t="s">
        <v>16</v>
      </c>
      <c r="I9" s="3" t="s">
        <v>28</v>
      </c>
    </row>
    <row r="10">
      <c r="A10" s="3" t="s">
        <v>9</v>
      </c>
      <c r="B10" s="3" t="s">
        <v>10</v>
      </c>
      <c r="C10" s="3" t="s">
        <v>17</v>
      </c>
      <c r="D10" s="3" t="s">
        <v>18</v>
      </c>
      <c r="E10" s="3" t="s">
        <v>25</v>
      </c>
      <c r="F10" s="3" t="s">
        <v>26</v>
      </c>
      <c r="G10" s="3" t="s">
        <v>27</v>
      </c>
      <c r="H10" s="3" t="s">
        <v>16</v>
      </c>
      <c r="I10" s="3" t="s">
        <v>28</v>
      </c>
    </row>
    <row r="11">
      <c r="A11" s="3" t="s">
        <v>9</v>
      </c>
      <c r="B11" s="3" t="s">
        <v>10</v>
      </c>
      <c r="C11" s="3" t="s">
        <v>17</v>
      </c>
      <c r="D11" s="3" t="s">
        <v>21</v>
      </c>
      <c r="E11" s="3" t="s">
        <v>25</v>
      </c>
      <c r="F11" s="3" t="s">
        <v>26</v>
      </c>
      <c r="G11" s="3" t="s">
        <v>27</v>
      </c>
      <c r="H11" s="3" t="s">
        <v>16</v>
      </c>
      <c r="I11" s="3" t="s">
        <v>28</v>
      </c>
    </row>
    <row r="12">
      <c r="A12" s="3" t="s">
        <v>9</v>
      </c>
      <c r="B12" s="3" t="s">
        <v>10</v>
      </c>
      <c r="C12" s="3" t="s">
        <v>17</v>
      </c>
      <c r="D12" s="3" t="s">
        <v>20</v>
      </c>
      <c r="E12" s="3" t="s">
        <v>25</v>
      </c>
      <c r="F12" s="3" t="s">
        <v>26</v>
      </c>
      <c r="G12" s="3" t="s">
        <v>27</v>
      </c>
      <c r="H12" s="3" t="s">
        <v>16</v>
      </c>
      <c r="I12" s="3" t="s">
        <v>28</v>
      </c>
    </row>
    <row r="13">
      <c r="A13" s="3" t="s">
        <v>29</v>
      </c>
      <c r="B13" s="3" t="s">
        <v>10</v>
      </c>
      <c r="C13" s="3" t="s">
        <v>11</v>
      </c>
      <c r="D13" s="3" t="s">
        <v>12</v>
      </c>
      <c r="E13" s="3" t="s">
        <v>13</v>
      </c>
      <c r="F13" s="3" t="s">
        <v>14</v>
      </c>
      <c r="G13" s="3" t="s">
        <v>15</v>
      </c>
      <c r="H13" s="3" t="s">
        <v>16</v>
      </c>
      <c r="I13" s="3" t="s">
        <v>16</v>
      </c>
    </row>
    <row r="14">
      <c r="A14" s="3" t="s">
        <v>29</v>
      </c>
      <c r="B14" s="3" t="s">
        <v>10</v>
      </c>
      <c r="C14" s="3" t="s">
        <v>17</v>
      </c>
      <c r="D14" s="3" t="s">
        <v>18</v>
      </c>
      <c r="E14" s="3" t="s">
        <v>13</v>
      </c>
      <c r="F14" s="3" t="s">
        <v>14</v>
      </c>
      <c r="G14" s="3" t="s">
        <v>19</v>
      </c>
      <c r="H14" s="3" t="s">
        <v>16</v>
      </c>
      <c r="I14" s="3" t="s">
        <v>16</v>
      </c>
    </row>
    <row r="15">
      <c r="A15" s="3" t="s">
        <v>29</v>
      </c>
      <c r="B15" s="3" t="s">
        <v>10</v>
      </c>
      <c r="C15" s="3" t="s">
        <v>17</v>
      </c>
      <c r="D15" s="3" t="s">
        <v>20</v>
      </c>
      <c r="E15" s="3" t="s">
        <v>13</v>
      </c>
      <c r="F15" s="3" t="s">
        <v>14</v>
      </c>
      <c r="G15" s="3" t="s">
        <v>19</v>
      </c>
      <c r="H15" s="3" t="s">
        <v>16</v>
      </c>
      <c r="I15" s="3" t="s">
        <v>16</v>
      </c>
    </row>
    <row r="16">
      <c r="A16" s="3" t="s">
        <v>29</v>
      </c>
      <c r="B16" s="3" t="s">
        <v>10</v>
      </c>
      <c r="C16" s="3" t="s">
        <v>17</v>
      </c>
      <c r="D16" s="3" t="s">
        <v>21</v>
      </c>
      <c r="E16" s="3" t="s">
        <v>13</v>
      </c>
      <c r="F16" s="3" t="s">
        <v>14</v>
      </c>
      <c r="G16" s="3" t="s">
        <v>19</v>
      </c>
      <c r="H16" s="3" t="s">
        <v>16</v>
      </c>
      <c r="I16" s="3" t="s">
        <v>16</v>
      </c>
    </row>
    <row r="17">
      <c r="A17" s="3" t="s">
        <v>29</v>
      </c>
      <c r="B17" s="3" t="s">
        <v>10</v>
      </c>
      <c r="C17" s="3" t="s">
        <v>11</v>
      </c>
      <c r="D17" s="3" t="s">
        <v>12</v>
      </c>
      <c r="E17" s="3" t="s">
        <v>22</v>
      </c>
      <c r="F17" s="3" t="s">
        <v>23</v>
      </c>
      <c r="G17" s="3" t="s">
        <v>24</v>
      </c>
      <c r="H17" s="3" t="s">
        <v>16</v>
      </c>
      <c r="I17" s="3" t="s">
        <v>16</v>
      </c>
    </row>
    <row r="18">
      <c r="A18" s="3" t="s">
        <v>29</v>
      </c>
      <c r="B18" s="3" t="s">
        <v>10</v>
      </c>
      <c r="C18" s="3" t="s">
        <v>17</v>
      </c>
      <c r="D18" s="3" t="s">
        <v>18</v>
      </c>
      <c r="E18" s="3" t="s">
        <v>22</v>
      </c>
      <c r="F18" s="3" t="s">
        <v>23</v>
      </c>
      <c r="G18" s="3" t="s">
        <v>24</v>
      </c>
      <c r="H18" s="3" t="s">
        <v>16</v>
      </c>
      <c r="I18" s="3" t="s">
        <v>16</v>
      </c>
    </row>
    <row r="19">
      <c r="A19" s="3" t="s">
        <v>29</v>
      </c>
      <c r="B19" s="3" t="s">
        <v>10</v>
      </c>
      <c r="C19" s="3" t="s">
        <v>17</v>
      </c>
      <c r="D19" s="3" t="s">
        <v>21</v>
      </c>
      <c r="E19" s="3" t="s">
        <v>22</v>
      </c>
      <c r="F19" s="3" t="s">
        <v>23</v>
      </c>
      <c r="G19" s="3" t="s">
        <v>24</v>
      </c>
      <c r="H19" s="3" t="s">
        <v>16</v>
      </c>
      <c r="I19" s="3" t="s">
        <v>16</v>
      </c>
    </row>
    <row r="20">
      <c r="A20" s="3" t="s">
        <v>29</v>
      </c>
      <c r="B20" s="3" t="s">
        <v>10</v>
      </c>
      <c r="C20" s="3" t="s">
        <v>11</v>
      </c>
      <c r="D20" s="3" t="s">
        <v>12</v>
      </c>
      <c r="E20" s="3" t="s">
        <v>25</v>
      </c>
      <c r="F20" s="3" t="s">
        <v>26</v>
      </c>
      <c r="G20" s="3" t="s">
        <v>27</v>
      </c>
      <c r="H20" s="3" t="s">
        <v>16</v>
      </c>
      <c r="I20" s="3" t="s">
        <v>28</v>
      </c>
    </row>
    <row r="21">
      <c r="A21" s="3" t="s">
        <v>29</v>
      </c>
      <c r="B21" s="3" t="s">
        <v>10</v>
      </c>
      <c r="C21" s="3" t="s">
        <v>17</v>
      </c>
      <c r="D21" s="3" t="s">
        <v>18</v>
      </c>
      <c r="E21" s="3" t="s">
        <v>25</v>
      </c>
      <c r="F21" s="3" t="s">
        <v>26</v>
      </c>
      <c r="G21" s="3" t="s">
        <v>27</v>
      </c>
      <c r="H21" s="3" t="s">
        <v>16</v>
      </c>
      <c r="I21" s="3" t="s">
        <v>28</v>
      </c>
    </row>
    <row r="22">
      <c r="A22" s="3" t="s">
        <v>29</v>
      </c>
      <c r="B22" s="3" t="s">
        <v>10</v>
      </c>
      <c r="C22" s="3" t="s">
        <v>17</v>
      </c>
      <c r="D22" s="3" t="s">
        <v>21</v>
      </c>
      <c r="E22" s="3" t="s">
        <v>25</v>
      </c>
      <c r="F22" s="3" t="s">
        <v>26</v>
      </c>
      <c r="G22" s="3" t="s">
        <v>27</v>
      </c>
      <c r="H22" s="3" t="s">
        <v>16</v>
      </c>
      <c r="I22" s="3" t="s">
        <v>28</v>
      </c>
    </row>
    <row r="23">
      <c r="A23" s="3" t="s">
        <v>29</v>
      </c>
      <c r="B23" s="3" t="s">
        <v>10</v>
      </c>
      <c r="C23" s="3" t="s">
        <v>17</v>
      </c>
      <c r="D23" s="3" t="s">
        <v>20</v>
      </c>
      <c r="E23" s="3" t="s">
        <v>25</v>
      </c>
      <c r="F23" s="3" t="s">
        <v>26</v>
      </c>
      <c r="G23" s="3" t="s">
        <v>27</v>
      </c>
      <c r="H23" s="3" t="s">
        <v>16</v>
      </c>
      <c r="I23" s="3" t="s">
        <v>28</v>
      </c>
    </row>
    <row r="24">
      <c r="A24" s="3" t="s">
        <v>30</v>
      </c>
      <c r="B24" s="3" t="s">
        <v>10</v>
      </c>
      <c r="C24" s="3" t="s">
        <v>11</v>
      </c>
      <c r="D24" s="3" t="s">
        <v>12</v>
      </c>
      <c r="E24" s="3" t="s">
        <v>13</v>
      </c>
      <c r="F24" s="3" t="s">
        <v>14</v>
      </c>
      <c r="G24" s="3" t="s">
        <v>15</v>
      </c>
      <c r="H24" s="3" t="s">
        <v>16</v>
      </c>
      <c r="I24" s="3" t="s">
        <v>16</v>
      </c>
    </row>
    <row r="25">
      <c r="A25" s="3" t="s">
        <v>30</v>
      </c>
      <c r="B25" s="3" t="s">
        <v>10</v>
      </c>
      <c r="C25" s="3" t="s">
        <v>17</v>
      </c>
      <c r="D25" s="3" t="s">
        <v>18</v>
      </c>
      <c r="E25" s="3" t="s">
        <v>13</v>
      </c>
      <c r="F25" s="3" t="s">
        <v>14</v>
      </c>
      <c r="G25" s="3" t="s">
        <v>19</v>
      </c>
      <c r="H25" s="3" t="s">
        <v>16</v>
      </c>
      <c r="I25" s="3" t="s">
        <v>16</v>
      </c>
    </row>
    <row r="26">
      <c r="A26" s="3" t="s">
        <v>30</v>
      </c>
      <c r="B26" s="3" t="s">
        <v>10</v>
      </c>
      <c r="C26" s="3" t="s">
        <v>17</v>
      </c>
      <c r="D26" s="3" t="s">
        <v>20</v>
      </c>
      <c r="E26" s="3" t="s">
        <v>13</v>
      </c>
      <c r="F26" s="3" t="s">
        <v>14</v>
      </c>
      <c r="G26" s="3" t="s">
        <v>19</v>
      </c>
      <c r="H26" s="3" t="s">
        <v>16</v>
      </c>
      <c r="I26" s="3" t="s">
        <v>16</v>
      </c>
    </row>
    <row r="27">
      <c r="A27" s="3" t="s">
        <v>30</v>
      </c>
      <c r="B27" s="3" t="s">
        <v>10</v>
      </c>
      <c r="C27" s="3" t="s">
        <v>17</v>
      </c>
      <c r="D27" s="3" t="s">
        <v>21</v>
      </c>
      <c r="E27" s="3" t="s">
        <v>13</v>
      </c>
      <c r="F27" s="3" t="s">
        <v>14</v>
      </c>
      <c r="G27" s="3" t="s">
        <v>19</v>
      </c>
      <c r="H27" s="3" t="s">
        <v>16</v>
      </c>
      <c r="I27" s="3" t="s">
        <v>16</v>
      </c>
    </row>
    <row r="28">
      <c r="A28" s="3" t="s">
        <v>30</v>
      </c>
      <c r="B28" s="3" t="s">
        <v>10</v>
      </c>
      <c r="C28" s="3" t="s">
        <v>11</v>
      </c>
      <c r="D28" s="3" t="s">
        <v>12</v>
      </c>
      <c r="E28" s="3" t="s">
        <v>22</v>
      </c>
      <c r="F28" s="3" t="s">
        <v>23</v>
      </c>
      <c r="G28" s="3" t="s">
        <v>24</v>
      </c>
      <c r="H28" s="3" t="s">
        <v>16</v>
      </c>
      <c r="I28" s="3" t="s">
        <v>16</v>
      </c>
    </row>
    <row r="29">
      <c r="A29" s="3" t="s">
        <v>30</v>
      </c>
      <c r="B29" s="3" t="s">
        <v>10</v>
      </c>
      <c r="C29" s="3" t="s">
        <v>17</v>
      </c>
      <c r="D29" s="3" t="s">
        <v>18</v>
      </c>
      <c r="E29" s="3" t="s">
        <v>22</v>
      </c>
      <c r="F29" s="3" t="s">
        <v>23</v>
      </c>
      <c r="G29" s="3" t="s">
        <v>24</v>
      </c>
      <c r="H29" s="3" t="s">
        <v>16</v>
      </c>
      <c r="I29" s="3" t="s">
        <v>16</v>
      </c>
    </row>
    <row r="30">
      <c r="A30" s="3" t="s">
        <v>30</v>
      </c>
      <c r="B30" s="3" t="s">
        <v>10</v>
      </c>
      <c r="C30" s="3" t="s">
        <v>17</v>
      </c>
      <c r="D30" s="3" t="s">
        <v>21</v>
      </c>
      <c r="E30" s="3" t="s">
        <v>22</v>
      </c>
      <c r="F30" s="3" t="s">
        <v>23</v>
      </c>
      <c r="G30" s="3" t="s">
        <v>24</v>
      </c>
      <c r="H30" s="3" t="s">
        <v>16</v>
      </c>
      <c r="I30" s="3" t="s">
        <v>16</v>
      </c>
    </row>
    <row r="31">
      <c r="A31" s="3" t="s">
        <v>30</v>
      </c>
      <c r="B31" s="3" t="s">
        <v>10</v>
      </c>
      <c r="C31" s="3" t="s">
        <v>11</v>
      </c>
      <c r="D31" s="3" t="s">
        <v>12</v>
      </c>
      <c r="E31" s="3" t="s">
        <v>25</v>
      </c>
      <c r="F31" s="3" t="s">
        <v>26</v>
      </c>
      <c r="G31" s="3" t="s">
        <v>27</v>
      </c>
      <c r="H31" s="3" t="s">
        <v>16</v>
      </c>
      <c r="I31" s="3" t="s">
        <v>28</v>
      </c>
    </row>
    <row r="32">
      <c r="A32" s="3" t="s">
        <v>30</v>
      </c>
      <c r="B32" s="3" t="s">
        <v>10</v>
      </c>
      <c r="C32" s="3" t="s">
        <v>17</v>
      </c>
      <c r="D32" s="3" t="s">
        <v>18</v>
      </c>
      <c r="E32" s="3" t="s">
        <v>25</v>
      </c>
      <c r="F32" s="3" t="s">
        <v>26</v>
      </c>
      <c r="G32" s="3" t="s">
        <v>27</v>
      </c>
      <c r="H32" s="3" t="s">
        <v>16</v>
      </c>
      <c r="I32" s="3" t="s">
        <v>28</v>
      </c>
    </row>
    <row r="33">
      <c r="A33" s="3" t="s">
        <v>30</v>
      </c>
      <c r="B33" s="3" t="s">
        <v>10</v>
      </c>
      <c r="C33" s="3" t="s">
        <v>17</v>
      </c>
      <c r="D33" s="3" t="s">
        <v>21</v>
      </c>
      <c r="E33" s="3" t="s">
        <v>25</v>
      </c>
      <c r="F33" s="3" t="s">
        <v>26</v>
      </c>
      <c r="G33" s="3" t="s">
        <v>27</v>
      </c>
      <c r="H33" s="3" t="s">
        <v>16</v>
      </c>
      <c r="I33" s="3" t="s">
        <v>28</v>
      </c>
    </row>
    <row r="34">
      <c r="A34" s="3" t="s">
        <v>30</v>
      </c>
      <c r="B34" s="3" t="s">
        <v>10</v>
      </c>
      <c r="C34" s="3" t="s">
        <v>17</v>
      </c>
      <c r="D34" s="3" t="s">
        <v>20</v>
      </c>
      <c r="E34" s="3" t="s">
        <v>25</v>
      </c>
      <c r="F34" s="3" t="s">
        <v>26</v>
      </c>
      <c r="G34" s="3" t="s">
        <v>27</v>
      </c>
      <c r="H34" s="3" t="s">
        <v>16</v>
      </c>
      <c r="I34" s="3" t="s">
        <v>28</v>
      </c>
    </row>
    <row r="35">
      <c r="A35" s="3" t="s">
        <v>31</v>
      </c>
      <c r="B35" s="3" t="s">
        <v>10</v>
      </c>
      <c r="C35" s="3" t="s">
        <v>11</v>
      </c>
      <c r="D35" s="3" t="s">
        <v>12</v>
      </c>
      <c r="E35" s="3" t="s">
        <v>13</v>
      </c>
      <c r="F35" s="3" t="s">
        <v>14</v>
      </c>
      <c r="G35" s="3" t="s">
        <v>15</v>
      </c>
      <c r="H35" s="3" t="s">
        <v>16</v>
      </c>
      <c r="I35" s="3" t="s">
        <v>16</v>
      </c>
    </row>
    <row r="36">
      <c r="A36" s="3" t="s">
        <v>31</v>
      </c>
      <c r="B36" s="3" t="s">
        <v>10</v>
      </c>
      <c r="C36" s="3" t="s">
        <v>17</v>
      </c>
      <c r="D36" s="3" t="s">
        <v>18</v>
      </c>
      <c r="E36" s="3" t="s">
        <v>13</v>
      </c>
      <c r="F36" s="3" t="s">
        <v>14</v>
      </c>
      <c r="G36" s="3" t="s">
        <v>19</v>
      </c>
      <c r="H36" s="3" t="s">
        <v>16</v>
      </c>
      <c r="I36" s="3" t="s">
        <v>16</v>
      </c>
    </row>
    <row r="37">
      <c r="A37" s="3" t="s">
        <v>31</v>
      </c>
      <c r="B37" s="3" t="s">
        <v>10</v>
      </c>
      <c r="C37" s="3" t="s">
        <v>17</v>
      </c>
      <c r="D37" s="3" t="s">
        <v>20</v>
      </c>
      <c r="E37" s="3" t="s">
        <v>13</v>
      </c>
      <c r="F37" s="3" t="s">
        <v>14</v>
      </c>
      <c r="G37" s="3" t="s">
        <v>19</v>
      </c>
      <c r="H37" s="3" t="s">
        <v>16</v>
      </c>
      <c r="I37" s="3" t="s">
        <v>16</v>
      </c>
    </row>
    <row r="38">
      <c r="A38" s="3" t="s">
        <v>31</v>
      </c>
      <c r="B38" s="3" t="s">
        <v>10</v>
      </c>
      <c r="C38" s="3" t="s">
        <v>17</v>
      </c>
      <c r="D38" s="3" t="s">
        <v>21</v>
      </c>
      <c r="E38" s="3" t="s">
        <v>13</v>
      </c>
      <c r="F38" s="3" t="s">
        <v>14</v>
      </c>
      <c r="G38" s="3" t="s">
        <v>19</v>
      </c>
      <c r="H38" s="3" t="s">
        <v>16</v>
      </c>
      <c r="I38" s="3" t="s">
        <v>16</v>
      </c>
    </row>
    <row r="39">
      <c r="A39" s="3" t="s">
        <v>31</v>
      </c>
      <c r="B39" s="3" t="s">
        <v>10</v>
      </c>
      <c r="C39" s="3" t="s">
        <v>11</v>
      </c>
      <c r="D39" s="3" t="s">
        <v>12</v>
      </c>
      <c r="E39" s="3" t="s">
        <v>22</v>
      </c>
      <c r="F39" s="3" t="s">
        <v>23</v>
      </c>
      <c r="G39" s="3" t="s">
        <v>24</v>
      </c>
      <c r="H39" s="3" t="s">
        <v>16</v>
      </c>
      <c r="I39" s="3" t="s">
        <v>16</v>
      </c>
    </row>
    <row r="40">
      <c r="A40" s="3" t="s">
        <v>31</v>
      </c>
      <c r="B40" s="3" t="s">
        <v>10</v>
      </c>
      <c r="C40" s="3" t="s">
        <v>17</v>
      </c>
      <c r="D40" s="3" t="s">
        <v>18</v>
      </c>
      <c r="E40" s="3" t="s">
        <v>22</v>
      </c>
      <c r="F40" s="3" t="s">
        <v>23</v>
      </c>
      <c r="G40" s="3" t="s">
        <v>24</v>
      </c>
      <c r="H40" s="3" t="s">
        <v>16</v>
      </c>
      <c r="I40" s="3" t="s">
        <v>16</v>
      </c>
    </row>
    <row r="41">
      <c r="A41" s="3" t="s">
        <v>31</v>
      </c>
      <c r="B41" s="3" t="s">
        <v>10</v>
      </c>
      <c r="C41" s="3" t="s">
        <v>17</v>
      </c>
      <c r="D41" s="3" t="s">
        <v>21</v>
      </c>
      <c r="E41" s="3" t="s">
        <v>22</v>
      </c>
      <c r="F41" s="3" t="s">
        <v>23</v>
      </c>
      <c r="G41" s="3" t="s">
        <v>24</v>
      </c>
      <c r="H41" s="3" t="s">
        <v>16</v>
      </c>
      <c r="I41" s="3" t="s">
        <v>16</v>
      </c>
    </row>
    <row r="42">
      <c r="A42" s="3" t="s">
        <v>31</v>
      </c>
      <c r="B42" s="3" t="s">
        <v>10</v>
      </c>
      <c r="C42" s="3" t="s">
        <v>11</v>
      </c>
      <c r="D42" s="3" t="s">
        <v>12</v>
      </c>
      <c r="E42" s="3" t="s">
        <v>25</v>
      </c>
      <c r="F42" s="3" t="s">
        <v>26</v>
      </c>
      <c r="G42" s="3" t="s">
        <v>27</v>
      </c>
      <c r="H42" s="3" t="s">
        <v>16</v>
      </c>
      <c r="I42" s="3" t="s">
        <v>28</v>
      </c>
    </row>
    <row r="43">
      <c r="A43" s="3" t="s">
        <v>31</v>
      </c>
      <c r="B43" s="3" t="s">
        <v>10</v>
      </c>
      <c r="C43" s="3" t="s">
        <v>17</v>
      </c>
      <c r="D43" s="3" t="s">
        <v>18</v>
      </c>
      <c r="E43" s="3" t="s">
        <v>25</v>
      </c>
      <c r="F43" s="3" t="s">
        <v>26</v>
      </c>
      <c r="G43" s="3" t="s">
        <v>27</v>
      </c>
      <c r="H43" s="3" t="s">
        <v>16</v>
      </c>
      <c r="I43" s="3" t="s">
        <v>28</v>
      </c>
    </row>
    <row r="44">
      <c r="A44" s="3" t="s">
        <v>31</v>
      </c>
      <c r="B44" s="3" t="s">
        <v>10</v>
      </c>
      <c r="C44" s="3" t="s">
        <v>17</v>
      </c>
      <c r="D44" s="3" t="s">
        <v>21</v>
      </c>
      <c r="E44" s="3" t="s">
        <v>25</v>
      </c>
      <c r="F44" s="3" t="s">
        <v>26</v>
      </c>
      <c r="G44" s="3" t="s">
        <v>27</v>
      </c>
      <c r="H44" s="3" t="s">
        <v>16</v>
      </c>
      <c r="I44" s="3" t="s">
        <v>28</v>
      </c>
    </row>
    <row r="45">
      <c r="A45" s="3" t="s">
        <v>31</v>
      </c>
      <c r="B45" s="3" t="s">
        <v>10</v>
      </c>
      <c r="C45" s="3" t="s">
        <v>17</v>
      </c>
      <c r="D45" s="3" t="s">
        <v>20</v>
      </c>
      <c r="E45" s="3" t="s">
        <v>25</v>
      </c>
      <c r="F45" s="3" t="s">
        <v>26</v>
      </c>
      <c r="G45" s="3" t="s">
        <v>27</v>
      </c>
      <c r="H45" s="3" t="s">
        <v>16</v>
      </c>
      <c r="I45" s="3" t="s">
        <v>28</v>
      </c>
    </row>
  </sheetData>
  <dataValidations>
    <dataValidation type="list" allowBlank="1" showErrorMessage="1" sqref="D2:D45">
      <formula1>"Base Storage,Wall Storage,Tall Storage,Wardrobe"</formula1>
    </dataValidation>
    <dataValidation type="list" allowBlank="1" showErrorMessage="1" sqref="H2:I45">
      <formula1>"Yes,No"</formula1>
    </dataValidation>
    <dataValidation type="list" allowBlank="1" showErrorMessage="1" sqref="B2:B45">
      <formula1>"Modular,Accessories,Civil Services"</formula1>
    </dataValidation>
    <dataValidation type="list" allowBlank="1" showErrorMessage="1" sqref="G2:G45">
      <formula1>"BWP,MR,HDHMR,HDF,Onsys,Acrylic,Smooth Finish,Glossy Finish"</formula1>
    </dataValidation>
    <dataValidation type="list" allowBlank="1" showErrorMessage="1" sqref="F2:F45">
      <formula1>"GreenPly,Century,Merino,Hettich"</formula1>
    </dataValidation>
    <dataValidation type="list" allowBlank="1" showErrorMessage="1" sqref="C2:C45">
      <formula1>"Wet / Exposed Area,Dry / Inexposed area"</formula1>
    </dataValidation>
    <dataValidation type="list" allowBlank="1" showErrorMessage="1" sqref="E2:E45">
      <formula1>"Core Material,Finish Material,Hinges,Handles"</formula1>
    </dataValidation>
    <dataValidation type="list" allowBlank="1" showErrorMessage="1" sqref="A2:A45">
      <formula1>"Economy,Mid Premium,Premium,Luxury"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5.88"/>
    <col customWidth="1" min="3" max="3" width="14.0"/>
    <col customWidth="1" min="4" max="4" width="27.0"/>
    <col customWidth="1" min="5" max="5" width="21.13"/>
    <col customWidth="1" min="6" max="6" width="36.63"/>
    <col customWidth="1" min="7" max="7" width="76.75"/>
    <col customWidth="1" min="8" max="8" width="72.63"/>
    <col customWidth="1" min="9" max="9" width="45.25"/>
    <col customWidth="1" min="16" max="16" width="86.75"/>
  </cols>
  <sheetData>
    <row r="1">
      <c r="A1" s="4" t="s">
        <v>0</v>
      </c>
      <c r="B1" s="4" t="s">
        <v>1</v>
      </c>
      <c r="C1" s="4" t="s">
        <v>2</v>
      </c>
      <c r="D1" s="4" t="s">
        <v>3</v>
      </c>
      <c r="E1" s="4" t="s">
        <v>32</v>
      </c>
      <c r="F1" s="4" t="s">
        <v>4</v>
      </c>
      <c r="G1" s="4" t="s">
        <v>6</v>
      </c>
      <c r="H1" s="4" t="s">
        <v>5</v>
      </c>
      <c r="I1" s="4" t="s">
        <v>33</v>
      </c>
      <c r="J1" s="4" t="s">
        <v>34</v>
      </c>
      <c r="K1" s="4" t="s">
        <v>35</v>
      </c>
      <c r="L1" s="5" t="s">
        <v>36</v>
      </c>
      <c r="M1" s="5" t="s">
        <v>37</v>
      </c>
      <c r="N1" s="4"/>
      <c r="O1" s="6"/>
      <c r="P1" s="6"/>
      <c r="Q1" s="6"/>
      <c r="R1" s="6"/>
      <c r="S1" s="4"/>
      <c r="T1" s="4"/>
      <c r="U1" s="6"/>
      <c r="V1" s="6"/>
      <c r="W1" s="6"/>
      <c r="X1" s="6"/>
      <c r="Y1" s="6"/>
      <c r="Z1" s="6"/>
      <c r="AA1" s="6"/>
      <c r="AB1" s="6"/>
      <c r="AC1" s="6"/>
      <c r="AD1" s="6"/>
    </row>
    <row r="2">
      <c r="A2" s="7" t="s">
        <v>38</v>
      </c>
      <c r="I2" s="8" t="s">
        <v>39</v>
      </c>
      <c r="J2" s="4"/>
      <c r="K2" s="4"/>
      <c r="L2" s="4"/>
      <c r="M2" s="9"/>
      <c r="N2" s="4"/>
      <c r="O2" s="6"/>
      <c r="P2" s="6"/>
      <c r="Q2" s="6"/>
      <c r="R2" s="6"/>
      <c r="S2" s="4"/>
      <c r="T2" s="4"/>
      <c r="U2" s="6"/>
      <c r="V2" s="6"/>
      <c r="W2" s="6"/>
      <c r="X2" s="6"/>
      <c r="Y2" s="6"/>
      <c r="Z2" s="6"/>
      <c r="AA2" s="6"/>
      <c r="AB2" s="6"/>
      <c r="AC2" s="6"/>
      <c r="AD2" s="6"/>
    </row>
    <row r="3">
      <c r="A3" s="10" t="s">
        <v>9</v>
      </c>
      <c r="B3" s="10" t="s">
        <v>10</v>
      </c>
      <c r="C3" s="10" t="s">
        <v>11</v>
      </c>
      <c r="D3" s="10" t="s">
        <v>40</v>
      </c>
      <c r="E3" s="10" t="s">
        <v>41</v>
      </c>
      <c r="F3" s="10" t="s">
        <v>42</v>
      </c>
      <c r="G3" s="10" t="s">
        <v>43</v>
      </c>
      <c r="H3" s="11" t="s">
        <v>44</v>
      </c>
      <c r="I3" s="10" t="s">
        <v>45</v>
      </c>
      <c r="J3" s="6">
        <v>1475.0</v>
      </c>
      <c r="K3" s="12">
        <v>0.25</v>
      </c>
      <c r="L3" s="5">
        <f>J3*K3</f>
        <v>368.75</v>
      </c>
      <c r="M3" s="5">
        <f>J3+L3</f>
        <v>1843.75</v>
      </c>
      <c r="N3" s="13"/>
      <c r="O3" s="13"/>
      <c r="P3" s="13"/>
      <c r="Q3" s="13"/>
      <c r="R3" s="13"/>
      <c r="S3" s="10"/>
      <c r="T3" s="13"/>
      <c r="U3" s="13"/>
      <c r="V3" s="13"/>
      <c r="W3" s="13"/>
      <c r="X3" s="13"/>
      <c r="Y3" s="13"/>
      <c r="Z3" s="13"/>
      <c r="AA3" s="13"/>
      <c r="AB3" s="13"/>
      <c r="AC3" s="13"/>
      <c r="AD3" s="13"/>
    </row>
    <row r="4">
      <c r="A4" s="10"/>
      <c r="B4" s="10"/>
      <c r="H4" s="11"/>
      <c r="I4" s="10" t="s">
        <v>46</v>
      </c>
      <c r="N4" s="13"/>
      <c r="O4" s="13"/>
      <c r="P4" s="13"/>
      <c r="Q4" s="13"/>
      <c r="R4" s="13"/>
      <c r="S4" s="10"/>
      <c r="T4" s="13"/>
      <c r="U4" s="13"/>
      <c r="V4" s="13"/>
      <c r="W4" s="13"/>
      <c r="X4" s="13"/>
      <c r="Y4" s="13"/>
      <c r="Z4" s="13"/>
      <c r="AA4" s="13"/>
      <c r="AB4" s="13"/>
      <c r="AC4" s="13"/>
      <c r="AD4" s="13"/>
    </row>
    <row r="5">
      <c r="A5" s="10"/>
      <c r="B5" s="10"/>
      <c r="H5" s="11"/>
      <c r="I5" s="10" t="s">
        <v>47</v>
      </c>
      <c r="N5" s="13"/>
      <c r="O5" s="13"/>
      <c r="P5" s="13"/>
      <c r="Q5" s="13"/>
      <c r="R5" s="13"/>
      <c r="S5" s="10"/>
      <c r="T5" s="13"/>
      <c r="U5" s="13"/>
      <c r="V5" s="13"/>
      <c r="W5" s="13"/>
      <c r="X5" s="13"/>
      <c r="Y5" s="13"/>
      <c r="Z5" s="13"/>
      <c r="AA5" s="13"/>
      <c r="AB5" s="13"/>
      <c r="AC5" s="13"/>
      <c r="AD5" s="13"/>
    </row>
    <row r="6">
      <c r="A6" s="10"/>
      <c r="B6" s="10"/>
      <c r="H6" s="11"/>
      <c r="I6" s="10" t="s">
        <v>48</v>
      </c>
      <c r="N6" s="13"/>
      <c r="O6" s="13"/>
      <c r="P6" s="13"/>
      <c r="Q6" s="13"/>
      <c r="R6" s="13"/>
      <c r="S6" s="10"/>
      <c r="T6" s="13"/>
      <c r="U6" s="13"/>
      <c r="V6" s="13"/>
      <c r="W6" s="13"/>
      <c r="X6" s="13"/>
      <c r="Y6" s="13"/>
      <c r="Z6" s="13"/>
      <c r="AA6" s="13"/>
      <c r="AB6" s="13"/>
      <c r="AC6" s="13"/>
      <c r="AD6" s="13"/>
    </row>
    <row r="7">
      <c r="A7" s="10"/>
      <c r="B7" s="10"/>
      <c r="C7" s="10" t="s">
        <v>11</v>
      </c>
      <c r="D7" s="10" t="s">
        <v>49</v>
      </c>
      <c r="E7" s="10" t="s">
        <v>50</v>
      </c>
      <c r="F7" s="10" t="s">
        <v>42</v>
      </c>
      <c r="G7" s="11" t="s">
        <v>51</v>
      </c>
      <c r="H7" s="11"/>
      <c r="I7" s="10" t="s">
        <v>52</v>
      </c>
      <c r="J7" s="4">
        <v>1625.0</v>
      </c>
      <c r="K7" s="12">
        <v>0.25</v>
      </c>
      <c r="L7" s="5">
        <f>J7*K7</f>
        <v>406.25</v>
      </c>
      <c r="M7" s="5">
        <f>J7+L7</f>
        <v>2031.25</v>
      </c>
      <c r="N7" s="13"/>
      <c r="O7" s="13"/>
      <c r="P7" s="13"/>
      <c r="Q7" s="13"/>
      <c r="R7" s="13"/>
      <c r="S7" s="13"/>
      <c r="T7" s="13"/>
      <c r="U7" s="13"/>
      <c r="V7" s="13"/>
      <c r="W7" s="13"/>
      <c r="X7" s="13"/>
      <c r="Y7" s="13"/>
      <c r="Z7" s="13"/>
      <c r="AA7" s="13"/>
      <c r="AB7" s="13"/>
      <c r="AC7" s="13"/>
      <c r="AD7" s="13"/>
    </row>
    <row r="8">
      <c r="A8" s="10"/>
      <c r="B8" s="10"/>
      <c r="H8" s="11"/>
      <c r="I8" s="10" t="s">
        <v>53</v>
      </c>
      <c r="N8" s="13"/>
      <c r="O8" s="13"/>
      <c r="P8" s="13"/>
      <c r="Q8" s="13"/>
      <c r="R8" s="13"/>
      <c r="S8" s="13"/>
      <c r="T8" s="13"/>
      <c r="U8" s="13"/>
      <c r="V8" s="13"/>
      <c r="W8" s="13"/>
      <c r="X8" s="13"/>
      <c r="Y8" s="13"/>
      <c r="Z8" s="13"/>
      <c r="AA8" s="13"/>
      <c r="AB8" s="13"/>
      <c r="AC8" s="13"/>
      <c r="AD8" s="13"/>
    </row>
    <row r="9">
      <c r="A9" s="10"/>
      <c r="B9" s="10"/>
      <c r="H9" s="11"/>
      <c r="I9" s="10" t="s">
        <v>54</v>
      </c>
      <c r="N9" s="13"/>
      <c r="O9" s="13"/>
      <c r="P9" s="13"/>
      <c r="Q9" s="13"/>
      <c r="R9" s="13"/>
      <c r="S9" s="13"/>
      <c r="T9" s="13"/>
      <c r="U9" s="13"/>
      <c r="V9" s="13"/>
      <c r="W9" s="13"/>
      <c r="X9" s="13"/>
      <c r="Y9" s="13"/>
      <c r="Z9" s="13"/>
      <c r="AA9" s="13"/>
      <c r="AB9" s="13"/>
      <c r="AC9" s="13"/>
      <c r="AD9" s="13"/>
    </row>
    <row r="10">
      <c r="A10" s="10" t="s">
        <v>9</v>
      </c>
      <c r="B10" s="10" t="s">
        <v>10</v>
      </c>
      <c r="C10" s="10" t="s">
        <v>11</v>
      </c>
      <c r="D10" s="10" t="s">
        <v>40</v>
      </c>
      <c r="E10" s="10" t="s">
        <v>41</v>
      </c>
      <c r="F10" s="10" t="s">
        <v>42</v>
      </c>
      <c r="G10" s="11" t="s">
        <v>55</v>
      </c>
      <c r="H10" s="11" t="s">
        <v>56</v>
      </c>
      <c r="I10" s="10" t="s">
        <v>57</v>
      </c>
      <c r="J10" s="6">
        <v>1880.0</v>
      </c>
      <c r="K10" s="12">
        <v>0.25</v>
      </c>
      <c r="L10" s="5">
        <f>J10*K10</f>
        <v>470</v>
      </c>
      <c r="M10" s="5">
        <f>J10+L10</f>
        <v>2350</v>
      </c>
      <c r="N10" s="13"/>
      <c r="O10" s="13"/>
      <c r="P10" s="13"/>
      <c r="Q10" s="13"/>
      <c r="R10" s="13"/>
      <c r="S10" s="13"/>
      <c r="T10" s="13"/>
      <c r="U10" s="13"/>
      <c r="V10" s="13"/>
      <c r="W10" s="13"/>
      <c r="X10" s="13"/>
      <c r="Y10" s="13"/>
      <c r="Z10" s="13"/>
      <c r="AA10" s="13"/>
      <c r="AB10" s="13"/>
      <c r="AC10" s="13"/>
      <c r="AD10" s="13"/>
    </row>
    <row r="11">
      <c r="A11" s="10"/>
      <c r="B11" s="10"/>
      <c r="H11" s="11"/>
      <c r="I11" s="10" t="s">
        <v>58</v>
      </c>
      <c r="N11" s="13"/>
      <c r="O11" s="13"/>
      <c r="P11" s="13"/>
      <c r="Q11" s="13"/>
      <c r="R11" s="13"/>
      <c r="S11" s="13"/>
      <c r="T11" s="13"/>
      <c r="U11" s="13"/>
      <c r="V11" s="13"/>
      <c r="W11" s="13"/>
      <c r="X11" s="13"/>
      <c r="Y11" s="13"/>
      <c r="Z11" s="13"/>
      <c r="AA11" s="13"/>
      <c r="AB11" s="13"/>
      <c r="AC11" s="13"/>
      <c r="AD11" s="13"/>
    </row>
    <row r="12">
      <c r="A12" s="10"/>
      <c r="B12" s="10"/>
      <c r="H12" s="11"/>
      <c r="I12" s="10" t="s">
        <v>59</v>
      </c>
      <c r="N12" s="13"/>
      <c r="O12" s="13"/>
      <c r="P12" s="13"/>
      <c r="Q12" s="13"/>
      <c r="R12" s="13"/>
      <c r="S12" s="13"/>
      <c r="T12" s="13"/>
      <c r="U12" s="13"/>
      <c r="V12" s="13"/>
      <c r="W12" s="13"/>
      <c r="X12" s="13"/>
      <c r="Y12" s="13"/>
      <c r="Z12" s="13"/>
      <c r="AA12" s="13"/>
      <c r="AB12" s="13"/>
      <c r="AC12" s="13"/>
      <c r="AD12" s="13"/>
    </row>
    <row r="13">
      <c r="A13" s="10"/>
      <c r="B13" s="10"/>
      <c r="H13" s="11"/>
      <c r="I13" s="10" t="s">
        <v>60</v>
      </c>
      <c r="N13" s="13"/>
      <c r="O13" s="13"/>
      <c r="P13" s="13"/>
      <c r="Q13" s="13"/>
      <c r="R13" s="13"/>
      <c r="S13" s="13"/>
      <c r="T13" s="13"/>
      <c r="U13" s="13"/>
      <c r="V13" s="13"/>
      <c r="W13" s="13"/>
      <c r="X13" s="13"/>
      <c r="Y13" s="13"/>
      <c r="Z13" s="13"/>
      <c r="AA13" s="13"/>
      <c r="AB13" s="13"/>
      <c r="AC13" s="13"/>
      <c r="AD13" s="13"/>
    </row>
    <row r="14">
      <c r="A14" s="10" t="s">
        <v>9</v>
      </c>
      <c r="B14" s="10" t="s">
        <v>10</v>
      </c>
      <c r="C14" s="10" t="s">
        <v>11</v>
      </c>
      <c r="D14" s="10" t="s">
        <v>40</v>
      </c>
      <c r="E14" s="10" t="s">
        <v>41</v>
      </c>
      <c r="F14" s="10" t="s">
        <v>42</v>
      </c>
      <c r="G14" s="11" t="s">
        <v>61</v>
      </c>
      <c r="H14" s="11" t="s">
        <v>56</v>
      </c>
      <c r="I14" s="10" t="s">
        <v>62</v>
      </c>
      <c r="J14" s="6">
        <v>2000.0</v>
      </c>
      <c r="K14" s="12">
        <v>0.25</v>
      </c>
      <c r="L14" s="5">
        <f>J14*K14</f>
        <v>500</v>
      </c>
      <c r="M14" s="5">
        <f>J14+L14</f>
        <v>2500</v>
      </c>
      <c r="N14" s="13"/>
      <c r="O14" s="13"/>
      <c r="P14" s="13"/>
      <c r="Q14" s="13"/>
      <c r="R14" s="13"/>
      <c r="S14" s="13"/>
      <c r="T14" s="13"/>
      <c r="U14" s="13"/>
      <c r="V14" s="13"/>
      <c r="W14" s="13"/>
      <c r="X14" s="13"/>
      <c r="Y14" s="13"/>
      <c r="Z14" s="13"/>
      <c r="AA14" s="13"/>
      <c r="AB14" s="13"/>
      <c r="AC14" s="13"/>
      <c r="AD14" s="13"/>
    </row>
    <row r="15">
      <c r="A15" s="10"/>
      <c r="B15" s="10"/>
      <c r="H15" s="11"/>
      <c r="I15" s="10" t="s">
        <v>63</v>
      </c>
      <c r="N15" s="13"/>
      <c r="O15" s="13"/>
      <c r="P15" s="13"/>
      <c r="Q15" s="13"/>
      <c r="R15" s="13"/>
      <c r="S15" s="13"/>
      <c r="T15" s="13"/>
      <c r="U15" s="13"/>
      <c r="V15" s="13"/>
      <c r="W15" s="13"/>
      <c r="X15" s="13"/>
      <c r="Y15" s="13"/>
      <c r="Z15" s="13"/>
      <c r="AA15" s="13"/>
      <c r="AB15" s="13"/>
      <c r="AC15" s="13"/>
      <c r="AD15" s="13"/>
    </row>
    <row r="16">
      <c r="A16" s="10"/>
      <c r="B16" s="10"/>
      <c r="H16" s="11"/>
      <c r="I16" s="10" t="s">
        <v>64</v>
      </c>
      <c r="N16" s="13"/>
      <c r="O16" s="13"/>
      <c r="P16" s="13"/>
      <c r="Q16" s="13"/>
      <c r="R16" s="13"/>
      <c r="S16" s="13"/>
      <c r="T16" s="13"/>
      <c r="U16" s="13"/>
      <c r="V16" s="13"/>
      <c r="W16" s="13"/>
      <c r="X16" s="13"/>
      <c r="Y16" s="13"/>
      <c r="Z16" s="13"/>
      <c r="AA16" s="13"/>
      <c r="AB16" s="13"/>
      <c r="AC16" s="13"/>
      <c r="AD16" s="13"/>
    </row>
    <row r="17">
      <c r="A17" s="10"/>
      <c r="B17" s="10"/>
      <c r="H17" s="11"/>
      <c r="I17" s="10" t="s">
        <v>65</v>
      </c>
      <c r="N17" s="13"/>
      <c r="O17" s="13"/>
      <c r="P17" s="13"/>
      <c r="Q17" s="13"/>
      <c r="R17" s="13"/>
      <c r="S17" s="13"/>
      <c r="T17" s="13"/>
      <c r="U17" s="13"/>
      <c r="V17" s="13"/>
      <c r="W17" s="13"/>
      <c r="X17" s="13"/>
      <c r="Y17" s="13"/>
      <c r="Z17" s="13"/>
      <c r="AA17" s="13"/>
      <c r="AB17" s="13"/>
      <c r="AC17" s="13"/>
      <c r="AD17" s="13"/>
    </row>
    <row r="18">
      <c r="A18" s="10" t="s">
        <v>9</v>
      </c>
      <c r="B18" s="10" t="s">
        <v>10</v>
      </c>
      <c r="C18" s="10" t="s">
        <v>11</v>
      </c>
      <c r="D18" s="10" t="s">
        <v>40</v>
      </c>
      <c r="E18" s="10" t="s">
        <v>41</v>
      </c>
      <c r="F18" s="10" t="s">
        <v>42</v>
      </c>
      <c r="G18" s="11" t="s">
        <v>66</v>
      </c>
      <c r="H18" s="11" t="s">
        <v>67</v>
      </c>
      <c r="I18" s="10" t="s">
        <v>68</v>
      </c>
      <c r="J18" s="6">
        <v>2325.0</v>
      </c>
      <c r="K18" s="12">
        <v>0.25</v>
      </c>
      <c r="L18" s="5">
        <f>J18*K18</f>
        <v>581.25</v>
      </c>
      <c r="M18" s="5">
        <f>J18+L18</f>
        <v>2906.25</v>
      </c>
      <c r="N18" s="13"/>
      <c r="O18" s="13"/>
      <c r="P18" s="13"/>
      <c r="Q18" s="13"/>
      <c r="R18" s="13"/>
      <c r="S18" s="13"/>
      <c r="T18" s="13"/>
      <c r="U18" s="13"/>
      <c r="V18" s="13"/>
      <c r="W18" s="13"/>
      <c r="X18" s="13"/>
      <c r="Y18" s="13"/>
      <c r="Z18" s="13"/>
      <c r="AA18" s="13"/>
      <c r="AB18" s="13"/>
      <c r="AC18" s="13"/>
      <c r="AD18" s="13"/>
    </row>
    <row r="19">
      <c r="A19" s="10"/>
      <c r="B19" s="10"/>
      <c r="H19" s="11"/>
      <c r="I19" s="10" t="s">
        <v>69</v>
      </c>
      <c r="N19" s="13"/>
      <c r="O19" s="13"/>
      <c r="P19" s="13"/>
      <c r="Q19" s="13"/>
      <c r="R19" s="13"/>
      <c r="S19" s="13"/>
      <c r="T19" s="13"/>
      <c r="U19" s="13"/>
      <c r="V19" s="13"/>
      <c r="W19" s="13"/>
      <c r="X19" s="13"/>
      <c r="Y19" s="13"/>
      <c r="Z19" s="13"/>
      <c r="AA19" s="13"/>
      <c r="AB19" s="13"/>
      <c r="AC19" s="13"/>
      <c r="AD19" s="13"/>
    </row>
    <row r="20">
      <c r="A20" s="10"/>
      <c r="B20" s="10"/>
      <c r="H20" s="11"/>
      <c r="I20" s="10" t="s">
        <v>70</v>
      </c>
      <c r="N20" s="13"/>
      <c r="O20" s="13"/>
      <c r="P20" s="13"/>
      <c r="Q20" s="13"/>
      <c r="R20" s="13"/>
      <c r="S20" s="13"/>
      <c r="T20" s="13"/>
      <c r="U20" s="13"/>
      <c r="V20" s="13"/>
      <c r="W20" s="13"/>
      <c r="X20" s="13"/>
      <c r="Y20" s="13"/>
      <c r="Z20" s="13"/>
      <c r="AA20" s="13"/>
      <c r="AB20" s="13"/>
      <c r="AC20" s="13"/>
      <c r="AD20" s="13"/>
    </row>
    <row r="21">
      <c r="A21" s="10"/>
      <c r="B21" s="10"/>
      <c r="H21" s="11"/>
      <c r="I21" s="10" t="s">
        <v>71</v>
      </c>
      <c r="N21" s="13"/>
      <c r="O21" s="13"/>
      <c r="P21" s="13"/>
      <c r="Q21" s="13"/>
      <c r="R21" s="13"/>
      <c r="S21" s="13"/>
      <c r="T21" s="13"/>
      <c r="U21" s="13"/>
      <c r="V21" s="13"/>
      <c r="W21" s="13"/>
      <c r="X21" s="13"/>
      <c r="Y21" s="13"/>
      <c r="Z21" s="13"/>
      <c r="AA21" s="13"/>
      <c r="AB21" s="13"/>
      <c r="AC21" s="13"/>
      <c r="AD21" s="13"/>
    </row>
    <row r="22">
      <c r="A22" s="10" t="s">
        <v>9</v>
      </c>
      <c r="B22" s="10" t="s">
        <v>10</v>
      </c>
      <c r="C22" s="10" t="s">
        <v>11</v>
      </c>
      <c r="D22" s="10" t="s">
        <v>40</v>
      </c>
      <c r="E22" s="10" t="s">
        <v>41</v>
      </c>
      <c r="F22" s="10" t="s">
        <v>42</v>
      </c>
      <c r="G22" s="11" t="s">
        <v>72</v>
      </c>
      <c r="H22" s="11" t="s">
        <v>67</v>
      </c>
      <c r="I22" s="11"/>
      <c r="J22" s="6">
        <v>2425.0</v>
      </c>
      <c r="K22" s="12">
        <v>0.25</v>
      </c>
      <c r="L22" s="5">
        <f t="shared" ref="L22:L41" si="1">J22*K22</f>
        <v>606.25</v>
      </c>
      <c r="M22" s="5">
        <f t="shared" ref="M22:M41" si="2">J22+L22</f>
        <v>3031.25</v>
      </c>
      <c r="N22" s="13"/>
      <c r="O22" s="13"/>
      <c r="P22" s="13"/>
      <c r="Q22" s="13"/>
      <c r="R22" s="13"/>
      <c r="S22" s="13"/>
      <c r="T22" s="13"/>
      <c r="U22" s="13"/>
      <c r="V22" s="13"/>
      <c r="W22" s="13"/>
      <c r="X22" s="13"/>
      <c r="Y22" s="13"/>
      <c r="Z22" s="13"/>
      <c r="AA22" s="13"/>
      <c r="AB22" s="13"/>
      <c r="AC22" s="13"/>
      <c r="AD22" s="13"/>
    </row>
    <row r="23">
      <c r="A23" s="10" t="s">
        <v>9</v>
      </c>
      <c r="B23" s="10" t="s">
        <v>10</v>
      </c>
      <c r="C23" s="10" t="s">
        <v>11</v>
      </c>
      <c r="D23" s="10" t="s">
        <v>40</v>
      </c>
      <c r="E23" s="10" t="s">
        <v>41</v>
      </c>
      <c r="F23" s="10" t="s">
        <v>42</v>
      </c>
      <c r="G23" s="11" t="s">
        <v>73</v>
      </c>
      <c r="H23" s="11" t="s">
        <v>67</v>
      </c>
      <c r="I23" s="11"/>
      <c r="J23" s="6">
        <v>2425.0</v>
      </c>
      <c r="K23" s="12">
        <v>0.25</v>
      </c>
      <c r="L23" s="5">
        <f t="shared" si="1"/>
        <v>606.25</v>
      </c>
      <c r="M23" s="5">
        <f t="shared" si="2"/>
        <v>3031.25</v>
      </c>
      <c r="N23" s="13"/>
      <c r="O23" s="13"/>
      <c r="P23" s="13"/>
      <c r="Q23" s="13"/>
      <c r="R23" s="13"/>
      <c r="S23" s="13"/>
      <c r="T23" s="13"/>
      <c r="U23" s="13"/>
      <c r="V23" s="13"/>
      <c r="W23" s="13"/>
      <c r="X23" s="13"/>
      <c r="Y23" s="13"/>
      <c r="Z23" s="13"/>
      <c r="AA23" s="13"/>
      <c r="AB23" s="13"/>
      <c r="AC23" s="13"/>
      <c r="AD23" s="13"/>
    </row>
    <row r="24">
      <c r="A24" s="10" t="s">
        <v>9</v>
      </c>
      <c r="B24" s="10" t="s">
        <v>10</v>
      </c>
      <c r="C24" s="10" t="s">
        <v>11</v>
      </c>
      <c r="D24" s="10" t="s">
        <v>40</v>
      </c>
      <c r="E24" s="10" t="s">
        <v>41</v>
      </c>
      <c r="F24" s="10" t="s">
        <v>42</v>
      </c>
      <c r="G24" s="11" t="s">
        <v>74</v>
      </c>
      <c r="H24" s="11" t="s">
        <v>67</v>
      </c>
      <c r="I24" s="11"/>
      <c r="J24" s="6">
        <v>2525.0</v>
      </c>
      <c r="K24" s="12">
        <v>0.25</v>
      </c>
      <c r="L24" s="5">
        <f t="shared" si="1"/>
        <v>631.25</v>
      </c>
      <c r="M24" s="5">
        <f t="shared" si="2"/>
        <v>3156.25</v>
      </c>
      <c r="N24" s="13"/>
      <c r="O24" s="13"/>
      <c r="P24" s="13"/>
      <c r="Q24" s="13"/>
      <c r="R24" s="13"/>
      <c r="S24" s="13"/>
      <c r="T24" s="13"/>
      <c r="U24" s="13"/>
      <c r="V24" s="13"/>
      <c r="W24" s="13"/>
      <c r="X24" s="13"/>
      <c r="Y24" s="13"/>
      <c r="Z24" s="13"/>
      <c r="AA24" s="13"/>
      <c r="AB24" s="13"/>
      <c r="AC24" s="13"/>
      <c r="AD24" s="13"/>
    </row>
    <row r="25">
      <c r="A25" s="10" t="s">
        <v>9</v>
      </c>
      <c r="B25" s="10" t="s">
        <v>10</v>
      </c>
      <c r="C25" s="10" t="s">
        <v>11</v>
      </c>
      <c r="D25" s="10" t="s">
        <v>40</v>
      </c>
      <c r="E25" s="10" t="s">
        <v>41</v>
      </c>
      <c r="F25" s="10" t="s">
        <v>42</v>
      </c>
      <c r="G25" s="11" t="s">
        <v>75</v>
      </c>
      <c r="H25" s="11" t="s">
        <v>56</v>
      </c>
      <c r="I25" s="11"/>
      <c r="J25" s="6">
        <v>2130.0</v>
      </c>
      <c r="K25" s="12">
        <v>0.25</v>
      </c>
      <c r="L25" s="5">
        <f t="shared" si="1"/>
        <v>532.5</v>
      </c>
      <c r="M25" s="5">
        <f t="shared" si="2"/>
        <v>2662.5</v>
      </c>
      <c r="N25" s="13"/>
      <c r="O25" s="13"/>
      <c r="P25" s="13"/>
      <c r="Q25" s="13"/>
      <c r="R25" s="13"/>
      <c r="S25" s="13"/>
      <c r="T25" s="13"/>
      <c r="U25" s="13"/>
      <c r="V25" s="13"/>
      <c r="W25" s="13"/>
      <c r="X25" s="13"/>
      <c r="Y25" s="13"/>
      <c r="Z25" s="13"/>
      <c r="AA25" s="13"/>
      <c r="AB25" s="13"/>
      <c r="AC25" s="13"/>
      <c r="AD25" s="13"/>
    </row>
    <row r="26">
      <c r="A26" s="10" t="s">
        <v>9</v>
      </c>
      <c r="B26" s="10" t="s">
        <v>10</v>
      </c>
      <c r="C26" s="10" t="s">
        <v>11</v>
      </c>
      <c r="D26" s="10" t="s">
        <v>40</v>
      </c>
      <c r="E26" s="10" t="s">
        <v>41</v>
      </c>
      <c r="F26" s="10" t="s">
        <v>42</v>
      </c>
      <c r="G26" s="11" t="s">
        <v>76</v>
      </c>
      <c r="H26" s="11" t="s">
        <v>56</v>
      </c>
      <c r="I26" s="11"/>
      <c r="J26" s="6">
        <v>2230.0</v>
      </c>
      <c r="K26" s="12">
        <v>0.25</v>
      </c>
      <c r="L26" s="5">
        <f t="shared" si="1"/>
        <v>557.5</v>
      </c>
      <c r="M26" s="5">
        <f t="shared" si="2"/>
        <v>2787.5</v>
      </c>
      <c r="N26" s="13"/>
      <c r="O26" s="13"/>
      <c r="P26" s="13"/>
      <c r="Q26" s="13"/>
      <c r="R26" s="13"/>
      <c r="S26" s="13"/>
      <c r="T26" s="13"/>
      <c r="U26" s="13"/>
      <c r="V26" s="13"/>
      <c r="W26" s="13"/>
      <c r="X26" s="13"/>
      <c r="Y26" s="13"/>
      <c r="Z26" s="13"/>
      <c r="AA26" s="13"/>
      <c r="AB26" s="13"/>
      <c r="AC26" s="13"/>
      <c r="AD26" s="13"/>
    </row>
    <row r="27">
      <c r="A27" s="10" t="s">
        <v>9</v>
      </c>
      <c r="B27" s="10" t="s">
        <v>10</v>
      </c>
      <c r="C27" s="10" t="s">
        <v>11</v>
      </c>
      <c r="D27" s="10" t="s">
        <v>40</v>
      </c>
      <c r="E27" s="10" t="s">
        <v>41</v>
      </c>
      <c r="F27" s="10" t="s">
        <v>42</v>
      </c>
      <c r="G27" s="11" t="s">
        <v>77</v>
      </c>
      <c r="H27" s="11" t="s">
        <v>67</v>
      </c>
      <c r="I27" s="11"/>
      <c r="J27" s="6">
        <v>2475.0</v>
      </c>
      <c r="K27" s="12">
        <v>0.25</v>
      </c>
      <c r="L27" s="5">
        <f t="shared" si="1"/>
        <v>618.75</v>
      </c>
      <c r="M27" s="5">
        <f t="shared" si="2"/>
        <v>3093.75</v>
      </c>
      <c r="N27" s="13"/>
      <c r="O27" s="13"/>
      <c r="P27" s="13"/>
      <c r="Q27" s="13"/>
      <c r="R27" s="13"/>
      <c r="S27" s="13"/>
      <c r="T27" s="13"/>
      <c r="U27" s="13"/>
      <c r="V27" s="13"/>
      <c r="W27" s="13"/>
      <c r="X27" s="13"/>
      <c r="Y27" s="13"/>
      <c r="Z27" s="13"/>
      <c r="AA27" s="13"/>
      <c r="AB27" s="13"/>
      <c r="AC27" s="13"/>
      <c r="AD27" s="13"/>
    </row>
    <row r="28">
      <c r="A28" s="10" t="s">
        <v>9</v>
      </c>
      <c r="B28" s="10" t="s">
        <v>10</v>
      </c>
      <c r="C28" s="10" t="s">
        <v>11</v>
      </c>
      <c r="D28" s="10" t="s">
        <v>40</v>
      </c>
      <c r="E28" s="10" t="s">
        <v>41</v>
      </c>
      <c r="F28" s="10" t="s">
        <v>42</v>
      </c>
      <c r="G28" s="11" t="s">
        <v>78</v>
      </c>
      <c r="H28" s="11" t="s">
        <v>67</v>
      </c>
      <c r="I28" s="11"/>
      <c r="J28" s="6">
        <v>2575.0</v>
      </c>
      <c r="K28" s="12">
        <v>0.25</v>
      </c>
      <c r="L28" s="5">
        <f t="shared" si="1"/>
        <v>643.75</v>
      </c>
      <c r="M28" s="5">
        <f t="shared" si="2"/>
        <v>3218.75</v>
      </c>
      <c r="N28" s="13"/>
      <c r="O28" s="13"/>
      <c r="P28" s="13"/>
      <c r="Q28" s="13"/>
      <c r="R28" s="13"/>
      <c r="S28" s="13"/>
      <c r="T28" s="13"/>
      <c r="U28" s="13"/>
      <c r="V28" s="13"/>
      <c r="W28" s="13"/>
      <c r="X28" s="13"/>
      <c r="Y28" s="13"/>
      <c r="Z28" s="13"/>
      <c r="AA28" s="13"/>
      <c r="AB28" s="13"/>
      <c r="AC28" s="13"/>
      <c r="AD28" s="13"/>
    </row>
    <row r="29">
      <c r="A29" s="10" t="s">
        <v>9</v>
      </c>
      <c r="B29" s="10" t="s">
        <v>10</v>
      </c>
      <c r="C29" s="10" t="s">
        <v>11</v>
      </c>
      <c r="D29" s="10" t="s">
        <v>40</v>
      </c>
      <c r="E29" s="10" t="s">
        <v>41</v>
      </c>
      <c r="F29" s="10" t="s">
        <v>42</v>
      </c>
      <c r="G29" s="11" t="s">
        <v>79</v>
      </c>
      <c r="H29" s="11" t="s">
        <v>67</v>
      </c>
      <c r="I29" s="11"/>
      <c r="J29" s="6">
        <v>2575.0</v>
      </c>
      <c r="K29" s="12">
        <v>0.25</v>
      </c>
      <c r="L29" s="5">
        <f t="shared" si="1"/>
        <v>643.75</v>
      </c>
      <c r="M29" s="5">
        <f t="shared" si="2"/>
        <v>3218.75</v>
      </c>
      <c r="N29" s="13"/>
      <c r="O29" s="13"/>
      <c r="P29" s="13"/>
      <c r="Q29" s="13"/>
      <c r="R29" s="13"/>
      <c r="S29" s="13"/>
      <c r="T29" s="13"/>
      <c r="U29" s="13"/>
      <c r="V29" s="13"/>
      <c r="W29" s="13"/>
      <c r="X29" s="13"/>
      <c r="Y29" s="13"/>
      <c r="Z29" s="13"/>
      <c r="AA29" s="13"/>
      <c r="AB29" s="13"/>
      <c r="AC29" s="13"/>
      <c r="AD29" s="13"/>
    </row>
    <row r="30">
      <c r="A30" s="10" t="s">
        <v>9</v>
      </c>
      <c r="B30" s="10" t="s">
        <v>10</v>
      </c>
      <c r="C30" s="10" t="s">
        <v>11</v>
      </c>
      <c r="D30" s="10" t="s">
        <v>40</v>
      </c>
      <c r="E30" s="10" t="s">
        <v>41</v>
      </c>
      <c r="F30" s="10" t="s">
        <v>42</v>
      </c>
      <c r="G30" s="11" t="s">
        <v>80</v>
      </c>
      <c r="H30" s="11" t="s">
        <v>67</v>
      </c>
      <c r="I30" s="11"/>
      <c r="J30" s="6">
        <v>2675.0</v>
      </c>
      <c r="K30" s="12">
        <v>0.25</v>
      </c>
      <c r="L30" s="5">
        <f t="shared" si="1"/>
        <v>668.75</v>
      </c>
      <c r="M30" s="5">
        <f t="shared" si="2"/>
        <v>3343.75</v>
      </c>
      <c r="N30" s="13"/>
      <c r="O30" s="13"/>
      <c r="P30" s="13"/>
      <c r="Q30" s="13"/>
      <c r="R30" s="13"/>
      <c r="S30" s="13"/>
      <c r="T30" s="13"/>
      <c r="U30" s="13"/>
      <c r="V30" s="13"/>
      <c r="W30" s="13"/>
      <c r="X30" s="13"/>
      <c r="Y30" s="13"/>
      <c r="Z30" s="13"/>
      <c r="AA30" s="13"/>
      <c r="AB30" s="13"/>
      <c r="AC30" s="13"/>
      <c r="AD30" s="13"/>
    </row>
    <row r="31">
      <c r="A31" s="10" t="s">
        <v>9</v>
      </c>
      <c r="B31" s="10" t="s">
        <v>10</v>
      </c>
      <c r="C31" s="10" t="s">
        <v>11</v>
      </c>
      <c r="D31" s="10" t="s">
        <v>81</v>
      </c>
      <c r="E31" s="10" t="s">
        <v>41</v>
      </c>
      <c r="F31" s="10" t="s">
        <v>42</v>
      </c>
      <c r="G31" s="11" t="s">
        <v>51</v>
      </c>
      <c r="H31" s="11" t="s">
        <v>44</v>
      </c>
      <c r="I31" s="11"/>
      <c r="J31" s="6">
        <v>1850.0</v>
      </c>
      <c r="K31" s="12">
        <v>0.25</v>
      </c>
      <c r="L31" s="5">
        <f t="shared" si="1"/>
        <v>462.5</v>
      </c>
      <c r="M31" s="5">
        <f t="shared" si="2"/>
        <v>2312.5</v>
      </c>
      <c r="N31" s="13"/>
      <c r="O31" s="13"/>
      <c r="P31" s="13"/>
      <c r="Q31" s="13"/>
      <c r="R31" s="13"/>
      <c r="S31" s="13"/>
      <c r="T31" s="13"/>
      <c r="U31" s="13"/>
      <c r="V31" s="13"/>
      <c r="W31" s="13"/>
      <c r="X31" s="13"/>
      <c r="Y31" s="13"/>
      <c r="Z31" s="13"/>
      <c r="AA31" s="13"/>
      <c r="AB31" s="13"/>
      <c r="AC31" s="13"/>
      <c r="AD31" s="13"/>
    </row>
    <row r="32">
      <c r="A32" s="10" t="s">
        <v>9</v>
      </c>
      <c r="B32" s="10" t="s">
        <v>10</v>
      </c>
      <c r="C32" s="10" t="s">
        <v>11</v>
      </c>
      <c r="D32" s="10" t="s">
        <v>82</v>
      </c>
      <c r="E32" s="10" t="s">
        <v>41</v>
      </c>
      <c r="F32" s="10" t="s">
        <v>83</v>
      </c>
      <c r="G32" s="11" t="s">
        <v>84</v>
      </c>
      <c r="H32" s="11" t="s">
        <v>85</v>
      </c>
      <c r="I32" s="11"/>
      <c r="J32" s="6">
        <v>1850.0</v>
      </c>
      <c r="K32" s="12">
        <v>0.25</v>
      </c>
      <c r="L32" s="5">
        <f t="shared" si="1"/>
        <v>462.5</v>
      </c>
      <c r="M32" s="5">
        <f t="shared" si="2"/>
        <v>2312.5</v>
      </c>
      <c r="N32" s="13"/>
      <c r="O32" s="13"/>
      <c r="P32" s="13"/>
      <c r="Q32" s="13"/>
      <c r="R32" s="13"/>
      <c r="S32" s="13"/>
      <c r="T32" s="13"/>
      <c r="U32" s="13"/>
      <c r="V32" s="13"/>
      <c r="W32" s="13"/>
      <c r="X32" s="13"/>
      <c r="Y32" s="13"/>
      <c r="Z32" s="13"/>
      <c r="AA32" s="13"/>
      <c r="AB32" s="13"/>
      <c r="AC32" s="13"/>
      <c r="AD32" s="13"/>
    </row>
    <row r="33">
      <c r="A33" s="10" t="s">
        <v>9</v>
      </c>
      <c r="B33" s="10" t="s">
        <v>10</v>
      </c>
      <c r="C33" s="10" t="s">
        <v>11</v>
      </c>
      <c r="D33" s="10" t="s">
        <v>86</v>
      </c>
      <c r="E33" s="10" t="s">
        <v>87</v>
      </c>
      <c r="F33" s="10" t="s">
        <v>83</v>
      </c>
      <c r="G33" s="11" t="s">
        <v>88</v>
      </c>
      <c r="H33" s="11" t="s">
        <v>89</v>
      </c>
      <c r="I33" s="10" t="s">
        <v>90</v>
      </c>
      <c r="J33" s="6">
        <v>1250.0</v>
      </c>
      <c r="K33" s="12">
        <v>0.25</v>
      </c>
      <c r="L33" s="5">
        <f t="shared" si="1"/>
        <v>312.5</v>
      </c>
      <c r="M33" s="5">
        <f t="shared" si="2"/>
        <v>1562.5</v>
      </c>
      <c r="N33" s="13"/>
      <c r="O33" s="13"/>
      <c r="P33" s="13"/>
      <c r="Q33" s="13"/>
      <c r="R33" s="13"/>
      <c r="S33" s="13"/>
      <c r="T33" s="13"/>
      <c r="U33" s="13"/>
      <c r="V33" s="13"/>
      <c r="W33" s="13"/>
      <c r="X33" s="13"/>
      <c r="Y33" s="13"/>
      <c r="Z33" s="13"/>
      <c r="AA33" s="13"/>
      <c r="AB33" s="13"/>
      <c r="AC33" s="13"/>
      <c r="AD33" s="13"/>
    </row>
    <row r="34">
      <c r="A34" s="10" t="s">
        <v>9</v>
      </c>
      <c r="B34" s="10" t="s">
        <v>10</v>
      </c>
      <c r="C34" s="10" t="s">
        <v>11</v>
      </c>
      <c r="D34" s="10" t="s">
        <v>91</v>
      </c>
      <c r="E34" s="10" t="s">
        <v>87</v>
      </c>
      <c r="F34" s="10" t="s">
        <v>83</v>
      </c>
      <c r="G34" s="10" t="s">
        <v>88</v>
      </c>
      <c r="H34" s="11" t="s">
        <v>89</v>
      </c>
      <c r="I34" s="10" t="s">
        <v>92</v>
      </c>
      <c r="J34" s="6">
        <v>1475.0</v>
      </c>
      <c r="K34" s="12">
        <v>0.25</v>
      </c>
      <c r="L34" s="5">
        <f t="shared" si="1"/>
        <v>368.75</v>
      </c>
      <c r="M34" s="5">
        <f t="shared" si="2"/>
        <v>1843.75</v>
      </c>
      <c r="N34" s="13"/>
      <c r="O34" s="13"/>
      <c r="P34" s="13"/>
      <c r="Q34" s="13"/>
      <c r="R34" s="13"/>
      <c r="S34" s="13"/>
      <c r="T34" s="13"/>
      <c r="U34" s="13"/>
      <c r="V34" s="13"/>
      <c r="W34" s="13"/>
      <c r="X34" s="13"/>
      <c r="Y34" s="13"/>
      <c r="Z34" s="13"/>
      <c r="AA34" s="13"/>
      <c r="AB34" s="13"/>
      <c r="AC34" s="13"/>
      <c r="AD34" s="13"/>
    </row>
    <row r="35">
      <c r="A35" s="10" t="s">
        <v>9</v>
      </c>
      <c r="B35" s="10" t="s">
        <v>10</v>
      </c>
      <c r="C35" s="10" t="s">
        <v>11</v>
      </c>
      <c r="D35" s="10" t="s">
        <v>93</v>
      </c>
      <c r="E35" s="10" t="s">
        <v>94</v>
      </c>
      <c r="F35" s="10" t="s">
        <v>42</v>
      </c>
      <c r="G35" s="10" t="s">
        <v>95</v>
      </c>
      <c r="H35" s="10" t="s">
        <v>96</v>
      </c>
      <c r="I35" s="10"/>
      <c r="J35" s="6">
        <v>872.0</v>
      </c>
      <c r="K35" s="12">
        <v>0.25</v>
      </c>
      <c r="L35" s="5">
        <f t="shared" si="1"/>
        <v>218</v>
      </c>
      <c r="M35" s="5">
        <f t="shared" si="2"/>
        <v>1090</v>
      </c>
      <c r="N35" s="13"/>
      <c r="O35" s="13"/>
      <c r="P35" s="13"/>
      <c r="Q35" s="13"/>
      <c r="R35" s="13"/>
      <c r="S35" s="13"/>
      <c r="T35" s="13"/>
      <c r="U35" s="13"/>
      <c r="V35" s="13"/>
      <c r="W35" s="13"/>
      <c r="X35" s="13"/>
      <c r="Y35" s="13"/>
      <c r="Z35" s="13"/>
      <c r="AA35" s="13"/>
      <c r="AB35" s="13"/>
      <c r="AC35" s="13"/>
      <c r="AD35" s="13"/>
    </row>
    <row r="36">
      <c r="A36" s="10" t="s">
        <v>9</v>
      </c>
      <c r="B36" s="10" t="s">
        <v>10</v>
      </c>
      <c r="C36" s="10" t="s">
        <v>11</v>
      </c>
      <c r="D36" s="10" t="s">
        <v>97</v>
      </c>
      <c r="E36" s="10" t="s">
        <v>98</v>
      </c>
      <c r="F36" s="10" t="s">
        <v>99</v>
      </c>
      <c r="G36" s="10" t="s">
        <v>100</v>
      </c>
      <c r="H36" s="10" t="s">
        <v>101</v>
      </c>
      <c r="I36" s="10"/>
      <c r="J36" s="6">
        <v>758.0</v>
      </c>
      <c r="K36" s="12">
        <v>0.25</v>
      </c>
      <c r="L36" s="5">
        <f t="shared" si="1"/>
        <v>189.5</v>
      </c>
      <c r="M36" s="5">
        <f t="shared" si="2"/>
        <v>947.5</v>
      </c>
      <c r="N36" s="13"/>
      <c r="O36" s="13"/>
      <c r="P36" s="13"/>
      <c r="Q36" s="13"/>
      <c r="R36" s="13"/>
      <c r="S36" s="13"/>
      <c r="T36" s="13"/>
      <c r="U36" s="13"/>
      <c r="V36" s="13"/>
      <c r="W36" s="13"/>
      <c r="X36" s="13"/>
      <c r="Y36" s="13"/>
      <c r="Z36" s="13"/>
      <c r="AA36" s="13"/>
      <c r="AB36" s="13"/>
      <c r="AC36" s="13"/>
      <c r="AD36" s="13"/>
    </row>
    <row r="37">
      <c r="A37" s="10" t="s">
        <v>9</v>
      </c>
      <c r="B37" s="10" t="s">
        <v>10</v>
      </c>
      <c r="C37" s="10" t="s">
        <v>11</v>
      </c>
      <c r="D37" s="10" t="s">
        <v>97</v>
      </c>
      <c r="E37" s="10" t="s">
        <v>102</v>
      </c>
      <c r="F37" s="10" t="s">
        <v>99</v>
      </c>
      <c r="G37" s="10" t="s">
        <v>100</v>
      </c>
      <c r="H37" s="10" t="s">
        <v>101</v>
      </c>
      <c r="I37" s="10"/>
      <c r="J37" s="6">
        <v>758.0</v>
      </c>
      <c r="K37" s="12">
        <v>0.25</v>
      </c>
      <c r="L37" s="5">
        <f t="shared" si="1"/>
        <v>189.5</v>
      </c>
      <c r="M37" s="5">
        <f t="shared" si="2"/>
        <v>947.5</v>
      </c>
      <c r="N37" s="13"/>
      <c r="O37" s="13"/>
      <c r="P37" s="13"/>
      <c r="Q37" s="13"/>
      <c r="R37" s="13"/>
      <c r="S37" s="13"/>
      <c r="T37" s="13"/>
      <c r="U37" s="13"/>
      <c r="V37" s="13"/>
      <c r="W37" s="13"/>
      <c r="X37" s="13"/>
      <c r="Y37" s="13"/>
      <c r="Z37" s="13"/>
      <c r="AA37" s="13"/>
      <c r="AB37" s="13"/>
      <c r="AC37" s="13"/>
      <c r="AD37" s="13"/>
    </row>
    <row r="38">
      <c r="A38" s="10" t="s">
        <v>9</v>
      </c>
      <c r="B38" s="10" t="s">
        <v>10</v>
      </c>
      <c r="C38" s="10" t="s">
        <v>11</v>
      </c>
      <c r="D38" s="10" t="s">
        <v>97</v>
      </c>
      <c r="E38" s="10" t="s">
        <v>103</v>
      </c>
      <c r="F38" s="10" t="s">
        <v>99</v>
      </c>
      <c r="G38" s="10" t="s">
        <v>100</v>
      </c>
      <c r="H38" s="10" t="s">
        <v>101</v>
      </c>
      <c r="I38" s="10"/>
      <c r="J38" s="6">
        <v>958.0</v>
      </c>
      <c r="K38" s="12">
        <v>0.25</v>
      </c>
      <c r="L38" s="5">
        <f t="shared" si="1"/>
        <v>239.5</v>
      </c>
      <c r="M38" s="5">
        <f t="shared" si="2"/>
        <v>1197.5</v>
      </c>
      <c r="N38" s="13"/>
      <c r="O38" s="13"/>
      <c r="P38" s="13"/>
      <c r="Q38" s="13"/>
      <c r="R38" s="13"/>
      <c r="S38" s="13"/>
      <c r="T38" s="13"/>
      <c r="U38" s="13"/>
      <c r="V38" s="13"/>
      <c r="W38" s="13"/>
      <c r="X38" s="13"/>
      <c r="Y38" s="13"/>
      <c r="Z38" s="13"/>
      <c r="AA38" s="13"/>
      <c r="AB38" s="13"/>
      <c r="AC38" s="13"/>
      <c r="AD38" s="13"/>
    </row>
    <row r="39">
      <c r="A39" s="10" t="s">
        <v>9</v>
      </c>
      <c r="B39" s="10" t="s">
        <v>10</v>
      </c>
      <c r="C39" s="10" t="s">
        <v>11</v>
      </c>
      <c r="D39" s="10" t="s">
        <v>104</v>
      </c>
      <c r="E39" s="10" t="s">
        <v>105</v>
      </c>
      <c r="F39" s="10" t="s">
        <v>99</v>
      </c>
      <c r="G39" s="10" t="s">
        <v>100</v>
      </c>
      <c r="H39" s="10" t="s">
        <v>106</v>
      </c>
      <c r="I39" s="10"/>
      <c r="J39" s="6">
        <v>1575.0</v>
      </c>
      <c r="K39" s="12">
        <v>0.25</v>
      </c>
      <c r="L39" s="5">
        <f t="shared" si="1"/>
        <v>393.75</v>
      </c>
      <c r="M39" s="5">
        <f t="shared" si="2"/>
        <v>1968.75</v>
      </c>
      <c r="N39" s="13"/>
      <c r="O39" s="13"/>
      <c r="P39" s="13"/>
      <c r="Q39" s="13"/>
      <c r="R39" s="13"/>
      <c r="S39" s="13"/>
      <c r="T39" s="13"/>
      <c r="U39" s="13"/>
      <c r="V39" s="13"/>
      <c r="W39" s="13"/>
      <c r="X39" s="13"/>
      <c r="Y39" s="13"/>
      <c r="Z39" s="13"/>
      <c r="AA39" s="13"/>
      <c r="AB39" s="13"/>
      <c r="AC39" s="13"/>
      <c r="AD39" s="13"/>
    </row>
    <row r="40">
      <c r="A40" s="10" t="s">
        <v>9</v>
      </c>
      <c r="B40" s="10" t="s">
        <v>10</v>
      </c>
      <c r="C40" s="10" t="s">
        <v>11</v>
      </c>
      <c r="D40" s="10" t="s">
        <v>107</v>
      </c>
      <c r="E40" s="10" t="s">
        <v>108</v>
      </c>
      <c r="F40" s="10" t="s">
        <v>99</v>
      </c>
      <c r="G40" s="10" t="s">
        <v>100</v>
      </c>
      <c r="H40" s="10" t="s">
        <v>109</v>
      </c>
      <c r="I40" s="10"/>
      <c r="J40" s="6">
        <v>1025.0</v>
      </c>
      <c r="K40" s="12">
        <v>0.25</v>
      </c>
      <c r="L40" s="5">
        <f t="shared" si="1"/>
        <v>256.25</v>
      </c>
      <c r="M40" s="5">
        <f t="shared" si="2"/>
        <v>1281.25</v>
      </c>
      <c r="N40" s="13"/>
      <c r="O40" s="13"/>
      <c r="P40" s="13"/>
      <c r="Q40" s="13"/>
      <c r="R40" s="13"/>
      <c r="S40" s="13"/>
      <c r="T40" s="13"/>
      <c r="U40" s="13"/>
      <c r="V40" s="13"/>
      <c r="W40" s="13"/>
      <c r="X40" s="13"/>
      <c r="Y40" s="13"/>
      <c r="Z40" s="13"/>
      <c r="AA40" s="13"/>
      <c r="AB40" s="13"/>
      <c r="AC40" s="13"/>
      <c r="AD40" s="13"/>
    </row>
    <row r="41">
      <c r="A41" s="10" t="s">
        <v>9</v>
      </c>
      <c r="B41" s="10" t="s">
        <v>10</v>
      </c>
      <c r="C41" s="10" t="s">
        <v>11</v>
      </c>
      <c r="D41" s="10" t="s">
        <v>107</v>
      </c>
      <c r="E41" s="14" t="s">
        <v>110</v>
      </c>
      <c r="F41" s="10" t="s">
        <v>99</v>
      </c>
      <c r="G41" s="10" t="s">
        <v>100</v>
      </c>
      <c r="H41" s="10" t="s">
        <v>109</v>
      </c>
      <c r="I41" s="10" t="s">
        <v>111</v>
      </c>
      <c r="J41" s="6">
        <v>875.0</v>
      </c>
      <c r="K41" s="12">
        <v>0.25</v>
      </c>
      <c r="L41" s="5">
        <f t="shared" si="1"/>
        <v>218.75</v>
      </c>
      <c r="M41" s="5">
        <f t="shared" si="2"/>
        <v>1093.75</v>
      </c>
      <c r="N41" s="13"/>
      <c r="O41" s="13"/>
      <c r="P41" s="13"/>
      <c r="Q41" s="13"/>
      <c r="R41" s="13"/>
      <c r="S41" s="13"/>
      <c r="T41" s="13"/>
      <c r="U41" s="13"/>
      <c r="V41" s="13"/>
      <c r="W41" s="13"/>
      <c r="X41" s="13"/>
      <c r="Y41" s="13"/>
      <c r="Z41" s="13"/>
      <c r="AA41" s="13"/>
      <c r="AB41" s="13"/>
      <c r="AC41" s="13"/>
      <c r="AD41" s="13"/>
    </row>
    <row r="42">
      <c r="A42" s="10"/>
      <c r="B42" s="10"/>
      <c r="H42" s="10"/>
      <c r="I42" s="10"/>
      <c r="J42" s="6"/>
      <c r="K42" s="12"/>
      <c r="L42" s="5"/>
      <c r="M42" s="5"/>
      <c r="N42" s="13"/>
      <c r="O42" s="13"/>
      <c r="P42" s="13"/>
      <c r="Q42" s="13"/>
      <c r="R42" s="13"/>
      <c r="S42" s="13"/>
      <c r="T42" s="13"/>
      <c r="U42" s="13"/>
      <c r="V42" s="13"/>
      <c r="W42" s="13"/>
      <c r="X42" s="13"/>
      <c r="Y42" s="13"/>
      <c r="Z42" s="13"/>
      <c r="AA42" s="13"/>
      <c r="AB42" s="13"/>
      <c r="AC42" s="13"/>
      <c r="AD42" s="13"/>
    </row>
    <row r="43">
      <c r="A43" s="13"/>
      <c r="B43" s="13"/>
      <c r="H43" s="13"/>
      <c r="I43" s="13"/>
      <c r="J43" s="6"/>
      <c r="K43" s="12"/>
      <c r="L43" s="5"/>
      <c r="M43" s="5"/>
      <c r="N43" s="13"/>
      <c r="O43" s="13"/>
      <c r="P43" s="13"/>
      <c r="Q43" s="13"/>
      <c r="R43" s="13"/>
      <c r="S43" s="13"/>
      <c r="T43" s="13"/>
      <c r="U43" s="13"/>
      <c r="V43" s="13"/>
      <c r="W43" s="13"/>
      <c r="X43" s="13"/>
      <c r="Y43" s="13"/>
      <c r="Z43" s="13"/>
      <c r="AA43" s="13"/>
      <c r="AB43" s="13"/>
      <c r="AC43" s="13"/>
      <c r="AD43" s="13"/>
    </row>
    <row r="44">
      <c r="A44" s="13"/>
      <c r="B44" s="13"/>
      <c r="H44" s="13"/>
      <c r="I44" s="13"/>
      <c r="J44" s="6"/>
      <c r="K44" s="12"/>
      <c r="L44" s="5"/>
      <c r="M44" s="5"/>
      <c r="N44" s="13"/>
      <c r="O44" s="13"/>
      <c r="P44" s="13"/>
      <c r="Q44" s="13"/>
      <c r="R44" s="13"/>
      <c r="S44" s="13"/>
      <c r="T44" s="13"/>
      <c r="U44" s="13"/>
      <c r="V44" s="13"/>
      <c r="W44" s="13"/>
      <c r="X44" s="13"/>
      <c r="Y44" s="13"/>
      <c r="Z44" s="13"/>
      <c r="AA44" s="13"/>
      <c r="AB44" s="13"/>
      <c r="AC44" s="13"/>
      <c r="AD44" s="13"/>
    </row>
    <row r="45">
      <c r="A45" s="13"/>
      <c r="B45" s="13"/>
      <c r="H45" s="13"/>
      <c r="I45" s="13"/>
      <c r="J45" s="6"/>
      <c r="K45" s="12"/>
      <c r="L45" s="5"/>
      <c r="M45" s="5"/>
      <c r="N45" s="13"/>
      <c r="O45" s="13"/>
      <c r="P45" s="13"/>
      <c r="Q45" s="13"/>
      <c r="R45" s="13"/>
      <c r="S45" s="13"/>
      <c r="T45" s="13"/>
      <c r="U45" s="13"/>
      <c r="V45" s="13"/>
      <c r="W45" s="13"/>
      <c r="X45" s="13"/>
      <c r="Y45" s="13"/>
      <c r="Z45" s="13"/>
      <c r="AA45" s="13"/>
      <c r="AB45" s="13"/>
      <c r="AC45" s="13"/>
      <c r="AD45" s="13"/>
    </row>
    <row r="46">
      <c r="A46" s="10" t="s">
        <v>9</v>
      </c>
      <c r="B46" s="10" t="s">
        <v>10</v>
      </c>
      <c r="C46" s="10" t="s">
        <v>17</v>
      </c>
      <c r="D46" s="10" t="s">
        <v>112</v>
      </c>
      <c r="E46" s="10" t="s">
        <v>41</v>
      </c>
      <c r="F46" s="10" t="s">
        <v>42</v>
      </c>
      <c r="G46" s="10" t="s">
        <v>113</v>
      </c>
      <c r="H46" s="11" t="s">
        <v>114</v>
      </c>
      <c r="I46" s="10" t="s">
        <v>115</v>
      </c>
      <c r="J46" s="6">
        <v>1375.0</v>
      </c>
      <c r="K46" s="12">
        <v>0.25</v>
      </c>
      <c r="L46" s="5">
        <f>J46*K46</f>
        <v>343.75</v>
      </c>
      <c r="M46" s="5">
        <f>J46+L46</f>
        <v>1718.75</v>
      </c>
      <c r="N46" s="13"/>
      <c r="O46" s="13"/>
      <c r="P46" s="13"/>
      <c r="Q46" s="13"/>
      <c r="R46" s="13"/>
      <c r="S46" s="10"/>
      <c r="T46" s="13"/>
      <c r="U46" s="13"/>
      <c r="V46" s="13"/>
      <c r="W46" s="13"/>
      <c r="X46" s="13"/>
      <c r="Y46" s="13"/>
      <c r="Z46" s="13"/>
      <c r="AA46" s="13"/>
      <c r="AB46" s="13"/>
      <c r="AC46" s="13"/>
      <c r="AD46" s="13"/>
    </row>
    <row r="47">
      <c r="A47" s="10"/>
      <c r="B47" s="10"/>
      <c r="H47" s="11"/>
      <c r="I47" s="10" t="s">
        <v>116</v>
      </c>
      <c r="N47" s="13"/>
      <c r="O47" s="13"/>
      <c r="P47" s="15" t="s">
        <v>117</v>
      </c>
      <c r="Q47" s="16">
        <v>1500.0</v>
      </c>
      <c r="R47" s="17">
        <f t="shared" ref="R47:R71" si="3">Q47-125</f>
        <v>1375</v>
      </c>
      <c r="S47" s="10"/>
      <c r="T47" s="13"/>
      <c r="U47" s="13"/>
      <c r="V47" s="13"/>
      <c r="W47" s="13"/>
      <c r="X47" s="13"/>
      <c r="Y47" s="13"/>
      <c r="Z47" s="13"/>
      <c r="AA47" s="13"/>
      <c r="AB47" s="13"/>
      <c r="AC47" s="13"/>
      <c r="AD47" s="13"/>
    </row>
    <row r="48">
      <c r="A48" s="10"/>
      <c r="B48" s="10"/>
      <c r="H48" s="11"/>
      <c r="I48" s="10" t="s">
        <v>118</v>
      </c>
      <c r="N48" s="13"/>
      <c r="O48" s="13"/>
      <c r="P48" s="15" t="s">
        <v>119</v>
      </c>
      <c r="Q48" s="16">
        <f>Q47+150</f>
        <v>1650</v>
      </c>
      <c r="R48" s="17">
        <f t="shared" si="3"/>
        <v>1525</v>
      </c>
      <c r="S48" s="10"/>
      <c r="T48" s="13"/>
      <c r="U48" s="13"/>
      <c r="V48" s="13"/>
      <c r="W48" s="13"/>
      <c r="X48" s="13"/>
      <c r="Y48" s="13"/>
      <c r="Z48" s="13"/>
      <c r="AA48" s="13"/>
      <c r="AB48" s="13"/>
      <c r="AC48" s="13"/>
      <c r="AD48" s="13"/>
    </row>
    <row r="49">
      <c r="A49" s="10"/>
      <c r="B49" s="10"/>
      <c r="H49" s="11"/>
      <c r="I49" s="10" t="s">
        <v>120</v>
      </c>
      <c r="N49" s="13"/>
      <c r="O49" s="13"/>
      <c r="P49" s="15" t="s">
        <v>121</v>
      </c>
      <c r="Q49" s="16">
        <f>Q47</f>
        <v>1500</v>
      </c>
      <c r="R49" s="17">
        <f t="shared" si="3"/>
        <v>1375</v>
      </c>
      <c r="S49" s="10"/>
      <c r="T49" s="13"/>
      <c r="U49" s="13"/>
      <c r="V49" s="13"/>
      <c r="W49" s="13"/>
      <c r="X49" s="13"/>
      <c r="Y49" s="13"/>
      <c r="Z49" s="13"/>
      <c r="AA49" s="13"/>
      <c r="AB49" s="13"/>
      <c r="AC49" s="13"/>
      <c r="AD49" s="13"/>
    </row>
    <row r="50">
      <c r="A50" s="10"/>
      <c r="B50" s="10"/>
      <c r="H50" s="11"/>
      <c r="I50" s="10" t="s">
        <v>122</v>
      </c>
      <c r="N50" s="13"/>
      <c r="O50" s="13"/>
      <c r="P50" s="15" t="s">
        <v>123</v>
      </c>
      <c r="Q50" s="18">
        <f>Q47+350</f>
        <v>1850</v>
      </c>
      <c r="R50" s="17">
        <f t="shared" si="3"/>
        <v>1725</v>
      </c>
      <c r="S50" s="10"/>
      <c r="T50" s="13"/>
      <c r="U50" s="13"/>
      <c r="V50" s="13"/>
      <c r="W50" s="13"/>
      <c r="X50" s="13"/>
      <c r="Y50" s="13"/>
      <c r="Z50" s="13"/>
      <c r="AA50" s="13"/>
      <c r="AB50" s="13"/>
      <c r="AC50" s="13"/>
      <c r="AD50" s="13"/>
    </row>
    <row r="51" ht="54.75" customHeight="1">
      <c r="A51" s="10"/>
      <c r="B51" s="10"/>
      <c r="C51" s="10" t="s">
        <v>17</v>
      </c>
      <c r="D51" s="14" t="s">
        <v>49</v>
      </c>
      <c r="E51" s="10" t="s">
        <v>50</v>
      </c>
      <c r="F51" s="10" t="s">
        <v>42</v>
      </c>
      <c r="G51" s="11" t="s">
        <v>124</v>
      </c>
      <c r="H51" s="11"/>
      <c r="I51" s="10" t="s">
        <v>125</v>
      </c>
      <c r="J51" s="6">
        <f>J46+150</f>
        <v>1525</v>
      </c>
      <c r="K51" s="12">
        <v>0.25</v>
      </c>
      <c r="L51" s="5">
        <f>J51*K51</f>
        <v>381.25</v>
      </c>
      <c r="M51" s="5">
        <f>J51+L51</f>
        <v>1906.25</v>
      </c>
      <c r="N51" s="13"/>
      <c r="O51" s="13"/>
      <c r="P51" s="19" t="s">
        <v>126</v>
      </c>
      <c r="Q51" s="18">
        <f>Q47+350</f>
        <v>1850</v>
      </c>
      <c r="R51" s="17">
        <f t="shared" si="3"/>
        <v>1725</v>
      </c>
      <c r="S51" s="13"/>
      <c r="T51" s="13"/>
      <c r="U51" s="13"/>
      <c r="V51" s="13"/>
      <c r="W51" s="13"/>
      <c r="X51" s="13"/>
      <c r="Y51" s="13"/>
      <c r="Z51" s="13"/>
      <c r="AA51" s="13"/>
      <c r="AB51" s="13"/>
      <c r="AC51" s="13"/>
      <c r="AD51" s="13"/>
    </row>
    <row r="52" ht="54.75" customHeight="1">
      <c r="A52" s="10"/>
      <c r="B52" s="10"/>
      <c r="H52" s="11"/>
      <c r="I52" s="10" t="s">
        <v>127</v>
      </c>
      <c r="N52" s="13"/>
      <c r="O52" s="13"/>
      <c r="P52" s="20" t="s">
        <v>128</v>
      </c>
      <c r="Q52" s="18">
        <f>Q47+350</f>
        <v>1850</v>
      </c>
      <c r="R52" s="17">
        <f t="shared" si="3"/>
        <v>1725</v>
      </c>
      <c r="S52" s="13"/>
      <c r="T52" s="13"/>
      <c r="U52" s="13"/>
      <c r="V52" s="13"/>
      <c r="W52" s="13"/>
      <c r="X52" s="13"/>
      <c r="Y52" s="13"/>
      <c r="Z52" s="13"/>
      <c r="AA52" s="13"/>
      <c r="AB52" s="13"/>
      <c r="AC52" s="13"/>
      <c r="AD52" s="13"/>
    </row>
    <row r="53" ht="54.75" customHeight="1">
      <c r="A53" s="10"/>
      <c r="B53" s="10"/>
      <c r="H53" s="11"/>
      <c r="I53" s="10" t="s">
        <v>129</v>
      </c>
      <c r="N53" s="13"/>
      <c r="O53" s="13"/>
      <c r="P53" s="19" t="s">
        <v>130</v>
      </c>
      <c r="Q53" s="18">
        <f>Q47+500</f>
        <v>2000</v>
      </c>
      <c r="R53" s="17">
        <f t="shared" si="3"/>
        <v>1875</v>
      </c>
      <c r="S53" s="13"/>
      <c r="T53" s="13"/>
      <c r="U53" s="13"/>
      <c r="V53" s="13"/>
      <c r="W53" s="13"/>
      <c r="X53" s="13"/>
      <c r="Y53" s="13"/>
      <c r="Z53" s="13"/>
      <c r="AA53" s="13"/>
      <c r="AB53" s="13"/>
      <c r="AC53" s="13"/>
      <c r="AD53" s="13"/>
    </row>
    <row r="54">
      <c r="A54" s="10" t="s">
        <v>9</v>
      </c>
      <c r="B54" s="10" t="s">
        <v>10</v>
      </c>
      <c r="C54" s="10" t="s">
        <v>17</v>
      </c>
      <c r="D54" s="10" t="s">
        <v>40</v>
      </c>
      <c r="E54" s="10" t="s">
        <v>41</v>
      </c>
      <c r="F54" s="10" t="s">
        <v>42</v>
      </c>
      <c r="G54" s="11" t="s">
        <v>131</v>
      </c>
      <c r="H54" s="11" t="s">
        <v>114</v>
      </c>
      <c r="I54" s="11"/>
      <c r="J54" s="6">
        <v>1780.0</v>
      </c>
      <c r="K54" s="12">
        <v>0.25</v>
      </c>
      <c r="L54" s="5">
        <f t="shared" ref="L54:L55" si="4">J54*K54</f>
        <v>445</v>
      </c>
      <c r="M54" s="5">
        <f t="shared" ref="M54:M55" si="5">J54+L54</f>
        <v>2225</v>
      </c>
      <c r="N54" s="13"/>
      <c r="O54" s="13"/>
      <c r="P54" s="15" t="s">
        <v>132</v>
      </c>
      <c r="Q54" s="18">
        <f>175+Q47</f>
        <v>1675</v>
      </c>
      <c r="R54" s="17">
        <f t="shared" si="3"/>
        <v>1550</v>
      </c>
      <c r="S54" s="13"/>
      <c r="T54" s="13"/>
      <c r="U54" s="13"/>
      <c r="V54" s="13"/>
      <c r="W54" s="13"/>
      <c r="X54" s="13"/>
      <c r="Y54" s="13"/>
      <c r="Z54" s="13"/>
      <c r="AA54" s="13"/>
      <c r="AB54" s="13"/>
      <c r="AC54" s="13"/>
      <c r="AD54" s="13"/>
    </row>
    <row r="55">
      <c r="A55" s="10" t="s">
        <v>9</v>
      </c>
      <c r="B55" s="10" t="s">
        <v>10</v>
      </c>
      <c r="C55" s="10" t="s">
        <v>17</v>
      </c>
      <c r="D55" s="10" t="s">
        <v>40</v>
      </c>
      <c r="E55" s="10" t="s">
        <v>41</v>
      </c>
      <c r="F55" s="10" t="s">
        <v>42</v>
      </c>
      <c r="G55" s="11" t="s">
        <v>133</v>
      </c>
      <c r="H55" s="11" t="s">
        <v>134</v>
      </c>
      <c r="I55" s="10" t="s">
        <v>135</v>
      </c>
      <c r="J55" s="6">
        <v>1900.0</v>
      </c>
      <c r="K55" s="12">
        <v>0.25</v>
      </c>
      <c r="L55" s="5">
        <f t="shared" si="4"/>
        <v>475</v>
      </c>
      <c r="M55" s="5">
        <f t="shared" si="5"/>
        <v>2375</v>
      </c>
      <c r="N55" s="13"/>
      <c r="O55" s="13"/>
      <c r="P55" s="19" t="s">
        <v>136</v>
      </c>
      <c r="Q55" s="18">
        <f>175+Q47</f>
        <v>1675</v>
      </c>
      <c r="R55" s="17">
        <f t="shared" si="3"/>
        <v>1550</v>
      </c>
      <c r="S55" s="13"/>
      <c r="T55" s="13"/>
      <c r="U55" s="13"/>
      <c r="V55" s="13"/>
      <c r="W55" s="13"/>
      <c r="X55" s="13"/>
      <c r="Y55" s="13"/>
      <c r="Z55" s="13"/>
      <c r="AA55" s="13"/>
      <c r="AB55" s="13"/>
      <c r="AC55" s="13"/>
      <c r="AD55" s="13"/>
    </row>
    <row r="56">
      <c r="A56" s="10"/>
      <c r="B56" s="10"/>
      <c r="H56" s="11"/>
      <c r="I56" s="10" t="s">
        <v>137</v>
      </c>
      <c r="J56" s="6"/>
      <c r="K56" s="12"/>
      <c r="L56" s="5"/>
      <c r="M56" s="5"/>
      <c r="N56" s="13"/>
      <c r="O56" s="13"/>
      <c r="P56" s="15" t="s">
        <v>138</v>
      </c>
      <c r="Q56" s="18">
        <f>Q47+380</f>
        <v>1880</v>
      </c>
      <c r="R56" s="17">
        <f t="shared" si="3"/>
        <v>1755</v>
      </c>
      <c r="S56" s="13"/>
      <c r="T56" s="13"/>
      <c r="U56" s="13"/>
      <c r="V56" s="13"/>
      <c r="W56" s="13"/>
      <c r="X56" s="13"/>
      <c r="Y56" s="13"/>
      <c r="Z56" s="13"/>
      <c r="AA56" s="13"/>
      <c r="AB56" s="13"/>
      <c r="AC56" s="13"/>
      <c r="AD56" s="13"/>
    </row>
    <row r="57">
      <c r="A57" s="10" t="s">
        <v>9</v>
      </c>
      <c r="B57" s="10" t="s">
        <v>10</v>
      </c>
      <c r="C57" s="10" t="s">
        <v>17</v>
      </c>
      <c r="D57" s="10" t="s">
        <v>40</v>
      </c>
      <c r="E57" s="10" t="s">
        <v>41</v>
      </c>
      <c r="F57" s="10" t="s">
        <v>42</v>
      </c>
      <c r="G57" s="11" t="s">
        <v>139</v>
      </c>
      <c r="H57" s="21" t="s">
        <v>140</v>
      </c>
      <c r="I57" s="10" t="s">
        <v>141</v>
      </c>
      <c r="J57" s="4">
        <v>2125.0</v>
      </c>
      <c r="K57" s="12">
        <v>0.25</v>
      </c>
      <c r="L57" s="5">
        <f>J57*K57</f>
        <v>531.25</v>
      </c>
      <c r="M57" s="5">
        <f>J57+L57</f>
        <v>2656.25</v>
      </c>
      <c r="N57" s="13"/>
      <c r="O57" s="13"/>
      <c r="P57" s="15" t="s">
        <v>142</v>
      </c>
      <c r="Q57" s="18">
        <f>Q47+500</f>
        <v>2000</v>
      </c>
      <c r="R57" s="17">
        <f t="shared" si="3"/>
        <v>1875</v>
      </c>
      <c r="S57" s="13"/>
      <c r="T57" s="13"/>
      <c r="U57" s="13"/>
      <c r="V57" s="13"/>
      <c r="W57" s="13"/>
      <c r="X57" s="13"/>
      <c r="Y57" s="13"/>
      <c r="Z57" s="13"/>
      <c r="AA57" s="13"/>
      <c r="AB57" s="13"/>
      <c r="AC57" s="13"/>
      <c r="AD57" s="13"/>
    </row>
    <row r="58">
      <c r="A58" s="10"/>
      <c r="B58" s="10"/>
      <c r="H58" s="21"/>
      <c r="I58" s="10" t="s">
        <v>143</v>
      </c>
      <c r="J58" s="6"/>
      <c r="K58" s="12"/>
      <c r="L58" s="5"/>
      <c r="M58" s="5"/>
      <c r="N58" s="13"/>
      <c r="O58" s="13"/>
      <c r="P58" s="15" t="s">
        <v>144</v>
      </c>
      <c r="Q58" s="16">
        <f>Q47-250</f>
        <v>1250</v>
      </c>
      <c r="R58" s="17">
        <f t="shared" si="3"/>
        <v>1125</v>
      </c>
      <c r="S58" s="13"/>
      <c r="T58" s="13"/>
      <c r="U58" s="13"/>
      <c r="V58" s="13"/>
      <c r="W58" s="13"/>
      <c r="X58" s="13"/>
      <c r="Y58" s="13"/>
      <c r="Z58" s="13"/>
      <c r="AA58" s="13"/>
      <c r="AB58" s="13"/>
      <c r="AC58" s="13"/>
      <c r="AD58" s="13"/>
    </row>
    <row r="59">
      <c r="A59" s="10" t="s">
        <v>9</v>
      </c>
      <c r="B59" s="10" t="s">
        <v>10</v>
      </c>
      <c r="C59" s="10" t="s">
        <v>17</v>
      </c>
      <c r="D59" s="10" t="s">
        <v>40</v>
      </c>
      <c r="E59" s="10" t="s">
        <v>41</v>
      </c>
      <c r="F59" s="10" t="s">
        <v>42</v>
      </c>
      <c r="G59" s="11" t="s">
        <v>145</v>
      </c>
      <c r="H59" s="11" t="s">
        <v>140</v>
      </c>
      <c r="I59" s="10"/>
      <c r="J59" s="4">
        <v>2225.0</v>
      </c>
      <c r="K59" s="12">
        <v>0.25</v>
      </c>
      <c r="L59" s="5">
        <f>J59*K59</f>
        <v>556.25</v>
      </c>
      <c r="M59" s="5">
        <f>J59+L59</f>
        <v>2781.25</v>
      </c>
      <c r="N59" s="13"/>
      <c r="O59" s="13"/>
      <c r="P59" s="15" t="s">
        <v>146</v>
      </c>
      <c r="Q59" s="16">
        <f>Q47</f>
        <v>1500</v>
      </c>
      <c r="R59" s="17">
        <f t="shared" si="3"/>
        <v>1375</v>
      </c>
      <c r="S59" s="13"/>
      <c r="T59" s="13"/>
      <c r="U59" s="13"/>
      <c r="V59" s="13"/>
      <c r="W59" s="13"/>
      <c r="X59" s="13"/>
      <c r="Y59" s="13"/>
      <c r="Z59" s="13"/>
      <c r="AA59" s="13"/>
      <c r="AB59" s="13"/>
      <c r="AC59" s="13"/>
      <c r="AD59" s="13"/>
    </row>
    <row r="60">
      <c r="A60" s="10"/>
      <c r="B60" s="10"/>
      <c r="H60" s="11"/>
      <c r="I60" s="10"/>
      <c r="J60" s="6"/>
      <c r="K60" s="12"/>
      <c r="L60" s="5"/>
      <c r="M60" s="5"/>
      <c r="N60" s="13"/>
      <c r="O60" s="13"/>
      <c r="P60" s="19" t="s">
        <v>147</v>
      </c>
      <c r="Q60" s="16">
        <f>Q47+150</f>
        <v>1650</v>
      </c>
      <c r="R60" s="17">
        <f t="shared" si="3"/>
        <v>1525</v>
      </c>
      <c r="S60" s="13"/>
      <c r="T60" s="13"/>
      <c r="U60" s="13"/>
      <c r="V60" s="13"/>
      <c r="W60" s="13"/>
      <c r="X60" s="13"/>
      <c r="Y60" s="13"/>
      <c r="Z60" s="13"/>
      <c r="AA60" s="13"/>
      <c r="AB60" s="13"/>
      <c r="AC60" s="13"/>
      <c r="AD60" s="13"/>
    </row>
    <row r="61">
      <c r="A61" s="10"/>
      <c r="B61" s="10"/>
      <c r="H61" s="11"/>
      <c r="I61" s="11"/>
      <c r="J61" s="6"/>
      <c r="K61" s="12"/>
      <c r="L61" s="5"/>
      <c r="M61" s="5"/>
      <c r="N61" s="13"/>
      <c r="O61" s="13"/>
      <c r="P61" s="19" t="s">
        <v>148</v>
      </c>
      <c r="Q61" s="16">
        <f>Q47+150</f>
        <v>1650</v>
      </c>
      <c r="R61" s="17">
        <f t="shared" si="3"/>
        <v>1525</v>
      </c>
      <c r="S61" s="13"/>
      <c r="T61" s="13"/>
      <c r="U61" s="13"/>
      <c r="V61" s="13"/>
      <c r="W61" s="13"/>
      <c r="X61" s="13"/>
      <c r="Y61" s="13"/>
      <c r="Z61" s="13"/>
      <c r="AA61" s="13"/>
      <c r="AB61" s="13"/>
      <c r="AC61" s="13"/>
      <c r="AD61" s="13"/>
    </row>
    <row r="62">
      <c r="A62" s="10"/>
      <c r="B62" s="10"/>
      <c r="H62" s="11"/>
      <c r="I62" s="11"/>
      <c r="J62" s="6"/>
      <c r="K62" s="12"/>
      <c r="L62" s="5"/>
      <c r="M62" s="5"/>
      <c r="N62" s="13"/>
      <c r="O62" s="13"/>
      <c r="P62" s="15" t="s">
        <v>149</v>
      </c>
      <c r="Q62" s="16">
        <v>740.0</v>
      </c>
      <c r="R62" s="17">
        <f t="shared" si="3"/>
        <v>615</v>
      </c>
      <c r="S62" s="13"/>
      <c r="T62" s="13"/>
      <c r="U62" s="13"/>
      <c r="V62" s="13"/>
      <c r="W62" s="13"/>
      <c r="X62" s="13"/>
      <c r="Y62" s="13"/>
      <c r="Z62" s="13"/>
      <c r="AA62" s="13"/>
      <c r="AB62" s="13"/>
      <c r="AC62" s="13"/>
      <c r="AD62" s="13"/>
    </row>
    <row r="63">
      <c r="A63" s="10" t="s">
        <v>9</v>
      </c>
      <c r="B63" s="10" t="s">
        <v>10</v>
      </c>
      <c r="C63" s="10" t="s">
        <v>17</v>
      </c>
      <c r="D63" s="10" t="s">
        <v>40</v>
      </c>
      <c r="E63" s="10" t="s">
        <v>41</v>
      </c>
      <c r="F63" s="10" t="s">
        <v>42</v>
      </c>
      <c r="G63" s="11" t="s">
        <v>150</v>
      </c>
      <c r="H63" s="11" t="s">
        <v>140</v>
      </c>
      <c r="I63" s="11"/>
      <c r="J63" s="4">
        <v>2225.0</v>
      </c>
      <c r="K63" s="12">
        <v>0.25</v>
      </c>
      <c r="L63" s="5">
        <f t="shared" ref="L63:L81" si="6">J63*K63</f>
        <v>556.25</v>
      </c>
      <c r="M63" s="5">
        <f t="shared" ref="M63:M81" si="7">J63+L63</f>
        <v>2781.25</v>
      </c>
      <c r="N63" s="13"/>
      <c r="O63" s="13"/>
      <c r="P63" s="15" t="s">
        <v>151</v>
      </c>
      <c r="Q63" s="16">
        <v>740.0</v>
      </c>
      <c r="R63" s="17">
        <f t="shared" si="3"/>
        <v>615</v>
      </c>
      <c r="S63" s="13"/>
      <c r="T63" s="13"/>
      <c r="U63" s="13"/>
      <c r="V63" s="13"/>
      <c r="W63" s="13"/>
      <c r="X63" s="13"/>
      <c r="Y63" s="13"/>
      <c r="Z63" s="13"/>
      <c r="AA63" s="13"/>
      <c r="AB63" s="13"/>
      <c r="AC63" s="13"/>
      <c r="AD63" s="13"/>
    </row>
    <row r="64">
      <c r="A64" s="10" t="s">
        <v>9</v>
      </c>
      <c r="B64" s="10" t="s">
        <v>10</v>
      </c>
      <c r="C64" s="10" t="s">
        <v>17</v>
      </c>
      <c r="D64" s="10" t="s">
        <v>40</v>
      </c>
      <c r="E64" s="10" t="s">
        <v>41</v>
      </c>
      <c r="F64" s="10" t="s">
        <v>42</v>
      </c>
      <c r="G64" s="11" t="s">
        <v>152</v>
      </c>
      <c r="H64" s="11" t="s">
        <v>140</v>
      </c>
      <c r="I64" s="11"/>
      <c r="J64" s="4">
        <v>2325.0</v>
      </c>
      <c r="K64" s="12">
        <v>0.25</v>
      </c>
      <c r="L64" s="5">
        <f t="shared" si="6"/>
        <v>581.25</v>
      </c>
      <c r="M64" s="5">
        <f t="shared" si="7"/>
        <v>2906.25</v>
      </c>
      <c r="N64" s="13"/>
      <c r="O64" s="13"/>
      <c r="P64" s="15" t="s">
        <v>153</v>
      </c>
      <c r="Q64" s="16">
        <v>900.0</v>
      </c>
      <c r="R64" s="17">
        <f t="shared" si="3"/>
        <v>775</v>
      </c>
      <c r="S64" s="13"/>
      <c r="T64" s="13"/>
      <c r="U64" s="13"/>
      <c r="V64" s="13"/>
      <c r="W64" s="13"/>
      <c r="X64" s="13"/>
      <c r="Y64" s="13"/>
      <c r="Z64" s="13"/>
      <c r="AA64" s="13"/>
      <c r="AB64" s="13"/>
      <c r="AC64" s="13"/>
      <c r="AD64" s="13"/>
    </row>
    <row r="65">
      <c r="A65" s="10" t="s">
        <v>9</v>
      </c>
      <c r="B65" s="10" t="s">
        <v>10</v>
      </c>
      <c r="C65" s="10" t="s">
        <v>17</v>
      </c>
      <c r="D65" s="10" t="s">
        <v>40</v>
      </c>
      <c r="E65" s="10" t="s">
        <v>41</v>
      </c>
      <c r="F65" s="10" t="s">
        <v>42</v>
      </c>
      <c r="G65" s="11" t="s">
        <v>154</v>
      </c>
      <c r="H65" s="11" t="s">
        <v>140</v>
      </c>
      <c r="I65" s="11"/>
      <c r="J65" s="6">
        <v>2030.0</v>
      </c>
      <c r="K65" s="12">
        <v>0.25</v>
      </c>
      <c r="L65" s="5">
        <f t="shared" si="6"/>
        <v>507.5</v>
      </c>
      <c r="M65" s="5">
        <f t="shared" si="7"/>
        <v>2537.5</v>
      </c>
      <c r="N65" s="13"/>
      <c r="O65" s="13"/>
      <c r="P65" s="15" t="s">
        <v>155</v>
      </c>
      <c r="Q65" s="16">
        <v>700.0</v>
      </c>
      <c r="R65" s="17">
        <f t="shared" si="3"/>
        <v>575</v>
      </c>
      <c r="S65" s="13"/>
      <c r="T65" s="13"/>
      <c r="U65" s="13"/>
      <c r="V65" s="13"/>
      <c r="W65" s="13"/>
      <c r="X65" s="13"/>
      <c r="Y65" s="13"/>
      <c r="Z65" s="13"/>
      <c r="AA65" s="13"/>
      <c r="AB65" s="13"/>
      <c r="AC65" s="13"/>
      <c r="AD65" s="13"/>
    </row>
    <row r="66">
      <c r="A66" s="10" t="s">
        <v>9</v>
      </c>
      <c r="B66" s="10" t="s">
        <v>10</v>
      </c>
      <c r="C66" s="10" t="s">
        <v>17</v>
      </c>
      <c r="D66" s="10" t="s">
        <v>40</v>
      </c>
      <c r="E66" s="10" t="s">
        <v>41</v>
      </c>
      <c r="F66" s="10" t="s">
        <v>42</v>
      </c>
      <c r="G66" s="11" t="s">
        <v>156</v>
      </c>
      <c r="H66" s="11" t="s">
        <v>140</v>
      </c>
      <c r="I66" s="11"/>
      <c r="J66" s="6">
        <v>2130.0</v>
      </c>
      <c r="K66" s="12">
        <v>0.25</v>
      </c>
      <c r="L66" s="5">
        <f t="shared" si="6"/>
        <v>532.5</v>
      </c>
      <c r="M66" s="5">
        <f t="shared" si="7"/>
        <v>2662.5</v>
      </c>
      <c r="N66" s="13"/>
      <c r="O66" s="13"/>
      <c r="P66" s="15" t="s">
        <v>157</v>
      </c>
      <c r="Q66" s="16">
        <v>850.0</v>
      </c>
      <c r="R66" s="17">
        <f t="shared" si="3"/>
        <v>725</v>
      </c>
      <c r="S66" s="13"/>
      <c r="T66" s="13"/>
      <c r="U66" s="13"/>
      <c r="V66" s="13"/>
      <c r="W66" s="13"/>
      <c r="X66" s="13"/>
      <c r="Y66" s="13"/>
      <c r="Z66" s="13"/>
      <c r="AA66" s="13"/>
      <c r="AB66" s="13"/>
      <c r="AC66" s="13"/>
      <c r="AD66" s="13"/>
    </row>
    <row r="67">
      <c r="A67" s="10" t="s">
        <v>9</v>
      </c>
      <c r="B67" s="10" t="s">
        <v>10</v>
      </c>
      <c r="C67" s="10" t="s">
        <v>17</v>
      </c>
      <c r="D67" s="10" t="s">
        <v>40</v>
      </c>
      <c r="E67" s="10" t="s">
        <v>41</v>
      </c>
      <c r="F67" s="10" t="s">
        <v>42</v>
      </c>
      <c r="G67" s="11" t="s">
        <v>158</v>
      </c>
      <c r="H67" s="11" t="s">
        <v>140</v>
      </c>
      <c r="I67" s="11"/>
      <c r="J67" s="6">
        <v>2375.0</v>
      </c>
      <c r="K67" s="12">
        <v>0.25</v>
      </c>
      <c r="L67" s="5">
        <f t="shared" si="6"/>
        <v>593.75</v>
      </c>
      <c r="M67" s="5">
        <f t="shared" si="7"/>
        <v>2968.75</v>
      </c>
      <c r="N67" s="13"/>
      <c r="O67" s="13"/>
      <c r="P67" s="15" t="s">
        <v>159</v>
      </c>
      <c r="Q67" s="18">
        <v>600.0</v>
      </c>
      <c r="R67" s="17">
        <f t="shared" si="3"/>
        <v>475</v>
      </c>
      <c r="S67" s="13"/>
      <c r="T67" s="13"/>
      <c r="U67" s="13"/>
      <c r="V67" s="13"/>
      <c r="W67" s="13"/>
      <c r="X67" s="13"/>
      <c r="Y67" s="13"/>
      <c r="Z67" s="13"/>
      <c r="AA67" s="13"/>
      <c r="AB67" s="13"/>
      <c r="AC67" s="13"/>
      <c r="AD67" s="13"/>
    </row>
    <row r="68">
      <c r="A68" s="10" t="s">
        <v>9</v>
      </c>
      <c r="B68" s="10" t="s">
        <v>10</v>
      </c>
      <c r="C68" s="10" t="s">
        <v>17</v>
      </c>
      <c r="D68" s="10" t="s">
        <v>40</v>
      </c>
      <c r="E68" s="10" t="s">
        <v>41</v>
      </c>
      <c r="F68" s="10" t="s">
        <v>42</v>
      </c>
      <c r="G68" s="11" t="s">
        <v>160</v>
      </c>
      <c r="H68" s="11" t="s">
        <v>140</v>
      </c>
      <c r="I68" s="11"/>
      <c r="J68" s="6">
        <v>2475.0</v>
      </c>
      <c r="K68" s="12">
        <v>0.25</v>
      </c>
      <c r="L68" s="5">
        <f t="shared" si="6"/>
        <v>618.75</v>
      </c>
      <c r="M68" s="5">
        <f t="shared" si="7"/>
        <v>3093.75</v>
      </c>
      <c r="N68" s="13"/>
      <c r="O68" s="13"/>
      <c r="P68" s="19" t="s">
        <v>161</v>
      </c>
      <c r="Q68" s="18">
        <v>1050.0</v>
      </c>
      <c r="R68" s="17">
        <f t="shared" si="3"/>
        <v>925</v>
      </c>
      <c r="S68" s="13"/>
      <c r="T68" s="13"/>
      <c r="U68" s="13"/>
      <c r="V68" s="13"/>
      <c r="W68" s="13"/>
      <c r="X68" s="13"/>
      <c r="Y68" s="13"/>
      <c r="Z68" s="13"/>
      <c r="AA68" s="13"/>
      <c r="AB68" s="13"/>
      <c r="AC68" s="13"/>
      <c r="AD68" s="13"/>
    </row>
    <row r="69">
      <c r="A69" s="10" t="s">
        <v>9</v>
      </c>
      <c r="B69" s="10" t="s">
        <v>10</v>
      </c>
      <c r="C69" s="10" t="s">
        <v>17</v>
      </c>
      <c r="D69" s="10" t="s">
        <v>40</v>
      </c>
      <c r="E69" s="10" t="s">
        <v>41</v>
      </c>
      <c r="F69" s="10" t="s">
        <v>42</v>
      </c>
      <c r="G69" s="11" t="s">
        <v>162</v>
      </c>
      <c r="H69" s="11" t="s">
        <v>140</v>
      </c>
      <c r="I69" s="11"/>
      <c r="J69" s="6">
        <v>2475.0</v>
      </c>
      <c r="K69" s="12">
        <v>0.25</v>
      </c>
      <c r="L69" s="5">
        <f t="shared" si="6"/>
        <v>618.75</v>
      </c>
      <c r="M69" s="5">
        <f t="shared" si="7"/>
        <v>3093.75</v>
      </c>
      <c r="N69" s="13"/>
      <c r="O69" s="13"/>
      <c r="P69" s="15" t="s">
        <v>163</v>
      </c>
      <c r="Q69" s="18">
        <v>800.0</v>
      </c>
      <c r="R69" s="17">
        <f t="shared" si="3"/>
        <v>675</v>
      </c>
      <c r="S69" s="13"/>
      <c r="T69" s="13"/>
      <c r="U69" s="13"/>
      <c r="V69" s="13"/>
      <c r="W69" s="13"/>
      <c r="X69" s="13"/>
      <c r="Y69" s="13"/>
      <c r="Z69" s="13"/>
      <c r="AA69" s="13"/>
      <c r="AB69" s="13"/>
      <c r="AC69" s="13"/>
      <c r="AD69" s="13"/>
    </row>
    <row r="70">
      <c r="A70" s="10" t="s">
        <v>9</v>
      </c>
      <c r="B70" s="10" t="s">
        <v>10</v>
      </c>
      <c r="C70" s="10" t="s">
        <v>17</v>
      </c>
      <c r="D70" s="10" t="s">
        <v>40</v>
      </c>
      <c r="E70" s="10" t="s">
        <v>41</v>
      </c>
      <c r="F70" s="10" t="s">
        <v>42</v>
      </c>
      <c r="G70" s="11" t="s">
        <v>164</v>
      </c>
      <c r="H70" s="11" t="s">
        <v>140</v>
      </c>
      <c r="I70" s="11"/>
      <c r="J70" s="6">
        <v>2575.0</v>
      </c>
      <c r="K70" s="12">
        <v>0.25</v>
      </c>
      <c r="L70" s="5">
        <f t="shared" si="6"/>
        <v>643.75</v>
      </c>
      <c r="M70" s="5">
        <f t="shared" si="7"/>
        <v>3218.75</v>
      </c>
      <c r="N70" s="13"/>
      <c r="O70" s="13"/>
      <c r="P70" s="15" t="s">
        <v>165</v>
      </c>
      <c r="Q70" s="18">
        <v>900.0</v>
      </c>
      <c r="R70" s="17">
        <f t="shared" si="3"/>
        <v>775</v>
      </c>
      <c r="S70" s="13"/>
      <c r="T70" s="13"/>
      <c r="U70" s="13"/>
      <c r="V70" s="13"/>
      <c r="W70" s="13"/>
      <c r="X70" s="13"/>
      <c r="Y70" s="13"/>
      <c r="Z70" s="13"/>
      <c r="AA70" s="13"/>
      <c r="AB70" s="13"/>
      <c r="AC70" s="13"/>
      <c r="AD70" s="13"/>
    </row>
    <row r="71">
      <c r="A71" s="10" t="s">
        <v>9</v>
      </c>
      <c r="B71" s="10" t="s">
        <v>10</v>
      </c>
      <c r="C71" s="10" t="s">
        <v>17</v>
      </c>
      <c r="D71" s="10" t="s">
        <v>81</v>
      </c>
      <c r="E71" s="10" t="s">
        <v>41</v>
      </c>
      <c r="F71" s="10" t="s">
        <v>42</v>
      </c>
      <c r="G71" s="11" t="s">
        <v>124</v>
      </c>
      <c r="H71" s="11" t="s">
        <v>166</v>
      </c>
      <c r="I71" s="11"/>
      <c r="J71" s="6">
        <v>1750.0</v>
      </c>
      <c r="K71" s="12">
        <v>0.25</v>
      </c>
      <c r="L71" s="5">
        <f t="shared" si="6"/>
        <v>437.5</v>
      </c>
      <c r="M71" s="5">
        <f t="shared" si="7"/>
        <v>2187.5</v>
      </c>
      <c r="N71" s="13"/>
      <c r="O71" s="13"/>
      <c r="P71" s="15" t="s">
        <v>167</v>
      </c>
      <c r="Q71" s="18">
        <v>1600.0</v>
      </c>
      <c r="R71" s="17">
        <f t="shared" si="3"/>
        <v>1475</v>
      </c>
      <c r="S71" s="13"/>
      <c r="T71" s="13"/>
      <c r="U71" s="13"/>
      <c r="V71" s="13"/>
      <c r="W71" s="13"/>
      <c r="X71" s="13"/>
      <c r="Y71" s="13"/>
      <c r="Z71" s="13"/>
      <c r="AA71" s="13"/>
      <c r="AB71" s="13"/>
      <c r="AC71" s="13"/>
      <c r="AD71" s="13"/>
    </row>
    <row r="72">
      <c r="A72" s="10" t="s">
        <v>9</v>
      </c>
      <c r="B72" s="10" t="s">
        <v>10</v>
      </c>
      <c r="C72" s="10" t="s">
        <v>17</v>
      </c>
      <c r="D72" s="10" t="s">
        <v>82</v>
      </c>
      <c r="E72" s="10" t="s">
        <v>41</v>
      </c>
      <c r="F72" s="10" t="s">
        <v>83</v>
      </c>
      <c r="G72" s="11" t="s">
        <v>168</v>
      </c>
      <c r="H72" s="11" t="s">
        <v>169</v>
      </c>
      <c r="I72" s="11"/>
      <c r="J72" s="6">
        <v>1750.0</v>
      </c>
      <c r="K72" s="12">
        <v>0.25</v>
      </c>
      <c r="L72" s="5">
        <f t="shared" si="6"/>
        <v>437.5</v>
      </c>
      <c r="M72" s="5">
        <f t="shared" si="7"/>
        <v>2187.5</v>
      </c>
      <c r="N72" s="13"/>
      <c r="O72" s="13"/>
      <c r="P72" s="13"/>
      <c r="Q72" s="13"/>
      <c r="R72" s="13"/>
      <c r="S72" s="13"/>
      <c r="T72" s="13"/>
      <c r="U72" s="13"/>
      <c r="V72" s="13"/>
      <c r="W72" s="13"/>
      <c r="X72" s="13"/>
      <c r="Y72" s="13"/>
      <c r="Z72" s="13"/>
      <c r="AA72" s="13"/>
      <c r="AB72" s="13"/>
      <c r="AC72" s="13"/>
      <c r="AD72" s="13"/>
    </row>
    <row r="73">
      <c r="A73" s="10" t="s">
        <v>9</v>
      </c>
      <c r="B73" s="10" t="s">
        <v>10</v>
      </c>
      <c r="C73" s="10" t="s">
        <v>17</v>
      </c>
      <c r="D73" s="10" t="s">
        <v>170</v>
      </c>
      <c r="E73" s="10" t="s">
        <v>87</v>
      </c>
      <c r="F73" s="10" t="s">
        <v>83</v>
      </c>
      <c r="G73" s="11" t="s">
        <v>171</v>
      </c>
      <c r="H73" s="11" t="s">
        <v>172</v>
      </c>
      <c r="I73" s="11"/>
      <c r="J73" s="4">
        <v>1125.0</v>
      </c>
      <c r="K73" s="12">
        <v>0.25</v>
      </c>
      <c r="L73" s="5">
        <f t="shared" si="6"/>
        <v>281.25</v>
      </c>
      <c r="M73" s="5">
        <f t="shared" si="7"/>
        <v>1406.25</v>
      </c>
      <c r="N73" s="13"/>
      <c r="O73" s="13"/>
      <c r="P73" s="13"/>
      <c r="Q73" s="13"/>
      <c r="R73" s="13"/>
      <c r="S73" s="13"/>
      <c r="T73" s="13"/>
      <c r="U73" s="13"/>
      <c r="V73" s="13"/>
      <c r="W73" s="13"/>
      <c r="X73" s="13"/>
      <c r="Y73" s="13"/>
      <c r="Z73" s="13"/>
      <c r="AA73" s="13"/>
      <c r="AB73" s="13"/>
      <c r="AC73" s="13"/>
      <c r="AD73" s="13"/>
    </row>
    <row r="74">
      <c r="A74" s="10" t="s">
        <v>9</v>
      </c>
      <c r="B74" s="10" t="s">
        <v>10</v>
      </c>
      <c r="C74" s="10" t="s">
        <v>17</v>
      </c>
      <c r="D74" s="10" t="s">
        <v>91</v>
      </c>
      <c r="E74" s="10" t="s">
        <v>87</v>
      </c>
      <c r="F74" s="10" t="s">
        <v>83</v>
      </c>
      <c r="G74" s="10" t="s">
        <v>171</v>
      </c>
      <c r="H74" s="11" t="s">
        <v>173</v>
      </c>
      <c r="I74" s="11"/>
      <c r="J74" s="6">
        <v>1375.0</v>
      </c>
      <c r="K74" s="12">
        <v>0.25</v>
      </c>
      <c r="L74" s="5">
        <f t="shared" si="6"/>
        <v>343.75</v>
      </c>
      <c r="M74" s="5">
        <f t="shared" si="7"/>
        <v>1718.75</v>
      </c>
      <c r="N74" s="13"/>
      <c r="O74" s="13"/>
      <c r="P74" s="13"/>
      <c r="Q74" s="13"/>
      <c r="R74" s="13"/>
      <c r="S74" s="13"/>
      <c r="T74" s="13"/>
      <c r="U74" s="13"/>
      <c r="V74" s="13"/>
      <c r="W74" s="13"/>
      <c r="X74" s="13"/>
      <c r="Y74" s="13"/>
      <c r="Z74" s="13"/>
      <c r="AA74" s="13"/>
      <c r="AB74" s="13"/>
      <c r="AC74" s="13"/>
      <c r="AD74" s="13"/>
    </row>
    <row r="75">
      <c r="A75" s="10" t="s">
        <v>9</v>
      </c>
      <c r="B75" s="10" t="s">
        <v>10</v>
      </c>
      <c r="C75" s="10" t="s">
        <v>17</v>
      </c>
      <c r="D75" s="10" t="s">
        <v>93</v>
      </c>
      <c r="E75" s="10" t="s">
        <v>94</v>
      </c>
      <c r="F75" s="10" t="s">
        <v>42</v>
      </c>
      <c r="G75" s="11" t="s">
        <v>174</v>
      </c>
      <c r="H75" s="10" t="s">
        <v>175</v>
      </c>
      <c r="I75" s="10" t="s">
        <v>176</v>
      </c>
      <c r="J75" s="6">
        <v>772.0</v>
      </c>
      <c r="K75" s="12">
        <v>0.25</v>
      </c>
      <c r="L75" s="5">
        <f t="shared" si="6"/>
        <v>193</v>
      </c>
      <c r="M75" s="5">
        <f t="shared" si="7"/>
        <v>965</v>
      </c>
      <c r="N75" s="13"/>
      <c r="O75" s="13"/>
      <c r="P75" s="13"/>
      <c r="Q75" s="13"/>
      <c r="R75" s="13"/>
      <c r="S75" s="13"/>
      <c r="T75" s="13"/>
      <c r="U75" s="13"/>
      <c r="V75" s="13"/>
      <c r="W75" s="13"/>
      <c r="X75" s="13"/>
      <c r="Y75" s="13"/>
      <c r="Z75" s="13"/>
      <c r="AA75" s="13"/>
      <c r="AB75" s="13"/>
      <c r="AC75" s="13"/>
      <c r="AD75" s="13"/>
    </row>
    <row r="76">
      <c r="A76" s="10" t="s">
        <v>9</v>
      </c>
      <c r="B76" s="10" t="s">
        <v>10</v>
      </c>
      <c r="C76" s="10" t="s">
        <v>17</v>
      </c>
      <c r="D76" s="10" t="s">
        <v>97</v>
      </c>
      <c r="E76" s="10" t="s">
        <v>98</v>
      </c>
      <c r="F76" s="10" t="s">
        <v>99</v>
      </c>
      <c r="G76" s="11" t="s">
        <v>171</v>
      </c>
      <c r="H76" s="10" t="s">
        <v>177</v>
      </c>
      <c r="I76" s="10" t="s">
        <v>178</v>
      </c>
      <c r="J76" s="6">
        <v>658.0</v>
      </c>
      <c r="K76" s="12">
        <v>0.25</v>
      </c>
      <c r="L76" s="5">
        <f t="shared" si="6"/>
        <v>164.5</v>
      </c>
      <c r="M76" s="5">
        <f t="shared" si="7"/>
        <v>822.5</v>
      </c>
      <c r="N76" s="13"/>
      <c r="O76" s="13"/>
      <c r="P76" s="13"/>
      <c r="Q76" s="13"/>
      <c r="R76" s="13"/>
      <c r="S76" s="13"/>
      <c r="T76" s="13"/>
      <c r="U76" s="13"/>
      <c r="V76" s="13"/>
      <c r="W76" s="13"/>
      <c r="X76" s="13"/>
      <c r="Y76" s="13"/>
      <c r="Z76" s="13"/>
      <c r="AA76" s="13"/>
      <c r="AB76" s="13"/>
      <c r="AC76" s="13"/>
      <c r="AD76" s="13"/>
    </row>
    <row r="77">
      <c r="A77" s="10" t="s">
        <v>9</v>
      </c>
      <c r="B77" s="10" t="s">
        <v>10</v>
      </c>
      <c r="C77" s="10" t="s">
        <v>17</v>
      </c>
      <c r="D77" s="10" t="s">
        <v>97</v>
      </c>
      <c r="E77" s="10" t="s">
        <v>102</v>
      </c>
      <c r="F77" s="10" t="s">
        <v>99</v>
      </c>
      <c r="G77" s="11" t="s">
        <v>171</v>
      </c>
      <c r="H77" s="10" t="s">
        <v>177</v>
      </c>
      <c r="I77" s="10"/>
      <c r="J77" s="6">
        <v>658.0</v>
      </c>
      <c r="K77" s="12">
        <v>0.25</v>
      </c>
      <c r="L77" s="5">
        <f t="shared" si="6"/>
        <v>164.5</v>
      </c>
      <c r="M77" s="5">
        <f t="shared" si="7"/>
        <v>822.5</v>
      </c>
      <c r="N77" s="13"/>
      <c r="O77" s="13"/>
      <c r="P77" s="13"/>
      <c r="Q77" s="13"/>
      <c r="R77" s="13"/>
      <c r="S77" s="13"/>
      <c r="T77" s="13"/>
      <c r="U77" s="13"/>
      <c r="V77" s="13"/>
      <c r="W77" s="13"/>
      <c r="X77" s="13"/>
      <c r="Y77" s="13"/>
      <c r="Z77" s="13"/>
      <c r="AA77" s="13"/>
      <c r="AB77" s="13"/>
      <c r="AC77" s="13"/>
      <c r="AD77" s="13"/>
    </row>
    <row r="78">
      <c r="A78" s="10" t="s">
        <v>9</v>
      </c>
      <c r="B78" s="10" t="s">
        <v>10</v>
      </c>
      <c r="C78" s="10" t="s">
        <v>17</v>
      </c>
      <c r="D78" s="10" t="s">
        <v>97</v>
      </c>
      <c r="E78" s="10" t="s">
        <v>103</v>
      </c>
      <c r="F78" s="10" t="s">
        <v>99</v>
      </c>
      <c r="G78" s="11" t="s">
        <v>171</v>
      </c>
      <c r="H78" s="10" t="s">
        <v>177</v>
      </c>
      <c r="I78" s="10"/>
      <c r="J78" s="6">
        <v>858.0</v>
      </c>
      <c r="K78" s="12">
        <v>0.25</v>
      </c>
      <c r="L78" s="5">
        <f t="shared" si="6"/>
        <v>214.5</v>
      </c>
      <c r="M78" s="5">
        <f t="shared" si="7"/>
        <v>1072.5</v>
      </c>
      <c r="N78" s="13"/>
      <c r="O78" s="13"/>
      <c r="P78" s="13"/>
      <c r="Q78" s="13"/>
      <c r="R78" s="13"/>
      <c r="S78" s="13"/>
      <c r="T78" s="13"/>
      <c r="U78" s="13"/>
      <c r="V78" s="13"/>
      <c r="W78" s="13"/>
      <c r="X78" s="13"/>
      <c r="Y78" s="13"/>
      <c r="Z78" s="13"/>
      <c r="AA78" s="13"/>
      <c r="AB78" s="13"/>
      <c r="AC78" s="13"/>
      <c r="AD78" s="13"/>
    </row>
    <row r="79">
      <c r="A79" s="10" t="s">
        <v>9</v>
      </c>
      <c r="B79" s="10" t="s">
        <v>10</v>
      </c>
      <c r="C79" s="10" t="s">
        <v>17</v>
      </c>
      <c r="D79" s="10" t="s">
        <v>104</v>
      </c>
      <c r="E79" s="10" t="s">
        <v>105</v>
      </c>
      <c r="F79" s="10" t="s">
        <v>99</v>
      </c>
      <c r="G79" s="11" t="s">
        <v>171</v>
      </c>
      <c r="H79" s="10" t="s">
        <v>177</v>
      </c>
      <c r="I79" s="10"/>
      <c r="J79" s="6">
        <v>1475.0</v>
      </c>
      <c r="K79" s="12">
        <v>0.25</v>
      </c>
      <c r="L79" s="5">
        <f t="shared" si="6"/>
        <v>368.75</v>
      </c>
      <c r="M79" s="5">
        <f t="shared" si="7"/>
        <v>1843.75</v>
      </c>
      <c r="N79" s="13"/>
      <c r="O79" s="13"/>
      <c r="P79" s="13"/>
      <c r="Q79" s="13"/>
      <c r="R79" s="13"/>
      <c r="S79" s="13"/>
      <c r="T79" s="13"/>
      <c r="U79" s="13"/>
      <c r="V79" s="13"/>
      <c r="W79" s="13"/>
      <c r="X79" s="13"/>
      <c r="Y79" s="13"/>
      <c r="Z79" s="13"/>
      <c r="AA79" s="13"/>
      <c r="AB79" s="13"/>
      <c r="AC79" s="13"/>
      <c r="AD79" s="13"/>
    </row>
    <row r="80">
      <c r="A80" s="10" t="s">
        <v>9</v>
      </c>
      <c r="B80" s="10" t="s">
        <v>10</v>
      </c>
      <c r="C80" s="10" t="s">
        <v>17</v>
      </c>
      <c r="D80" s="10" t="s">
        <v>107</v>
      </c>
      <c r="E80" s="10" t="s">
        <v>108</v>
      </c>
      <c r="F80" s="10" t="s">
        <v>99</v>
      </c>
      <c r="G80" s="11" t="s">
        <v>171</v>
      </c>
      <c r="H80" s="10" t="s">
        <v>177</v>
      </c>
      <c r="I80" s="10" t="s">
        <v>179</v>
      </c>
      <c r="J80" s="6">
        <v>925.0</v>
      </c>
      <c r="K80" s="12">
        <v>0.25</v>
      </c>
      <c r="L80" s="5">
        <f t="shared" si="6"/>
        <v>231.25</v>
      </c>
      <c r="M80" s="5">
        <f t="shared" si="7"/>
        <v>1156.25</v>
      </c>
      <c r="N80" s="13"/>
      <c r="O80" s="13"/>
      <c r="P80" s="13"/>
      <c r="Q80" s="13"/>
      <c r="R80" s="13"/>
      <c r="S80" s="13"/>
      <c r="T80" s="13"/>
      <c r="U80" s="13"/>
      <c r="V80" s="13"/>
      <c r="W80" s="13"/>
      <c r="X80" s="13"/>
      <c r="Y80" s="13"/>
      <c r="Z80" s="13"/>
      <c r="AA80" s="13"/>
      <c r="AB80" s="13"/>
      <c r="AC80" s="13"/>
      <c r="AD80" s="13"/>
    </row>
    <row r="81">
      <c r="A81" s="10" t="s">
        <v>9</v>
      </c>
      <c r="B81" s="10" t="s">
        <v>10</v>
      </c>
      <c r="C81" s="10" t="s">
        <v>17</v>
      </c>
      <c r="D81" s="10" t="s">
        <v>107</v>
      </c>
      <c r="E81" s="14" t="s">
        <v>110</v>
      </c>
      <c r="F81" s="10" t="s">
        <v>99</v>
      </c>
      <c r="G81" s="11" t="s">
        <v>171</v>
      </c>
      <c r="H81" s="10" t="s">
        <v>177</v>
      </c>
      <c r="I81" s="10" t="s">
        <v>180</v>
      </c>
      <c r="J81" s="6">
        <v>775.0</v>
      </c>
      <c r="K81" s="12">
        <v>0.25</v>
      </c>
      <c r="L81" s="5">
        <f t="shared" si="6"/>
        <v>193.75</v>
      </c>
      <c r="M81" s="5">
        <f t="shared" si="7"/>
        <v>968.75</v>
      </c>
      <c r="N81" s="13"/>
      <c r="O81" s="13"/>
      <c r="P81" s="13"/>
      <c r="Q81" s="13"/>
      <c r="R81" s="13"/>
      <c r="S81" s="13"/>
      <c r="T81" s="13"/>
      <c r="U81" s="13"/>
      <c r="V81" s="13"/>
      <c r="W81" s="13"/>
      <c r="X81" s="13"/>
      <c r="Y81" s="13"/>
      <c r="Z81" s="13"/>
      <c r="AA81" s="13"/>
      <c r="AB81" s="13"/>
      <c r="AC81" s="13"/>
      <c r="AD81" s="13"/>
    </row>
    <row r="82">
      <c r="A82" s="10"/>
      <c r="B82" s="10"/>
      <c r="H82" s="10"/>
      <c r="I82" s="10" t="s">
        <v>181</v>
      </c>
      <c r="J82" s="6"/>
      <c r="K82" s="12"/>
      <c r="L82" s="5"/>
      <c r="M82" s="5"/>
      <c r="N82" s="13"/>
      <c r="O82" s="13"/>
      <c r="P82" s="13"/>
      <c r="Q82" s="13"/>
      <c r="R82" s="13"/>
      <c r="S82" s="13"/>
      <c r="T82" s="13"/>
      <c r="U82" s="13"/>
      <c r="V82" s="13"/>
      <c r="W82" s="13"/>
      <c r="X82" s="13"/>
      <c r="Y82" s="13"/>
      <c r="Z82" s="13"/>
      <c r="AA82" s="13"/>
      <c r="AB82" s="13"/>
      <c r="AC82" s="13"/>
      <c r="AD82" s="13"/>
    </row>
    <row r="83">
      <c r="A83" s="10"/>
      <c r="B83" s="10"/>
      <c r="H83" s="10"/>
      <c r="I83" s="10" t="s">
        <v>182</v>
      </c>
      <c r="J83" s="6"/>
      <c r="K83" s="12"/>
      <c r="L83" s="5"/>
      <c r="M83" s="5"/>
      <c r="N83" s="13"/>
      <c r="O83" s="13"/>
      <c r="P83" s="13"/>
      <c r="Q83" s="13"/>
      <c r="R83" s="13"/>
      <c r="S83" s="13"/>
      <c r="T83" s="13"/>
      <c r="U83" s="13"/>
      <c r="V83" s="13"/>
      <c r="W83" s="13"/>
      <c r="X83" s="13"/>
      <c r="Y83" s="13"/>
      <c r="Z83" s="13"/>
      <c r="AA83" s="13"/>
      <c r="AB83" s="13"/>
      <c r="AC83" s="13"/>
      <c r="AD83" s="13"/>
    </row>
    <row r="84">
      <c r="A84" s="10"/>
      <c r="B84" s="10"/>
      <c r="H84" s="10"/>
      <c r="I84" s="10" t="s">
        <v>183</v>
      </c>
      <c r="J84" s="6"/>
      <c r="K84" s="12"/>
      <c r="L84" s="5"/>
      <c r="M84" s="5"/>
      <c r="N84" s="13"/>
      <c r="O84" s="13"/>
      <c r="P84" s="13"/>
      <c r="Q84" s="13"/>
      <c r="R84" s="13"/>
      <c r="S84" s="13"/>
      <c r="T84" s="13"/>
      <c r="U84" s="13"/>
      <c r="V84" s="13"/>
      <c r="W84" s="13"/>
      <c r="X84" s="13"/>
      <c r="Y84" s="13"/>
      <c r="Z84" s="13"/>
      <c r="AA84" s="13"/>
      <c r="AB84" s="13"/>
      <c r="AC84" s="13"/>
      <c r="AD84" s="13"/>
    </row>
    <row r="85">
      <c r="A85" s="10"/>
      <c r="B85" s="10"/>
      <c r="H85" s="10"/>
      <c r="I85" s="10" t="s">
        <v>184</v>
      </c>
      <c r="J85" s="6"/>
      <c r="K85" s="12"/>
      <c r="L85" s="5"/>
      <c r="M85" s="5"/>
      <c r="N85" s="13"/>
      <c r="O85" s="13"/>
      <c r="P85" s="13"/>
      <c r="Q85" s="13"/>
      <c r="R85" s="13"/>
      <c r="S85" s="13"/>
      <c r="T85" s="13"/>
      <c r="U85" s="13"/>
      <c r="V85" s="13"/>
      <c r="W85" s="13"/>
      <c r="X85" s="13"/>
      <c r="Y85" s="13"/>
      <c r="Z85" s="13"/>
      <c r="AA85" s="13"/>
      <c r="AB85" s="13"/>
      <c r="AC85" s="13"/>
      <c r="AD85" s="13"/>
    </row>
    <row r="86">
      <c r="A86" s="10"/>
      <c r="B86" s="10"/>
      <c r="H86" s="10"/>
      <c r="I86" s="14"/>
      <c r="J86" s="6"/>
      <c r="K86" s="12"/>
      <c r="L86" s="5"/>
      <c r="M86" s="5"/>
      <c r="N86" s="13"/>
      <c r="O86" s="13"/>
      <c r="P86" s="13"/>
      <c r="Q86" s="13"/>
      <c r="R86" s="13"/>
      <c r="S86" s="13"/>
      <c r="T86" s="13"/>
      <c r="U86" s="13"/>
      <c r="V86" s="13"/>
      <c r="W86" s="13"/>
      <c r="X86" s="13"/>
      <c r="Y86" s="13"/>
      <c r="Z86" s="13"/>
      <c r="AA86" s="13"/>
      <c r="AB86" s="13"/>
      <c r="AC86" s="13"/>
      <c r="AD86" s="13"/>
    </row>
    <row r="87">
      <c r="A87" s="7" t="s">
        <v>185</v>
      </c>
      <c r="I87" s="7"/>
      <c r="J87" s="6"/>
      <c r="K87" s="12"/>
      <c r="L87" s="5"/>
      <c r="M87" s="5"/>
      <c r="N87" s="13"/>
      <c r="O87" s="13"/>
      <c r="P87" s="13"/>
      <c r="Q87" s="13"/>
      <c r="R87" s="13"/>
      <c r="S87" s="13"/>
      <c r="T87" s="13"/>
      <c r="U87" s="13"/>
      <c r="V87" s="13"/>
      <c r="W87" s="13"/>
      <c r="X87" s="13"/>
      <c r="Y87" s="13"/>
      <c r="Z87" s="13"/>
      <c r="AA87" s="13"/>
      <c r="AB87" s="13"/>
      <c r="AC87" s="13"/>
      <c r="AD87" s="13"/>
    </row>
    <row r="88">
      <c r="A88" s="4" t="s">
        <v>0</v>
      </c>
      <c r="B88" s="4" t="s">
        <v>1</v>
      </c>
      <c r="C88" s="4" t="s">
        <v>2</v>
      </c>
      <c r="D88" s="4" t="s">
        <v>3</v>
      </c>
      <c r="E88" s="4" t="s">
        <v>32</v>
      </c>
      <c r="F88" s="4" t="s">
        <v>4</v>
      </c>
      <c r="G88" s="4" t="s">
        <v>6</v>
      </c>
      <c r="H88" s="4" t="s">
        <v>5</v>
      </c>
      <c r="I88" s="4"/>
      <c r="J88" s="9"/>
      <c r="K88" s="12"/>
      <c r="L88" s="5"/>
      <c r="M88" s="5"/>
      <c r="AA88" s="13"/>
      <c r="AB88" s="13"/>
      <c r="AC88" s="13"/>
      <c r="AD88" s="13"/>
    </row>
    <row r="89">
      <c r="A89" s="10" t="s">
        <v>9</v>
      </c>
      <c r="B89" s="10" t="s">
        <v>10</v>
      </c>
      <c r="C89" s="10" t="s">
        <v>11</v>
      </c>
      <c r="D89" s="10" t="s">
        <v>40</v>
      </c>
      <c r="E89" s="10" t="s">
        <v>41</v>
      </c>
      <c r="F89" s="10" t="s">
        <v>42</v>
      </c>
      <c r="G89" s="10" t="s">
        <v>186</v>
      </c>
      <c r="H89" s="11" t="s">
        <v>44</v>
      </c>
      <c r="I89" s="11"/>
      <c r="J89" s="9">
        <v>1525.0</v>
      </c>
      <c r="K89" s="12">
        <v>0.25</v>
      </c>
      <c r="L89" s="5">
        <f t="shared" ref="L89:L111" si="8">J89*K89</f>
        <v>381.25</v>
      </c>
      <c r="M89" s="5">
        <f t="shared" ref="M89:M111" si="9">J89+L89</f>
        <v>1906.25</v>
      </c>
      <c r="AA89" s="13"/>
      <c r="AB89" s="13"/>
      <c r="AC89" s="13"/>
      <c r="AD89" s="13"/>
    </row>
    <row r="90">
      <c r="A90" s="10" t="s">
        <v>9</v>
      </c>
      <c r="B90" s="10" t="s">
        <v>10</v>
      </c>
      <c r="C90" s="10" t="s">
        <v>11</v>
      </c>
      <c r="D90" s="10" t="s">
        <v>40</v>
      </c>
      <c r="E90" s="10" t="s">
        <v>41</v>
      </c>
      <c r="F90" s="10" t="s">
        <v>42</v>
      </c>
      <c r="G90" s="11" t="s">
        <v>187</v>
      </c>
      <c r="H90" s="11" t="s">
        <v>56</v>
      </c>
      <c r="I90" s="11"/>
      <c r="J90" s="9">
        <v>1930.0</v>
      </c>
      <c r="K90" s="12">
        <v>0.25</v>
      </c>
      <c r="L90" s="5">
        <f t="shared" si="8"/>
        <v>482.5</v>
      </c>
      <c r="M90" s="5">
        <f t="shared" si="9"/>
        <v>2412.5</v>
      </c>
      <c r="AA90" s="13"/>
      <c r="AB90" s="13"/>
      <c r="AC90" s="13"/>
      <c r="AD90" s="13"/>
    </row>
    <row r="91">
      <c r="A91" s="10" t="s">
        <v>9</v>
      </c>
      <c r="B91" s="10" t="s">
        <v>10</v>
      </c>
      <c r="C91" s="10" t="s">
        <v>11</v>
      </c>
      <c r="D91" s="10" t="s">
        <v>40</v>
      </c>
      <c r="E91" s="10" t="s">
        <v>41</v>
      </c>
      <c r="F91" s="10" t="s">
        <v>42</v>
      </c>
      <c r="G91" s="11" t="s">
        <v>188</v>
      </c>
      <c r="H91" s="11" t="s">
        <v>56</v>
      </c>
      <c r="I91" s="11"/>
      <c r="J91" s="9">
        <v>2050.0</v>
      </c>
      <c r="K91" s="12">
        <v>0.25</v>
      </c>
      <c r="L91" s="5">
        <f t="shared" si="8"/>
        <v>512.5</v>
      </c>
      <c r="M91" s="5">
        <f t="shared" si="9"/>
        <v>2562.5</v>
      </c>
      <c r="AA91" s="13"/>
      <c r="AB91" s="13"/>
      <c r="AC91" s="13"/>
      <c r="AD91" s="13"/>
    </row>
    <row r="92">
      <c r="A92" s="10" t="s">
        <v>9</v>
      </c>
      <c r="B92" s="10" t="s">
        <v>10</v>
      </c>
      <c r="C92" s="10" t="s">
        <v>11</v>
      </c>
      <c r="D92" s="10" t="s">
        <v>40</v>
      </c>
      <c r="E92" s="10" t="s">
        <v>41</v>
      </c>
      <c r="F92" s="10" t="s">
        <v>42</v>
      </c>
      <c r="G92" s="11" t="s">
        <v>189</v>
      </c>
      <c r="H92" s="11" t="s">
        <v>67</v>
      </c>
      <c r="I92" s="11"/>
      <c r="J92" s="9">
        <v>2375.0</v>
      </c>
      <c r="K92" s="12">
        <v>0.25</v>
      </c>
      <c r="L92" s="5">
        <f t="shared" si="8"/>
        <v>593.75</v>
      </c>
      <c r="M92" s="5">
        <f t="shared" si="9"/>
        <v>2968.75</v>
      </c>
      <c r="AA92" s="13"/>
      <c r="AB92" s="13"/>
      <c r="AC92" s="13"/>
      <c r="AD92" s="13"/>
    </row>
    <row r="93">
      <c r="A93" s="10" t="s">
        <v>9</v>
      </c>
      <c r="B93" s="10" t="s">
        <v>10</v>
      </c>
      <c r="C93" s="10" t="s">
        <v>11</v>
      </c>
      <c r="D93" s="10" t="s">
        <v>40</v>
      </c>
      <c r="E93" s="10" t="s">
        <v>41</v>
      </c>
      <c r="F93" s="10" t="s">
        <v>42</v>
      </c>
      <c r="G93" s="11" t="s">
        <v>190</v>
      </c>
      <c r="H93" s="11" t="s">
        <v>67</v>
      </c>
      <c r="I93" s="11"/>
      <c r="J93" s="9">
        <v>2475.0</v>
      </c>
      <c r="K93" s="12">
        <v>0.25</v>
      </c>
      <c r="L93" s="5">
        <f t="shared" si="8"/>
        <v>618.75</v>
      </c>
      <c r="M93" s="5">
        <f t="shared" si="9"/>
        <v>3093.75</v>
      </c>
      <c r="AA93" s="13"/>
      <c r="AB93" s="13"/>
      <c r="AC93" s="13"/>
      <c r="AD93" s="13"/>
    </row>
    <row r="94">
      <c r="A94" s="10" t="s">
        <v>9</v>
      </c>
      <c r="B94" s="10" t="s">
        <v>10</v>
      </c>
      <c r="C94" s="10" t="s">
        <v>11</v>
      </c>
      <c r="D94" s="10" t="s">
        <v>40</v>
      </c>
      <c r="E94" s="10" t="s">
        <v>41</v>
      </c>
      <c r="F94" s="10" t="s">
        <v>42</v>
      </c>
      <c r="G94" s="11" t="s">
        <v>191</v>
      </c>
      <c r="H94" s="11" t="s">
        <v>67</v>
      </c>
      <c r="I94" s="11"/>
      <c r="J94" s="9">
        <v>2475.0</v>
      </c>
      <c r="K94" s="12">
        <v>0.25</v>
      </c>
      <c r="L94" s="5">
        <f t="shared" si="8"/>
        <v>618.75</v>
      </c>
      <c r="M94" s="5">
        <f t="shared" si="9"/>
        <v>3093.75</v>
      </c>
      <c r="AA94" s="13"/>
      <c r="AB94" s="13"/>
      <c r="AC94" s="13"/>
      <c r="AD94" s="13"/>
    </row>
    <row r="95">
      <c r="A95" s="10" t="s">
        <v>9</v>
      </c>
      <c r="B95" s="10" t="s">
        <v>10</v>
      </c>
      <c r="C95" s="10" t="s">
        <v>11</v>
      </c>
      <c r="D95" s="10" t="s">
        <v>40</v>
      </c>
      <c r="E95" s="10" t="s">
        <v>41</v>
      </c>
      <c r="F95" s="10" t="s">
        <v>42</v>
      </c>
      <c r="G95" s="11" t="s">
        <v>192</v>
      </c>
      <c r="H95" s="11" t="s">
        <v>67</v>
      </c>
      <c r="I95" s="11"/>
      <c r="J95" s="9">
        <v>2575.0</v>
      </c>
      <c r="K95" s="12">
        <v>0.25</v>
      </c>
      <c r="L95" s="5">
        <f t="shared" si="8"/>
        <v>643.75</v>
      </c>
      <c r="M95" s="5">
        <f t="shared" si="9"/>
        <v>3218.75</v>
      </c>
      <c r="AA95" s="13"/>
      <c r="AB95" s="13"/>
      <c r="AC95" s="13"/>
      <c r="AD95" s="13"/>
    </row>
    <row r="96">
      <c r="A96" s="10" t="s">
        <v>9</v>
      </c>
      <c r="B96" s="10" t="s">
        <v>10</v>
      </c>
      <c r="C96" s="10" t="s">
        <v>11</v>
      </c>
      <c r="D96" s="10" t="s">
        <v>40</v>
      </c>
      <c r="E96" s="10" t="s">
        <v>41</v>
      </c>
      <c r="F96" s="10" t="s">
        <v>42</v>
      </c>
      <c r="G96" s="11" t="s">
        <v>193</v>
      </c>
      <c r="H96" s="11" t="s">
        <v>56</v>
      </c>
      <c r="I96" s="11"/>
      <c r="J96" s="9">
        <v>2180.0</v>
      </c>
      <c r="K96" s="12">
        <v>0.25</v>
      </c>
      <c r="L96" s="5">
        <f t="shared" si="8"/>
        <v>545</v>
      </c>
      <c r="M96" s="5">
        <f t="shared" si="9"/>
        <v>2725</v>
      </c>
      <c r="AA96" s="13"/>
      <c r="AB96" s="13"/>
      <c r="AC96" s="13"/>
      <c r="AD96" s="13"/>
    </row>
    <row r="97">
      <c r="A97" s="10" t="s">
        <v>9</v>
      </c>
      <c r="B97" s="10" t="s">
        <v>10</v>
      </c>
      <c r="C97" s="10" t="s">
        <v>11</v>
      </c>
      <c r="D97" s="10" t="s">
        <v>40</v>
      </c>
      <c r="E97" s="10" t="s">
        <v>41</v>
      </c>
      <c r="F97" s="10" t="s">
        <v>42</v>
      </c>
      <c r="G97" s="11" t="s">
        <v>194</v>
      </c>
      <c r="H97" s="11" t="s">
        <v>56</v>
      </c>
      <c r="I97" s="11"/>
      <c r="J97" s="9">
        <v>2280.0</v>
      </c>
      <c r="K97" s="12">
        <v>0.25</v>
      </c>
      <c r="L97" s="5">
        <f t="shared" si="8"/>
        <v>570</v>
      </c>
      <c r="M97" s="5">
        <f t="shared" si="9"/>
        <v>2850</v>
      </c>
      <c r="AA97" s="13"/>
      <c r="AB97" s="13"/>
      <c r="AC97" s="13"/>
      <c r="AD97" s="13"/>
    </row>
    <row r="98">
      <c r="A98" s="10" t="s">
        <v>9</v>
      </c>
      <c r="B98" s="10" t="s">
        <v>10</v>
      </c>
      <c r="C98" s="10" t="s">
        <v>11</v>
      </c>
      <c r="D98" s="10" t="s">
        <v>40</v>
      </c>
      <c r="E98" s="10" t="s">
        <v>41</v>
      </c>
      <c r="F98" s="10" t="s">
        <v>42</v>
      </c>
      <c r="G98" s="11" t="s">
        <v>195</v>
      </c>
      <c r="H98" s="11" t="s">
        <v>67</v>
      </c>
      <c r="I98" s="11"/>
      <c r="J98" s="9">
        <v>2525.0</v>
      </c>
      <c r="K98" s="12">
        <v>0.25</v>
      </c>
      <c r="L98" s="5">
        <f t="shared" si="8"/>
        <v>631.25</v>
      </c>
      <c r="M98" s="5">
        <f t="shared" si="9"/>
        <v>3156.25</v>
      </c>
      <c r="AA98" s="13"/>
      <c r="AB98" s="13"/>
      <c r="AC98" s="13"/>
      <c r="AD98" s="13"/>
    </row>
    <row r="99">
      <c r="A99" s="10" t="s">
        <v>9</v>
      </c>
      <c r="B99" s="10" t="s">
        <v>10</v>
      </c>
      <c r="C99" s="10" t="s">
        <v>11</v>
      </c>
      <c r="D99" s="10" t="s">
        <v>40</v>
      </c>
      <c r="E99" s="10" t="s">
        <v>41</v>
      </c>
      <c r="F99" s="10" t="s">
        <v>42</v>
      </c>
      <c r="G99" s="11" t="s">
        <v>196</v>
      </c>
      <c r="H99" s="11" t="s">
        <v>67</v>
      </c>
      <c r="I99" s="11"/>
      <c r="J99" s="9">
        <v>2625.0</v>
      </c>
      <c r="K99" s="12">
        <v>0.25</v>
      </c>
      <c r="L99" s="5">
        <f t="shared" si="8"/>
        <v>656.25</v>
      </c>
      <c r="M99" s="5">
        <f t="shared" si="9"/>
        <v>3281.25</v>
      </c>
      <c r="AA99" s="13"/>
      <c r="AB99" s="13"/>
      <c r="AC99" s="13"/>
      <c r="AD99" s="13"/>
    </row>
    <row r="100">
      <c r="A100" s="10" t="s">
        <v>9</v>
      </c>
      <c r="B100" s="10" t="s">
        <v>10</v>
      </c>
      <c r="C100" s="10" t="s">
        <v>11</v>
      </c>
      <c r="D100" s="10" t="s">
        <v>40</v>
      </c>
      <c r="E100" s="10" t="s">
        <v>41</v>
      </c>
      <c r="F100" s="10" t="s">
        <v>42</v>
      </c>
      <c r="G100" s="11" t="s">
        <v>197</v>
      </c>
      <c r="H100" s="11" t="s">
        <v>67</v>
      </c>
      <c r="I100" s="11"/>
      <c r="J100" s="9">
        <v>2625.0</v>
      </c>
      <c r="K100" s="12">
        <v>0.25</v>
      </c>
      <c r="L100" s="5">
        <f t="shared" si="8"/>
        <v>656.25</v>
      </c>
      <c r="M100" s="5">
        <f t="shared" si="9"/>
        <v>3281.25</v>
      </c>
      <c r="AA100" s="13"/>
      <c r="AB100" s="13"/>
      <c r="AC100" s="13"/>
      <c r="AD100" s="13"/>
    </row>
    <row r="101">
      <c r="A101" s="10" t="s">
        <v>9</v>
      </c>
      <c r="B101" s="10" t="s">
        <v>10</v>
      </c>
      <c r="C101" s="10" t="s">
        <v>11</v>
      </c>
      <c r="D101" s="10" t="s">
        <v>40</v>
      </c>
      <c r="E101" s="10" t="s">
        <v>41</v>
      </c>
      <c r="F101" s="10" t="s">
        <v>42</v>
      </c>
      <c r="G101" s="11" t="s">
        <v>198</v>
      </c>
      <c r="H101" s="11" t="s">
        <v>67</v>
      </c>
      <c r="I101" s="11"/>
      <c r="J101" s="9">
        <v>2725.0</v>
      </c>
      <c r="K101" s="12">
        <v>0.25</v>
      </c>
      <c r="L101" s="5">
        <f t="shared" si="8"/>
        <v>681.25</v>
      </c>
      <c r="M101" s="5">
        <f t="shared" si="9"/>
        <v>3406.25</v>
      </c>
      <c r="AA101" s="13"/>
      <c r="AB101" s="13"/>
      <c r="AC101" s="13"/>
      <c r="AD101" s="13"/>
    </row>
    <row r="102">
      <c r="A102" s="10" t="s">
        <v>9</v>
      </c>
      <c r="B102" s="10" t="s">
        <v>10</v>
      </c>
      <c r="C102" s="10" t="s">
        <v>11</v>
      </c>
      <c r="D102" s="10" t="s">
        <v>81</v>
      </c>
      <c r="E102" s="10" t="s">
        <v>41</v>
      </c>
      <c r="F102" s="10" t="s">
        <v>42</v>
      </c>
      <c r="G102" s="11" t="s">
        <v>199</v>
      </c>
      <c r="H102" s="11" t="s">
        <v>44</v>
      </c>
      <c r="I102" s="11"/>
      <c r="J102" s="9">
        <v>1900.0</v>
      </c>
      <c r="K102" s="12">
        <v>0.25</v>
      </c>
      <c r="L102" s="5">
        <f t="shared" si="8"/>
        <v>475</v>
      </c>
      <c r="M102" s="5">
        <f t="shared" si="9"/>
        <v>2375</v>
      </c>
      <c r="AA102" s="13"/>
      <c r="AB102" s="13"/>
      <c r="AC102" s="13"/>
      <c r="AD102" s="13"/>
    </row>
    <row r="103">
      <c r="A103" s="10" t="s">
        <v>9</v>
      </c>
      <c r="B103" s="10" t="s">
        <v>10</v>
      </c>
      <c r="C103" s="10" t="s">
        <v>11</v>
      </c>
      <c r="D103" s="10" t="s">
        <v>82</v>
      </c>
      <c r="E103" s="10" t="s">
        <v>41</v>
      </c>
      <c r="F103" s="10" t="s">
        <v>83</v>
      </c>
      <c r="G103" s="11" t="s">
        <v>200</v>
      </c>
      <c r="H103" s="11" t="s">
        <v>85</v>
      </c>
      <c r="I103" s="11"/>
      <c r="J103" s="9">
        <v>1900.0</v>
      </c>
      <c r="K103" s="12">
        <v>0.25</v>
      </c>
      <c r="L103" s="5">
        <f t="shared" si="8"/>
        <v>475</v>
      </c>
      <c r="M103" s="5">
        <f t="shared" si="9"/>
        <v>2375</v>
      </c>
      <c r="AA103" s="13"/>
      <c r="AB103" s="13"/>
      <c r="AC103" s="13"/>
      <c r="AD103" s="13"/>
    </row>
    <row r="104">
      <c r="A104" s="10" t="s">
        <v>9</v>
      </c>
      <c r="B104" s="10" t="s">
        <v>10</v>
      </c>
      <c r="C104" s="10" t="s">
        <v>11</v>
      </c>
      <c r="D104" s="10" t="s">
        <v>170</v>
      </c>
      <c r="E104" s="10" t="s">
        <v>87</v>
      </c>
      <c r="F104" s="10" t="s">
        <v>83</v>
      </c>
      <c r="G104" s="11" t="s">
        <v>201</v>
      </c>
      <c r="H104" s="11" t="s">
        <v>89</v>
      </c>
      <c r="I104" s="11"/>
      <c r="J104" s="9">
        <v>1300.0</v>
      </c>
      <c r="K104" s="12">
        <v>0.25</v>
      </c>
      <c r="L104" s="5">
        <f t="shared" si="8"/>
        <v>325</v>
      </c>
      <c r="M104" s="5">
        <f t="shared" si="9"/>
        <v>1625</v>
      </c>
      <c r="AA104" s="13"/>
      <c r="AB104" s="13"/>
      <c r="AC104" s="13"/>
      <c r="AD104" s="13"/>
    </row>
    <row r="105">
      <c r="A105" s="10" t="s">
        <v>9</v>
      </c>
      <c r="B105" s="10" t="s">
        <v>10</v>
      </c>
      <c r="C105" s="10" t="s">
        <v>11</v>
      </c>
      <c r="D105" s="10" t="s">
        <v>91</v>
      </c>
      <c r="E105" s="10" t="s">
        <v>87</v>
      </c>
      <c r="F105" s="10" t="s">
        <v>83</v>
      </c>
      <c r="G105" s="10" t="s">
        <v>201</v>
      </c>
      <c r="H105" s="11" t="s">
        <v>89</v>
      </c>
      <c r="I105" s="11"/>
      <c r="J105" s="9">
        <v>1525.0</v>
      </c>
      <c r="K105" s="12">
        <v>0.25</v>
      </c>
      <c r="L105" s="5">
        <f t="shared" si="8"/>
        <v>381.25</v>
      </c>
      <c r="M105" s="5">
        <f t="shared" si="9"/>
        <v>1906.25</v>
      </c>
      <c r="AA105" s="13"/>
      <c r="AB105" s="13"/>
      <c r="AC105" s="13"/>
      <c r="AD105" s="13"/>
    </row>
    <row r="106">
      <c r="A106" s="10" t="s">
        <v>9</v>
      </c>
      <c r="B106" s="10" t="s">
        <v>10</v>
      </c>
      <c r="C106" s="10" t="s">
        <v>11</v>
      </c>
      <c r="D106" s="10" t="s">
        <v>93</v>
      </c>
      <c r="E106" s="10" t="s">
        <v>94</v>
      </c>
      <c r="F106" s="10" t="s">
        <v>42</v>
      </c>
      <c r="G106" s="10" t="s">
        <v>202</v>
      </c>
      <c r="H106" s="10" t="s">
        <v>96</v>
      </c>
      <c r="I106" s="10"/>
      <c r="J106" s="9">
        <v>922.0</v>
      </c>
      <c r="K106" s="12">
        <v>0.25</v>
      </c>
      <c r="L106" s="5">
        <f t="shared" si="8"/>
        <v>230.5</v>
      </c>
      <c r="M106" s="5">
        <f t="shared" si="9"/>
        <v>1152.5</v>
      </c>
      <c r="AA106" s="13"/>
      <c r="AB106" s="13"/>
      <c r="AC106" s="13"/>
      <c r="AD106" s="13"/>
    </row>
    <row r="107">
      <c r="A107" s="10" t="s">
        <v>9</v>
      </c>
      <c r="B107" s="10" t="s">
        <v>10</v>
      </c>
      <c r="C107" s="10" t="s">
        <v>11</v>
      </c>
      <c r="D107" s="10" t="s">
        <v>97</v>
      </c>
      <c r="E107" s="10" t="s">
        <v>98</v>
      </c>
      <c r="F107" s="10" t="s">
        <v>99</v>
      </c>
      <c r="G107" s="10" t="s">
        <v>203</v>
      </c>
      <c r="H107" s="10" t="s">
        <v>101</v>
      </c>
      <c r="I107" s="10"/>
      <c r="J107" s="9">
        <v>808.0</v>
      </c>
      <c r="K107" s="12">
        <v>0.25</v>
      </c>
      <c r="L107" s="5">
        <f t="shared" si="8"/>
        <v>202</v>
      </c>
      <c r="M107" s="5">
        <f t="shared" si="9"/>
        <v>1010</v>
      </c>
      <c r="AA107" s="13"/>
      <c r="AB107" s="13"/>
      <c r="AC107" s="13"/>
      <c r="AD107" s="13"/>
    </row>
    <row r="108">
      <c r="A108" s="10" t="s">
        <v>9</v>
      </c>
      <c r="B108" s="10" t="s">
        <v>10</v>
      </c>
      <c r="C108" s="10" t="s">
        <v>11</v>
      </c>
      <c r="D108" s="10" t="s">
        <v>97</v>
      </c>
      <c r="E108" s="10" t="s">
        <v>102</v>
      </c>
      <c r="F108" s="10" t="s">
        <v>99</v>
      </c>
      <c r="G108" s="10" t="s">
        <v>203</v>
      </c>
      <c r="H108" s="10" t="s">
        <v>101</v>
      </c>
      <c r="I108" s="10"/>
      <c r="J108" s="9">
        <v>808.0</v>
      </c>
      <c r="K108" s="12">
        <v>0.25</v>
      </c>
      <c r="L108" s="5">
        <f t="shared" si="8"/>
        <v>202</v>
      </c>
      <c r="M108" s="5">
        <f t="shared" si="9"/>
        <v>1010</v>
      </c>
      <c r="AA108" s="13"/>
      <c r="AB108" s="13"/>
      <c r="AC108" s="13"/>
      <c r="AD108" s="13"/>
    </row>
    <row r="109">
      <c r="A109" s="10" t="s">
        <v>9</v>
      </c>
      <c r="B109" s="10" t="s">
        <v>10</v>
      </c>
      <c r="C109" s="10" t="s">
        <v>11</v>
      </c>
      <c r="D109" s="10" t="s">
        <v>97</v>
      </c>
      <c r="E109" s="10" t="s">
        <v>103</v>
      </c>
      <c r="F109" s="10" t="s">
        <v>99</v>
      </c>
      <c r="G109" s="10" t="s">
        <v>203</v>
      </c>
      <c r="H109" s="10" t="s">
        <v>101</v>
      </c>
      <c r="I109" s="10"/>
      <c r="J109" s="9">
        <v>1008.0</v>
      </c>
      <c r="K109" s="12">
        <v>0.25</v>
      </c>
      <c r="L109" s="5">
        <f t="shared" si="8"/>
        <v>252</v>
      </c>
      <c r="M109" s="5">
        <f t="shared" si="9"/>
        <v>1260</v>
      </c>
      <c r="AA109" s="13"/>
      <c r="AB109" s="13"/>
      <c r="AC109" s="13"/>
      <c r="AD109" s="13"/>
    </row>
    <row r="110">
      <c r="A110" s="10" t="s">
        <v>9</v>
      </c>
      <c r="B110" s="10" t="s">
        <v>10</v>
      </c>
      <c r="C110" s="10" t="s">
        <v>11</v>
      </c>
      <c r="D110" s="10" t="s">
        <v>104</v>
      </c>
      <c r="E110" s="10" t="s">
        <v>105</v>
      </c>
      <c r="F110" s="10" t="s">
        <v>99</v>
      </c>
      <c r="G110" s="10" t="s">
        <v>203</v>
      </c>
      <c r="H110" s="10" t="s">
        <v>106</v>
      </c>
      <c r="I110" s="10"/>
      <c r="J110" s="9">
        <v>1625.0</v>
      </c>
      <c r="K110" s="12">
        <v>0.25</v>
      </c>
      <c r="L110" s="5">
        <f t="shared" si="8"/>
        <v>406.25</v>
      </c>
      <c r="M110" s="5">
        <f t="shared" si="9"/>
        <v>2031.25</v>
      </c>
      <c r="AA110" s="13"/>
      <c r="AB110" s="13"/>
      <c r="AC110" s="13"/>
      <c r="AD110" s="13"/>
    </row>
    <row r="111">
      <c r="A111" s="10" t="s">
        <v>9</v>
      </c>
      <c r="B111" s="10" t="s">
        <v>10</v>
      </c>
      <c r="C111" s="10" t="s">
        <v>11</v>
      </c>
      <c r="D111" s="10" t="s">
        <v>107</v>
      </c>
      <c r="E111" s="10" t="s">
        <v>108</v>
      </c>
      <c r="F111" s="10" t="s">
        <v>99</v>
      </c>
      <c r="G111" s="10" t="s">
        <v>203</v>
      </c>
      <c r="H111" s="10" t="s">
        <v>109</v>
      </c>
      <c r="I111" s="10"/>
      <c r="J111" s="9">
        <v>1075.0</v>
      </c>
      <c r="K111" s="12">
        <v>0.25</v>
      </c>
      <c r="L111" s="5">
        <f t="shared" si="8"/>
        <v>268.75</v>
      </c>
      <c r="M111" s="5">
        <f t="shared" si="9"/>
        <v>1343.75</v>
      </c>
      <c r="AA111" s="13"/>
      <c r="AB111" s="13"/>
      <c r="AC111" s="13"/>
      <c r="AD111" s="13"/>
    </row>
    <row r="112">
      <c r="A112" s="10" t="s">
        <v>9</v>
      </c>
      <c r="B112" s="10" t="s">
        <v>10</v>
      </c>
      <c r="C112" s="10" t="s">
        <v>11</v>
      </c>
      <c r="D112" s="10" t="s">
        <v>107</v>
      </c>
      <c r="E112" s="10" t="s">
        <v>204</v>
      </c>
      <c r="F112" s="10" t="s">
        <v>99</v>
      </c>
      <c r="G112" s="10" t="s">
        <v>203</v>
      </c>
      <c r="H112" s="10" t="s">
        <v>109</v>
      </c>
      <c r="I112" s="10"/>
      <c r="J112" s="9"/>
      <c r="K112" s="12"/>
      <c r="L112" s="5"/>
      <c r="M112" s="5"/>
      <c r="AA112" s="13"/>
      <c r="AB112" s="13"/>
      <c r="AC112" s="13"/>
      <c r="AD112" s="13"/>
    </row>
    <row r="113">
      <c r="A113" s="13"/>
      <c r="B113" s="13"/>
      <c r="C113" s="13"/>
      <c r="D113" s="13"/>
      <c r="E113" s="13"/>
      <c r="F113" s="13"/>
      <c r="G113" s="13"/>
      <c r="H113" s="13"/>
      <c r="I113" s="13"/>
      <c r="J113" s="9"/>
      <c r="K113" s="12"/>
      <c r="L113" s="5"/>
      <c r="M113" s="5"/>
      <c r="AA113" s="13"/>
      <c r="AB113" s="13"/>
      <c r="AC113" s="13"/>
      <c r="AD113" s="13"/>
    </row>
    <row r="114">
      <c r="A114" s="10" t="s">
        <v>9</v>
      </c>
      <c r="B114" s="10" t="s">
        <v>10</v>
      </c>
      <c r="C114" s="10" t="s">
        <v>17</v>
      </c>
      <c r="D114" s="10" t="s">
        <v>40</v>
      </c>
      <c r="E114" s="10" t="s">
        <v>41</v>
      </c>
      <c r="F114" s="10" t="s">
        <v>42</v>
      </c>
      <c r="G114" s="10" t="s">
        <v>205</v>
      </c>
      <c r="H114" s="11" t="s">
        <v>114</v>
      </c>
      <c r="I114" s="11"/>
      <c r="J114" s="9">
        <v>1425.0</v>
      </c>
      <c r="K114" s="12">
        <v>0.25</v>
      </c>
      <c r="L114" s="5">
        <f t="shared" ref="L114:L137" si="10">J114*K114</f>
        <v>356.25</v>
      </c>
      <c r="M114" s="5">
        <f t="shared" ref="M114:M137" si="11">J114+L114</f>
        <v>1781.25</v>
      </c>
      <c r="AA114" s="13"/>
      <c r="AB114" s="13"/>
      <c r="AC114" s="13"/>
      <c r="AD114" s="13"/>
    </row>
    <row r="115">
      <c r="A115" s="10" t="s">
        <v>9</v>
      </c>
      <c r="B115" s="10" t="s">
        <v>10</v>
      </c>
      <c r="C115" s="10" t="s">
        <v>17</v>
      </c>
      <c r="D115" s="10" t="s">
        <v>40</v>
      </c>
      <c r="E115" s="10" t="s">
        <v>41</v>
      </c>
      <c r="F115" s="10" t="s">
        <v>42</v>
      </c>
      <c r="G115" s="11" t="s">
        <v>206</v>
      </c>
      <c r="H115" s="11" t="s">
        <v>114</v>
      </c>
      <c r="I115" s="11"/>
      <c r="J115" s="9">
        <v>1830.0</v>
      </c>
      <c r="K115" s="12">
        <v>0.25</v>
      </c>
      <c r="L115" s="5">
        <f t="shared" si="10"/>
        <v>457.5</v>
      </c>
      <c r="M115" s="5">
        <f t="shared" si="11"/>
        <v>2287.5</v>
      </c>
      <c r="AA115" s="13"/>
      <c r="AB115" s="13"/>
      <c r="AC115" s="13"/>
      <c r="AD115" s="13"/>
    </row>
    <row r="116">
      <c r="A116" s="10" t="s">
        <v>9</v>
      </c>
      <c r="B116" s="10" t="s">
        <v>10</v>
      </c>
      <c r="C116" s="10" t="s">
        <v>17</v>
      </c>
      <c r="D116" s="10" t="s">
        <v>40</v>
      </c>
      <c r="E116" s="10" t="s">
        <v>41</v>
      </c>
      <c r="F116" s="10" t="s">
        <v>42</v>
      </c>
      <c r="G116" s="11" t="s">
        <v>207</v>
      </c>
      <c r="H116" s="11" t="s">
        <v>134</v>
      </c>
      <c r="I116" s="11"/>
      <c r="J116" s="9">
        <v>1950.0</v>
      </c>
      <c r="K116" s="12">
        <v>0.25</v>
      </c>
      <c r="L116" s="5">
        <f t="shared" si="10"/>
        <v>487.5</v>
      </c>
      <c r="M116" s="5">
        <f t="shared" si="11"/>
        <v>2437.5</v>
      </c>
      <c r="AA116" s="13"/>
      <c r="AB116" s="13"/>
      <c r="AC116" s="13"/>
      <c r="AD116" s="13"/>
    </row>
    <row r="117">
      <c r="A117" s="10" t="s">
        <v>9</v>
      </c>
      <c r="B117" s="10" t="s">
        <v>10</v>
      </c>
      <c r="C117" s="10" t="s">
        <v>17</v>
      </c>
      <c r="D117" s="10" t="s">
        <v>40</v>
      </c>
      <c r="E117" s="10" t="s">
        <v>41</v>
      </c>
      <c r="F117" s="10" t="s">
        <v>42</v>
      </c>
      <c r="G117" s="11" t="s">
        <v>208</v>
      </c>
      <c r="H117" s="21" t="s">
        <v>140</v>
      </c>
      <c r="I117" s="21"/>
      <c r="J117" s="9">
        <v>2275.0</v>
      </c>
      <c r="K117" s="12">
        <v>0.25</v>
      </c>
      <c r="L117" s="5">
        <f t="shared" si="10"/>
        <v>568.75</v>
      </c>
      <c r="M117" s="5">
        <f t="shared" si="11"/>
        <v>2843.75</v>
      </c>
      <c r="AA117" s="13"/>
      <c r="AB117" s="13"/>
      <c r="AC117" s="13"/>
      <c r="AD117" s="13"/>
    </row>
    <row r="118">
      <c r="A118" s="10" t="s">
        <v>9</v>
      </c>
      <c r="B118" s="10" t="s">
        <v>10</v>
      </c>
      <c r="C118" s="10" t="s">
        <v>17</v>
      </c>
      <c r="D118" s="10" t="s">
        <v>40</v>
      </c>
      <c r="E118" s="10" t="s">
        <v>41</v>
      </c>
      <c r="F118" s="10" t="s">
        <v>42</v>
      </c>
      <c r="G118" s="11" t="s">
        <v>209</v>
      </c>
      <c r="H118" s="11" t="s">
        <v>140</v>
      </c>
      <c r="I118" s="11"/>
      <c r="J118" s="9">
        <v>2375.0</v>
      </c>
      <c r="K118" s="12">
        <v>0.25</v>
      </c>
      <c r="L118" s="5">
        <f t="shared" si="10"/>
        <v>593.75</v>
      </c>
      <c r="M118" s="5">
        <f t="shared" si="11"/>
        <v>2968.75</v>
      </c>
      <c r="AA118" s="13"/>
      <c r="AB118" s="13"/>
      <c r="AC118" s="13"/>
      <c r="AD118" s="13"/>
    </row>
    <row r="119">
      <c r="A119" s="10" t="s">
        <v>9</v>
      </c>
      <c r="B119" s="10" t="s">
        <v>10</v>
      </c>
      <c r="C119" s="10" t="s">
        <v>17</v>
      </c>
      <c r="D119" s="10" t="s">
        <v>40</v>
      </c>
      <c r="E119" s="10" t="s">
        <v>41</v>
      </c>
      <c r="F119" s="10" t="s">
        <v>42</v>
      </c>
      <c r="G119" s="11" t="s">
        <v>210</v>
      </c>
      <c r="H119" s="11" t="s">
        <v>140</v>
      </c>
      <c r="I119" s="11"/>
      <c r="J119" s="9">
        <v>2375.0</v>
      </c>
      <c r="K119" s="12">
        <v>0.25</v>
      </c>
      <c r="L119" s="5">
        <f t="shared" si="10"/>
        <v>593.75</v>
      </c>
      <c r="M119" s="5">
        <f t="shared" si="11"/>
        <v>2968.75</v>
      </c>
      <c r="AA119" s="13"/>
      <c r="AB119" s="13"/>
      <c r="AC119" s="13"/>
      <c r="AD119" s="13"/>
    </row>
    <row r="120">
      <c r="A120" s="10" t="s">
        <v>9</v>
      </c>
      <c r="B120" s="10" t="s">
        <v>10</v>
      </c>
      <c r="C120" s="10" t="s">
        <v>17</v>
      </c>
      <c r="D120" s="10" t="s">
        <v>40</v>
      </c>
      <c r="E120" s="10" t="s">
        <v>41</v>
      </c>
      <c r="F120" s="10" t="s">
        <v>42</v>
      </c>
      <c r="G120" s="11" t="s">
        <v>211</v>
      </c>
      <c r="H120" s="11" t="s">
        <v>140</v>
      </c>
      <c r="I120" s="11"/>
      <c r="J120" s="9">
        <v>2475.0</v>
      </c>
      <c r="K120" s="12">
        <v>0.25</v>
      </c>
      <c r="L120" s="5">
        <f t="shared" si="10"/>
        <v>618.75</v>
      </c>
      <c r="M120" s="5">
        <f t="shared" si="11"/>
        <v>3093.75</v>
      </c>
      <c r="AA120" s="13"/>
      <c r="AB120" s="13"/>
      <c r="AC120" s="13"/>
      <c r="AD120" s="13"/>
    </row>
    <row r="121">
      <c r="A121" s="10" t="s">
        <v>9</v>
      </c>
      <c r="B121" s="10" t="s">
        <v>10</v>
      </c>
      <c r="C121" s="10" t="s">
        <v>17</v>
      </c>
      <c r="D121" s="10" t="s">
        <v>40</v>
      </c>
      <c r="E121" s="10" t="s">
        <v>41</v>
      </c>
      <c r="F121" s="10" t="s">
        <v>42</v>
      </c>
      <c r="G121" s="11" t="s">
        <v>212</v>
      </c>
      <c r="H121" s="11" t="s">
        <v>140</v>
      </c>
      <c r="I121" s="11"/>
      <c r="J121" s="9">
        <v>2080.0</v>
      </c>
      <c r="K121" s="12">
        <v>0.25</v>
      </c>
      <c r="L121" s="5">
        <f t="shared" si="10"/>
        <v>520</v>
      </c>
      <c r="M121" s="5">
        <f t="shared" si="11"/>
        <v>2600</v>
      </c>
      <c r="AA121" s="13"/>
      <c r="AB121" s="13"/>
      <c r="AC121" s="13"/>
      <c r="AD121" s="13"/>
    </row>
    <row r="122">
      <c r="A122" s="10" t="s">
        <v>9</v>
      </c>
      <c r="B122" s="10" t="s">
        <v>10</v>
      </c>
      <c r="C122" s="10" t="s">
        <v>17</v>
      </c>
      <c r="D122" s="10" t="s">
        <v>40</v>
      </c>
      <c r="E122" s="10" t="s">
        <v>41</v>
      </c>
      <c r="F122" s="10" t="s">
        <v>42</v>
      </c>
      <c r="G122" s="11" t="s">
        <v>213</v>
      </c>
      <c r="H122" s="11" t="s">
        <v>140</v>
      </c>
      <c r="I122" s="11"/>
      <c r="J122" s="9">
        <v>2180.0</v>
      </c>
      <c r="K122" s="12">
        <v>0.25</v>
      </c>
      <c r="L122" s="5">
        <f t="shared" si="10"/>
        <v>545</v>
      </c>
      <c r="M122" s="5">
        <f t="shared" si="11"/>
        <v>2725</v>
      </c>
      <c r="AA122" s="13"/>
      <c r="AB122" s="13"/>
      <c r="AC122" s="13"/>
      <c r="AD122" s="13"/>
    </row>
    <row r="123">
      <c r="A123" s="10" t="s">
        <v>9</v>
      </c>
      <c r="B123" s="10" t="s">
        <v>10</v>
      </c>
      <c r="C123" s="10" t="s">
        <v>17</v>
      </c>
      <c r="D123" s="10" t="s">
        <v>40</v>
      </c>
      <c r="E123" s="10" t="s">
        <v>41</v>
      </c>
      <c r="F123" s="10" t="s">
        <v>42</v>
      </c>
      <c r="G123" s="11" t="s">
        <v>214</v>
      </c>
      <c r="H123" s="11" t="s">
        <v>140</v>
      </c>
      <c r="I123" s="11"/>
      <c r="J123" s="9">
        <v>2425.0</v>
      </c>
      <c r="K123" s="12">
        <v>0.25</v>
      </c>
      <c r="L123" s="5">
        <f t="shared" si="10"/>
        <v>606.25</v>
      </c>
      <c r="M123" s="5">
        <f t="shared" si="11"/>
        <v>3031.25</v>
      </c>
      <c r="AA123" s="13"/>
      <c r="AB123" s="13"/>
      <c r="AC123" s="13"/>
      <c r="AD123" s="13"/>
    </row>
    <row r="124">
      <c r="A124" s="10" t="s">
        <v>9</v>
      </c>
      <c r="B124" s="10" t="s">
        <v>10</v>
      </c>
      <c r="C124" s="10" t="s">
        <v>17</v>
      </c>
      <c r="D124" s="10" t="s">
        <v>40</v>
      </c>
      <c r="E124" s="10" t="s">
        <v>41</v>
      </c>
      <c r="F124" s="10" t="s">
        <v>42</v>
      </c>
      <c r="G124" s="11" t="s">
        <v>215</v>
      </c>
      <c r="H124" s="11" t="s">
        <v>140</v>
      </c>
      <c r="I124" s="11"/>
      <c r="J124" s="9">
        <v>2525.0</v>
      </c>
      <c r="K124" s="12">
        <v>0.25</v>
      </c>
      <c r="L124" s="5">
        <f t="shared" si="10"/>
        <v>631.25</v>
      </c>
      <c r="M124" s="5">
        <f t="shared" si="11"/>
        <v>3156.25</v>
      </c>
      <c r="AA124" s="13"/>
      <c r="AB124" s="13"/>
      <c r="AC124" s="13"/>
      <c r="AD124" s="13"/>
    </row>
    <row r="125">
      <c r="A125" s="10" t="s">
        <v>9</v>
      </c>
      <c r="B125" s="10" t="s">
        <v>10</v>
      </c>
      <c r="C125" s="10" t="s">
        <v>17</v>
      </c>
      <c r="D125" s="10" t="s">
        <v>40</v>
      </c>
      <c r="E125" s="10" t="s">
        <v>41</v>
      </c>
      <c r="F125" s="10" t="s">
        <v>42</v>
      </c>
      <c r="G125" s="11" t="s">
        <v>216</v>
      </c>
      <c r="H125" s="11" t="s">
        <v>140</v>
      </c>
      <c r="I125" s="11"/>
      <c r="J125" s="9">
        <v>2525.0</v>
      </c>
      <c r="K125" s="12">
        <v>0.25</v>
      </c>
      <c r="L125" s="5">
        <f t="shared" si="10"/>
        <v>631.25</v>
      </c>
      <c r="M125" s="5">
        <f t="shared" si="11"/>
        <v>3156.25</v>
      </c>
      <c r="AA125" s="13"/>
      <c r="AB125" s="13"/>
      <c r="AC125" s="13"/>
      <c r="AD125" s="13"/>
    </row>
    <row r="126">
      <c r="A126" s="10" t="s">
        <v>9</v>
      </c>
      <c r="B126" s="10" t="s">
        <v>10</v>
      </c>
      <c r="C126" s="10" t="s">
        <v>17</v>
      </c>
      <c r="D126" s="10" t="s">
        <v>40</v>
      </c>
      <c r="E126" s="10" t="s">
        <v>41</v>
      </c>
      <c r="F126" s="10" t="s">
        <v>42</v>
      </c>
      <c r="G126" s="11" t="s">
        <v>217</v>
      </c>
      <c r="H126" s="11" t="s">
        <v>140</v>
      </c>
      <c r="I126" s="11"/>
      <c r="J126" s="9">
        <v>2625.0</v>
      </c>
      <c r="K126" s="12">
        <v>0.25</v>
      </c>
      <c r="L126" s="5">
        <f t="shared" si="10"/>
        <v>656.25</v>
      </c>
      <c r="M126" s="5">
        <f t="shared" si="11"/>
        <v>3281.25</v>
      </c>
      <c r="AA126" s="13"/>
      <c r="AB126" s="13"/>
      <c r="AC126" s="13"/>
      <c r="AD126" s="13"/>
    </row>
    <row r="127">
      <c r="A127" s="10" t="s">
        <v>9</v>
      </c>
      <c r="B127" s="10" t="s">
        <v>10</v>
      </c>
      <c r="C127" s="10" t="s">
        <v>17</v>
      </c>
      <c r="D127" s="10" t="s">
        <v>81</v>
      </c>
      <c r="E127" s="10" t="s">
        <v>41</v>
      </c>
      <c r="F127" s="10" t="s">
        <v>42</v>
      </c>
      <c r="G127" s="11" t="s">
        <v>218</v>
      </c>
      <c r="H127" s="11" t="s">
        <v>166</v>
      </c>
      <c r="I127" s="11"/>
      <c r="J127" s="9">
        <v>1800.0</v>
      </c>
      <c r="K127" s="12">
        <v>0.25</v>
      </c>
      <c r="L127" s="5">
        <f t="shared" si="10"/>
        <v>450</v>
      </c>
      <c r="M127" s="5">
        <f t="shared" si="11"/>
        <v>2250</v>
      </c>
      <c r="AA127" s="13"/>
      <c r="AB127" s="13"/>
      <c r="AC127" s="13"/>
      <c r="AD127" s="13"/>
    </row>
    <row r="128">
      <c r="A128" s="10" t="s">
        <v>9</v>
      </c>
      <c r="B128" s="10" t="s">
        <v>10</v>
      </c>
      <c r="C128" s="10" t="s">
        <v>17</v>
      </c>
      <c r="D128" s="10" t="s">
        <v>82</v>
      </c>
      <c r="E128" s="10" t="s">
        <v>41</v>
      </c>
      <c r="F128" s="10" t="s">
        <v>83</v>
      </c>
      <c r="G128" s="11" t="s">
        <v>219</v>
      </c>
      <c r="H128" s="11" t="s">
        <v>169</v>
      </c>
      <c r="I128" s="11"/>
      <c r="J128" s="9">
        <v>1800.0</v>
      </c>
      <c r="K128" s="12">
        <v>0.25</v>
      </c>
      <c r="L128" s="5">
        <f t="shared" si="10"/>
        <v>450</v>
      </c>
      <c r="M128" s="5">
        <f t="shared" si="11"/>
        <v>2250</v>
      </c>
      <c r="AA128" s="13"/>
      <c r="AB128" s="13"/>
      <c r="AC128" s="13"/>
      <c r="AD128" s="13"/>
    </row>
    <row r="129">
      <c r="A129" s="10" t="s">
        <v>9</v>
      </c>
      <c r="B129" s="10" t="s">
        <v>10</v>
      </c>
      <c r="C129" s="10" t="s">
        <v>17</v>
      </c>
      <c r="D129" s="10" t="s">
        <v>170</v>
      </c>
      <c r="E129" s="10" t="s">
        <v>87</v>
      </c>
      <c r="F129" s="10" t="s">
        <v>83</v>
      </c>
      <c r="G129" s="11" t="s">
        <v>220</v>
      </c>
      <c r="H129" s="11" t="s">
        <v>172</v>
      </c>
      <c r="I129" s="11"/>
      <c r="J129" s="9">
        <v>1200.0</v>
      </c>
      <c r="K129" s="12">
        <v>0.25</v>
      </c>
      <c r="L129" s="5">
        <f t="shared" si="10"/>
        <v>300</v>
      </c>
      <c r="M129" s="5">
        <f t="shared" si="11"/>
        <v>1500</v>
      </c>
      <c r="AA129" s="13"/>
      <c r="AB129" s="13"/>
      <c r="AC129" s="13"/>
      <c r="AD129" s="13"/>
    </row>
    <row r="130">
      <c r="A130" s="10" t="s">
        <v>9</v>
      </c>
      <c r="B130" s="10" t="s">
        <v>10</v>
      </c>
      <c r="C130" s="10" t="s">
        <v>17</v>
      </c>
      <c r="D130" s="10" t="s">
        <v>91</v>
      </c>
      <c r="E130" s="10" t="s">
        <v>87</v>
      </c>
      <c r="F130" s="10" t="s">
        <v>83</v>
      </c>
      <c r="G130" s="10" t="s">
        <v>220</v>
      </c>
      <c r="H130" s="11" t="s">
        <v>173</v>
      </c>
      <c r="I130" s="11"/>
      <c r="J130" s="9">
        <v>1425.0</v>
      </c>
      <c r="K130" s="12">
        <v>0.25</v>
      </c>
      <c r="L130" s="5">
        <f t="shared" si="10"/>
        <v>356.25</v>
      </c>
      <c r="M130" s="5">
        <f t="shared" si="11"/>
        <v>1781.25</v>
      </c>
      <c r="AA130" s="13"/>
      <c r="AB130" s="13"/>
      <c r="AC130" s="13"/>
      <c r="AD130" s="13"/>
    </row>
    <row r="131">
      <c r="A131" s="10" t="s">
        <v>9</v>
      </c>
      <c r="B131" s="10" t="s">
        <v>10</v>
      </c>
      <c r="C131" s="10" t="s">
        <v>17</v>
      </c>
      <c r="D131" s="10" t="s">
        <v>93</v>
      </c>
      <c r="E131" s="10" t="s">
        <v>94</v>
      </c>
      <c r="F131" s="10" t="s">
        <v>42</v>
      </c>
      <c r="G131" s="11" t="s">
        <v>221</v>
      </c>
      <c r="H131" s="10" t="s">
        <v>175</v>
      </c>
      <c r="I131" s="10"/>
      <c r="J131" s="9">
        <v>822.0</v>
      </c>
      <c r="K131" s="12">
        <v>0.25</v>
      </c>
      <c r="L131" s="5">
        <f t="shared" si="10"/>
        <v>205.5</v>
      </c>
      <c r="M131" s="5">
        <f t="shared" si="11"/>
        <v>1027.5</v>
      </c>
      <c r="AA131" s="13"/>
      <c r="AB131" s="13"/>
      <c r="AC131" s="13"/>
      <c r="AD131" s="13"/>
    </row>
    <row r="132">
      <c r="A132" s="10" t="s">
        <v>9</v>
      </c>
      <c r="B132" s="10" t="s">
        <v>10</v>
      </c>
      <c r="C132" s="10" t="s">
        <v>17</v>
      </c>
      <c r="D132" s="10" t="s">
        <v>97</v>
      </c>
      <c r="E132" s="10" t="s">
        <v>98</v>
      </c>
      <c r="F132" s="10" t="s">
        <v>99</v>
      </c>
      <c r="G132" s="11" t="s">
        <v>220</v>
      </c>
      <c r="H132" s="10" t="s">
        <v>177</v>
      </c>
      <c r="I132" s="10"/>
      <c r="J132" s="9">
        <v>708.0</v>
      </c>
      <c r="K132" s="12">
        <v>0.25</v>
      </c>
      <c r="L132" s="5">
        <f t="shared" si="10"/>
        <v>177</v>
      </c>
      <c r="M132" s="5">
        <f t="shared" si="11"/>
        <v>885</v>
      </c>
      <c r="AA132" s="13"/>
      <c r="AB132" s="13"/>
      <c r="AC132" s="13"/>
      <c r="AD132" s="13"/>
    </row>
    <row r="133">
      <c r="A133" s="10" t="s">
        <v>9</v>
      </c>
      <c r="B133" s="10" t="s">
        <v>10</v>
      </c>
      <c r="C133" s="10" t="s">
        <v>17</v>
      </c>
      <c r="D133" s="10" t="s">
        <v>97</v>
      </c>
      <c r="E133" s="10" t="s">
        <v>102</v>
      </c>
      <c r="F133" s="10" t="s">
        <v>99</v>
      </c>
      <c r="G133" s="11" t="s">
        <v>220</v>
      </c>
      <c r="H133" s="10" t="s">
        <v>177</v>
      </c>
      <c r="I133" s="10"/>
      <c r="J133" s="9">
        <v>708.0</v>
      </c>
      <c r="K133" s="12">
        <v>0.25</v>
      </c>
      <c r="L133" s="5">
        <f t="shared" si="10"/>
        <v>177</v>
      </c>
      <c r="M133" s="5">
        <f t="shared" si="11"/>
        <v>885</v>
      </c>
      <c r="AA133" s="13"/>
      <c r="AB133" s="13"/>
      <c r="AC133" s="13"/>
      <c r="AD133" s="13"/>
    </row>
    <row r="134">
      <c r="A134" s="10" t="s">
        <v>9</v>
      </c>
      <c r="B134" s="10" t="s">
        <v>10</v>
      </c>
      <c r="C134" s="10" t="s">
        <v>17</v>
      </c>
      <c r="D134" s="10" t="s">
        <v>97</v>
      </c>
      <c r="E134" s="10" t="s">
        <v>103</v>
      </c>
      <c r="F134" s="10" t="s">
        <v>99</v>
      </c>
      <c r="G134" s="11" t="s">
        <v>220</v>
      </c>
      <c r="H134" s="10" t="s">
        <v>177</v>
      </c>
      <c r="I134" s="10"/>
      <c r="J134" s="9">
        <v>908.0</v>
      </c>
      <c r="K134" s="12">
        <v>0.25</v>
      </c>
      <c r="L134" s="5">
        <f t="shared" si="10"/>
        <v>227</v>
      </c>
      <c r="M134" s="5">
        <f t="shared" si="11"/>
        <v>1135</v>
      </c>
      <c r="AA134" s="13"/>
      <c r="AB134" s="13"/>
      <c r="AC134" s="13"/>
      <c r="AD134" s="13"/>
    </row>
    <row r="135">
      <c r="A135" s="10" t="s">
        <v>9</v>
      </c>
      <c r="B135" s="10" t="s">
        <v>10</v>
      </c>
      <c r="C135" s="10" t="s">
        <v>17</v>
      </c>
      <c r="D135" s="10" t="s">
        <v>104</v>
      </c>
      <c r="E135" s="10" t="s">
        <v>105</v>
      </c>
      <c r="F135" s="10" t="s">
        <v>99</v>
      </c>
      <c r="G135" s="11" t="s">
        <v>220</v>
      </c>
      <c r="H135" s="10" t="s">
        <v>177</v>
      </c>
      <c r="I135" s="10"/>
      <c r="J135" s="9">
        <v>1525.0</v>
      </c>
      <c r="K135" s="12">
        <v>0.25</v>
      </c>
      <c r="L135" s="5">
        <f t="shared" si="10"/>
        <v>381.25</v>
      </c>
      <c r="M135" s="5">
        <f t="shared" si="11"/>
        <v>1906.25</v>
      </c>
      <c r="AA135" s="13"/>
      <c r="AB135" s="13"/>
      <c r="AC135" s="13"/>
      <c r="AD135" s="13"/>
    </row>
    <row r="136">
      <c r="A136" s="10" t="s">
        <v>9</v>
      </c>
      <c r="B136" s="10" t="s">
        <v>10</v>
      </c>
      <c r="C136" s="10" t="s">
        <v>17</v>
      </c>
      <c r="D136" s="10" t="s">
        <v>107</v>
      </c>
      <c r="E136" s="10" t="s">
        <v>108</v>
      </c>
      <c r="F136" s="10" t="s">
        <v>99</v>
      </c>
      <c r="G136" s="11" t="s">
        <v>220</v>
      </c>
      <c r="H136" s="10" t="s">
        <v>177</v>
      </c>
      <c r="I136" s="10"/>
      <c r="J136" s="9">
        <v>975.0</v>
      </c>
      <c r="K136" s="12">
        <v>0.25</v>
      </c>
      <c r="L136" s="5">
        <f t="shared" si="10"/>
        <v>243.75</v>
      </c>
      <c r="M136" s="5">
        <f t="shared" si="11"/>
        <v>1218.75</v>
      </c>
      <c r="AA136" s="13"/>
      <c r="AB136" s="13"/>
      <c r="AC136" s="13"/>
      <c r="AD136" s="13"/>
    </row>
    <row r="137">
      <c r="A137" s="10" t="s">
        <v>9</v>
      </c>
      <c r="B137" s="10" t="s">
        <v>10</v>
      </c>
      <c r="C137" s="10" t="s">
        <v>17</v>
      </c>
      <c r="D137" s="10" t="s">
        <v>107</v>
      </c>
      <c r="E137" s="10" t="s">
        <v>204</v>
      </c>
      <c r="F137" s="10" t="s">
        <v>99</v>
      </c>
      <c r="G137" s="11" t="s">
        <v>220</v>
      </c>
      <c r="H137" s="10" t="s">
        <v>177</v>
      </c>
      <c r="I137" s="10"/>
      <c r="J137" s="9">
        <v>825.0</v>
      </c>
      <c r="K137" s="12">
        <v>0.25</v>
      </c>
      <c r="L137" s="5">
        <f t="shared" si="10"/>
        <v>206.25</v>
      </c>
      <c r="M137" s="5">
        <f t="shared" si="11"/>
        <v>1031.25</v>
      </c>
      <c r="AA137" s="13"/>
      <c r="AB137" s="13"/>
      <c r="AC137" s="13"/>
      <c r="AD137" s="13"/>
    </row>
    <row r="138">
      <c r="G138" s="22"/>
      <c r="J138" s="9"/>
      <c r="K138" s="12"/>
      <c r="L138" s="5"/>
      <c r="M138" s="5"/>
      <c r="AA138" s="13"/>
      <c r="AB138" s="13"/>
      <c r="AC138" s="13"/>
      <c r="AD138" s="13"/>
    </row>
    <row r="139">
      <c r="G139" s="22"/>
      <c r="J139" s="9"/>
      <c r="K139" s="9"/>
      <c r="L139" s="9"/>
      <c r="M139" s="9"/>
      <c r="AA139" s="13"/>
      <c r="AB139" s="13"/>
      <c r="AC139" s="13"/>
      <c r="AD139" s="13"/>
    </row>
    <row r="140">
      <c r="G140" s="22"/>
      <c r="J140" s="9"/>
      <c r="K140" s="9"/>
      <c r="L140" s="9"/>
      <c r="M140" s="9"/>
      <c r="AA140" s="13"/>
      <c r="AB140" s="13"/>
      <c r="AC140" s="13"/>
      <c r="AD140" s="13"/>
    </row>
    <row r="141">
      <c r="G141" s="22"/>
      <c r="J141" s="9"/>
      <c r="K141" s="9"/>
      <c r="L141" s="9"/>
      <c r="M141" s="9"/>
      <c r="AA141" s="13"/>
      <c r="AB141" s="13"/>
      <c r="AC141" s="13"/>
      <c r="AD141" s="13"/>
    </row>
    <row r="142">
      <c r="G142" s="22"/>
      <c r="J142" s="9"/>
      <c r="K142" s="9"/>
      <c r="L142" s="9"/>
      <c r="M142" s="9"/>
      <c r="AA142" s="13"/>
      <c r="AB142" s="13"/>
      <c r="AC142" s="13"/>
      <c r="AD142" s="13"/>
    </row>
    <row r="143">
      <c r="G143" s="22"/>
      <c r="J143" s="9"/>
      <c r="K143" s="9"/>
      <c r="L143" s="9"/>
      <c r="M143" s="9"/>
      <c r="AA143" s="13"/>
      <c r="AB143" s="13"/>
      <c r="AC143" s="13"/>
      <c r="AD143" s="13"/>
    </row>
    <row r="144">
      <c r="G144" s="22"/>
      <c r="J144" s="9"/>
      <c r="K144" s="9"/>
      <c r="L144" s="9"/>
      <c r="M144" s="9"/>
      <c r="AA144" s="13"/>
      <c r="AB144" s="13"/>
      <c r="AC144" s="13"/>
      <c r="AD144" s="13"/>
    </row>
    <row r="145">
      <c r="G145" s="22"/>
      <c r="J145" s="9"/>
      <c r="K145" s="9"/>
      <c r="L145" s="9"/>
      <c r="M145" s="9"/>
      <c r="AA145" s="13"/>
      <c r="AB145" s="13"/>
      <c r="AC145" s="13"/>
      <c r="AD145" s="13"/>
    </row>
    <row r="146">
      <c r="G146" s="22"/>
      <c r="J146" s="9"/>
      <c r="K146" s="9"/>
      <c r="L146" s="9"/>
      <c r="M146" s="9"/>
      <c r="AA146" s="13"/>
      <c r="AB146" s="13"/>
      <c r="AC146" s="13"/>
      <c r="AD146" s="13"/>
    </row>
    <row r="147">
      <c r="G147" s="22"/>
      <c r="J147" s="9"/>
      <c r="K147" s="9"/>
      <c r="L147" s="9"/>
      <c r="M147" s="9"/>
      <c r="AA147" s="13"/>
      <c r="AB147" s="13"/>
      <c r="AC147" s="13"/>
      <c r="AD147" s="13"/>
    </row>
    <row r="148">
      <c r="G148" s="22"/>
      <c r="J148" s="9"/>
      <c r="K148" s="9"/>
      <c r="L148" s="9"/>
      <c r="M148" s="9"/>
      <c r="AA148" s="13"/>
      <c r="AB148" s="13"/>
      <c r="AC148" s="13"/>
      <c r="AD148" s="13"/>
    </row>
    <row r="149">
      <c r="G149" s="22"/>
      <c r="J149" s="9"/>
      <c r="K149" s="9"/>
      <c r="L149" s="9"/>
      <c r="M149" s="9"/>
      <c r="AA149" s="13"/>
      <c r="AB149" s="13"/>
      <c r="AC149" s="13"/>
      <c r="AD149" s="13"/>
    </row>
    <row r="150">
      <c r="G150" s="22"/>
      <c r="J150" s="9"/>
      <c r="K150" s="9"/>
      <c r="L150" s="9"/>
      <c r="M150" s="9"/>
      <c r="AA150" s="13"/>
      <c r="AB150" s="13"/>
      <c r="AC150" s="13"/>
      <c r="AD150" s="13"/>
    </row>
    <row r="151">
      <c r="G151" s="22"/>
      <c r="J151" s="9"/>
      <c r="K151" s="9"/>
      <c r="L151" s="9"/>
      <c r="M151" s="9"/>
      <c r="AA151" s="13"/>
      <c r="AB151" s="13"/>
      <c r="AC151" s="13"/>
      <c r="AD151" s="13"/>
    </row>
    <row r="152">
      <c r="G152" s="22"/>
      <c r="J152" s="9"/>
      <c r="K152" s="9"/>
      <c r="L152" s="9"/>
      <c r="M152" s="9"/>
      <c r="AA152" s="13"/>
      <c r="AB152" s="13"/>
      <c r="AC152" s="13"/>
      <c r="AD152" s="13"/>
    </row>
    <row r="153">
      <c r="G153" s="22"/>
      <c r="J153" s="9"/>
      <c r="K153" s="9"/>
      <c r="L153" s="9"/>
      <c r="M153" s="9"/>
      <c r="AA153" s="13"/>
      <c r="AB153" s="13"/>
      <c r="AC153" s="13"/>
      <c r="AD153" s="13"/>
    </row>
    <row r="154">
      <c r="G154" s="22"/>
      <c r="J154" s="9"/>
      <c r="K154" s="9"/>
      <c r="L154" s="9"/>
      <c r="M154" s="9"/>
      <c r="AA154" s="13"/>
      <c r="AB154" s="13"/>
      <c r="AC154" s="13"/>
      <c r="AD154" s="13"/>
    </row>
    <row r="155">
      <c r="G155" s="22"/>
      <c r="J155" s="9"/>
      <c r="K155" s="9"/>
      <c r="L155" s="9"/>
      <c r="M155" s="9"/>
      <c r="AA155" s="13"/>
      <c r="AB155" s="13"/>
      <c r="AC155" s="13"/>
      <c r="AD155" s="13"/>
    </row>
    <row r="156">
      <c r="G156" s="22"/>
      <c r="J156" s="9"/>
      <c r="K156" s="9"/>
      <c r="L156" s="9"/>
      <c r="M156" s="9"/>
      <c r="AA156" s="13"/>
      <c r="AB156" s="13"/>
      <c r="AC156" s="13"/>
      <c r="AD156" s="13"/>
    </row>
    <row r="157">
      <c r="G157" s="22"/>
      <c r="J157" s="9"/>
      <c r="K157" s="9"/>
      <c r="L157" s="9"/>
      <c r="M157" s="9"/>
      <c r="AA157" s="13"/>
      <c r="AB157" s="13"/>
      <c r="AC157" s="13"/>
      <c r="AD157" s="13"/>
    </row>
    <row r="158">
      <c r="G158" s="22"/>
      <c r="J158" s="9"/>
      <c r="K158" s="9"/>
      <c r="L158" s="9"/>
      <c r="M158" s="9"/>
      <c r="AA158" s="13"/>
      <c r="AB158" s="13"/>
      <c r="AC158" s="13"/>
      <c r="AD158" s="13"/>
    </row>
    <row r="159">
      <c r="G159" s="22"/>
      <c r="J159" s="9"/>
      <c r="K159" s="9"/>
      <c r="L159" s="9"/>
      <c r="M159" s="9"/>
      <c r="AA159" s="13"/>
      <c r="AB159" s="13"/>
      <c r="AC159" s="13"/>
      <c r="AD159" s="13"/>
    </row>
    <row r="160">
      <c r="G160" s="22"/>
      <c r="J160" s="9"/>
      <c r="K160" s="9"/>
      <c r="L160" s="9"/>
      <c r="M160" s="9"/>
      <c r="AA160" s="13"/>
      <c r="AB160" s="13"/>
      <c r="AC160" s="13"/>
      <c r="AD160" s="13"/>
    </row>
    <row r="161">
      <c r="G161" s="22"/>
      <c r="J161" s="9"/>
      <c r="K161" s="9"/>
      <c r="L161" s="9"/>
      <c r="M161" s="9"/>
      <c r="AA161" s="13"/>
      <c r="AB161" s="13"/>
      <c r="AC161" s="13"/>
      <c r="AD161" s="13"/>
    </row>
    <row r="162">
      <c r="G162" s="22"/>
      <c r="J162" s="9"/>
      <c r="K162" s="9"/>
      <c r="L162" s="9"/>
      <c r="M162" s="9"/>
      <c r="AA162" s="13"/>
      <c r="AB162" s="13"/>
      <c r="AC162" s="13"/>
      <c r="AD162" s="13"/>
    </row>
    <row r="163">
      <c r="G163" s="22"/>
      <c r="J163" s="9"/>
      <c r="K163" s="9"/>
      <c r="L163" s="9"/>
      <c r="M163" s="9"/>
      <c r="AA163" s="13"/>
      <c r="AB163" s="13"/>
      <c r="AC163" s="13"/>
      <c r="AD163" s="13"/>
    </row>
    <row r="164">
      <c r="G164" s="22"/>
      <c r="J164" s="9"/>
      <c r="K164" s="9"/>
      <c r="L164" s="9"/>
      <c r="M164" s="9"/>
      <c r="AA164" s="13"/>
      <c r="AB164" s="13"/>
      <c r="AC164" s="13"/>
      <c r="AD164" s="13"/>
    </row>
    <row r="165">
      <c r="G165" s="22"/>
      <c r="J165" s="9"/>
      <c r="K165" s="9"/>
      <c r="L165" s="9"/>
      <c r="M165" s="9"/>
      <c r="AA165" s="13"/>
      <c r="AB165" s="13"/>
      <c r="AC165" s="13"/>
      <c r="AD165" s="13"/>
    </row>
    <row r="166">
      <c r="G166" s="22"/>
      <c r="J166" s="9"/>
      <c r="K166" s="9"/>
      <c r="L166" s="9"/>
      <c r="M166" s="9"/>
      <c r="AA166" s="13"/>
      <c r="AB166" s="13"/>
      <c r="AC166" s="13"/>
      <c r="AD166" s="13"/>
    </row>
    <row r="167">
      <c r="G167" s="22"/>
      <c r="J167" s="9"/>
      <c r="K167" s="9"/>
      <c r="L167" s="9"/>
      <c r="M167" s="9"/>
      <c r="AA167" s="13"/>
      <c r="AB167" s="13"/>
      <c r="AC167" s="13"/>
      <c r="AD167" s="13"/>
    </row>
    <row r="168">
      <c r="G168" s="22"/>
      <c r="J168" s="9"/>
      <c r="K168" s="9"/>
      <c r="L168" s="9"/>
      <c r="M168" s="9"/>
      <c r="AA168" s="13"/>
      <c r="AB168" s="13"/>
      <c r="AC168" s="13"/>
      <c r="AD168" s="13"/>
    </row>
    <row r="169">
      <c r="G169" s="22"/>
      <c r="J169" s="9"/>
      <c r="K169" s="9"/>
      <c r="L169" s="9"/>
      <c r="M169" s="9"/>
      <c r="AA169" s="13"/>
      <c r="AB169" s="13"/>
      <c r="AC169" s="13"/>
      <c r="AD169" s="13"/>
    </row>
    <row r="170">
      <c r="G170" s="22"/>
      <c r="J170" s="9"/>
      <c r="K170" s="9"/>
      <c r="L170" s="9"/>
      <c r="M170" s="9"/>
      <c r="AA170" s="13"/>
      <c r="AB170" s="13"/>
      <c r="AC170" s="13"/>
      <c r="AD170" s="13"/>
    </row>
    <row r="171">
      <c r="G171" s="22"/>
      <c r="J171" s="9"/>
      <c r="K171" s="9"/>
      <c r="L171" s="9"/>
      <c r="M171" s="9"/>
      <c r="AA171" s="13"/>
      <c r="AB171" s="13"/>
      <c r="AC171" s="13"/>
      <c r="AD171" s="13"/>
    </row>
    <row r="172">
      <c r="G172" s="22"/>
      <c r="J172" s="9"/>
      <c r="K172" s="9"/>
      <c r="L172" s="9"/>
      <c r="M172" s="9"/>
      <c r="AA172" s="13"/>
      <c r="AB172" s="13"/>
      <c r="AC172" s="13"/>
      <c r="AD172" s="13"/>
    </row>
    <row r="173">
      <c r="G173" s="22"/>
      <c r="J173" s="9"/>
      <c r="K173" s="9"/>
      <c r="L173" s="9"/>
      <c r="M173" s="9"/>
      <c r="AA173" s="13"/>
      <c r="AB173" s="13"/>
      <c r="AC173" s="13"/>
      <c r="AD173" s="13"/>
    </row>
    <row r="174">
      <c r="G174" s="22"/>
      <c r="J174" s="9"/>
      <c r="K174" s="9"/>
      <c r="L174" s="9"/>
      <c r="M174" s="9"/>
      <c r="AA174" s="13"/>
      <c r="AB174" s="13"/>
      <c r="AC174" s="13"/>
      <c r="AD174" s="13"/>
    </row>
    <row r="175">
      <c r="G175" s="22"/>
      <c r="J175" s="9"/>
      <c r="K175" s="9"/>
      <c r="L175" s="9"/>
      <c r="M175" s="9"/>
      <c r="AA175" s="13"/>
      <c r="AB175" s="13"/>
      <c r="AC175" s="13"/>
      <c r="AD175" s="13"/>
    </row>
    <row r="176">
      <c r="G176" s="22"/>
      <c r="J176" s="9"/>
      <c r="K176" s="9"/>
      <c r="L176" s="9"/>
      <c r="M176" s="9"/>
      <c r="AA176" s="13"/>
      <c r="AB176" s="13"/>
      <c r="AC176" s="13"/>
      <c r="AD176" s="13"/>
    </row>
    <row r="177">
      <c r="G177" s="22"/>
      <c r="J177" s="9"/>
      <c r="K177" s="9"/>
      <c r="L177" s="9"/>
      <c r="M177" s="9"/>
      <c r="AA177" s="13"/>
      <c r="AB177" s="13"/>
      <c r="AC177" s="13"/>
      <c r="AD177" s="13"/>
    </row>
    <row r="178">
      <c r="G178" s="22"/>
      <c r="J178" s="9"/>
      <c r="K178" s="9"/>
      <c r="L178" s="9"/>
      <c r="M178" s="9"/>
      <c r="AA178" s="13"/>
      <c r="AB178" s="13"/>
      <c r="AC178" s="13"/>
      <c r="AD178" s="13"/>
    </row>
    <row r="179">
      <c r="G179" s="22"/>
      <c r="J179" s="9"/>
      <c r="K179" s="9"/>
      <c r="L179" s="9"/>
      <c r="M179" s="9"/>
      <c r="AA179" s="13"/>
      <c r="AB179" s="13"/>
      <c r="AC179" s="13"/>
      <c r="AD179" s="13"/>
    </row>
    <row r="180">
      <c r="G180" s="22"/>
      <c r="J180" s="9"/>
      <c r="K180" s="9"/>
      <c r="L180" s="9"/>
      <c r="M180" s="9"/>
      <c r="AA180" s="13"/>
      <c r="AB180" s="13"/>
      <c r="AC180" s="13"/>
      <c r="AD180" s="13"/>
    </row>
    <row r="181">
      <c r="G181" s="22"/>
      <c r="J181" s="9"/>
      <c r="K181" s="9"/>
      <c r="L181" s="9"/>
      <c r="M181" s="9"/>
      <c r="AA181" s="13"/>
      <c r="AB181" s="13"/>
      <c r="AC181" s="13"/>
      <c r="AD181" s="13"/>
    </row>
    <row r="182">
      <c r="G182" s="22"/>
      <c r="J182" s="9"/>
      <c r="K182" s="9"/>
      <c r="L182" s="9"/>
      <c r="M182" s="9"/>
      <c r="AA182" s="13"/>
      <c r="AB182" s="13"/>
      <c r="AC182" s="13"/>
      <c r="AD182" s="13"/>
    </row>
    <row r="183">
      <c r="G183" s="22"/>
      <c r="J183" s="9"/>
      <c r="K183" s="9"/>
      <c r="L183" s="9"/>
      <c r="M183" s="9"/>
      <c r="AA183" s="13"/>
      <c r="AB183" s="13"/>
      <c r="AC183" s="13"/>
      <c r="AD183" s="13"/>
    </row>
    <row r="184">
      <c r="G184" s="22"/>
      <c r="J184" s="9"/>
      <c r="K184" s="9"/>
      <c r="L184" s="9"/>
      <c r="M184" s="9"/>
      <c r="AA184" s="13"/>
      <c r="AB184" s="13"/>
      <c r="AC184" s="13"/>
      <c r="AD184" s="13"/>
    </row>
    <row r="185">
      <c r="G185" s="22"/>
      <c r="J185" s="9"/>
      <c r="K185" s="9"/>
      <c r="L185" s="9"/>
      <c r="M185" s="9"/>
      <c r="AA185" s="13"/>
      <c r="AB185" s="13"/>
      <c r="AC185" s="13"/>
      <c r="AD185" s="13"/>
    </row>
    <row r="186">
      <c r="G186" s="22"/>
      <c r="J186" s="9"/>
      <c r="K186" s="9"/>
      <c r="L186" s="9"/>
      <c r="M186" s="9"/>
      <c r="AA186" s="13"/>
      <c r="AB186" s="13"/>
      <c r="AC186" s="13"/>
      <c r="AD186" s="13"/>
    </row>
    <row r="187">
      <c r="G187" s="22"/>
      <c r="J187" s="9"/>
      <c r="K187" s="9"/>
      <c r="L187" s="9"/>
      <c r="M187" s="9"/>
      <c r="AA187" s="13"/>
      <c r="AB187" s="13"/>
      <c r="AC187" s="13"/>
      <c r="AD187" s="13"/>
    </row>
    <row r="188">
      <c r="G188" s="22"/>
      <c r="J188" s="9"/>
      <c r="K188" s="9"/>
      <c r="L188" s="9"/>
      <c r="M188" s="9"/>
      <c r="AA188" s="13"/>
      <c r="AB188" s="13"/>
      <c r="AC188" s="13"/>
      <c r="AD188" s="13"/>
    </row>
    <row r="189">
      <c r="G189" s="22"/>
      <c r="J189" s="9"/>
      <c r="K189" s="9"/>
      <c r="L189" s="9"/>
      <c r="M189" s="9"/>
      <c r="AA189" s="13"/>
      <c r="AB189" s="13"/>
      <c r="AC189" s="13"/>
      <c r="AD189" s="13"/>
    </row>
    <row r="190">
      <c r="G190" s="22"/>
      <c r="J190" s="9"/>
      <c r="K190" s="9"/>
      <c r="L190" s="9"/>
      <c r="M190" s="9"/>
      <c r="AA190" s="13"/>
      <c r="AB190" s="13"/>
      <c r="AC190" s="13"/>
      <c r="AD190" s="13"/>
    </row>
    <row r="191">
      <c r="G191" s="22"/>
      <c r="J191" s="9"/>
      <c r="K191" s="9"/>
      <c r="L191" s="9"/>
      <c r="M191" s="9"/>
      <c r="AA191" s="13"/>
      <c r="AB191" s="13"/>
      <c r="AC191" s="13"/>
      <c r="AD191" s="13"/>
    </row>
    <row r="192">
      <c r="G192" s="22"/>
      <c r="J192" s="9"/>
      <c r="K192" s="9"/>
      <c r="L192" s="9"/>
      <c r="M192" s="9"/>
      <c r="AA192" s="13"/>
      <c r="AB192" s="13"/>
      <c r="AC192" s="13"/>
      <c r="AD192" s="13"/>
    </row>
    <row r="193">
      <c r="G193" s="22"/>
      <c r="J193" s="9"/>
      <c r="K193" s="9"/>
      <c r="L193" s="9"/>
      <c r="M193" s="9"/>
      <c r="AA193" s="13"/>
      <c r="AB193" s="13"/>
      <c r="AC193" s="13"/>
      <c r="AD193" s="13"/>
    </row>
    <row r="194">
      <c r="G194" s="22"/>
      <c r="J194" s="9"/>
      <c r="K194" s="9"/>
      <c r="L194" s="9"/>
      <c r="M194" s="9"/>
      <c r="AA194" s="13"/>
      <c r="AB194" s="13"/>
      <c r="AC194" s="13"/>
      <c r="AD194" s="13"/>
    </row>
    <row r="195">
      <c r="G195" s="22"/>
      <c r="J195" s="9"/>
      <c r="K195" s="9"/>
      <c r="L195" s="9"/>
      <c r="M195" s="9"/>
      <c r="AA195" s="13"/>
      <c r="AB195" s="13"/>
      <c r="AC195" s="13"/>
      <c r="AD195" s="13"/>
    </row>
    <row r="196">
      <c r="G196" s="22"/>
      <c r="J196" s="9"/>
      <c r="K196" s="9"/>
      <c r="L196" s="9"/>
      <c r="M196" s="9"/>
      <c r="AA196" s="13"/>
      <c r="AB196" s="13"/>
      <c r="AC196" s="13"/>
      <c r="AD196" s="13"/>
    </row>
    <row r="197">
      <c r="G197" s="22"/>
      <c r="J197" s="9"/>
      <c r="K197" s="9"/>
      <c r="L197" s="9"/>
      <c r="M197" s="9"/>
      <c r="AA197" s="13"/>
      <c r="AB197" s="13"/>
      <c r="AC197" s="13"/>
      <c r="AD197" s="13"/>
    </row>
    <row r="198">
      <c r="G198" s="22"/>
      <c r="J198" s="9"/>
      <c r="K198" s="9"/>
      <c r="L198" s="9"/>
      <c r="M198" s="9"/>
      <c r="AA198" s="13"/>
      <c r="AB198" s="13"/>
      <c r="AC198" s="13"/>
      <c r="AD198" s="13"/>
    </row>
    <row r="199">
      <c r="G199" s="22"/>
      <c r="J199" s="9"/>
      <c r="K199" s="9"/>
      <c r="L199" s="9"/>
      <c r="M199" s="9"/>
      <c r="AA199" s="13"/>
      <c r="AB199" s="13"/>
      <c r="AC199" s="13"/>
      <c r="AD199" s="13"/>
    </row>
    <row r="200">
      <c r="G200" s="22"/>
      <c r="J200" s="9"/>
      <c r="K200" s="9"/>
      <c r="L200" s="9"/>
      <c r="M200" s="9"/>
      <c r="AA200" s="13"/>
      <c r="AB200" s="13"/>
      <c r="AC200" s="13"/>
      <c r="AD200" s="13"/>
    </row>
    <row r="201">
      <c r="G201" s="22"/>
      <c r="J201" s="9"/>
      <c r="K201" s="9"/>
      <c r="L201" s="9"/>
      <c r="M201" s="9"/>
      <c r="AA201" s="13"/>
      <c r="AB201" s="13"/>
      <c r="AC201" s="13"/>
      <c r="AD201" s="13"/>
    </row>
    <row r="202">
      <c r="G202" s="22"/>
      <c r="J202" s="9"/>
      <c r="K202" s="9"/>
      <c r="L202" s="9"/>
      <c r="M202" s="9"/>
      <c r="AA202" s="13"/>
      <c r="AB202" s="13"/>
      <c r="AC202" s="13"/>
      <c r="AD202" s="13"/>
    </row>
    <row r="203">
      <c r="G203" s="22"/>
      <c r="J203" s="9"/>
      <c r="K203" s="9"/>
      <c r="L203" s="9"/>
      <c r="M203" s="9"/>
      <c r="AA203" s="13"/>
      <c r="AB203" s="13"/>
      <c r="AC203" s="13"/>
      <c r="AD203" s="13"/>
    </row>
    <row r="204">
      <c r="G204" s="22"/>
      <c r="J204" s="9"/>
      <c r="K204" s="9"/>
      <c r="L204" s="9"/>
      <c r="M204" s="9"/>
      <c r="AA204" s="13"/>
      <c r="AB204" s="13"/>
      <c r="AC204" s="13"/>
      <c r="AD204" s="13"/>
    </row>
    <row r="205">
      <c r="G205" s="22"/>
      <c r="J205" s="9"/>
      <c r="K205" s="9"/>
      <c r="L205" s="9"/>
      <c r="M205" s="9"/>
      <c r="AA205" s="13"/>
      <c r="AB205" s="13"/>
      <c r="AC205" s="13"/>
      <c r="AD205" s="13"/>
    </row>
    <row r="206">
      <c r="G206" s="22"/>
      <c r="J206" s="9"/>
      <c r="K206" s="9"/>
      <c r="L206" s="9"/>
      <c r="M206" s="9"/>
      <c r="AA206" s="13"/>
      <c r="AB206" s="13"/>
      <c r="AC206" s="13"/>
      <c r="AD206" s="13"/>
    </row>
    <row r="207">
      <c r="G207" s="22"/>
      <c r="J207" s="9"/>
      <c r="K207" s="9"/>
      <c r="L207" s="9"/>
      <c r="M207" s="9"/>
      <c r="AA207" s="13"/>
      <c r="AB207" s="13"/>
      <c r="AC207" s="13"/>
      <c r="AD207" s="13"/>
    </row>
    <row r="208">
      <c r="G208" s="22"/>
      <c r="J208" s="9"/>
      <c r="K208" s="9"/>
      <c r="L208" s="9"/>
      <c r="M208" s="9"/>
      <c r="AA208" s="13"/>
      <c r="AB208" s="13"/>
      <c r="AC208" s="13"/>
      <c r="AD208" s="13"/>
    </row>
    <row r="209">
      <c r="G209" s="22"/>
      <c r="J209" s="9"/>
      <c r="K209" s="9"/>
      <c r="L209" s="9"/>
      <c r="M209" s="9"/>
      <c r="AA209" s="13"/>
      <c r="AB209" s="13"/>
      <c r="AC209" s="13"/>
      <c r="AD209" s="13"/>
    </row>
    <row r="210">
      <c r="G210" s="22"/>
      <c r="J210" s="9"/>
      <c r="K210" s="9"/>
      <c r="L210" s="9"/>
      <c r="M210" s="9"/>
      <c r="AA210" s="13"/>
      <c r="AB210" s="13"/>
      <c r="AC210" s="13"/>
      <c r="AD210" s="13"/>
    </row>
    <row r="211">
      <c r="G211" s="22"/>
      <c r="J211" s="9"/>
      <c r="K211" s="9"/>
      <c r="L211" s="9"/>
      <c r="M211" s="9"/>
      <c r="AA211" s="13"/>
      <c r="AB211" s="13"/>
      <c r="AC211" s="13"/>
      <c r="AD211" s="13"/>
    </row>
    <row r="212">
      <c r="G212" s="22"/>
      <c r="J212" s="9"/>
      <c r="K212" s="9"/>
      <c r="L212" s="9"/>
      <c r="M212" s="9"/>
      <c r="AA212" s="13"/>
      <c r="AB212" s="13"/>
      <c r="AC212" s="13"/>
      <c r="AD212" s="13"/>
    </row>
    <row r="213">
      <c r="G213" s="22"/>
      <c r="J213" s="9"/>
      <c r="K213" s="9"/>
      <c r="L213" s="9"/>
      <c r="M213" s="9"/>
      <c r="AA213" s="13"/>
      <c r="AB213" s="13"/>
      <c r="AC213" s="13"/>
      <c r="AD213" s="13"/>
    </row>
    <row r="214">
      <c r="G214" s="22"/>
      <c r="J214" s="9"/>
      <c r="K214" s="9"/>
      <c r="L214" s="9"/>
      <c r="M214" s="9"/>
      <c r="AA214" s="13"/>
      <c r="AB214" s="13"/>
      <c r="AC214" s="13"/>
      <c r="AD214" s="13"/>
    </row>
    <row r="215">
      <c r="G215" s="22"/>
      <c r="J215" s="9"/>
      <c r="K215" s="9"/>
      <c r="L215" s="9"/>
      <c r="M215" s="9"/>
      <c r="AA215" s="13"/>
      <c r="AB215" s="13"/>
      <c r="AC215" s="13"/>
      <c r="AD215" s="13"/>
    </row>
    <row r="216">
      <c r="G216" s="22"/>
      <c r="J216" s="9"/>
      <c r="K216" s="9"/>
      <c r="L216" s="9"/>
      <c r="M216" s="9"/>
      <c r="AA216" s="13"/>
      <c r="AB216" s="13"/>
      <c r="AC216" s="13"/>
      <c r="AD216" s="13"/>
    </row>
    <row r="217">
      <c r="G217" s="22"/>
      <c r="J217" s="9"/>
      <c r="K217" s="9"/>
      <c r="L217" s="9"/>
      <c r="M217" s="9"/>
      <c r="AA217" s="13"/>
      <c r="AB217" s="13"/>
      <c r="AC217" s="13"/>
      <c r="AD217" s="13"/>
    </row>
    <row r="218">
      <c r="G218" s="22"/>
      <c r="J218" s="9"/>
      <c r="K218" s="9"/>
      <c r="L218" s="9"/>
      <c r="M218" s="9"/>
      <c r="AA218" s="13"/>
      <c r="AB218" s="13"/>
      <c r="AC218" s="13"/>
      <c r="AD218" s="13"/>
    </row>
    <row r="219">
      <c r="G219" s="22"/>
      <c r="J219" s="9"/>
      <c r="K219" s="9"/>
      <c r="L219" s="9"/>
      <c r="M219" s="9"/>
      <c r="AA219" s="13"/>
      <c r="AB219" s="13"/>
      <c r="AC219" s="13"/>
      <c r="AD219" s="13"/>
    </row>
    <row r="220">
      <c r="G220" s="22"/>
      <c r="J220" s="9"/>
      <c r="K220" s="9"/>
      <c r="L220" s="9"/>
      <c r="M220" s="9"/>
      <c r="AA220" s="13"/>
      <c r="AB220" s="13"/>
      <c r="AC220" s="13"/>
      <c r="AD220" s="13"/>
    </row>
    <row r="221">
      <c r="G221" s="22"/>
      <c r="J221" s="9"/>
      <c r="K221" s="9"/>
      <c r="L221" s="9"/>
      <c r="M221" s="9"/>
      <c r="AA221" s="13"/>
      <c r="AB221" s="13"/>
      <c r="AC221" s="13"/>
      <c r="AD221" s="13"/>
    </row>
    <row r="222">
      <c r="G222" s="22"/>
      <c r="J222" s="9"/>
      <c r="K222" s="9"/>
      <c r="L222" s="9"/>
      <c r="M222" s="9"/>
      <c r="AA222" s="13"/>
      <c r="AB222" s="13"/>
      <c r="AC222" s="13"/>
      <c r="AD222" s="13"/>
    </row>
    <row r="223">
      <c r="G223" s="22"/>
      <c r="J223" s="9"/>
      <c r="K223" s="9"/>
      <c r="L223" s="9"/>
      <c r="M223" s="9"/>
      <c r="AA223" s="13"/>
      <c r="AB223" s="13"/>
      <c r="AC223" s="13"/>
      <c r="AD223" s="13"/>
    </row>
    <row r="224">
      <c r="G224" s="22"/>
      <c r="J224" s="9"/>
      <c r="K224" s="9"/>
      <c r="L224" s="9"/>
      <c r="M224" s="9"/>
      <c r="AA224" s="13"/>
      <c r="AB224" s="13"/>
      <c r="AC224" s="13"/>
      <c r="AD224" s="13"/>
    </row>
    <row r="225">
      <c r="G225" s="22"/>
      <c r="J225" s="9"/>
      <c r="K225" s="9"/>
      <c r="L225" s="9"/>
      <c r="M225" s="9"/>
      <c r="AA225" s="13"/>
      <c r="AB225" s="13"/>
      <c r="AC225" s="13"/>
      <c r="AD225" s="13"/>
    </row>
    <row r="226">
      <c r="G226" s="22"/>
      <c r="J226" s="9"/>
      <c r="K226" s="9"/>
      <c r="L226" s="9"/>
      <c r="M226" s="9"/>
      <c r="AA226" s="13"/>
      <c r="AB226" s="13"/>
      <c r="AC226" s="13"/>
      <c r="AD226" s="13"/>
    </row>
    <row r="227">
      <c r="G227" s="22"/>
      <c r="J227" s="9"/>
      <c r="K227" s="9"/>
      <c r="L227" s="9"/>
      <c r="M227" s="9"/>
      <c r="AA227" s="13"/>
      <c r="AB227" s="13"/>
      <c r="AC227" s="13"/>
      <c r="AD227" s="13"/>
    </row>
    <row r="228">
      <c r="G228" s="22"/>
      <c r="J228" s="9"/>
      <c r="K228" s="9"/>
      <c r="L228" s="9"/>
      <c r="M228" s="9"/>
      <c r="AA228" s="13"/>
      <c r="AB228" s="13"/>
      <c r="AC228" s="13"/>
      <c r="AD228" s="13"/>
    </row>
    <row r="229">
      <c r="G229" s="22"/>
      <c r="J229" s="9"/>
      <c r="K229" s="9"/>
      <c r="L229" s="9"/>
      <c r="M229" s="9"/>
      <c r="AA229" s="13"/>
      <c r="AB229" s="13"/>
      <c r="AC229" s="13"/>
      <c r="AD229" s="13"/>
    </row>
    <row r="230">
      <c r="G230" s="22"/>
      <c r="J230" s="9"/>
      <c r="K230" s="9"/>
      <c r="L230" s="9"/>
      <c r="M230" s="9"/>
      <c r="AA230" s="13"/>
      <c r="AB230" s="13"/>
      <c r="AC230" s="13"/>
      <c r="AD230" s="13"/>
    </row>
    <row r="231">
      <c r="G231" s="22"/>
      <c r="J231" s="9"/>
      <c r="K231" s="9"/>
      <c r="L231" s="9"/>
      <c r="M231" s="9"/>
      <c r="AA231" s="13"/>
      <c r="AB231" s="13"/>
      <c r="AC231" s="13"/>
      <c r="AD231" s="13"/>
    </row>
    <row r="232">
      <c r="G232" s="22"/>
      <c r="J232" s="9"/>
      <c r="K232" s="9"/>
      <c r="L232" s="9"/>
      <c r="M232" s="9"/>
      <c r="AA232" s="13"/>
      <c r="AB232" s="13"/>
      <c r="AC232" s="13"/>
      <c r="AD232" s="13"/>
    </row>
    <row r="233">
      <c r="G233" s="22"/>
      <c r="J233" s="9"/>
      <c r="K233" s="9"/>
      <c r="L233" s="9"/>
      <c r="M233" s="9"/>
      <c r="AA233" s="13"/>
      <c r="AB233" s="13"/>
      <c r="AC233" s="13"/>
      <c r="AD233" s="13"/>
    </row>
    <row r="234">
      <c r="G234" s="22"/>
      <c r="J234" s="9"/>
      <c r="K234" s="9"/>
      <c r="L234" s="9"/>
      <c r="M234" s="9"/>
      <c r="AA234" s="13"/>
      <c r="AB234" s="13"/>
      <c r="AC234" s="13"/>
      <c r="AD234" s="13"/>
    </row>
    <row r="235">
      <c r="G235" s="22"/>
      <c r="J235" s="9"/>
      <c r="K235" s="9"/>
      <c r="L235" s="9"/>
      <c r="M235" s="9"/>
      <c r="AA235" s="13"/>
      <c r="AB235" s="13"/>
      <c r="AC235" s="13"/>
      <c r="AD235" s="13"/>
    </row>
    <row r="236">
      <c r="G236" s="22"/>
      <c r="J236" s="9"/>
      <c r="K236" s="9"/>
      <c r="L236" s="9"/>
      <c r="M236" s="9"/>
      <c r="AA236" s="13"/>
      <c r="AB236" s="13"/>
      <c r="AC236" s="13"/>
      <c r="AD236" s="13"/>
    </row>
    <row r="237">
      <c r="G237" s="22"/>
      <c r="J237" s="9"/>
      <c r="K237" s="9"/>
      <c r="L237" s="9"/>
      <c r="M237" s="9"/>
      <c r="AA237" s="13"/>
      <c r="AB237" s="13"/>
      <c r="AC237" s="13"/>
      <c r="AD237" s="13"/>
    </row>
    <row r="238">
      <c r="G238" s="22"/>
      <c r="J238" s="9"/>
      <c r="K238" s="9"/>
      <c r="L238" s="9"/>
      <c r="M238" s="9"/>
      <c r="AA238" s="13"/>
      <c r="AB238" s="13"/>
      <c r="AC238" s="13"/>
      <c r="AD238" s="13"/>
    </row>
    <row r="239">
      <c r="G239" s="22"/>
      <c r="J239" s="9"/>
      <c r="K239" s="9"/>
      <c r="L239" s="9"/>
      <c r="M239" s="9"/>
      <c r="AA239" s="13"/>
      <c r="AB239" s="13"/>
      <c r="AC239" s="13"/>
      <c r="AD239" s="13"/>
    </row>
    <row r="240">
      <c r="G240" s="22"/>
      <c r="J240" s="9"/>
      <c r="K240" s="9"/>
      <c r="L240" s="9"/>
      <c r="M240" s="9"/>
      <c r="AA240" s="13"/>
      <c r="AB240" s="13"/>
      <c r="AC240" s="13"/>
      <c r="AD240" s="13"/>
    </row>
    <row r="241">
      <c r="G241" s="22"/>
      <c r="J241" s="9"/>
      <c r="K241" s="9"/>
      <c r="L241" s="9"/>
      <c r="M241" s="9"/>
      <c r="AA241" s="13"/>
      <c r="AB241" s="13"/>
      <c r="AC241" s="13"/>
      <c r="AD241" s="13"/>
    </row>
    <row r="242">
      <c r="G242" s="22"/>
      <c r="J242" s="9"/>
      <c r="K242" s="9"/>
      <c r="L242" s="9"/>
      <c r="M242" s="9"/>
      <c r="AA242" s="13"/>
      <c r="AB242" s="13"/>
      <c r="AC242" s="13"/>
      <c r="AD242" s="13"/>
    </row>
    <row r="243">
      <c r="G243" s="22"/>
      <c r="J243" s="9"/>
      <c r="K243" s="9"/>
      <c r="L243" s="9"/>
      <c r="M243" s="9"/>
      <c r="AA243" s="13"/>
      <c r="AB243" s="13"/>
      <c r="AC243" s="13"/>
      <c r="AD243" s="13"/>
    </row>
    <row r="244">
      <c r="G244" s="22"/>
      <c r="J244" s="9"/>
      <c r="K244" s="9"/>
      <c r="L244" s="9"/>
      <c r="M244" s="9"/>
      <c r="AA244" s="13"/>
      <c r="AB244" s="13"/>
      <c r="AC244" s="13"/>
      <c r="AD244" s="13"/>
    </row>
    <row r="245">
      <c r="G245" s="22"/>
      <c r="J245" s="9"/>
      <c r="K245" s="9"/>
      <c r="L245" s="9"/>
      <c r="M245" s="9"/>
      <c r="AA245" s="13"/>
      <c r="AB245" s="13"/>
      <c r="AC245" s="13"/>
      <c r="AD245" s="13"/>
    </row>
    <row r="246">
      <c r="G246" s="22"/>
      <c r="J246" s="9"/>
      <c r="K246" s="9"/>
      <c r="L246" s="9"/>
      <c r="M246" s="9"/>
      <c r="AA246" s="13"/>
      <c r="AB246" s="13"/>
      <c r="AC246" s="13"/>
      <c r="AD246" s="13"/>
    </row>
    <row r="247">
      <c r="G247" s="22"/>
      <c r="J247" s="9"/>
      <c r="K247" s="9"/>
      <c r="L247" s="9"/>
      <c r="M247" s="9"/>
      <c r="AA247" s="13"/>
      <c r="AB247" s="13"/>
      <c r="AC247" s="13"/>
      <c r="AD247" s="13"/>
    </row>
    <row r="248">
      <c r="G248" s="22"/>
      <c r="J248" s="9"/>
      <c r="K248" s="9"/>
      <c r="L248" s="9"/>
      <c r="M248" s="9"/>
      <c r="AA248" s="13"/>
      <c r="AB248" s="13"/>
      <c r="AC248" s="13"/>
      <c r="AD248" s="13"/>
    </row>
    <row r="249">
      <c r="G249" s="22"/>
      <c r="J249" s="9"/>
      <c r="K249" s="9"/>
      <c r="L249" s="9"/>
      <c r="M249" s="9"/>
      <c r="AA249" s="13"/>
      <c r="AB249" s="13"/>
      <c r="AC249" s="13"/>
      <c r="AD249" s="13"/>
    </row>
    <row r="250">
      <c r="G250" s="22"/>
      <c r="J250" s="9"/>
      <c r="K250" s="9"/>
      <c r="L250" s="9"/>
      <c r="M250" s="9"/>
      <c r="AA250" s="13"/>
      <c r="AB250" s="13"/>
      <c r="AC250" s="13"/>
      <c r="AD250" s="13"/>
    </row>
    <row r="251">
      <c r="G251" s="22"/>
      <c r="J251" s="9"/>
      <c r="K251" s="9"/>
      <c r="L251" s="9"/>
      <c r="M251" s="9"/>
      <c r="AA251" s="13"/>
      <c r="AB251" s="13"/>
      <c r="AC251" s="13"/>
      <c r="AD251" s="13"/>
    </row>
    <row r="252">
      <c r="G252" s="22"/>
      <c r="J252" s="9"/>
      <c r="K252" s="9"/>
      <c r="L252" s="9"/>
      <c r="M252" s="9"/>
      <c r="AA252" s="13"/>
      <c r="AB252" s="13"/>
      <c r="AC252" s="13"/>
      <c r="AD252" s="13"/>
    </row>
    <row r="253">
      <c r="G253" s="22"/>
      <c r="J253" s="9"/>
      <c r="K253" s="9"/>
      <c r="L253" s="9"/>
      <c r="M253" s="9"/>
      <c r="AA253" s="13"/>
      <c r="AB253" s="13"/>
      <c r="AC253" s="13"/>
      <c r="AD253" s="13"/>
    </row>
    <row r="254">
      <c r="G254" s="22"/>
      <c r="J254" s="9"/>
      <c r="K254" s="9"/>
      <c r="L254" s="9"/>
      <c r="M254" s="9"/>
      <c r="AA254" s="13"/>
      <c r="AB254" s="13"/>
      <c r="AC254" s="13"/>
      <c r="AD254" s="13"/>
    </row>
    <row r="255">
      <c r="G255" s="22"/>
      <c r="J255" s="9"/>
      <c r="K255" s="9"/>
      <c r="L255" s="9"/>
      <c r="M255" s="9"/>
      <c r="AA255" s="13"/>
      <c r="AB255" s="13"/>
      <c r="AC255" s="13"/>
      <c r="AD255" s="13"/>
    </row>
    <row r="256">
      <c r="G256" s="22"/>
      <c r="J256" s="9"/>
      <c r="K256" s="9"/>
      <c r="L256" s="9"/>
      <c r="M256" s="9"/>
      <c r="AA256" s="13"/>
      <c r="AB256" s="13"/>
      <c r="AC256" s="13"/>
      <c r="AD256" s="13"/>
    </row>
    <row r="257">
      <c r="G257" s="22"/>
      <c r="J257" s="9"/>
      <c r="K257" s="9"/>
      <c r="L257" s="9"/>
      <c r="M257" s="9"/>
      <c r="AA257" s="13"/>
      <c r="AB257" s="13"/>
      <c r="AC257" s="13"/>
      <c r="AD257" s="13"/>
    </row>
    <row r="258">
      <c r="G258" s="22"/>
      <c r="J258" s="9"/>
      <c r="K258" s="9"/>
      <c r="L258" s="9"/>
      <c r="M258" s="9"/>
      <c r="AA258" s="13"/>
      <c r="AB258" s="13"/>
      <c r="AC258" s="13"/>
      <c r="AD258" s="13"/>
    </row>
    <row r="259">
      <c r="G259" s="22"/>
      <c r="J259" s="9"/>
      <c r="K259" s="9"/>
      <c r="L259" s="9"/>
      <c r="M259" s="9"/>
      <c r="AA259" s="13"/>
      <c r="AB259" s="13"/>
      <c r="AC259" s="13"/>
      <c r="AD259" s="13"/>
    </row>
    <row r="260">
      <c r="G260" s="22"/>
      <c r="J260" s="9"/>
      <c r="K260" s="9"/>
      <c r="L260" s="9"/>
      <c r="M260" s="9"/>
      <c r="AA260" s="13"/>
      <c r="AB260" s="13"/>
      <c r="AC260" s="13"/>
      <c r="AD260" s="13"/>
    </row>
    <row r="261">
      <c r="G261" s="22"/>
      <c r="J261" s="9"/>
      <c r="K261" s="9"/>
      <c r="L261" s="9"/>
      <c r="M261" s="9"/>
      <c r="AA261" s="13"/>
      <c r="AB261" s="13"/>
      <c r="AC261" s="13"/>
      <c r="AD261" s="13"/>
    </row>
    <row r="262">
      <c r="G262" s="22"/>
      <c r="J262" s="9"/>
      <c r="K262" s="9"/>
      <c r="L262" s="9"/>
      <c r="M262" s="9"/>
      <c r="AA262" s="13"/>
      <c r="AB262" s="13"/>
      <c r="AC262" s="13"/>
      <c r="AD262" s="13"/>
    </row>
    <row r="263">
      <c r="G263" s="22"/>
      <c r="J263" s="9"/>
      <c r="K263" s="9"/>
      <c r="L263" s="9"/>
      <c r="M263" s="9"/>
      <c r="AA263" s="13"/>
      <c r="AB263" s="13"/>
      <c r="AC263" s="13"/>
      <c r="AD263" s="13"/>
    </row>
    <row r="264">
      <c r="G264" s="22"/>
      <c r="J264" s="9"/>
      <c r="K264" s="9"/>
      <c r="L264" s="9"/>
      <c r="M264" s="9"/>
      <c r="AA264" s="13"/>
      <c r="AB264" s="13"/>
      <c r="AC264" s="13"/>
      <c r="AD264" s="13"/>
    </row>
    <row r="265">
      <c r="G265" s="22"/>
      <c r="J265" s="9"/>
      <c r="K265" s="9"/>
      <c r="L265" s="9"/>
      <c r="M265" s="9"/>
      <c r="AA265" s="13"/>
      <c r="AB265" s="13"/>
      <c r="AC265" s="13"/>
      <c r="AD265" s="13"/>
    </row>
    <row r="266">
      <c r="G266" s="22"/>
      <c r="J266" s="9"/>
      <c r="K266" s="9"/>
      <c r="L266" s="9"/>
      <c r="M266" s="9"/>
      <c r="AA266" s="13"/>
      <c r="AB266" s="13"/>
      <c r="AC266" s="13"/>
      <c r="AD266" s="13"/>
    </row>
    <row r="267">
      <c r="G267" s="22"/>
      <c r="J267" s="9"/>
      <c r="K267" s="9"/>
      <c r="L267" s="9"/>
      <c r="M267" s="9"/>
      <c r="AA267" s="13"/>
      <c r="AB267" s="13"/>
      <c r="AC267" s="13"/>
      <c r="AD267" s="13"/>
    </row>
    <row r="268">
      <c r="G268" s="22"/>
      <c r="J268" s="9"/>
      <c r="K268" s="9"/>
      <c r="L268" s="9"/>
      <c r="M268" s="9"/>
      <c r="AA268" s="13"/>
      <c r="AB268" s="13"/>
      <c r="AC268" s="13"/>
      <c r="AD268" s="13"/>
    </row>
    <row r="269">
      <c r="G269" s="22"/>
      <c r="J269" s="9"/>
      <c r="K269" s="9"/>
      <c r="L269" s="9"/>
      <c r="M269" s="9"/>
      <c r="AA269" s="13"/>
      <c r="AB269" s="13"/>
      <c r="AC269" s="13"/>
      <c r="AD269" s="13"/>
    </row>
    <row r="270">
      <c r="G270" s="22"/>
      <c r="J270" s="9"/>
      <c r="K270" s="9"/>
      <c r="L270" s="9"/>
      <c r="M270" s="9"/>
      <c r="AA270" s="13"/>
      <c r="AB270" s="13"/>
      <c r="AC270" s="13"/>
      <c r="AD270" s="13"/>
    </row>
    <row r="271">
      <c r="G271" s="22"/>
      <c r="J271" s="9"/>
      <c r="K271" s="9"/>
      <c r="L271" s="9"/>
      <c r="M271" s="9"/>
      <c r="AA271" s="13"/>
      <c r="AB271" s="13"/>
      <c r="AC271" s="13"/>
      <c r="AD271" s="13"/>
    </row>
    <row r="272">
      <c r="G272" s="22"/>
      <c r="J272" s="9"/>
      <c r="K272" s="9"/>
      <c r="L272" s="9"/>
      <c r="M272" s="9"/>
      <c r="AA272" s="13"/>
      <c r="AB272" s="13"/>
      <c r="AC272" s="13"/>
      <c r="AD272" s="13"/>
    </row>
    <row r="273">
      <c r="G273" s="22"/>
      <c r="J273" s="9"/>
      <c r="K273" s="9"/>
      <c r="L273" s="9"/>
      <c r="M273" s="9"/>
      <c r="AA273" s="13"/>
      <c r="AB273" s="13"/>
      <c r="AC273" s="13"/>
      <c r="AD273" s="13"/>
    </row>
    <row r="274">
      <c r="G274" s="22"/>
      <c r="J274" s="9"/>
      <c r="K274" s="9"/>
      <c r="L274" s="9"/>
      <c r="M274" s="9"/>
      <c r="AA274" s="13"/>
      <c r="AB274" s="13"/>
      <c r="AC274" s="13"/>
      <c r="AD274" s="13"/>
    </row>
    <row r="275">
      <c r="G275" s="22"/>
      <c r="J275" s="9"/>
      <c r="K275" s="9"/>
      <c r="L275" s="9"/>
      <c r="M275" s="9"/>
      <c r="AA275" s="13"/>
      <c r="AB275" s="13"/>
      <c r="AC275" s="13"/>
      <c r="AD275" s="13"/>
    </row>
    <row r="276">
      <c r="G276" s="22"/>
      <c r="J276" s="9"/>
      <c r="K276" s="9"/>
      <c r="L276" s="9"/>
      <c r="M276" s="9"/>
      <c r="AA276" s="13"/>
      <c r="AB276" s="13"/>
      <c r="AC276" s="13"/>
      <c r="AD276" s="13"/>
    </row>
    <row r="277">
      <c r="G277" s="22"/>
      <c r="J277" s="9"/>
      <c r="K277" s="9"/>
      <c r="L277" s="9"/>
      <c r="M277" s="9"/>
      <c r="AA277" s="13"/>
      <c r="AB277" s="13"/>
      <c r="AC277" s="13"/>
      <c r="AD277" s="13"/>
    </row>
    <row r="278">
      <c r="G278" s="22"/>
      <c r="J278" s="9"/>
      <c r="K278" s="9"/>
      <c r="L278" s="9"/>
      <c r="M278" s="9"/>
      <c r="AA278" s="13"/>
      <c r="AB278" s="13"/>
      <c r="AC278" s="13"/>
      <c r="AD278" s="13"/>
    </row>
    <row r="279">
      <c r="G279" s="22"/>
      <c r="J279" s="9"/>
      <c r="K279" s="9"/>
      <c r="L279" s="9"/>
      <c r="M279" s="9"/>
      <c r="AA279" s="13"/>
      <c r="AB279" s="13"/>
      <c r="AC279" s="13"/>
      <c r="AD279" s="13"/>
    </row>
    <row r="280">
      <c r="G280" s="22"/>
      <c r="J280" s="9"/>
      <c r="K280" s="9"/>
      <c r="L280" s="9"/>
      <c r="M280" s="9"/>
      <c r="AA280" s="13"/>
      <c r="AB280" s="13"/>
      <c r="AC280" s="13"/>
      <c r="AD280" s="13"/>
    </row>
    <row r="281">
      <c r="G281" s="22"/>
      <c r="J281" s="9"/>
      <c r="K281" s="9"/>
      <c r="L281" s="9"/>
      <c r="M281" s="9"/>
      <c r="AA281" s="13"/>
      <c r="AB281" s="13"/>
      <c r="AC281" s="13"/>
      <c r="AD281" s="13"/>
    </row>
    <row r="282">
      <c r="G282" s="22"/>
      <c r="J282" s="9"/>
      <c r="K282" s="9"/>
      <c r="L282" s="9"/>
      <c r="M282" s="9"/>
      <c r="AA282" s="13"/>
      <c r="AB282" s="13"/>
      <c r="AC282" s="13"/>
      <c r="AD282" s="13"/>
    </row>
    <row r="283">
      <c r="G283" s="22"/>
      <c r="J283" s="9"/>
      <c r="K283" s="9"/>
      <c r="L283" s="9"/>
      <c r="M283" s="9"/>
      <c r="AA283" s="13"/>
      <c r="AB283" s="13"/>
      <c r="AC283" s="13"/>
      <c r="AD283" s="13"/>
    </row>
    <row r="284">
      <c r="G284" s="22"/>
      <c r="J284" s="9"/>
      <c r="K284" s="9"/>
      <c r="L284" s="9"/>
      <c r="M284" s="9"/>
      <c r="AA284" s="13"/>
      <c r="AB284" s="13"/>
      <c r="AC284" s="13"/>
      <c r="AD284" s="13"/>
    </row>
    <row r="285">
      <c r="G285" s="22"/>
      <c r="J285" s="9"/>
      <c r="K285" s="9"/>
      <c r="L285" s="9"/>
      <c r="M285" s="9"/>
      <c r="AA285" s="13"/>
      <c r="AB285" s="13"/>
      <c r="AC285" s="13"/>
      <c r="AD285" s="13"/>
    </row>
    <row r="286">
      <c r="G286" s="22"/>
      <c r="J286" s="9"/>
      <c r="K286" s="9"/>
      <c r="L286" s="9"/>
      <c r="M286" s="9"/>
      <c r="AA286" s="13"/>
      <c r="AB286" s="13"/>
      <c r="AC286" s="13"/>
      <c r="AD286" s="13"/>
    </row>
    <row r="287">
      <c r="G287" s="22"/>
      <c r="J287" s="9"/>
      <c r="K287" s="9"/>
      <c r="L287" s="9"/>
      <c r="M287" s="9"/>
      <c r="AA287" s="13"/>
      <c r="AB287" s="13"/>
      <c r="AC287" s="13"/>
      <c r="AD287" s="13"/>
    </row>
    <row r="288">
      <c r="G288" s="22"/>
      <c r="J288" s="9"/>
      <c r="K288" s="9"/>
      <c r="L288" s="9"/>
      <c r="M288" s="9"/>
      <c r="AA288" s="13"/>
      <c r="AB288" s="13"/>
      <c r="AC288" s="13"/>
      <c r="AD288" s="13"/>
    </row>
    <row r="289">
      <c r="G289" s="22"/>
      <c r="J289" s="9"/>
      <c r="K289" s="9"/>
      <c r="L289" s="9"/>
      <c r="M289" s="9"/>
      <c r="AA289" s="13"/>
      <c r="AB289" s="13"/>
      <c r="AC289" s="13"/>
      <c r="AD289" s="13"/>
    </row>
    <row r="290">
      <c r="G290" s="22"/>
      <c r="J290" s="9"/>
      <c r="K290" s="9"/>
      <c r="L290" s="9"/>
      <c r="M290" s="9"/>
      <c r="AA290" s="13"/>
      <c r="AB290" s="13"/>
      <c r="AC290" s="13"/>
      <c r="AD290" s="13"/>
    </row>
    <row r="291">
      <c r="G291" s="22"/>
      <c r="J291" s="9"/>
      <c r="K291" s="9"/>
      <c r="L291" s="9"/>
      <c r="M291" s="9"/>
      <c r="AA291" s="13"/>
      <c r="AB291" s="13"/>
      <c r="AC291" s="13"/>
      <c r="AD291" s="13"/>
    </row>
    <row r="292">
      <c r="G292" s="22"/>
      <c r="J292" s="9"/>
      <c r="K292" s="9"/>
      <c r="L292" s="9"/>
      <c r="M292" s="9"/>
      <c r="AA292" s="13"/>
      <c r="AB292" s="13"/>
      <c r="AC292" s="13"/>
      <c r="AD292" s="13"/>
    </row>
    <row r="293">
      <c r="G293" s="22"/>
      <c r="J293" s="9"/>
      <c r="K293" s="9"/>
      <c r="L293" s="9"/>
      <c r="M293" s="9"/>
      <c r="AA293" s="13"/>
      <c r="AB293" s="13"/>
      <c r="AC293" s="13"/>
      <c r="AD293" s="13"/>
    </row>
    <row r="294">
      <c r="G294" s="22"/>
      <c r="J294" s="9"/>
      <c r="K294" s="9"/>
      <c r="L294" s="9"/>
      <c r="M294" s="9"/>
      <c r="AA294" s="13"/>
      <c r="AB294" s="13"/>
      <c r="AC294" s="13"/>
      <c r="AD294" s="13"/>
    </row>
    <row r="295">
      <c r="G295" s="22"/>
      <c r="J295" s="9"/>
      <c r="K295" s="9"/>
      <c r="L295" s="9"/>
      <c r="M295" s="9"/>
      <c r="AA295" s="13"/>
      <c r="AB295" s="13"/>
      <c r="AC295" s="13"/>
      <c r="AD295" s="13"/>
    </row>
    <row r="296">
      <c r="G296" s="22"/>
      <c r="J296" s="9"/>
      <c r="K296" s="9"/>
      <c r="L296" s="9"/>
      <c r="M296" s="9"/>
      <c r="AA296" s="13"/>
      <c r="AB296" s="13"/>
      <c r="AC296" s="13"/>
      <c r="AD296" s="13"/>
    </row>
    <row r="297">
      <c r="G297" s="22"/>
      <c r="J297" s="9"/>
      <c r="K297" s="9"/>
      <c r="L297" s="9"/>
      <c r="M297" s="9"/>
      <c r="AA297" s="13"/>
      <c r="AB297" s="13"/>
      <c r="AC297" s="13"/>
      <c r="AD297" s="13"/>
    </row>
    <row r="298">
      <c r="G298" s="22"/>
      <c r="J298" s="9"/>
      <c r="K298" s="9"/>
      <c r="L298" s="9"/>
      <c r="M298" s="9"/>
      <c r="AA298" s="13"/>
      <c r="AB298" s="13"/>
      <c r="AC298" s="13"/>
      <c r="AD298" s="13"/>
    </row>
    <row r="299">
      <c r="G299" s="22"/>
      <c r="J299" s="9"/>
      <c r="K299" s="9"/>
      <c r="L299" s="9"/>
      <c r="M299" s="9"/>
      <c r="AA299" s="13"/>
      <c r="AB299" s="13"/>
      <c r="AC299" s="13"/>
      <c r="AD299" s="13"/>
    </row>
    <row r="300">
      <c r="G300" s="22"/>
      <c r="J300" s="9"/>
      <c r="K300" s="9"/>
      <c r="L300" s="9"/>
      <c r="M300" s="9"/>
      <c r="AA300" s="13"/>
      <c r="AB300" s="13"/>
      <c r="AC300" s="13"/>
      <c r="AD300" s="13"/>
    </row>
    <row r="301">
      <c r="G301" s="22"/>
      <c r="J301" s="9"/>
      <c r="K301" s="9"/>
      <c r="L301" s="9"/>
      <c r="M301" s="9"/>
      <c r="AA301" s="13"/>
      <c r="AB301" s="13"/>
      <c r="AC301" s="13"/>
      <c r="AD301" s="13"/>
    </row>
    <row r="302">
      <c r="G302" s="22"/>
      <c r="J302" s="9"/>
      <c r="K302" s="9"/>
      <c r="L302" s="9"/>
      <c r="M302" s="9"/>
      <c r="AA302" s="13"/>
      <c r="AB302" s="13"/>
      <c r="AC302" s="13"/>
      <c r="AD302" s="13"/>
    </row>
    <row r="303">
      <c r="G303" s="22"/>
      <c r="J303" s="9"/>
      <c r="K303" s="9"/>
      <c r="L303" s="9"/>
      <c r="M303" s="9"/>
      <c r="AA303" s="13"/>
      <c r="AB303" s="13"/>
      <c r="AC303" s="13"/>
      <c r="AD303" s="13"/>
    </row>
    <row r="304">
      <c r="G304" s="22"/>
      <c r="J304" s="9"/>
      <c r="K304" s="9"/>
      <c r="L304" s="9"/>
      <c r="M304" s="9"/>
      <c r="AA304" s="13"/>
      <c r="AB304" s="13"/>
      <c r="AC304" s="13"/>
      <c r="AD304" s="13"/>
    </row>
    <row r="305">
      <c r="G305" s="22"/>
      <c r="J305" s="9"/>
      <c r="K305" s="9"/>
      <c r="L305" s="9"/>
      <c r="M305" s="9"/>
      <c r="AA305" s="13"/>
      <c r="AB305" s="13"/>
      <c r="AC305" s="13"/>
      <c r="AD305" s="13"/>
    </row>
    <row r="306">
      <c r="G306" s="22"/>
      <c r="J306" s="9"/>
      <c r="K306" s="9"/>
      <c r="L306" s="9"/>
      <c r="M306" s="9"/>
      <c r="AA306" s="13"/>
      <c r="AB306" s="13"/>
      <c r="AC306" s="13"/>
      <c r="AD306" s="13"/>
    </row>
    <row r="307">
      <c r="G307" s="22"/>
      <c r="J307" s="9"/>
      <c r="K307" s="9"/>
      <c r="L307" s="9"/>
      <c r="M307" s="9"/>
      <c r="AA307" s="13"/>
      <c r="AB307" s="13"/>
      <c r="AC307" s="13"/>
      <c r="AD307" s="13"/>
    </row>
    <row r="308">
      <c r="G308" s="22"/>
      <c r="J308" s="9"/>
      <c r="K308" s="9"/>
      <c r="L308" s="9"/>
      <c r="M308" s="9"/>
      <c r="AA308" s="13"/>
      <c r="AB308" s="13"/>
      <c r="AC308" s="13"/>
      <c r="AD308" s="13"/>
    </row>
    <row r="309">
      <c r="G309" s="22"/>
      <c r="J309" s="9"/>
      <c r="K309" s="9"/>
      <c r="L309" s="9"/>
      <c r="M309" s="9"/>
      <c r="AA309" s="13"/>
      <c r="AB309" s="13"/>
      <c r="AC309" s="13"/>
      <c r="AD309" s="13"/>
    </row>
    <row r="310">
      <c r="G310" s="22"/>
      <c r="J310" s="9"/>
      <c r="K310" s="9"/>
      <c r="L310" s="9"/>
      <c r="M310" s="9"/>
      <c r="AA310" s="13"/>
      <c r="AB310" s="13"/>
      <c r="AC310" s="13"/>
      <c r="AD310" s="13"/>
    </row>
    <row r="311">
      <c r="G311" s="22"/>
      <c r="J311" s="9"/>
      <c r="K311" s="9"/>
      <c r="L311" s="9"/>
      <c r="M311" s="9"/>
      <c r="AA311" s="13"/>
      <c r="AB311" s="13"/>
      <c r="AC311" s="13"/>
      <c r="AD311" s="13"/>
    </row>
    <row r="312">
      <c r="G312" s="22"/>
      <c r="J312" s="9"/>
      <c r="K312" s="9"/>
      <c r="L312" s="9"/>
      <c r="M312" s="9"/>
      <c r="AA312" s="13"/>
      <c r="AB312" s="13"/>
      <c r="AC312" s="13"/>
      <c r="AD312" s="13"/>
    </row>
    <row r="313">
      <c r="G313" s="22"/>
      <c r="J313" s="9"/>
      <c r="K313" s="9"/>
      <c r="L313" s="9"/>
      <c r="M313" s="9"/>
      <c r="AA313" s="13"/>
      <c r="AB313" s="13"/>
      <c r="AC313" s="13"/>
      <c r="AD313" s="13"/>
    </row>
    <row r="314">
      <c r="G314" s="22"/>
      <c r="J314" s="9"/>
      <c r="K314" s="9"/>
      <c r="L314" s="9"/>
      <c r="M314" s="9"/>
      <c r="AA314" s="13"/>
      <c r="AB314" s="13"/>
      <c r="AC314" s="13"/>
      <c r="AD314" s="13"/>
    </row>
    <row r="315">
      <c r="G315" s="22"/>
      <c r="J315" s="9"/>
      <c r="K315" s="9"/>
      <c r="L315" s="9"/>
      <c r="M315" s="9"/>
      <c r="AA315" s="13"/>
      <c r="AB315" s="13"/>
      <c r="AC315" s="13"/>
      <c r="AD315" s="13"/>
    </row>
    <row r="316">
      <c r="G316" s="22"/>
      <c r="J316" s="9"/>
      <c r="K316" s="9"/>
      <c r="L316" s="9"/>
      <c r="M316" s="9"/>
      <c r="AA316" s="13"/>
      <c r="AB316" s="13"/>
      <c r="AC316" s="13"/>
      <c r="AD316" s="13"/>
    </row>
    <row r="317">
      <c r="G317" s="22"/>
      <c r="J317" s="9"/>
      <c r="K317" s="9"/>
      <c r="L317" s="9"/>
      <c r="M317" s="9"/>
      <c r="AA317" s="13"/>
      <c r="AB317" s="13"/>
      <c r="AC317" s="13"/>
      <c r="AD317" s="13"/>
    </row>
    <row r="318">
      <c r="G318" s="22"/>
      <c r="J318" s="9"/>
      <c r="K318" s="9"/>
      <c r="L318" s="9"/>
      <c r="M318" s="9"/>
      <c r="AA318" s="13"/>
      <c r="AB318" s="13"/>
      <c r="AC318" s="13"/>
      <c r="AD318" s="13"/>
    </row>
    <row r="319">
      <c r="G319" s="22"/>
      <c r="J319" s="9"/>
      <c r="K319" s="9"/>
      <c r="L319" s="9"/>
      <c r="M319" s="9"/>
      <c r="AA319" s="13"/>
      <c r="AB319" s="13"/>
      <c r="AC319" s="13"/>
      <c r="AD319" s="13"/>
    </row>
    <row r="320">
      <c r="G320" s="22"/>
      <c r="J320" s="9"/>
      <c r="K320" s="9"/>
      <c r="L320" s="9"/>
      <c r="M320" s="9"/>
      <c r="AA320" s="13"/>
      <c r="AB320" s="13"/>
      <c r="AC320" s="13"/>
      <c r="AD320" s="13"/>
    </row>
    <row r="321">
      <c r="G321" s="22"/>
      <c r="J321" s="9"/>
      <c r="K321" s="9"/>
      <c r="L321" s="9"/>
      <c r="M321" s="9"/>
      <c r="AA321" s="13"/>
      <c r="AB321" s="13"/>
      <c r="AC321" s="13"/>
      <c r="AD321" s="13"/>
    </row>
    <row r="322">
      <c r="G322" s="22"/>
      <c r="J322" s="9"/>
      <c r="K322" s="9"/>
      <c r="L322" s="9"/>
      <c r="M322" s="9"/>
      <c r="AA322" s="13"/>
      <c r="AB322" s="13"/>
      <c r="AC322" s="13"/>
      <c r="AD322" s="13"/>
    </row>
    <row r="323">
      <c r="G323" s="22"/>
      <c r="J323" s="9"/>
      <c r="K323" s="9"/>
      <c r="L323" s="9"/>
      <c r="M323" s="9"/>
      <c r="AA323" s="13"/>
      <c r="AB323" s="13"/>
      <c r="AC323" s="13"/>
      <c r="AD323" s="13"/>
    </row>
    <row r="324">
      <c r="G324" s="22"/>
      <c r="J324" s="9"/>
      <c r="K324" s="9"/>
      <c r="L324" s="9"/>
      <c r="M324" s="9"/>
      <c r="AA324" s="13"/>
      <c r="AB324" s="13"/>
      <c r="AC324" s="13"/>
      <c r="AD324" s="13"/>
    </row>
    <row r="325">
      <c r="G325" s="22"/>
      <c r="J325" s="9"/>
      <c r="K325" s="9"/>
      <c r="L325" s="9"/>
      <c r="M325" s="9"/>
      <c r="AA325" s="13"/>
      <c r="AB325" s="13"/>
      <c r="AC325" s="13"/>
      <c r="AD325" s="13"/>
    </row>
    <row r="326">
      <c r="G326" s="22"/>
      <c r="J326" s="9"/>
      <c r="K326" s="9"/>
      <c r="L326" s="9"/>
      <c r="M326" s="9"/>
      <c r="AA326" s="13"/>
      <c r="AB326" s="13"/>
      <c r="AC326" s="13"/>
      <c r="AD326" s="13"/>
    </row>
    <row r="327">
      <c r="G327" s="22"/>
      <c r="J327" s="9"/>
      <c r="K327" s="9"/>
      <c r="L327" s="9"/>
      <c r="M327" s="9"/>
      <c r="AA327" s="13"/>
      <c r="AB327" s="13"/>
      <c r="AC327" s="13"/>
      <c r="AD327" s="13"/>
    </row>
    <row r="328">
      <c r="G328" s="22"/>
      <c r="J328" s="9"/>
      <c r="K328" s="9"/>
      <c r="L328" s="9"/>
      <c r="M328" s="9"/>
      <c r="AA328" s="13"/>
      <c r="AB328" s="13"/>
      <c r="AC328" s="13"/>
      <c r="AD328" s="13"/>
    </row>
    <row r="329">
      <c r="G329" s="22"/>
      <c r="J329" s="9"/>
      <c r="K329" s="9"/>
      <c r="L329" s="9"/>
      <c r="M329" s="9"/>
      <c r="AA329" s="13"/>
      <c r="AB329" s="13"/>
      <c r="AC329" s="13"/>
      <c r="AD329" s="13"/>
    </row>
    <row r="330">
      <c r="G330" s="22"/>
      <c r="J330" s="9"/>
      <c r="K330" s="9"/>
      <c r="L330" s="9"/>
      <c r="M330" s="9"/>
      <c r="AA330" s="13"/>
      <c r="AB330" s="13"/>
      <c r="AC330" s="13"/>
      <c r="AD330" s="13"/>
    </row>
    <row r="331">
      <c r="G331" s="22"/>
      <c r="J331" s="9"/>
      <c r="K331" s="9"/>
      <c r="L331" s="9"/>
      <c r="M331" s="9"/>
      <c r="AA331" s="13"/>
      <c r="AB331" s="13"/>
      <c r="AC331" s="13"/>
      <c r="AD331" s="13"/>
    </row>
    <row r="332">
      <c r="G332" s="22"/>
      <c r="J332" s="9"/>
      <c r="K332" s="9"/>
      <c r="L332" s="9"/>
      <c r="M332" s="9"/>
      <c r="AA332" s="13"/>
      <c r="AB332" s="13"/>
      <c r="AC332" s="13"/>
      <c r="AD332" s="13"/>
    </row>
    <row r="333">
      <c r="G333" s="22"/>
      <c r="J333" s="9"/>
      <c r="K333" s="9"/>
      <c r="L333" s="9"/>
      <c r="M333" s="9"/>
      <c r="AA333" s="13"/>
      <c r="AB333" s="13"/>
      <c r="AC333" s="13"/>
      <c r="AD333" s="13"/>
    </row>
    <row r="334">
      <c r="G334" s="22"/>
      <c r="J334" s="9"/>
      <c r="K334" s="9"/>
      <c r="L334" s="9"/>
      <c r="M334" s="9"/>
      <c r="AA334" s="13"/>
      <c r="AB334" s="13"/>
      <c r="AC334" s="13"/>
      <c r="AD334" s="13"/>
    </row>
    <row r="335">
      <c r="G335" s="22"/>
      <c r="J335" s="9"/>
      <c r="K335" s="9"/>
      <c r="L335" s="9"/>
      <c r="M335" s="9"/>
      <c r="AA335" s="13"/>
      <c r="AB335" s="13"/>
      <c r="AC335" s="13"/>
      <c r="AD335" s="13"/>
    </row>
    <row r="336">
      <c r="G336" s="22"/>
      <c r="J336" s="9"/>
      <c r="K336" s="9"/>
      <c r="L336" s="9"/>
      <c r="M336" s="9"/>
      <c r="AA336" s="13"/>
      <c r="AB336" s="13"/>
      <c r="AC336" s="13"/>
      <c r="AD336" s="13"/>
    </row>
    <row r="337">
      <c r="G337" s="22"/>
      <c r="J337" s="9"/>
      <c r="K337" s="9"/>
      <c r="L337" s="9"/>
      <c r="M337" s="9"/>
      <c r="AA337" s="13"/>
      <c r="AB337" s="13"/>
      <c r="AC337" s="13"/>
      <c r="AD337" s="13"/>
    </row>
    <row r="338">
      <c r="G338" s="22"/>
      <c r="J338" s="9"/>
      <c r="K338" s="9"/>
      <c r="L338" s="9"/>
      <c r="M338" s="9"/>
      <c r="AA338" s="13"/>
      <c r="AB338" s="13"/>
      <c r="AC338" s="13"/>
      <c r="AD338" s="13"/>
    </row>
    <row r="339">
      <c r="G339" s="22"/>
      <c r="J339" s="9"/>
      <c r="K339" s="9"/>
      <c r="L339" s="9"/>
      <c r="M339" s="9"/>
      <c r="AA339" s="13"/>
      <c r="AB339" s="13"/>
      <c r="AC339" s="13"/>
      <c r="AD339" s="13"/>
    </row>
    <row r="340">
      <c r="G340" s="22"/>
      <c r="J340" s="9"/>
      <c r="K340" s="9"/>
      <c r="L340" s="9"/>
      <c r="M340" s="9"/>
      <c r="AA340" s="13"/>
      <c r="AB340" s="13"/>
      <c r="AC340" s="13"/>
      <c r="AD340" s="13"/>
    </row>
    <row r="341">
      <c r="G341" s="22"/>
      <c r="J341" s="9"/>
      <c r="K341" s="9"/>
      <c r="L341" s="9"/>
      <c r="M341" s="9"/>
      <c r="AA341" s="13"/>
      <c r="AB341" s="13"/>
      <c r="AC341" s="13"/>
      <c r="AD341" s="13"/>
    </row>
    <row r="342">
      <c r="G342" s="22"/>
      <c r="J342" s="9"/>
      <c r="K342" s="9"/>
      <c r="L342" s="9"/>
      <c r="M342" s="9"/>
      <c r="AA342" s="13"/>
      <c r="AB342" s="13"/>
      <c r="AC342" s="13"/>
      <c r="AD342" s="13"/>
    </row>
    <row r="343">
      <c r="G343" s="22"/>
      <c r="J343" s="9"/>
      <c r="K343" s="9"/>
      <c r="L343" s="9"/>
      <c r="M343" s="9"/>
      <c r="AA343" s="13"/>
      <c r="AB343" s="13"/>
      <c r="AC343" s="13"/>
      <c r="AD343" s="13"/>
    </row>
    <row r="344">
      <c r="G344" s="22"/>
      <c r="J344" s="9"/>
      <c r="K344" s="9"/>
      <c r="L344" s="9"/>
      <c r="M344" s="9"/>
      <c r="AA344" s="13"/>
      <c r="AB344" s="13"/>
      <c r="AC344" s="13"/>
      <c r="AD344" s="13"/>
    </row>
    <row r="345">
      <c r="G345" s="22"/>
      <c r="J345" s="9"/>
      <c r="K345" s="9"/>
      <c r="L345" s="9"/>
      <c r="M345" s="9"/>
      <c r="AA345" s="13"/>
      <c r="AB345" s="13"/>
      <c r="AC345" s="13"/>
      <c r="AD345" s="13"/>
    </row>
    <row r="346">
      <c r="G346" s="22"/>
      <c r="J346" s="9"/>
      <c r="K346" s="9"/>
      <c r="L346" s="9"/>
      <c r="M346" s="9"/>
      <c r="AA346" s="13"/>
      <c r="AB346" s="13"/>
      <c r="AC346" s="13"/>
      <c r="AD346" s="13"/>
    </row>
    <row r="347">
      <c r="G347" s="22"/>
      <c r="J347" s="9"/>
      <c r="K347" s="9"/>
      <c r="L347" s="9"/>
      <c r="M347" s="9"/>
      <c r="AA347" s="13"/>
      <c r="AB347" s="13"/>
      <c r="AC347" s="13"/>
      <c r="AD347" s="13"/>
    </row>
    <row r="348">
      <c r="G348" s="22"/>
      <c r="J348" s="9"/>
      <c r="K348" s="9"/>
      <c r="L348" s="9"/>
      <c r="M348" s="9"/>
      <c r="AA348" s="13"/>
      <c r="AB348" s="13"/>
      <c r="AC348" s="13"/>
      <c r="AD348" s="13"/>
    </row>
    <row r="349">
      <c r="G349" s="22"/>
      <c r="J349" s="9"/>
      <c r="K349" s="9"/>
      <c r="L349" s="9"/>
      <c r="M349" s="9"/>
      <c r="AA349" s="13"/>
      <c r="AB349" s="13"/>
      <c r="AC349" s="13"/>
      <c r="AD349" s="13"/>
    </row>
    <row r="350">
      <c r="G350" s="22"/>
      <c r="J350" s="9"/>
      <c r="K350" s="9"/>
      <c r="L350" s="9"/>
      <c r="M350" s="9"/>
      <c r="AA350" s="13"/>
      <c r="AB350" s="13"/>
      <c r="AC350" s="13"/>
      <c r="AD350" s="13"/>
    </row>
    <row r="351">
      <c r="G351" s="22"/>
      <c r="J351" s="9"/>
      <c r="K351" s="9"/>
      <c r="L351" s="9"/>
      <c r="M351" s="9"/>
      <c r="AA351" s="13"/>
      <c r="AB351" s="13"/>
      <c r="AC351" s="13"/>
      <c r="AD351" s="13"/>
    </row>
    <row r="352">
      <c r="G352" s="22"/>
      <c r="J352" s="9"/>
      <c r="K352" s="9"/>
      <c r="L352" s="9"/>
      <c r="M352" s="9"/>
      <c r="AA352" s="13"/>
      <c r="AB352" s="13"/>
      <c r="AC352" s="13"/>
      <c r="AD352" s="13"/>
    </row>
    <row r="353">
      <c r="G353" s="22"/>
      <c r="J353" s="9"/>
      <c r="K353" s="9"/>
      <c r="L353" s="9"/>
      <c r="M353" s="9"/>
      <c r="AA353" s="13"/>
      <c r="AB353" s="13"/>
      <c r="AC353" s="13"/>
      <c r="AD353" s="13"/>
    </row>
    <row r="354">
      <c r="G354" s="22"/>
      <c r="J354" s="9"/>
      <c r="K354" s="9"/>
      <c r="L354" s="9"/>
      <c r="M354" s="9"/>
      <c r="AA354" s="13"/>
      <c r="AB354" s="13"/>
      <c r="AC354" s="13"/>
      <c r="AD354" s="13"/>
    </row>
    <row r="355">
      <c r="G355" s="22"/>
      <c r="J355" s="9"/>
      <c r="K355" s="9"/>
      <c r="L355" s="9"/>
      <c r="M355" s="9"/>
      <c r="AA355" s="13"/>
      <c r="AB355" s="13"/>
      <c r="AC355" s="13"/>
      <c r="AD355" s="13"/>
    </row>
    <row r="356">
      <c r="G356" s="22"/>
      <c r="J356" s="9"/>
      <c r="K356" s="9"/>
      <c r="L356" s="9"/>
      <c r="M356" s="9"/>
      <c r="AA356" s="13"/>
      <c r="AB356" s="13"/>
      <c r="AC356" s="13"/>
      <c r="AD356" s="13"/>
    </row>
    <row r="357">
      <c r="G357" s="22"/>
      <c r="J357" s="9"/>
      <c r="K357" s="9"/>
      <c r="L357" s="9"/>
      <c r="M357" s="9"/>
      <c r="AA357" s="13"/>
      <c r="AB357" s="13"/>
      <c r="AC357" s="13"/>
      <c r="AD357" s="13"/>
    </row>
    <row r="358">
      <c r="G358" s="22"/>
      <c r="J358" s="9"/>
      <c r="K358" s="9"/>
      <c r="L358" s="9"/>
      <c r="M358" s="9"/>
      <c r="AA358" s="13"/>
      <c r="AB358" s="13"/>
      <c r="AC358" s="13"/>
      <c r="AD358" s="13"/>
    </row>
    <row r="359">
      <c r="G359" s="22"/>
      <c r="J359" s="9"/>
      <c r="K359" s="9"/>
      <c r="L359" s="9"/>
      <c r="M359" s="9"/>
      <c r="AA359" s="13"/>
      <c r="AB359" s="13"/>
      <c r="AC359" s="13"/>
      <c r="AD359" s="13"/>
    </row>
    <row r="360">
      <c r="G360" s="22"/>
      <c r="J360" s="9"/>
      <c r="K360" s="9"/>
      <c r="L360" s="9"/>
      <c r="M360" s="9"/>
      <c r="AA360" s="13"/>
      <c r="AB360" s="13"/>
      <c r="AC360" s="13"/>
      <c r="AD360" s="13"/>
    </row>
    <row r="361">
      <c r="G361" s="22"/>
      <c r="J361" s="9"/>
      <c r="K361" s="9"/>
      <c r="L361" s="9"/>
      <c r="M361" s="9"/>
      <c r="AA361" s="13"/>
      <c r="AB361" s="13"/>
      <c r="AC361" s="13"/>
      <c r="AD361" s="13"/>
    </row>
    <row r="362">
      <c r="G362" s="22"/>
      <c r="J362" s="9"/>
      <c r="K362" s="9"/>
      <c r="L362" s="9"/>
      <c r="M362" s="9"/>
      <c r="AA362" s="13"/>
      <c r="AB362" s="13"/>
      <c r="AC362" s="13"/>
      <c r="AD362" s="13"/>
    </row>
    <row r="363">
      <c r="G363" s="22"/>
      <c r="J363" s="9"/>
      <c r="K363" s="9"/>
      <c r="L363" s="9"/>
      <c r="M363" s="9"/>
      <c r="AA363" s="13"/>
      <c r="AB363" s="13"/>
      <c r="AC363" s="13"/>
      <c r="AD363" s="13"/>
    </row>
    <row r="364">
      <c r="G364" s="22"/>
      <c r="J364" s="9"/>
      <c r="K364" s="9"/>
      <c r="L364" s="9"/>
      <c r="M364" s="9"/>
      <c r="AA364" s="13"/>
      <c r="AB364" s="13"/>
      <c r="AC364" s="13"/>
      <c r="AD364" s="13"/>
    </row>
    <row r="365">
      <c r="G365" s="22"/>
      <c r="J365" s="9"/>
      <c r="K365" s="9"/>
      <c r="L365" s="9"/>
      <c r="M365" s="9"/>
      <c r="AA365" s="13"/>
      <c r="AB365" s="13"/>
      <c r="AC365" s="13"/>
      <c r="AD365" s="13"/>
    </row>
    <row r="366">
      <c r="G366" s="22"/>
      <c r="J366" s="9"/>
      <c r="K366" s="9"/>
      <c r="L366" s="9"/>
      <c r="M366" s="9"/>
      <c r="AA366" s="13"/>
      <c r="AB366" s="13"/>
      <c r="AC366" s="13"/>
      <c r="AD366" s="13"/>
    </row>
    <row r="367">
      <c r="G367" s="22"/>
      <c r="J367" s="9"/>
      <c r="K367" s="9"/>
      <c r="L367" s="9"/>
      <c r="M367" s="9"/>
      <c r="AA367" s="13"/>
      <c r="AB367" s="13"/>
      <c r="AC367" s="13"/>
      <c r="AD367" s="13"/>
    </row>
    <row r="368">
      <c r="G368" s="22"/>
      <c r="J368" s="9"/>
      <c r="K368" s="9"/>
      <c r="L368" s="9"/>
      <c r="M368" s="9"/>
      <c r="AA368" s="13"/>
      <c r="AB368" s="13"/>
      <c r="AC368" s="13"/>
      <c r="AD368" s="13"/>
    </row>
    <row r="369">
      <c r="G369" s="22"/>
      <c r="J369" s="9"/>
      <c r="K369" s="9"/>
      <c r="L369" s="9"/>
      <c r="M369" s="9"/>
      <c r="AA369" s="13"/>
      <c r="AB369" s="13"/>
      <c r="AC369" s="13"/>
      <c r="AD369" s="13"/>
    </row>
    <row r="370">
      <c r="G370" s="22"/>
      <c r="J370" s="9"/>
      <c r="K370" s="9"/>
      <c r="L370" s="9"/>
      <c r="M370" s="9"/>
      <c r="AA370" s="13"/>
      <c r="AB370" s="13"/>
      <c r="AC370" s="13"/>
      <c r="AD370" s="13"/>
    </row>
    <row r="371">
      <c r="G371" s="22"/>
      <c r="J371" s="9"/>
      <c r="K371" s="9"/>
      <c r="L371" s="9"/>
      <c r="M371" s="9"/>
      <c r="AA371" s="13"/>
      <c r="AB371" s="13"/>
      <c r="AC371" s="13"/>
      <c r="AD371" s="13"/>
    </row>
    <row r="372">
      <c r="G372" s="22"/>
      <c r="J372" s="9"/>
      <c r="K372" s="9"/>
      <c r="L372" s="9"/>
      <c r="M372" s="9"/>
      <c r="AA372" s="13"/>
      <c r="AB372" s="13"/>
      <c r="AC372" s="13"/>
      <c r="AD372" s="13"/>
    </row>
    <row r="373">
      <c r="G373" s="22"/>
      <c r="J373" s="9"/>
      <c r="K373" s="9"/>
      <c r="L373" s="9"/>
      <c r="M373" s="9"/>
      <c r="AA373" s="13"/>
      <c r="AB373" s="13"/>
      <c r="AC373" s="13"/>
      <c r="AD373" s="13"/>
    </row>
    <row r="374">
      <c r="G374" s="22"/>
      <c r="J374" s="9"/>
      <c r="K374" s="9"/>
      <c r="L374" s="9"/>
      <c r="M374" s="9"/>
      <c r="AA374" s="13"/>
      <c r="AB374" s="13"/>
      <c r="AC374" s="13"/>
      <c r="AD374" s="13"/>
    </row>
    <row r="375">
      <c r="G375" s="22"/>
      <c r="J375" s="9"/>
      <c r="K375" s="9"/>
      <c r="L375" s="9"/>
      <c r="M375" s="9"/>
      <c r="AA375" s="13"/>
      <c r="AB375" s="13"/>
      <c r="AC375" s="13"/>
      <c r="AD375" s="13"/>
    </row>
    <row r="376">
      <c r="G376" s="22"/>
      <c r="J376" s="9"/>
      <c r="K376" s="9"/>
      <c r="L376" s="9"/>
      <c r="M376" s="9"/>
      <c r="AA376" s="13"/>
      <c r="AB376" s="13"/>
      <c r="AC376" s="13"/>
      <c r="AD376" s="13"/>
    </row>
    <row r="377">
      <c r="G377" s="22"/>
      <c r="J377" s="9"/>
      <c r="K377" s="9"/>
      <c r="L377" s="9"/>
      <c r="M377" s="9"/>
      <c r="AA377" s="13"/>
      <c r="AB377" s="13"/>
      <c r="AC377" s="13"/>
      <c r="AD377" s="13"/>
    </row>
    <row r="378">
      <c r="G378" s="22"/>
      <c r="J378" s="9"/>
      <c r="K378" s="9"/>
      <c r="L378" s="9"/>
      <c r="M378" s="9"/>
      <c r="AA378" s="13"/>
      <c r="AB378" s="13"/>
      <c r="AC378" s="13"/>
      <c r="AD378" s="13"/>
    </row>
    <row r="379">
      <c r="G379" s="22"/>
      <c r="J379" s="9"/>
      <c r="K379" s="9"/>
      <c r="L379" s="9"/>
      <c r="M379" s="9"/>
      <c r="AA379" s="13"/>
      <c r="AB379" s="13"/>
      <c r="AC379" s="13"/>
      <c r="AD379" s="13"/>
    </row>
    <row r="380">
      <c r="G380" s="22"/>
      <c r="J380" s="9"/>
      <c r="K380" s="9"/>
      <c r="L380" s="9"/>
      <c r="M380" s="9"/>
      <c r="AA380" s="13"/>
      <c r="AB380" s="13"/>
      <c r="AC380" s="13"/>
      <c r="AD380" s="13"/>
    </row>
    <row r="381">
      <c r="G381" s="22"/>
      <c r="J381" s="9"/>
      <c r="K381" s="9"/>
      <c r="L381" s="9"/>
      <c r="M381" s="9"/>
      <c r="AA381" s="13"/>
      <c r="AB381" s="13"/>
      <c r="AC381" s="13"/>
      <c r="AD381" s="13"/>
    </row>
    <row r="382">
      <c r="G382" s="22"/>
      <c r="J382" s="9"/>
      <c r="K382" s="9"/>
      <c r="L382" s="9"/>
      <c r="M382" s="9"/>
      <c r="AA382" s="13"/>
      <c r="AB382" s="13"/>
      <c r="AC382" s="13"/>
      <c r="AD382" s="13"/>
    </row>
    <row r="383">
      <c r="G383" s="22"/>
      <c r="J383" s="9"/>
      <c r="K383" s="9"/>
      <c r="L383" s="9"/>
      <c r="M383" s="9"/>
      <c r="AA383" s="13"/>
      <c r="AB383" s="13"/>
      <c r="AC383" s="13"/>
      <c r="AD383" s="13"/>
    </row>
    <row r="384">
      <c r="G384" s="22"/>
      <c r="J384" s="9"/>
      <c r="K384" s="9"/>
      <c r="L384" s="9"/>
      <c r="M384" s="9"/>
      <c r="AA384" s="13"/>
      <c r="AB384" s="13"/>
      <c r="AC384" s="13"/>
      <c r="AD384" s="13"/>
    </row>
    <row r="385">
      <c r="G385" s="22"/>
      <c r="J385" s="9"/>
      <c r="K385" s="9"/>
      <c r="L385" s="9"/>
      <c r="M385" s="9"/>
      <c r="AA385" s="13"/>
      <c r="AB385" s="13"/>
      <c r="AC385" s="13"/>
      <c r="AD385" s="13"/>
    </row>
    <row r="386">
      <c r="G386" s="22"/>
      <c r="J386" s="9"/>
      <c r="K386" s="9"/>
      <c r="L386" s="9"/>
      <c r="M386" s="9"/>
      <c r="AA386" s="13"/>
      <c r="AB386" s="13"/>
      <c r="AC386" s="13"/>
      <c r="AD386" s="13"/>
    </row>
    <row r="387">
      <c r="G387" s="22"/>
      <c r="J387" s="9"/>
      <c r="K387" s="9"/>
      <c r="L387" s="9"/>
      <c r="M387" s="9"/>
      <c r="AA387" s="13"/>
      <c r="AB387" s="13"/>
      <c r="AC387" s="13"/>
      <c r="AD387" s="13"/>
    </row>
    <row r="388">
      <c r="G388" s="22"/>
      <c r="J388" s="9"/>
      <c r="K388" s="9"/>
      <c r="L388" s="9"/>
      <c r="M388" s="9"/>
      <c r="AA388" s="13"/>
      <c r="AB388" s="13"/>
      <c r="AC388" s="13"/>
      <c r="AD388" s="13"/>
    </row>
    <row r="389">
      <c r="G389" s="22"/>
      <c r="J389" s="9"/>
      <c r="K389" s="9"/>
      <c r="L389" s="9"/>
      <c r="M389" s="9"/>
      <c r="AA389" s="13"/>
      <c r="AB389" s="13"/>
      <c r="AC389" s="13"/>
      <c r="AD389" s="13"/>
    </row>
    <row r="390">
      <c r="G390" s="22"/>
      <c r="J390" s="9"/>
      <c r="K390" s="9"/>
      <c r="L390" s="9"/>
      <c r="M390" s="9"/>
      <c r="AA390" s="13"/>
      <c r="AB390" s="13"/>
      <c r="AC390" s="13"/>
      <c r="AD390" s="13"/>
    </row>
    <row r="391">
      <c r="G391" s="22"/>
      <c r="J391" s="9"/>
      <c r="K391" s="9"/>
      <c r="L391" s="9"/>
      <c r="M391" s="9"/>
      <c r="AA391" s="13"/>
      <c r="AB391" s="13"/>
      <c r="AC391" s="13"/>
      <c r="AD391" s="13"/>
    </row>
    <row r="392">
      <c r="G392" s="22"/>
      <c r="J392" s="9"/>
      <c r="K392" s="9"/>
      <c r="L392" s="9"/>
      <c r="M392" s="9"/>
      <c r="AA392" s="13"/>
      <c r="AB392" s="13"/>
      <c r="AC392" s="13"/>
      <c r="AD392" s="13"/>
    </row>
    <row r="393">
      <c r="G393" s="22"/>
      <c r="J393" s="9"/>
      <c r="K393" s="9"/>
      <c r="L393" s="9"/>
      <c r="M393" s="9"/>
      <c r="AA393" s="13"/>
      <c r="AB393" s="13"/>
      <c r="AC393" s="13"/>
      <c r="AD393" s="13"/>
    </row>
    <row r="394">
      <c r="G394" s="22"/>
      <c r="J394" s="9"/>
      <c r="K394" s="9"/>
      <c r="L394" s="9"/>
      <c r="M394" s="9"/>
      <c r="AA394" s="13"/>
      <c r="AB394" s="13"/>
      <c r="AC394" s="13"/>
      <c r="AD394" s="13"/>
    </row>
    <row r="395">
      <c r="G395" s="22"/>
      <c r="J395" s="9"/>
      <c r="K395" s="9"/>
      <c r="L395" s="9"/>
      <c r="M395" s="9"/>
      <c r="AA395" s="13"/>
      <c r="AB395" s="13"/>
      <c r="AC395" s="13"/>
      <c r="AD395" s="13"/>
    </row>
    <row r="396">
      <c r="G396" s="22"/>
      <c r="J396" s="9"/>
      <c r="K396" s="9"/>
      <c r="L396" s="9"/>
      <c r="M396" s="9"/>
      <c r="AA396" s="13"/>
      <c r="AB396" s="13"/>
      <c r="AC396" s="13"/>
      <c r="AD396" s="13"/>
    </row>
    <row r="397">
      <c r="G397" s="22"/>
      <c r="J397" s="9"/>
      <c r="K397" s="9"/>
      <c r="L397" s="9"/>
      <c r="M397" s="9"/>
      <c r="AA397" s="13"/>
      <c r="AB397" s="13"/>
      <c r="AC397" s="13"/>
      <c r="AD397" s="13"/>
    </row>
    <row r="398">
      <c r="G398" s="22"/>
      <c r="J398" s="9"/>
      <c r="K398" s="9"/>
      <c r="L398" s="9"/>
      <c r="M398" s="9"/>
      <c r="AA398" s="13"/>
      <c r="AB398" s="13"/>
      <c r="AC398" s="13"/>
      <c r="AD398" s="13"/>
    </row>
    <row r="399">
      <c r="G399" s="22"/>
      <c r="J399" s="9"/>
      <c r="K399" s="9"/>
      <c r="L399" s="9"/>
      <c r="M399" s="9"/>
      <c r="AA399" s="13"/>
      <c r="AB399" s="13"/>
      <c r="AC399" s="13"/>
      <c r="AD399" s="13"/>
    </row>
    <row r="400">
      <c r="G400" s="22"/>
      <c r="J400" s="9"/>
      <c r="K400" s="9"/>
      <c r="L400" s="9"/>
      <c r="M400" s="9"/>
      <c r="AA400" s="13"/>
      <c r="AB400" s="13"/>
      <c r="AC400" s="13"/>
      <c r="AD400" s="13"/>
    </row>
    <row r="401">
      <c r="G401" s="22"/>
      <c r="J401" s="9"/>
      <c r="K401" s="9"/>
      <c r="L401" s="9"/>
      <c r="M401" s="9"/>
      <c r="AA401" s="13"/>
      <c r="AB401" s="13"/>
      <c r="AC401" s="13"/>
      <c r="AD401" s="13"/>
    </row>
    <row r="402">
      <c r="G402" s="22"/>
      <c r="J402" s="9"/>
      <c r="K402" s="9"/>
      <c r="L402" s="9"/>
      <c r="M402" s="9"/>
      <c r="AA402" s="13"/>
      <c r="AB402" s="13"/>
      <c r="AC402" s="13"/>
      <c r="AD402" s="13"/>
    </row>
    <row r="403">
      <c r="G403" s="22"/>
      <c r="J403" s="9"/>
      <c r="K403" s="9"/>
      <c r="L403" s="9"/>
      <c r="M403" s="9"/>
      <c r="AA403" s="13"/>
      <c r="AB403" s="13"/>
      <c r="AC403" s="13"/>
      <c r="AD403" s="13"/>
    </row>
    <row r="404">
      <c r="G404" s="22"/>
      <c r="J404" s="9"/>
      <c r="K404" s="9"/>
      <c r="L404" s="9"/>
      <c r="M404" s="9"/>
      <c r="AA404" s="13"/>
      <c r="AB404" s="13"/>
      <c r="AC404" s="13"/>
      <c r="AD404" s="13"/>
    </row>
    <row r="405">
      <c r="G405" s="22"/>
      <c r="J405" s="9"/>
      <c r="K405" s="9"/>
      <c r="L405" s="9"/>
      <c r="M405" s="9"/>
      <c r="AA405" s="13"/>
      <c r="AB405" s="13"/>
      <c r="AC405" s="13"/>
      <c r="AD405" s="13"/>
    </row>
    <row r="406">
      <c r="G406" s="22"/>
      <c r="J406" s="9"/>
      <c r="K406" s="9"/>
      <c r="L406" s="9"/>
      <c r="M406" s="9"/>
      <c r="AA406" s="13"/>
      <c r="AB406" s="13"/>
      <c r="AC406" s="13"/>
      <c r="AD406" s="13"/>
    </row>
    <row r="407">
      <c r="G407" s="22"/>
      <c r="J407" s="9"/>
      <c r="K407" s="9"/>
      <c r="L407" s="9"/>
      <c r="M407" s="9"/>
      <c r="AA407" s="13"/>
      <c r="AB407" s="13"/>
      <c r="AC407" s="13"/>
      <c r="AD407" s="13"/>
    </row>
    <row r="408">
      <c r="G408" s="22"/>
      <c r="J408" s="9"/>
      <c r="K408" s="9"/>
      <c r="L408" s="9"/>
      <c r="M408" s="9"/>
      <c r="AA408" s="13"/>
      <c r="AB408" s="13"/>
      <c r="AC408" s="13"/>
      <c r="AD408" s="13"/>
    </row>
    <row r="409">
      <c r="G409" s="22"/>
      <c r="J409" s="9"/>
      <c r="K409" s="9"/>
      <c r="L409" s="9"/>
      <c r="M409" s="9"/>
      <c r="AA409" s="13"/>
      <c r="AB409" s="13"/>
      <c r="AC409" s="13"/>
      <c r="AD409" s="13"/>
    </row>
    <row r="410">
      <c r="G410" s="22"/>
      <c r="J410" s="9"/>
      <c r="K410" s="9"/>
      <c r="L410" s="9"/>
      <c r="M410" s="9"/>
      <c r="AA410" s="13"/>
      <c r="AB410" s="13"/>
      <c r="AC410" s="13"/>
      <c r="AD410" s="13"/>
    </row>
    <row r="411">
      <c r="G411" s="22"/>
      <c r="J411" s="9"/>
      <c r="K411" s="9"/>
      <c r="L411" s="9"/>
      <c r="M411" s="9"/>
      <c r="AA411" s="13"/>
      <c r="AB411" s="13"/>
      <c r="AC411" s="13"/>
      <c r="AD411" s="13"/>
    </row>
    <row r="412">
      <c r="G412" s="22"/>
      <c r="J412" s="9"/>
      <c r="K412" s="9"/>
      <c r="L412" s="9"/>
      <c r="M412" s="9"/>
      <c r="AA412" s="13"/>
      <c r="AB412" s="13"/>
      <c r="AC412" s="13"/>
      <c r="AD412" s="13"/>
    </row>
    <row r="413">
      <c r="G413" s="22"/>
      <c r="J413" s="9"/>
      <c r="K413" s="9"/>
      <c r="L413" s="9"/>
      <c r="M413" s="9"/>
      <c r="AA413" s="13"/>
      <c r="AB413" s="13"/>
      <c r="AC413" s="13"/>
      <c r="AD413" s="13"/>
    </row>
    <row r="414">
      <c r="G414" s="22"/>
      <c r="J414" s="9"/>
      <c r="K414" s="9"/>
      <c r="L414" s="9"/>
      <c r="M414" s="9"/>
      <c r="AA414" s="13"/>
      <c r="AB414" s="13"/>
      <c r="AC414" s="13"/>
      <c r="AD414" s="13"/>
    </row>
    <row r="415">
      <c r="G415" s="22"/>
      <c r="J415" s="9"/>
      <c r="K415" s="9"/>
      <c r="L415" s="9"/>
      <c r="M415" s="9"/>
      <c r="AA415" s="13"/>
      <c r="AB415" s="13"/>
      <c r="AC415" s="13"/>
      <c r="AD415" s="13"/>
    </row>
    <row r="416">
      <c r="G416" s="22"/>
      <c r="J416" s="9"/>
      <c r="K416" s="9"/>
      <c r="L416" s="9"/>
      <c r="M416" s="9"/>
      <c r="AA416" s="13"/>
      <c r="AB416" s="13"/>
      <c r="AC416" s="13"/>
      <c r="AD416" s="13"/>
    </row>
    <row r="417">
      <c r="G417" s="22"/>
      <c r="J417" s="9"/>
      <c r="K417" s="9"/>
      <c r="L417" s="9"/>
      <c r="M417" s="9"/>
      <c r="AA417" s="13"/>
      <c r="AB417" s="13"/>
      <c r="AC417" s="13"/>
      <c r="AD417" s="13"/>
    </row>
    <row r="418">
      <c r="G418" s="22"/>
      <c r="J418" s="9"/>
      <c r="K418" s="9"/>
      <c r="L418" s="9"/>
      <c r="M418" s="9"/>
      <c r="AA418" s="13"/>
      <c r="AB418" s="13"/>
      <c r="AC418" s="13"/>
      <c r="AD418" s="13"/>
    </row>
    <row r="419">
      <c r="G419" s="22"/>
      <c r="J419" s="9"/>
      <c r="K419" s="9"/>
      <c r="L419" s="9"/>
      <c r="M419" s="9"/>
      <c r="AA419" s="13"/>
      <c r="AB419" s="13"/>
      <c r="AC419" s="13"/>
      <c r="AD419" s="13"/>
    </row>
    <row r="420">
      <c r="G420" s="22"/>
      <c r="J420" s="9"/>
      <c r="K420" s="9"/>
      <c r="L420" s="9"/>
      <c r="M420" s="9"/>
      <c r="AA420" s="13"/>
      <c r="AB420" s="13"/>
      <c r="AC420" s="13"/>
      <c r="AD420" s="13"/>
    </row>
    <row r="421">
      <c r="G421" s="22"/>
      <c r="J421" s="9"/>
      <c r="K421" s="9"/>
      <c r="L421" s="9"/>
      <c r="M421" s="9"/>
      <c r="AA421" s="13"/>
      <c r="AB421" s="13"/>
      <c r="AC421" s="13"/>
      <c r="AD421" s="13"/>
    </row>
    <row r="422">
      <c r="G422" s="22"/>
      <c r="J422" s="9"/>
      <c r="K422" s="9"/>
      <c r="L422" s="9"/>
      <c r="M422" s="9"/>
      <c r="AA422" s="13"/>
      <c r="AB422" s="13"/>
      <c r="AC422" s="13"/>
      <c r="AD422" s="13"/>
    </row>
    <row r="423">
      <c r="G423" s="22"/>
      <c r="J423" s="9"/>
      <c r="K423" s="9"/>
      <c r="L423" s="9"/>
      <c r="M423" s="9"/>
      <c r="AA423" s="13"/>
      <c r="AB423" s="13"/>
      <c r="AC423" s="13"/>
      <c r="AD423" s="13"/>
    </row>
    <row r="424">
      <c r="G424" s="22"/>
      <c r="J424" s="9"/>
      <c r="K424" s="9"/>
      <c r="L424" s="9"/>
      <c r="M424" s="9"/>
      <c r="AA424" s="13"/>
      <c r="AB424" s="13"/>
      <c r="AC424" s="13"/>
      <c r="AD424" s="13"/>
    </row>
    <row r="425">
      <c r="G425" s="22"/>
      <c r="J425" s="9"/>
      <c r="K425" s="9"/>
      <c r="L425" s="9"/>
      <c r="M425" s="9"/>
      <c r="AA425" s="13"/>
      <c r="AB425" s="13"/>
      <c r="AC425" s="13"/>
      <c r="AD425" s="13"/>
    </row>
    <row r="426">
      <c r="G426" s="22"/>
      <c r="J426" s="9"/>
      <c r="K426" s="9"/>
      <c r="L426" s="9"/>
      <c r="M426" s="9"/>
      <c r="AA426" s="13"/>
      <c r="AB426" s="13"/>
      <c r="AC426" s="13"/>
      <c r="AD426" s="13"/>
    </row>
    <row r="427">
      <c r="G427" s="22"/>
      <c r="J427" s="9"/>
      <c r="K427" s="9"/>
      <c r="L427" s="9"/>
      <c r="M427" s="9"/>
      <c r="AA427" s="13"/>
      <c r="AB427" s="13"/>
      <c r="AC427" s="13"/>
      <c r="AD427" s="13"/>
    </row>
    <row r="428">
      <c r="G428" s="22"/>
      <c r="J428" s="9"/>
      <c r="K428" s="9"/>
      <c r="L428" s="9"/>
      <c r="M428" s="9"/>
      <c r="AA428" s="13"/>
      <c r="AB428" s="13"/>
      <c r="AC428" s="13"/>
      <c r="AD428" s="13"/>
    </row>
    <row r="429">
      <c r="G429" s="22"/>
      <c r="J429" s="9"/>
      <c r="K429" s="9"/>
      <c r="L429" s="9"/>
      <c r="M429" s="9"/>
      <c r="AA429" s="13"/>
      <c r="AB429" s="13"/>
      <c r="AC429" s="13"/>
      <c r="AD429" s="13"/>
    </row>
    <row r="430">
      <c r="G430" s="22"/>
      <c r="J430" s="9"/>
      <c r="K430" s="9"/>
      <c r="L430" s="9"/>
      <c r="M430" s="9"/>
      <c r="AA430" s="13"/>
      <c r="AB430" s="13"/>
      <c r="AC430" s="13"/>
      <c r="AD430" s="13"/>
    </row>
    <row r="431">
      <c r="G431" s="22"/>
      <c r="J431" s="9"/>
      <c r="K431" s="9"/>
      <c r="L431" s="9"/>
      <c r="M431" s="9"/>
      <c r="AA431" s="13"/>
      <c r="AB431" s="13"/>
      <c r="AC431" s="13"/>
      <c r="AD431" s="13"/>
    </row>
    <row r="432">
      <c r="G432" s="22"/>
      <c r="J432" s="9"/>
      <c r="K432" s="9"/>
      <c r="L432" s="9"/>
      <c r="M432" s="9"/>
      <c r="AA432" s="13"/>
      <c r="AB432" s="13"/>
      <c r="AC432" s="13"/>
      <c r="AD432" s="13"/>
    </row>
    <row r="433">
      <c r="G433" s="22"/>
      <c r="J433" s="9"/>
      <c r="K433" s="9"/>
      <c r="L433" s="9"/>
      <c r="M433" s="9"/>
      <c r="AA433" s="13"/>
      <c r="AB433" s="13"/>
      <c r="AC433" s="13"/>
      <c r="AD433" s="13"/>
    </row>
    <row r="434">
      <c r="G434" s="22"/>
      <c r="J434" s="9"/>
      <c r="K434" s="9"/>
      <c r="L434" s="9"/>
      <c r="M434" s="9"/>
      <c r="AA434" s="13"/>
      <c r="AB434" s="13"/>
      <c r="AC434" s="13"/>
      <c r="AD434" s="13"/>
    </row>
    <row r="435">
      <c r="G435" s="22"/>
      <c r="J435" s="9"/>
      <c r="K435" s="9"/>
      <c r="L435" s="9"/>
      <c r="M435" s="9"/>
      <c r="AA435" s="13"/>
      <c r="AB435" s="13"/>
      <c r="AC435" s="13"/>
      <c r="AD435" s="13"/>
    </row>
    <row r="436">
      <c r="G436" s="22"/>
      <c r="J436" s="9"/>
      <c r="K436" s="9"/>
      <c r="L436" s="9"/>
      <c r="M436" s="9"/>
      <c r="AA436" s="13"/>
      <c r="AB436" s="13"/>
      <c r="AC436" s="13"/>
      <c r="AD436" s="13"/>
    </row>
    <row r="437">
      <c r="G437" s="22"/>
      <c r="J437" s="9"/>
      <c r="K437" s="9"/>
      <c r="L437" s="9"/>
      <c r="M437" s="9"/>
      <c r="AA437" s="13"/>
      <c r="AB437" s="13"/>
      <c r="AC437" s="13"/>
      <c r="AD437" s="13"/>
    </row>
    <row r="438">
      <c r="G438" s="22"/>
      <c r="J438" s="9"/>
      <c r="K438" s="9"/>
      <c r="L438" s="9"/>
      <c r="M438" s="9"/>
      <c r="AA438" s="13"/>
      <c r="AB438" s="13"/>
      <c r="AC438" s="13"/>
      <c r="AD438" s="13"/>
    </row>
    <row r="439">
      <c r="G439" s="22"/>
      <c r="J439" s="9"/>
      <c r="K439" s="9"/>
      <c r="L439" s="9"/>
      <c r="M439" s="9"/>
      <c r="AA439" s="13"/>
      <c r="AB439" s="13"/>
      <c r="AC439" s="13"/>
      <c r="AD439" s="13"/>
    </row>
    <row r="440">
      <c r="G440" s="22"/>
      <c r="J440" s="9"/>
      <c r="K440" s="9"/>
      <c r="L440" s="9"/>
      <c r="M440" s="9"/>
      <c r="AA440" s="13"/>
      <c r="AB440" s="13"/>
      <c r="AC440" s="13"/>
      <c r="AD440" s="13"/>
    </row>
    <row r="441">
      <c r="G441" s="22"/>
      <c r="J441" s="9"/>
      <c r="K441" s="9"/>
      <c r="L441" s="9"/>
      <c r="M441" s="9"/>
      <c r="AA441" s="13"/>
      <c r="AB441" s="13"/>
      <c r="AC441" s="13"/>
      <c r="AD441" s="13"/>
    </row>
    <row r="442">
      <c r="G442" s="22"/>
      <c r="J442" s="9"/>
      <c r="K442" s="9"/>
      <c r="L442" s="9"/>
      <c r="M442" s="9"/>
      <c r="AA442" s="13"/>
      <c r="AB442" s="13"/>
      <c r="AC442" s="13"/>
      <c r="AD442" s="13"/>
    </row>
    <row r="443">
      <c r="G443" s="22"/>
      <c r="J443" s="9"/>
      <c r="K443" s="9"/>
      <c r="L443" s="9"/>
      <c r="M443" s="9"/>
      <c r="AA443" s="13"/>
      <c r="AB443" s="13"/>
      <c r="AC443" s="13"/>
      <c r="AD443" s="13"/>
    </row>
    <row r="444">
      <c r="G444" s="22"/>
      <c r="J444" s="9"/>
      <c r="K444" s="9"/>
      <c r="L444" s="9"/>
      <c r="M444" s="9"/>
      <c r="AA444" s="13"/>
      <c r="AB444" s="13"/>
      <c r="AC444" s="13"/>
      <c r="AD444" s="13"/>
    </row>
    <row r="445">
      <c r="G445" s="22"/>
      <c r="J445" s="9"/>
      <c r="K445" s="9"/>
      <c r="L445" s="9"/>
      <c r="M445" s="9"/>
      <c r="AA445" s="13"/>
      <c r="AB445" s="13"/>
      <c r="AC445" s="13"/>
      <c r="AD445" s="13"/>
    </row>
    <row r="446">
      <c r="G446" s="22"/>
      <c r="J446" s="9"/>
      <c r="K446" s="9"/>
      <c r="L446" s="9"/>
      <c r="M446" s="9"/>
      <c r="AA446" s="13"/>
      <c r="AB446" s="13"/>
      <c r="AC446" s="13"/>
      <c r="AD446" s="13"/>
    </row>
    <row r="447">
      <c r="G447" s="22"/>
      <c r="J447" s="9"/>
      <c r="K447" s="9"/>
      <c r="L447" s="9"/>
      <c r="M447" s="9"/>
      <c r="AA447" s="13"/>
      <c r="AB447" s="13"/>
      <c r="AC447" s="13"/>
      <c r="AD447" s="13"/>
    </row>
    <row r="448">
      <c r="G448" s="22"/>
      <c r="J448" s="9"/>
      <c r="K448" s="9"/>
      <c r="L448" s="9"/>
      <c r="M448" s="9"/>
      <c r="AA448" s="13"/>
      <c r="AB448" s="13"/>
      <c r="AC448" s="13"/>
      <c r="AD448" s="13"/>
    </row>
    <row r="449">
      <c r="G449" s="22"/>
      <c r="J449" s="9"/>
      <c r="K449" s="9"/>
      <c r="L449" s="9"/>
      <c r="M449" s="9"/>
      <c r="AA449" s="13"/>
      <c r="AB449" s="13"/>
      <c r="AC449" s="13"/>
      <c r="AD449" s="13"/>
    </row>
    <row r="450">
      <c r="G450" s="22"/>
      <c r="J450" s="9"/>
      <c r="K450" s="9"/>
      <c r="L450" s="9"/>
      <c r="M450" s="9"/>
      <c r="AA450" s="13"/>
      <c r="AB450" s="13"/>
      <c r="AC450" s="13"/>
      <c r="AD450" s="13"/>
    </row>
    <row r="451">
      <c r="G451" s="22"/>
      <c r="J451" s="9"/>
      <c r="K451" s="9"/>
      <c r="L451" s="9"/>
      <c r="M451" s="9"/>
      <c r="AA451" s="13"/>
      <c r="AB451" s="13"/>
      <c r="AC451" s="13"/>
      <c r="AD451" s="13"/>
    </row>
    <row r="452">
      <c r="G452" s="22"/>
      <c r="J452" s="9"/>
      <c r="K452" s="9"/>
      <c r="L452" s="9"/>
      <c r="M452" s="9"/>
      <c r="AA452" s="13"/>
      <c r="AB452" s="13"/>
      <c r="AC452" s="13"/>
      <c r="AD452" s="13"/>
    </row>
    <row r="453">
      <c r="G453" s="22"/>
      <c r="J453" s="9"/>
      <c r="K453" s="9"/>
      <c r="L453" s="9"/>
      <c r="M453" s="9"/>
      <c r="AA453" s="13"/>
      <c r="AB453" s="13"/>
      <c r="AC453" s="13"/>
      <c r="AD453" s="13"/>
    </row>
    <row r="454">
      <c r="G454" s="22"/>
      <c r="J454" s="9"/>
      <c r="K454" s="9"/>
      <c r="L454" s="9"/>
      <c r="M454" s="9"/>
      <c r="AA454" s="13"/>
      <c r="AB454" s="13"/>
      <c r="AC454" s="13"/>
      <c r="AD454" s="13"/>
    </row>
    <row r="455">
      <c r="G455" s="22"/>
      <c r="J455" s="9"/>
      <c r="K455" s="9"/>
      <c r="L455" s="9"/>
      <c r="M455" s="9"/>
      <c r="AA455" s="13"/>
      <c r="AB455" s="13"/>
      <c r="AC455" s="13"/>
      <c r="AD455" s="13"/>
    </row>
    <row r="456">
      <c r="G456" s="22"/>
      <c r="J456" s="9"/>
      <c r="K456" s="9"/>
      <c r="L456" s="9"/>
      <c r="M456" s="9"/>
      <c r="AA456" s="13"/>
      <c r="AB456" s="13"/>
      <c r="AC456" s="13"/>
      <c r="AD456" s="13"/>
    </row>
    <row r="457">
      <c r="G457" s="22"/>
      <c r="J457" s="9"/>
      <c r="K457" s="9"/>
      <c r="L457" s="9"/>
      <c r="M457" s="9"/>
      <c r="AA457" s="13"/>
      <c r="AB457" s="13"/>
      <c r="AC457" s="13"/>
      <c r="AD457" s="13"/>
    </row>
    <row r="458">
      <c r="G458" s="22"/>
      <c r="J458" s="9"/>
      <c r="K458" s="9"/>
      <c r="L458" s="9"/>
      <c r="M458" s="9"/>
      <c r="AA458" s="13"/>
      <c r="AB458" s="13"/>
      <c r="AC458" s="13"/>
      <c r="AD458" s="13"/>
    </row>
    <row r="459">
      <c r="G459" s="22"/>
      <c r="J459" s="9"/>
      <c r="K459" s="9"/>
      <c r="L459" s="9"/>
      <c r="M459" s="9"/>
      <c r="AA459" s="13"/>
      <c r="AB459" s="13"/>
      <c r="AC459" s="13"/>
      <c r="AD459" s="13"/>
    </row>
    <row r="460">
      <c r="G460" s="22"/>
      <c r="J460" s="9"/>
      <c r="K460" s="9"/>
      <c r="L460" s="9"/>
      <c r="M460" s="9"/>
      <c r="AA460" s="13"/>
      <c r="AB460" s="13"/>
      <c r="AC460" s="13"/>
      <c r="AD460" s="13"/>
    </row>
    <row r="461">
      <c r="G461" s="22"/>
      <c r="J461" s="9"/>
      <c r="K461" s="9"/>
      <c r="L461" s="9"/>
      <c r="M461" s="9"/>
      <c r="AA461" s="13"/>
      <c r="AB461" s="13"/>
      <c r="AC461" s="13"/>
      <c r="AD461" s="13"/>
    </row>
    <row r="462">
      <c r="G462" s="22"/>
      <c r="J462" s="9"/>
      <c r="K462" s="9"/>
      <c r="L462" s="9"/>
      <c r="M462" s="9"/>
      <c r="AA462" s="13"/>
      <c r="AB462" s="13"/>
      <c r="AC462" s="13"/>
      <c r="AD462" s="13"/>
    </row>
    <row r="463">
      <c r="G463" s="22"/>
      <c r="J463" s="9"/>
      <c r="K463" s="9"/>
      <c r="L463" s="9"/>
      <c r="M463" s="9"/>
      <c r="AA463" s="13"/>
      <c r="AB463" s="13"/>
      <c r="AC463" s="13"/>
      <c r="AD463" s="13"/>
    </row>
    <row r="464">
      <c r="G464" s="22"/>
      <c r="J464" s="9"/>
      <c r="K464" s="9"/>
      <c r="L464" s="9"/>
      <c r="M464" s="9"/>
      <c r="AA464" s="13"/>
      <c r="AB464" s="13"/>
      <c r="AC464" s="13"/>
      <c r="AD464" s="13"/>
    </row>
    <row r="465">
      <c r="G465" s="22"/>
      <c r="J465" s="9"/>
      <c r="K465" s="9"/>
      <c r="L465" s="9"/>
      <c r="M465" s="9"/>
      <c r="AA465" s="13"/>
      <c r="AB465" s="13"/>
      <c r="AC465" s="13"/>
      <c r="AD465" s="13"/>
    </row>
    <row r="466">
      <c r="G466" s="22"/>
      <c r="J466" s="9"/>
      <c r="K466" s="9"/>
      <c r="L466" s="9"/>
      <c r="M466" s="9"/>
      <c r="AA466" s="13"/>
      <c r="AB466" s="13"/>
      <c r="AC466" s="13"/>
      <c r="AD466" s="13"/>
    </row>
    <row r="467">
      <c r="G467" s="22"/>
      <c r="J467" s="9"/>
      <c r="K467" s="9"/>
      <c r="L467" s="9"/>
      <c r="M467" s="9"/>
      <c r="AA467" s="13"/>
      <c r="AB467" s="13"/>
      <c r="AC467" s="13"/>
      <c r="AD467" s="13"/>
    </row>
    <row r="468">
      <c r="G468" s="22"/>
      <c r="J468" s="9"/>
      <c r="K468" s="9"/>
      <c r="L468" s="9"/>
      <c r="M468" s="9"/>
      <c r="AA468" s="13"/>
      <c r="AB468" s="13"/>
      <c r="AC468" s="13"/>
      <c r="AD468" s="13"/>
    </row>
    <row r="469">
      <c r="G469" s="22"/>
      <c r="J469" s="9"/>
      <c r="K469" s="9"/>
      <c r="L469" s="9"/>
      <c r="M469" s="9"/>
      <c r="AA469" s="13"/>
      <c r="AB469" s="13"/>
      <c r="AC469" s="13"/>
      <c r="AD469" s="13"/>
    </row>
    <row r="470">
      <c r="G470" s="22"/>
      <c r="J470" s="9"/>
      <c r="K470" s="9"/>
      <c r="L470" s="9"/>
      <c r="M470" s="9"/>
      <c r="AA470" s="13"/>
      <c r="AB470" s="13"/>
      <c r="AC470" s="13"/>
      <c r="AD470" s="13"/>
    </row>
    <row r="471">
      <c r="G471" s="22"/>
      <c r="J471" s="9"/>
      <c r="K471" s="9"/>
      <c r="L471" s="9"/>
      <c r="M471" s="9"/>
      <c r="AA471" s="13"/>
      <c r="AB471" s="13"/>
      <c r="AC471" s="13"/>
      <c r="AD471" s="13"/>
    </row>
    <row r="472">
      <c r="G472" s="22"/>
      <c r="J472" s="9"/>
      <c r="K472" s="9"/>
      <c r="L472" s="9"/>
      <c r="M472" s="9"/>
      <c r="AA472" s="13"/>
      <c r="AB472" s="13"/>
      <c r="AC472" s="13"/>
      <c r="AD472" s="13"/>
    </row>
    <row r="473">
      <c r="G473" s="22"/>
      <c r="J473" s="9"/>
      <c r="K473" s="9"/>
      <c r="L473" s="9"/>
      <c r="M473" s="9"/>
      <c r="AA473" s="13"/>
      <c r="AB473" s="13"/>
      <c r="AC473" s="13"/>
      <c r="AD473" s="13"/>
    </row>
    <row r="474">
      <c r="G474" s="22"/>
      <c r="J474" s="9"/>
      <c r="K474" s="9"/>
      <c r="L474" s="9"/>
      <c r="M474" s="9"/>
      <c r="AA474" s="13"/>
      <c r="AB474" s="13"/>
      <c r="AC474" s="13"/>
      <c r="AD474" s="13"/>
    </row>
    <row r="475">
      <c r="G475" s="22"/>
      <c r="J475" s="9"/>
      <c r="K475" s="9"/>
      <c r="L475" s="9"/>
      <c r="M475" s="9"/>
      <c r="AA475" s="13"/>
      <c r="AB475" s="13"/>
      <c r="AC475" s="13"/>
      <c r="AD475" s="13"/>
    </row>
    <row r="476">
      <c r="G476" s="22"/>
      <c r="J476" s="9"/>
      <c r="K476" s="9"/>
      <c r="L476" s="9"/>
      <c r="M476" s="9"/>
      <c r="AA476" s="13"/>
      <c r="AB476" s="13"/>
      <c r="AC476" s="13"/>
      <c r="AD476" s="13"/>
    </row>
    <row r="477">
      <c r="G477" s="22"/>
      <c r="J477" s="9"/>
      <c r="K477" s="9"/>
      <c r="L477" s="9"/>
      <c r="M477" s="9"/>
      <c r="AA477" s="13"/>
      <c r="AB477" s="13"/>
      <c r="AC477" s="13"/>
      <c r="AD477" s="13"/>
    </row>
    <row r="478">
      <c r="G478" s="22"/>
      <c r="J478" s="9"/>
      <c r="K478" s="9"/>
      <c r="L478" s="9"/>
      <c r="M478" s="9"/>
      <c r="AA478" s="13"/>
      <c r="AB478" s="13"/>
      <c r="AC478" s="13"/>
      <c r="AD478" s="13"/>
    </row>
    <row r="479">
      <c r="G479" s="22"/>
      <c r="J479" s="9"/>
      <c r="K479" s="9"/>
      <c r="L479" s="9"/>
      <c r="M479" s="9"/>
      <c r="AA479" s="13"/>
      <c r="AB479" s="13"/>
      <c r="AC479" s="13"/>
      <c r="AD479" s="13"/>
    </row>
    <row r="480">
      <c r="G480" s="22"/>
      <c r="J480" s="9"/>
      <c r="K480" s="9"/>
      <c r="L480" s="9"/>
      <c r="M480" s="9"/>
      <c r="AA480" s="13"/>
      <c r="AB480" s="13"/>
      <c r="AC480" s="13"/>
      <c r="AD480" s="13"/>
    </row>
    <row r="481">
      <c r="G481" s="22"/>
      <c r="J481" s="9"/>
      <c r="K481" s="9"/>
      <c r="L481" s="9"/>
      <c r="M481" s="9"/>
      <c r="AA481" s="13"/>
      <c r="AB481" s="13"/>
      <c r="AC481" s="13"/>
      <c r="AD481" s="13"/>
    </row>
    <row r="482">
      <c r="G482" s="22"/>
      <c r="J482" s="9"/>
      <c r="K482" s="9"/>
      <c r="L482" s="9"/>
      <c r="M482" s="9"/>
      <c r="AA482" s="13"/>
      <c r="AB482" s="13"/>
      <c r="AC482" s="13"/>
      <c r="AD482" s="13"/>
    </row>
    <row r="483">
      <c r="G483" s="22"/>
      <c r="J483" s="9"/>
      <c r="K483" s="9"/>
      <c r="L483" s="9"/>
      <c r="M483" s="9"/>
      <c r="AA483" s="13"/>
      <c r="AB483" s="13"/>
      <c r="AC483" s="13"/>
      <c r="AD483" s="13"/>
    </row>
    <row r="484">
      <c r="G484" s="22"/>
      <c r="J484" s="9"/>
      <c r="K484" s="9"/>
      <c r="L484" s="9"/>
      <c r="M484" s="9"/>
      <c r="AA484" s="13"/>
      <c r="AB484" s="13"/>
      <c r="AC484" s="13"/>
      <c r="AD484" s="13"/>
    </row>
    <row r="485">
      <c r="G485" s="22"/>
      <c r="J485" s="9"/>
      <c r="K485" s="9"/>
      <c r="L485" s="9"/>
      <c r="M485" s="9"/>
      <c r="AA485" s="13"/>
      <c r="AB485" s="13"/>
      <c r="AC485" s="13"/>
      <c r="AD485" s="13"/>
    </row>
    <row r="486">
      <c r="G486" s="22"/>
      <c r="J486" s="9"/>
      <c r="K486" s="9"/>
      <c r="L486" s="9"/>
      <c r="M486" s="9"/>
      <c r="AA486" s="13"/>
      <c r="AB486" s="13"/>
      <c r="AC486" s="13"/>
      <c r="AD486" s="13"/>
    </row>
    <row r="487">
      <c r="G487" s="22"/>
      <c r="J487" s="9"/>
      <c r="K487" s="9"/>
      <c r="L487" s="9"/>
      <c r="M487" s="9"/>
      <c r="AA487" s="13"/>
      <c r="AB487" s="13"/>
      <c r="AC487" s="13"/>
      <c r="AD487" s="13"/>
    </row>
    <row r="488">
      <c r="G488" s="22"/>
      <c r="J488" s="9"/>
      <c r="K488" s="9"/>
      <c r="L488" s="9"/>
      <c r="M488" s="9"/>
      <c r="AA488" s="13"/>
      <c r="AB488" s="13"/>
      <c r="AC488" s="13"/>
      <c r="AD488" s="13"/>
    </row>
    <row r="489">
      <c r="G489" s="22"/>
      <c r="J489" s="9"/>
      <c r="K489" s="9"/>
      <c r="L489" s="9"/>
      <c r="M489" s="9"/>
      <c r="AA489" s="13"/>
      <c r="AB489" s="13"/>
      <c r="AC489" s="13"/>
      <c r="AD489" s="13"/>
    </row>
    <row r="490">
      <c r="G490" s="22"/>
      <c r="J490" s="9"/>
      <c r="K490" s="9"/>
      <c r="L490" s="9"/>
      <c r="M490" s="9"/>
      <c r="AA490" s="13"/>
      <c r="AB490" s="13"/>
      <c r="AC490" s="13"/>
      <c r="AD490" s="13"/>
    </row>
    <row r="491">
      <c r="G491" s="22"/>
      <c r="J491" s="9"/>
      <c r="K491" s="9"/>
      <c r="L491" s="9"/>
      <c r="M491" s="9"/>
      <c r="AA491" s="13"/>
      <c r="AB491" s="13"/>
      <c r="AC491" s="13"/>
      <c r="AD491" s="13"/>
    </row>
    <row r="492">
      <c r="G492" s="22"/>
      <c r="J492" s="9"/>
      <c r="K492" s="9"/>
      <c r="L492" s="9"/>
      <c r="M492" s="9"/>
      <c r="AA492" s="13"/>
      <c r="AB492" s="13"/>
      <c r="AC492" s="13"/>
      <c r="AD492" s="13"/>
    </row>
    <row r="493">
      <c r="G493" s="22"/>
      <c r="J493" s="9"/>
      <c r="K493" s="9"/>
      <c r="L493" s="9"/>
      <c r="M493" s="9"/>
      <c r="AA493" s="13"/>
      <c r="AB493" s="13"/>
      <c r="AC493" s="13"/>
      <c r="AD493" s="13"/>
    </row>
    <row r="494">
      <c r="G494" s="22"/>
      <c r="J494" s="9"/>
      <c r="K494" s="9"/>
      <c r="L494" s="9"/>
      <c r="M494" s="9"/>
      <c r="AA494" s="13"/>
      <c r="AB494" s="13"/>
      <c r="AC494" s="13"/>
      <c r="AD494" s="13"/>
    </row>
    <row r="495">
      <c r="G495" s="22"/>
      <c r="J495" s="9"/>
      <c r="K495" s="9"/>
      <c r="L495" s="9"/>
      <c r="M495" s="9"/>
      <c r="AA495" s="13"/>
      <c r="AB495" s="13"/>
      <c r="AC495" s="13"/>
      <c r="AD495" s="13"/>
    </row>
    <row r="496">
      <c r="G496" s="22"/>
      <c r="J496" s="9"/>
      <c r="K496" s="9"/>
      <c r="L496" s="9"/>
      <c r="M496" s="9"/>
      <c r="AA496" s="13"/>
      <c r="AB496" s="13"/>
      <c r="AC496" s="13"/>
      <c r="AD496" s="13"/>
    </row>
    <row r="497">
      <c r="G497" s="22"/>
      <c r="J497" s="9"/>
      <c r="K497" s="9"/>
      <c r="L497" s="9"/>
      <c r="M497" s="9"/>
      <c r="AA497" s="13"/>
      <c r="AB497" s="13"/>
      <c r="AC497" s="13"/>
      <c r="AD497" s="13"/>
    </row>
    <row r="498">
      <c r="G498" s="22"/>
      <c r="J498" s="9"/>
      <c r="K498" s="9"/>
      <c r="L498" s="9"/>
      <c r="M498" s="9"/>
      <c r="AA498" s="13"/>
      <c r="AB498" s="13"/>
      <c r="AC498" s="13"/>
      <c r="AD498" s="13"/>
    </row>
    <row r="499">
      <c r="G499" s="22"/>
      <c r="J499" s="9"/>
      <c r="K499" s="9"/>
      <c r="L499" s="9"/>
      <c r="M499" s="9"/>
      <c r="AA499" s="13"/>
      <c r="AB499" s="13"/>
      <c r="AC499" s="13"/>
      <c r="AD499" s="13"/>
    </row>
    <row r="500">
      <c r="G500" s="22"/>
      <c r="J500" s="9"/>
      <c r="K500" s="9"/>
      <c r="L500" s="9"/>
      <c r="M500" s="9"/>
      <c r="AA500" s="13"/>
      <c r="AB500" s="13"/>
      <c r="AC500" s="13"/>
      <c r="AD500" s="13"/>
    </row>
    <row r="501">
      <c r="G501" s="22"/>
      <c r="J501" s="9"/>
      <c r="K501" s="9"/>
      <c r="L501" s="9"/>
      <c r="M501" s="9"/>
      <c r="AA501" s="13"/>
      <c r="AB501" s="13"/>
      <c r="AC501" s="13"/>
      <c r="AD501" s="13"/>
    </row>
    <row r="502">
      <c r="G502" s="22"/>
      <c r="J502" s="9"/>
      <c r="K502" s="9"/>
      <c r="L502" s="9"/>
      <c r="M502" s="9"/>
      <c r="AA502" s="13"/>
      <c r="AB502" s="13"/>
      <c r="AC502" s="13"/>
      <c r="AD502" s="13"/>
    </row>
    <row r="503">
      <c r="G503" s="22"/>
      <c r="J503" s="9"/>
      <c r="K503" s="9"/>
      <c r="L503" s="9"/>
      <c r="M503" s="9"/>
      <c r="AA503" s="13"/>
      <c r="AB503" s="13"/>
      <c r="AC503" s="13"/>
      <c r="AD503" s="13"/>
    </row>
    <row r="504">
      <c r="G504" s="22"/>
      <c r="J504" s="9"/>
      <c r="K504" s="9"/>
      <c r="L504" s="9"/>
      <c r="M504" s="9"/>
      <c r="AA504" s="13"/>
      <c r="AB504" s="13"/>
      <c r="AC504" s="13"/>
      <c r="AD504" s="13"/>
    </row>
    <row r="505">
      <c r="G505" s="22"/>
      <c r="J505" s="9"/>
      <c r="K505" s="9"/>
      <c r="L505" s="9"/>
      <c r="M505" s="9"/>
      <c r="AA505" s="13"/>
      <c r="AB505" s="13"/>
      <c r="AC505" s="13"/>
      <c r="AD505" s="13"/>
    </row>
    <row r="506">
      <c r="G506" s="22"/>
      <c r="J506" s="9"/>
      <c r="K506" s="9"/>
      <c r="L506" s="9"/>
      <c r="M506" s="9"/>
      <c r="AA506" s="13"/>
      <c r="AB506" s="13"/>
      <c r="AC506" s="13"/>
      <c r="AD506" s="13"/>
    </row>
    <row r="507">
      <c r="G507" s="22"/>
      <c r="J507" s="9"/>
      <c r="K507" s="9"/>
      <c r="L507" s="9"/>
      <c r="M507" s="9"/>
      <c r="AA507" s="13"/>
      <c r="AB507" s="13"/>
      <c r="AC507" s="13"/>
      <c r="AD507" s="13"/>
    </row>
    <row r="508">
      <c r="G508" s="22"/>
      <c r="J508" s="9"/>
      <c r="K508" s="9"/>
      <c r="L508" s="9"/>
      <c r="M508" s="9"/>
      <c r="AA508" s="13"/>
      <c r="AB508" s="13"/>
      <c r="AC508" s="13"/>
      <c r="AD508" s="13"/>
    </row>
    <row r="509">
      <c r="G509" s="22"/>
      <c r="J509" s="9"/>
      <c r="K509" s="9"/>
      <c r="L509" s="9"/>
      <c r="M509" s="9"/>
      <c r="AA509" s="13"/>
      <c r="AB509" s="13"/>
      <c r="AC509" s="13"/>
      <c r="AD509" s="13"/>
    </row>
    <row r="510">
      <c r="G510" s="22"/>
      <c r="J510" s="9"/>
      <c r="K510" s="9"/>
      <c r="L510" s="9"/>
      <c r="M510" s="9"/>
      <c r="AA510" s="13"/>
      <c r="AB510" s="13"/>
      <c r="AC510" s="13"/>
      <c r="AD510" s="13"/>
    </row>
    <row r="511">
      <c r="G511" s="22"/>
      <c r="J511" s="9"/>
      <c r="K511" s="9"/>
      <c r="L511" s="9"/>
      <c r="M511" s="9"/>
      <c r="AA511" s="13"/>
      <c r="AB511" s="13"/>
      <c r="AC511" s="13"/>
      <c r="AD511" s="13"/>
    </row>
    <row r="512">
      <c r="G512" s="22"/>
      <c r="J512" s="9"/>
      <c r="K512" s="9"/>
      <c r="L512" s="9"/>
      <c r="M512" s="9"/>
      <c r="AA512" s="13"/>
      <c r="AB512" s="13"/>
      <c r="AC512" s="13"/>
      <c r="AD512" s="13"/>
    </row>
    <row r="513">
      <c r="G513" s="22"/>
      <c r="J513" s="9"/>
      <c r="K513" s="9"/>
      <c r="L513" s="9"/>
      <c r="M513" s="9"/>
      <c r="AA513" s="13"/>
      <c r="AB513" s="13"/>
      <c r="AC513" s="13"/>
      <c r="AD513" s="13"/>
    </row>
    <row r="514">
      <c r="G514" s="22"/>
      <c r="J514" s="9"/>
      <c r="K514" s="9"/>
      <c r="L514" s="9"/>
      <c r="M514" s="9"/>
      <c r="AA514" s="13"/>
      <c r="AB514" s="13"/>
      <c r="AC514" s="13"/>
      <c r="AD514" s="13"/>
    </row>
    <row r="515">
      <c r="G515" s="22"/>
      <c r="J515" s="9"/>
      <c r="K515" s="9"/>
      <c r="L515" s="9"/>
      <c r="M515" s="9"/>
      <c r="AA515" s="13"/>
      <c r="AB515" s="13"/>
      <c r="AC515" s="13"/>
      <c r="AD515" s="13"/>
    </row>
    <row r="516">
      <c r="G516" s="22"/>
      <c r="J516" s="9"/>
      <c r="K516" s="9"/>
      <c r="L516" s="9"/>
      <c r="M516" s="9"/>
      <c r="AA516" s="13"/>
      <c r="AB516" s="13"/>
      <c r="AC516" s="13"/>
      <c r="AD516" s="13"/>
    </row>
    <row r="517">
      <c r="G517" s="22"/>
      <c r="J517" s="9"/>
      <c r="K517" s="9"/>
      <c r="L517" s="9"/>
      <c r="M517" s="9"/>
      <c r="AA517" s="13"/>
      <c r="AB517" s="13"/>
      <c r="AC517" s="13"/>
      <c r="AD517" s="13"/>
    </row>
    <row r="518">
      <c r="G518" s="22"/>
      <c r="J518" s="9"/>
      <c r="K518" s="9"/>
      <c r="L518" s="9"/>
      <c r="M518" s="9"/>
      <c r="AA518" s="13"/>
      <c r="AB518" s="13"/>
      <c r="AC518" s="13"/>
      <c r="AD518" s="13"/>
    </row>
    <row r="519">
      <c r="G519" s="22"/>
      <c r="J519" s="9"/>
      <c r="K519" s="9"/>
      <c r="L519" s="9"/>
      <c r="M519" s="9"/>
      <c r="AA519" s="13"/>
      <c r="AB519" s="13"/>
      <c r="AC519" s="13"/>
      <c r="AD519" s="13"/>
    </row>
    <row r="520">
      <c r="G520" s="22"/>
      <c r="J520" s="9"/>
      <c r="K520" s="9"/>
      <c r="L520" s="9"/>
      <c r="M520" s="9"/>
      <c r="AA520" s="13"/>
      <c r="AB520" s="13"/>
      <c r="AC520" s="13"/>
      <c r="AD520" s="13"/>
    </row>
    <row r="521">
      <c r="G521" s="22"/>
      <c r="J521" s="9"/>
      <c r="K521" s="9"/>
      <c r="L521" s="9"/>
      <c r="M521" s="9"/>
      <c r="AA521" s="13"/>
      <c r="AB521" s="13"/>
      <c r="AC521" s="13"/>
      <c r="AD521" s="13"/>
    </row>
    <row r="522">
      <c r="G522" s="22"/>
      <c r="J522" s="9"/>
      <c r="K522" s="9"/>
      <c r="L522" s="9"/>
      <c r="M522" s="9"/>
      <c r="AA522" s="13"/>
      <c r="AB522" s="13"/>
      <c r="AC522" s="13"/>
      <c r="AD522" s="13"/>
    </row>
    <row r="523">
      <c r="G523" s="22"/>
      <c r="J523" s="9"/>
      <c r="K523" s="9"/>
      <c r="L523" s="9"/>
      <c r="M523" s="9"/>
      <c r="AA523" s="13"/>
      <c r="AB523" s="13"/>
      <c r="AC523" s="13"/>
      <c r="AD523" s="13"/>
    </row>
    <row r="524">
      <c r="G524" s="22"/>
      <c r="J524" s="9"/>
      <c r="K524" s="9"/>
      <c r="L524" s="9"/>
      <c r="M524" s="9"/>
      <c r="AA524" s="13"/>
      <c r="AB524" s="13"/>
      <c r="AC524" s="13"/>
      <c r="AD524" s="13"/>
    </row>
    <row r="525">
      <c r="G525" s="22"/>
      <c r="J525" s="9"/>
      <c r="K525" s="9"/>
      <c r="L525" s="9"/>
      <c r="M525" s="9"/>
      <c r="AA525" s="13"/>
      <c r="AB525" s="13"/>
      <c r="AC525" s="13"/>
      <c r="AD525" s="13"/>
    </row>
    <row r="526">
      <c r="G526" s="22"/>
      <c r="J526" s="9"/>
      <c r="K526" s="9"/>
      <c r="L526" s="9"/>
      <c r="M526" s="9"/>
      <c r="AA526" s="13"/>
      <c r="AB526" s="13"/>
      <c r="AC526" s="13"/>
      <c r="AD526" s="13"/>
    </row>
    <row r="527">
      <c r="G527" s="22"/>
      <c r="J527" s="9"/>
      <c r="K527" s="9"/>
      <c r="L527" s="9"/>
      <c r="M527" s="9"/>
      <c r="AA527" s="13"/>
      <c r="AB527" s="13"/>
      <c r="AC527" s="13"/>
      <c r="AD527" s="13"/>
    </row>
    <row r="528">
      <c r="G528" s="22"/>
      <c r="J528" s="9"/>
      <c r="K528" s="9"/>
      <c r="L528" s="9"/>
      <c r="M528" s="9"/>
      <c r="AA528" s="13"/>
      <c r="AB528" s="13"/>
      <c r="AC528" s="13"/>
      <c r="AD528" s="13"/>
    </row>
    <row r="529">
      <c r="G529" s="22"/>
      <c r="J529" s="9"/>
      <c r="K529" s="9"/>
      <c r="L529" s="9"/>
      <c r="M529" s="9"/>
      <c r="AA529" s="13"/>
      <c r="AB529" s="13"/>
      <c r="AC529" s="13"/>
      <c r="AD529" s="13"/>
    </row>
    <row r="530">
      <c r="G530" s="22"/>
      <c r="J530" s="9"/>
      <c r="K530" s="9"/>
      <c r="L530" s="9"/>
      <c r="M530" s="9"/>
      <c r="AA530" s="13"/>
      <c r="AB530" s="13"/>
      <c r="AC530" s="13"/>
      <c r="AD530" s="13"/>
    </row>
    <row r="531">
      <c r="G531" s="22"/>
      <c r="J531" s="9"/>
      <c r="K531" s="9"/>
      <c r="L531" s="9"/>
      <c r="M531" s="9"/>
      <c r="AA531" s="13"/>
      <c r="AB531" s="13"/>
      <c r="AC531" s="13"/>
      <c r="AD531" s="13"/>
    </row>
    <row r="532">
      <c r="G532" s="22"/>
      <c r="J532" s="9"/>
      <c r="K532" s="9"/>
      <c r="L532" s="9"/>
      <c r="M532" s="9"/>
      <c r="AA532" s="13"/>
      <c r="AB532" s="13"/>
      <c r="AC532" s="13"/>
      <c r="AD532" s="13"/>
    </row>
    <row r="533">
      <c r="G533" s="22"/>
      <c r="J533" s="9"/>
      <c r="K533" s="9"/>
      <c r="L533" s="9"/>
      <c r="M533" s="9"/>
      <c r="AA533" s="13"/>
      <c r="AB533" s="13"/>
      <c r="AC533" s="13"/>
      <c r="AD533" s="13"/>
    </row>
    <row r="534">
      <c r="G534" s="22"/>
      <c r="J534" s="9"/>
      <c r="K534" s="9"/>
      <c r="L534" s="9"/>
      <c r="M534" s="9"/>
      <c r="AA534" s="13"/>
      <c r="AB534" s="13"/>
      <c r="AC534" s="13"/>
      <c r="AD534" s="13"/>
    </row>
    <row r="535">
      <c r="G535" s="22"/>
      <c r="J535" s="9"/>
      <c r="K535" s="9"/>
      <c r="L535" s="9"/>
      <c r="M535" s="9"/>
      <c r="AA535" s="13"/>
      <c r="AB535" s="13"/>
      <c r="AC535" s="13"/>
      <c r="AD535" s="13"/>
    </row>
    <row r="536">
      <c r="G536" s="22"/>
      <c r="J536" s="9"/>
      <c r="K536" s="9"/>
      <c r="L536" s="9"/>
      <c r="M536" s="9"/>
      <c r="AA536" s="13"/>
      <c r="AB536" s="13"/>
      <c r="AC536" s="13"/>
      <c r="AD536" s="13"/>
    </row>
    <row r="537">
      <c r="G537" s="22"/>
      <c r="J537" s="9"/>
      <c r="K537" s="9"/>
      <c r="L537" s="9"/>
      <c r="M537" s="9"/>
      <c r="AA537" s="13"/>
      <c r="AB537" s="13"/>
      <c r="AC537" s="13"/>
      <c r="AD537" s="13"/>
    </row>
    <row r="538">
      <c r="G538" s="22"/>
      <c r="J538" s="9"/>
      <c r="K538" s="9"/>
      <c r="L538" s="9"/>
      <c r="M538" s="9"/>
      <c r="AA538" s="13"/>
      <c r="AB538" s="13"/>
      <c r="AC538" s="13"/>
      <c r="AD538" s="13"/>
    </row>
    <row r="539">
      <c r="G539" s="22"/>
      <c r="J539" s="9"/>
      <c r="K539" s="9"/>
      <c r="L539" s="9"/>
      <c r="M539" s="9"/>
      <c r="AA539" s="13"/>
      <c r="AB539" s="13"/>
      <c r="AC539" s="13"/>
      <c r="AD539" s="13"/>
    </row>
    <row r="540">
      <c r="G540" s="22"/>
      <c r="J540" s="9"/>
      <c r="K540" s="9"/>
      <c r="L540" s="9"/>
      <c r="M540" s="9"/>
      <c r="AA540" s="13"/>
      <c r="AB540" s="13"/>
      <c r="AC540" s="13"/>
      <c r="AD540" s="13"/>
    </row>
    <row r="541">
      <c r="G541" s="22"/>
      <c r="J541" s="9"/>
      <c r="K541" s="9"/>
      <c r="L541" s="9"/>
      <c r="M541" s="9"/>
      <c r="AA541" s="13"/>
      <c r="AB541" s="13"/>
      <c r="AC541" s="13"/>
      <c r="AD541" s="13"/>
    </row>
    <row r="542">
      <c r="G542" s="22"/>
      <c r="J542" s="9"/>
      <c r="K542" s="9"/>
      <c r="L542" s="9"/>
      <c r="M542" s="9"/>
      <c r="AA542" s="13"/>
      <c r="AB542" s="13"/>
      <c r="AC542" s="13"/>
      <c r="AD542" s="13"/>
    </row>
    <row r="543">
      <c r="G543" s="22"/>
      <c r="J543" s="9"/>
      <c r="K543" s="9"/>
      <c r="L543" s="9"/>
      <c r="M543" s="9"/>
      <c r="AA543" s="13"/>
      <c r="AB543" s="13"/>
      <c r="AC543" s="13"/>
      <c r="AD543" s="13"/>
    </row>
    <row r="544">
      <c r="G544" s="22"/>
      <c r="J544" s="9"/>
      <c r="K544" s="9"/>
      <c r="L544" s="9"/>
      <c r="M544" s="9"/>
      <c r="AA544" s="13"/>
      <c r="AB544" s="13"/>
      <c r="AC544" s="13"/>
      <c r="AD544" s="13"/>
    </row>
    <row r="545">
      <c r="G545" s="22"/>
      <c r="J545" s="9"/>
      <c r="K545" s="9"/>
      <c r="L545" s="9"/>
      <c r="M545" s="9"/>
      <c r="AA545" s="13"/>
      <c r="AB545" s="13"/>
      <c r="AC545" s="13"/>
      <c r="AD545" s="13"/>
    </row>
    <row r="546">
      <c r="G546" s="22"/>
      <c r="J546" s="9"/>
      <c r="K546" s="9"/>
      <c r="L546" s="9"/>
      <c r="M546" s="9"/>
      <c r="AA546" s="13"/>
      <c r="AB546" s="13"/>
      <c r="AC546" s="13"/>
      <c r="AD546" s="13"/>
    </row>
    <row r="547">
      <c r="G547" s="22"/>
      <c r="J547" s="9"/>
      <c r="K547" s="9"/>
      <c r="L547" s="9"/>
      <c r="M547" s="9"/>
      <c r="AA547" s="13"/>
      <c r="AB547" s="13"/>
      <c r="AC547" s="13"/>
      <c r="AD547" s="13"/>
    </row>
    <row r="548">
      <c r="G548" s="22"/>
      <c r="J548" s="9"/>
      <c r="K548" s="9"/>
      <c r="L548" s="9"/>
      <c r="M548" s="9"/>
      <c r="AA548" s="13"/>
      <c r="AB548" s="13"/>
      <c r="AC548" s="13"/>
      <c r="AD548" s="13"/>
    </row>
    <row r="549">
      <c r="G549" s="22"/>
      <c r="J549" s="9"/>
      <c r="K549" s="9"/>
      <c r="L549" s="9"/>
      <c r="M549" s="9"/>
      <c r="AA549" s="13"/>
      <c r="AB549" s="13"/>
      <c r="AC549" s="13"/>
      <c r="AD549" s="13"/>
    </row>
    <row r="550">
      <c r="G550" s="22"/>
      <c r="J550" s="9"/>
      <c r="K550" s="9"/>
      <c r="L550" s="9"/>
      <c r="M550" s="9"/>
      <c r="AA550" s="13"/>
      <c r="AB550" s="13"/>
      <c r="AC550" s="13"/>
      <c r="AD550" s="13"/>
    </row>
    <row r="551">
      <c r="G551" s="22"/>
      <c r="J551" s="9"/>
      <c r="K551" s="9"/>
      <c r="L551" s="9"/>
      <c r="M551" s="9"/>
      <c r="AA551" s="13"/>
      <c r="AB551" s="13"/>
      <c r="AC551" s="13"/>
      <c r="AD551" s="13"/>
    </row>
    <row r="552">
      <c r="G552" s="22"/>
      <c r="J552" s="9"/>
      <c r="K552" s="9"/>
      <c r="L552" s="9"/>
      <c r="M552" s="9"/>
      <c r="AA552" s="13"/>
      <c r="AB552" s="13"/>
      <c r="AC552" s="13"/>
      <c r="AD552" s="13"/>
    </row>
    <row r="553">
      <c r="G553" s="22"/>
      <c r="J553" s="9"/>
      <c r="K553" s="9"/>
      <c r="L553" s="9"/>
      <c r="M553" s="9"/>
      <c r="AA553" s="13"/>
      <c r="AB553" s="13"/>
      <c r="AC553" s="13"/>
      <c r="AD553" s="13"/>
    </row>
    <row r="554">
      <c r="G554" s="22"/>
      <c r="J554" s="9"/>
      <c r="K554" s="9"/>
      <c r="L554" s="9"/>
      <c r="M554" s="9"/>
      <c r="AA554" s="13"/>
      <c r="AB554" s="13"/>
      <c r="AC554" s="13"/>
      <c r="AD554" s="13"/>
    </row>
    <row r="555">
      <c r="G555" s="22"/>
      <c r="J555" s="9"/>
      <c r="K555" s="9"/>
      <c r="L555" s="9"/>
      <c r="M555" s="9"/>
      <c r="AA555" s="13"/>
      <c r="AB555" s="13"/>
      <c r="AC555" s="13"/>
      <c r="AD555" s="13"/>
    </row>
    <row r="556">
      <c r="G556" s="22"/>
      <c r="J556" s="9"/>
      <c r="K556" s="9"/>
      <c r="L556" s="9"/>
      <c r="M556" s="9"/>
      <c r="AA556" s="13"/>
      <c r="AB556" s="13"/>
      <c r="AC556" s="13"/>
      <c r="AD556" s="13"/>
    </row>
    <row r="557">
      <c r="G557" s="22"/>
      <c r="J557" s="9"/>
      <c r="K557" s="9"/>
      <c r="L557" s="9"/>
      <c r="M557" s="9"/>
      <c r="AA557" s="13"/>
      <c r="AB557" s="13"/>
      <c r="AC557" s="13"/>
      <c r="AD557" s="13"/>
    </row>
    <row r="558">
      <c r="G558" s="22"/>
      <c r="J558" s="9"/>
      <c r="K558" s="9"/>
      <c r="L558" s="9"/>
      <c r="M558" s="9"/>
      <c r="AA558" s="13"/>
      <c r="AB558" s="13"/>
      <c r="AC558" s="13"/>
      <c r="AD558" s="13"/>
    </row>
    <row r="559">
      <c r="G559" s="22"/>
      <c r="J559" s="9"/>
      <c r="K559" s="9"/>
      <c r="L559" s="9"/>
      <c r="M559" s="9"/>
      <c r="AA559" s="13"/>
      <c r="AB559" s="13"/>
      <c r="AC559" s="13"/>
      <c r="AD559" s="13"/>
    </row>
    <row r="560">
      <c r="G560" s="22"/>
      <c r="J560" s="9"/>
      <c r="K560" s="9"/>
      <c r="L560" s="9"/>
      <c r="M560" s="9"/>
      <c r="AA560" s="13"/>
      <c r="AB560" s="13"/>
      <c r="AC560" s="13"/>
      <c r="AD560" s="13"/>
    </row>
    <row r="561">
      <c r="G561" s="22"/>
      <c r="J561" s="9"/>
      <c r="K561" s="9"/>
      <c r="L561" s="9"/>
      <c r="M561" s="9"/>
      <c r="AA561" s="13"/>
      <c r="AB561" s="13"/>
      <c r="AC561" s="13"/>
      <c r="AD561" s="13"/>
    </row>
    <row r="562">
      <c r="G562" s="22"/>
      <c r="J562" s="9"/>
      <c r="K562" s="9"/>
      <c r="L562" s="9"/>
      <c r="M562" s="9"/>
      <c r="AA562" s="13"/>
      <c r="AB562" s="13"/>
      <c r="AC562" s="13"/>
      <c r="AD562" s="13"/>
    </row>
    <row r="563">
      <c r="G563" s="22"/>
      <c r="J563" s="9"/>
      <c r="K563" s="9"/>
      <c r="L563" s="9"/>
      <c r="M563" s="9"/>
      <c r="AA563" s="13"/>
      <c r="AB563" s="13"/>
      <c r="AC563" s="13"/>
      <c r="AD563" s="13"/>
    </row>
    <row r="564">
      <c r="G564" s="22"/>
      <c r="J564" s="9"/>
      <c r="K564" s="9"/>
      <c r="L564" s="9"/>
      <c r="M564" s="9"/>
      <c r="AA564" s="13"/>
      <c r="AB564" s="13"/>
      <c r="AC564" s="13"/>
      <c r="AD564" s="13"/>
    </row>
    <row r="565">
      <c r="G565" s="22"/>
      <c r="J565" s="9"/>
      <c r="K565" s="9"/>
      <c r="L565" s="9"/>
      <c r="M565" s="9"/>
      <c r="AA565" s="13"/>
      <c r="AB565" s="13"/>
      <c r="AC565" s="13"/>
      <c r="AD565" s="13"/>
    </row>
    <row r="566">
      <c r="G566" s="22"/>
      <c r="J566" s="9"/>
      <c r="K566" s="9"/>
      <c r="L566" s="9"/>
      <c r="M566" s="9"/>
      <c r="AA566" s="13"/>
      <c r="AB566" s="13"/>
      <c r="AC566" s="13"/>
      <c r="AD566" s="13"/>
    </row>
    <row r="567">
      <c r="G567" s="22"/>
      <c r="J567" s="9"/>
      <c r="K567" s="9"/>
      <c r="L567" s="9"/>
      <c r="M567" s="9"/>
      <c r="AA567" s="13"/>
      <c r="AB567" s="13"/>
      <c r="AC567" s="13"/>
      <c r="AD567" s="13"/>
    </row>
    <row r="568">
      <c r="G568" s="22"/>
      <c r="J568" s="9"/>
      <c r="K568" s="9"/>
      <c r="L568" s="9"/>
      <c r="M568" s="9"/>
      <c r="AA568" s="13"/>
      <c r="AB568" s="13"/>
      <c r="AC568" s="13"/>
      <c r="AD568" s="13"/>
    </row>
    <row r="569">
      <c r="G569" s="22"/>
      <c r="J569" s="9"/>
      <c r="K569" s="9"/>
      <c r="L569" s="9"/>
      <c r="M569" s="9"/>
      <c r="AA569" s="13"/>
      <c r="AB569" s="13"/>
      <c r="AC569" s="13"/>
      <c r="AD569" s="13"/>
    </row>
    <row r="570">
      <c r="G570" s="22"/>
      <c r="J570" s="9"/>
      <c r="K570" s="9"/>
      <c r="L570" s="9"/>
      <c r="M570" s="9"/>
      <c r="AA570" s="13"/>
      <c r="AB570" s="13"/>
      <c r="AC570" s="13"/>
      <c r="AD570" s="13"/>
    </row>
    <row r="571">
      <c r="G571" s="22"/>
      <c r="J571" s="9"/>
      <c r="K571" s="9"/>
      <c r="L571" s="9"/>
      <c r="M571" s="9"/>
      <c r="AA571" s="13"/>
      <c r="AB571" s="13"/>
      <c r="AC571" s="13"/>
      <c r="AD571" s="13"/>
    </row>
    <row r="572">
      <c r="G572" s="22"/>
      <c r="J572" s="9"/>
      <c r="K572" s="9"/>
      <c r="L572" s="9"/>
      <c r="M572" s="9"/>
      <c r="AA572" s="13"/>
      <c r="AB572" s="13"/>
      <c r="AC572" s="13"/>
      <c r="AD572" s="13"/>
    </row>
    <row r="573">
      <c r="G573" s="22"/>
      <c r="J573" s="9"/>
      <c r="K573" s="9"/>
      <c r="L573" s="9"/>
      <c r="M573" s="9"/>
      <c r="AA573" s="13"/>
      <c r="AB573" s="13"/>
      <c r="AC573" s="13"/>
      <c r="AD573" s="13"/>
    </row>
    <row r="574">
      <c r="G574" s="22"/>
      <c r="J574" s="9"/>
      <c r="K574" s="9"/>
      <c r="L574" s="9"/>
      <c r="M574" s="9"/>
      <c r="AA574" s="13"/>
      <c r="AB574" s="13"/>
      <c r="AC574" s="13"/>
      <c r="AD574" s="13"/>
    </row>
    <row r="575">
      <c r="G575" s="22"/>
      <c r="J575" s="9"/>
      <c r="K575" s="9"/>
      <c r="L575" s="9"/>
      <c r="M575" s="9"/>
      <c r="AA575" s="13"/>
      <c r="AB575" s="13"/>
      <c r="AC575" s="13"/>
      <c r="AD575" s="13"/>
    </row>
    <row r="576">
      <c r="G576" s="22"/>
      <c r="J576" s="9"/>
      <c r="K576" s="9"/>
      <c r="L576" s="9"/>
      <c r="M576" s="9"/>
      <c r="AA576" s="13"/>
      <c r="AB576" s="13"/>
      <c r="AC576" s="13"/>
      <c r="AD576" s="13"/>
    </row>
    <row r="577">
      <c r="G577" s="22"/>
      <c r="J577" s="9"/>
      <c r="K577" s="9"/>
      <c r="L577" s="9"/>
      <c r="M577" s="9"/>
      <c r="AA577" s="13"/>
      <c r="AB577" s="13"/>
      <c r="AC577" s="13"/>
      <c r="AD577" s="13"/>
    </row>
    <row r="578">
      <c r="G578" s="22"/>
      <c r="J578" s="9"/>
      <c r="K578" s="9"/>
      <c r="L578" s="9"/>
      <c r="M578" s="9"/>
      <c r="AA578" s="13"/>
      <c r="AB578" s="13"/>
      <c r="AC578" s="13"/>
      <c r="AD578" s="13"/>
    </row>
    <row r="579">
      <c r="G579" s="22"/>
      <c r="J579" s="9"/>
      <c r="K579" s="9"/>
      <c r="L579" s="9"/>
      <c r="M579" s="9"/>
      <c r="AA579" s="13"/>
      <c r="AB579" s="13"/>
      <c r="AC579" s="13"/>
      <c r="AD579" s="13"/>
    </row>
    <row r="580">
      <c r="G580" s="22"/>
      <c r="J580" s="9"/>
      <c r="K580" s="9"/>
      <c r="L580" s="9"/>
      <c r="M580" s="9"/>
      <c r="AA580" s="13"/>
      <c r="AB580" s="13"/>
      <c r="AC580" s="13"/>
      <c r="AD580" s="13"/>
    </row>
    <row r="581">
      <c r="G581" s="22"/>
      <c r="J581" s="9"/>
      <c r="K581" s="9"/>
      <c r="L581" s="9"/>
      <c r="M581" s="9"/>
      <c r="AA581" s="13"/>
      <c r="AB581" s="13"/>
      <c r="AC581" s="13"/>
      <c r="AD581" s="13"/>
    </row>
    <row r="582">
      <c r="G582" s="22"/>
      <c r="J582" s="9"/>
      <c r="K582" s="9"/>
      <c r="L582" s="9"/>
      <c r="M582" s="9"/>
      <c r="AA582" s="13"/>
      <c r="AB582" s="13"/>
      <c r="AC582" s="13"/>
      <c r="AD582" s="13"/>
    </row>
    <row r="583">
      <c r="G583" s="22"/>
      <c r="J583" s="9"/>
      <c r="K583" s="9"/>
      <c r="L583" s="9"/>
      <c r="M583" s="9"/>
      <c r="AA583" s="13"/>
      <c r="AB583" s="13"/>
      <c r="AC583" s="13"/>
      <c r="AD583" s="13"/>
    </row>
    <row r="584">
      <c r="G584" s="22"/>
      <c r="J584" s="9"/>
      <c r="K584" s="9"/>
      <c r="L584" s="9"/>
      <c r="M584" s="9"/>
      <c r="AA584" s="13"/>
      <c r="AB584" s="13"/>
      <c r="AC584" s="13"/>
      <c r="AD584" s="13"/>
    </row>
    <row r="585">
      <c r="G585" s="22"/>
      <c r="J585" s="9"/>
      <c r="K585" s="9"/>
      <c r="L585" s="9"/>
      <c r="M585" s="9"/>
      <c r="AA585" s="13"/>
      <c r="AB585" s="13"/>
      <c r="AC585" s="13"/>
      <c r="AD585" s="13"/>
    </row>
    <row r="586">
      <c r="G586" s="22"/>
      <c r="J586" s="9"/>
      <c r="K586" s="9"/>
      <c r="L586" s="9"/>
      <c r="M586" s="9"/>
      <c r="AA586" s="13"/>
      <c r="AB586" s="13"/>
      <c r="AC586" s="13"/>
      <c r="AD586" s="13"/>
    </row>
    <row r="587">
      <c r="G587" s="22"/>
      <c r="J587" s="9"/>
      <c r="K587" s="9"/>
      <c r="L587" s="9"/>
      <c r="M587" s="9"/>
      <c r="AA587" s="13"/>
      <c r="AB587" s="13"/>
      <c r="AC587" s="13"/>
      <c r="AD587" s="13"/>
    </row>
    <row r="588">
      <c r="G588" s="22"/>
      <c r="J588" s="9"/>
      <c r="K588" s="9"/>
      <c r="L588" s="9"/>
      <c r="M588" s="9"/>
      <c r="AA588" s="13"/>
      <c r="AB588" s="13"/>
      <c r="AC588" s="13"/>
      <c r="AD588" s="13"/>
    </row>
    <row r="589">
      <c r="G589" s="22"/>
      <c r="J589" s="9"/>
      <c r="K589" s="9"/>
      <c r="L589" s="9"/>
      <c r="M589" s="9"/>
      <c r="AA589" s="13"/>
      <c r="AB589" s="13"/>
      <c r="AC589" s="13"/>
      <c r="AD589" s="13"/>
    </row>
    <row r="590">
      <c r="G590" s="22"/>
      <c r="J590" s="9"/>
      <c r="K590" s="9"/>
      <c r="L590" s="9"/>
      <c r="M590" s="9"/>
      <c r="AA590" s="13"/>
      <c r="AB590" s="13"/>
      <c r="AC590" s="13"/>
      <c r="AD590" s="13"/>
    </row>
    <row r="591">
      <c r="G591" s="22"/>
      <c r="J591" s="9"/>
      <c r="K591" s="9"/>
      <c r="L591" s="9"/>
      <c r="M591" s="9"/>
      <c r="AA591" s="13"/>
      <c r="AB591" s="13"/>
      <c r="AC591" s="13"/>
      <c r="AD591" s="13"/>
    </row>
    <row r="592">
      <c r="G592" s="22"/>
      <c r="J592" s="9"/>
      <c r="K592" s="9"/>
      <c r="L592" s="9"/>
      <c r="M592" s="9"/>
      <c r="AA592" s="13"/>
      <c r="AB592" s="13"/>
      <c r="AC592" s="13"/>
      <c r="AD592" s="13"/>
    </row>
    <row r="593">
      <c r="G593" s="22"/>
      <c r="J593" s="9"/>
      <c r="K593" s="9"/>
      <c r="L593" s="9"/>
      <c r="M593" s="9"/>
      <c r="AA593" s="13"/>
      <c r="AB593" s="13"/>
      <c r="AC593" s="13"/>
      <c r="AD593" s="13"/>
    </row>
    <row r="594">
      <c r="G594" s="22"/>
      <c r="J594" s="9"/>
      <c r="K594" s="9"/>
      <c r="L594" s="9"/>
      <c r="M594" s="9"/>
      <c r="AA594" s="13"/>
      <c r="AB594" s="13"/>
      <c r="AC594" s="13"/>
      <c r="AD594" s="13"/>
    </row>
    <row r="595">
      <c r="G595" s="22"/>
      <c r="J595" s="9"/>
      <c r="K595" s="9"/>
      <c r="L595" s="9"/>
      <c r="M595" s="9"/>
      <c r="AA595" s="13"/>
      <c r="AB595" s="13"/>
      <c r="AC595" s="13"/>
      <c r="AD595" s="13"/>
    </row>
    <row r="596">
      <c r="G596" s="22"/>
      <c r="J596" s="9"/>
      <c r="K596" s="9"/>
      <c r="L596" s="9"/>
      <c r="M596" s="9"/>
      <c r="AA596" s="13"/>
      <c r="AB596" s="13"/>
      <c r="AC596" s="13"/>
      <c r="AD596" s="13"/>
    </row>
    <row r="597">
      <c r="G597" s="22"/>
      <c r="J597" s="9"/>
      <c r="K597" s="9"/>
      <c r="L597" s="9"/>
      <c r="M597" s="9"/>
      <c r="AA597" s="13"/>
      <c r="AB597" s="13"/>
      <c r="AC597" s="13"/>
      <c r="AD597" s="13"/>
    </row>
    <row r="598">
      <c r="G598" s="22"/>
      <c r="J598" s="9"/>
      <c r="K598" s="9"/>
      <c r="L598" s="9"/>
      <c r="M598" s="9"/>
      <c r="AA598" s="13"/>
      <c r="AB598" s="13"/>
      <c r="AC598" s="13"/>
      <c r="AD598" s="13"/>
    </row>
    <row r="599">
      <c r="G599" s="22"/>
      <c r="J599" s="9"/>
      <c r="K599" s="9"/>
      <c r="L599" s="9"/>
      <c r="M599" s="9"/>
      <c r="AA599" s="13"/>
      <c r="AB599" s="13"/>
      <c r="AC599" s="13"/>
      <c r="AD599" s="13"/>
    </row>
    <row r="600">
      <c r="G600" s="22"/>
      <c r="J600" s="9"/>
      <c r="K600" s="9"/>
      <c r="L600" s="9"/>
      <c r="M600" s="9"/>
      <c r="AA600" s="13"/>
      <c r="AB600" s="13"/>
      <c r="AC600" s="13"/>
      <c r="AD600" s="13"/>
    </row>
    <row r="601">
      <c r="G601" s="22"/>
      <c r="J601" s="9"/>
      <c r="K601" s="9"/>
      <c r="L601" s="9"/>
      <c r="M601" s="9"/>
      <c r="AA601" s="13"/>
      <c r="AB601" s="13"/>
      <c r="AC601" s="13"/>
      <c r="AD601" s="13"/>
    </row>
    <row r="602">
      <c r="G602" s="22"/>
      <c r="J602" s="9"/>
      <c r="K602" s="9"/>
      <c r="L602" s="9"/>
      <c r="M602" s="9"/>
      <c r="AA602" s="13"/>
      <c r="AB602" s="13"/>
      <c r="AC602" s="13"/>
      <c r="AD602" s="13"/>
    </row>
    <row r="603">
      <c r="G603" s="22"/>
      <c r="J603" s="9"/>
      <c r="K603" s="9"/>
      <c r="L603" s="9"/>
      <c r="M603" s="9"/>
      <c r="AA603" s="13"/>
      <c r="AB603" s="13"/>
      <c r="AC603" s="13"/>
      <c r="AD603" s="13"/>
    </row>
    <row r="604">
      <c r="G604" s="22"/>
      <c r="J604" s="9"/>
      <c r="K604" s="9"/>
      <c r="L604" s="9"/>
      <c r="M604" s="9"/>
      <c r="AA604" s="13"/>
      <c r="AB604" s="13"/>
      <c r="AC604" s="13"/>
      <c r="AD604" s="13"/>
    </row>
    <row r="605">
      <c r="G605" s="22"/>
      <c r="J605" s="9"/>
      <c r="K605" s="9"/>
      <c r="L605" s="9"/>
      <c r="M605" s="9"/>
      <c r="AA605" s="13"/>
      <c r="AB605" s="13"/>
      <c r="AC605" s="13"/>
      <c r="AD605" s="13"/>
    </row>
    <row r="606">
      <c r="G606" s="22"/>
      <c r="J606" s="9"/>
      <c r="K606" s="9"/>
      <c r="L606" s="9"/>
      <c r="M606" s="9"/>
      <c r="AA606" s="13"/>
      <c r="AB606" s="13"/>
      <c r="AC606" s="13"/>
      <c r="AD606" s="13"/>
    </row>
    <row r="607">
      <c r="G607" s="22"/>
      <c r="J607" s="9"/>
      <c r="K607" s="9"/>
      <c r="L607" s="9"/>
      <c r="M607" s="9"/>
      <c r="AA607" s="13"/>
      <c r="AB607" s="13"/>
      <c r="AC607" s="13"/>
      <c r="AD607" s="13"/>
    </row>
    <row r="608">
      <c r="G608" s="22"/>
      <c r="J608" s="9"/>
      <c r="K608" s="9"/>
      <c r="L608" s="9"/>
      <c r="M608" s="9"/>
      <c r="AA608" s="13"/>
      <c r="AB608" s="13"/>
      <c r="AC608" s="13"/>
      <c r="AD608" s="13"/>
    </row>
    <row r="609">
      <c r="G609" s="22"/>
      <c r="J609" s="9"/>
      <c r="K609" s="9"/>
      <c r="L609" s="9"/>
      <c r="M609" s="9"/>
      <c r="AA609" s="13"/>
      <c r="AB609" s="13"/>
      <c r="AC609" s="13"/>
      <c r="AD609" s="13"/>
    </row>
    <row r="610">
      <c r="G610" s="22"/>
      <c r="J610" s="9"/>
      <c r="K610" s="9"/>
      <c r="L610" s="9"/>
      <c r="M610" s="9"/>
      <c r="AA610" s="13"/>
      <c r="AB610" s="13"/>
      <c r="AC610" s="13"/>
      <c r="AD610" s="13"/>
    </row>
    <row r="611">
      <c r="G611" s="22"/>
      <c r="J611" s="9"/>
      <c r="K611" s="9"/>
      <c r="L611" s="9"/>
      <c r="M611" s="9"/>
      <c r="AA611" s="13"/>
      <c r="AB611" s="13"/>
      <c r="AC611" s="13"/>
      <c r="AD611" s="13"/>
    </row>
    <row r="612">
      <c r="G612" s="22"/>
      <c r="J612" s="9"/>
      <c r="K612" s="9"/>
      <c r="L612" s="9"/>
      <c r="M612" s="9"/>
      <c r="AA612" s="13"/>
      <c r="AB612" s="13"/>
      <c r="AC612" s="13"/>
      <c r="AD612" s="13"/>
    </row>
    <row r="613">
      <c r="G613" s="22"/>
      <c r="J613" s="9"/>
      <c r="K613" s="9"/>
      <c r="L613" s="9"/>
      <c r="M613" s="9"/>
      <c r="AA613" s="13"/>
      <c r="AB613" s="13"/>
      <c r="AC613" s="13"/>
      <c r="AD613" s="13"/>
    </row>
    <row r="614">
      <c r="G614" s="22"/>
      <c r="J614" s="9"/>
      <c r="K614" s="9"/>
      <c r="L614" s="9"/>
      <c r="M614" s="9"/>
      <c r="AA614" s="13"/>
      <c r="AB614" s="13"/>
      <c r="AC614" s="13"/>
      <c r="AD614" s="13"/>
    </row>
    <row r="615">
      <c r="G615" s="22"/>
      <c r="J615" s="9"/>
      <c r="K615" s="9"/>
      <c r="L615" s="9"/>
      <c r="M615" s="9"/>
      <c r="AA615" s="13"/>
      <c r="AB615" s="13"/>
      <c r="AC615" s="13"/>
      <c r="AD615" s="13"/>
    </row>
    <row r="616">
      <c r="G616" s="22"/>
      <c r="J616" s="9"/>
      <c r="K616" s="9"/>
      <c r="L616" s="9"/>
      <c r="M616" s="9"/>
      <c r="AA616" s="13"/>
      <c r="AB616" s="13"/>
      <c r="AC616" s="13"/>
      <c r="AD616" s="13"/>
    </row>
    <row r="617">
      <c r="G617" s="22"/>
      <c r="J617" s="9"/>
      <c r="K617" s="9"/>
      <c r="L617" s="9"/>
      <c r="M617" s="9"/>
      <c r="AA617" s="13"/>
      <c r="AB617" s="13"/>
      <c r="AC617" s="13"/>
      <c r="AD617" s="13"/>
    </row>
    <row r="618">
      <c r="G618" s="22"/>
      <c r="J618" s="9"/>
      <c r="K618" s="9"/>
      <c r="L618" s="9"/>
      <c r="M618" s="9"/>
      <c r="AA618" s="13"/>
      <c r="AB618" s="13"/>
      <c r="AC618" s="13"/>
      <c r="AD618" s="13"/>
    </row>
    <row r="619">
      <c r="G619" s="22"/>
      <c r="J619" s="9"/>
      <c r="K619" s="9"/>
      <c r="L619" s="9"/>
      <c r="M619" s="9"/>
      <c r="AA619" s="13"/>
      <c r="AB619" s="13"/>
      <c r="AC619" s="13"/>
      <c r="AD619" s="13"/>
    </row>
    <row r="620">
      <c r="G620" s="22"/>
      <c r="J620" s="9"/>
      <c r="K620" s="9"/>
      <c r="L620" s="9"/>
      <c r="M620" s="9"/>
      <c r="AA620" s="13"/>
      <c r="AB620" s="13"/>
      <c r="AC620" s="13"/>
      <c r="AD620" s="13"/>
    </row>
    <row r="621">
      <c r="G621" s="22"/>
      <c r="J621" s="9"/>
      <c r="K621" s="9"/>
      <c r="L621" s="9"/>
      <c r="M621" s="9"/>
      <c r="AA621" s="13"/>
      <c r="AB621" s="13"/>
      <c r="AC621" s="13"/>
      <c r="AD621" s="13"/>
    </row>
    <row r="622">
      <c r="G622" s="22"/>
      <c r="J622" s="9"/>
      <c r="K622" s="9"/>
      <c r="L622" s="9"/>
      <c r="M622" s="9"/>
      <c r="AA622" s="13"/>
      <c r="AB622" s="13"/>
      <c r="AC622" s="13"/>
      <c r="AD622" s="13"/>
    </row>
    <row r="623">
      <c r="G623" s="22"/>
      <c r="J623" s="9"/>
      <c r="K623" s="9"/>
      <c r="L623" s="9"/>
      <c r="M623" s="9"/>
      <c r="AA623" s="13"/>
      <c r="AB623" s="13"/>
      <c r="AC623" s="13"/>
      <c r="AD623" s="13"/>
    </row>
    <row r="624">
      <c r="G624" s="22"/>
      <c r="J624" s="9"/>
      <c r="K624" s="9"/>
      <c r="L624" s="9"/>
      <c r="M624" s="9"/>
      <c r="AA624" s="13"/>
      <c r="AB624" s="13"/>
      <c r="AC624" s="13"/>
      <c r="AD624" s="13"/>
    </row>
    <row r="625">
      <c r="G625" s="22"/>
      <c r="J625" s="9"/>
      <c r="K625" s="9"/>
      <c r="L625" s="9"/>
      <c r="M625" s="9"/>
      <c r="AA625" s="13"/>
      <c r="AB625" s="13"/>
      <c r="AC625" s="13"/>
      <c r="AD625" s="13"/>
    </row>
    <row r="626">
      <c r="G626" s="22"/>
      <c r="J626" s="9"/>
      <c r="K626" s="9"/>
      <c r="L626" s="9"/>
      <c r="M626" s="9"/>
      <c r="AA626" s="13"/>
      <c r="AB626" s="13"/>
      <c r="AC626" s="13"/>
      <c r="AD626" s="13"/>
    </row>
    <row r="627">
      <c r="G627" s="22"/>
      <c r="J627" s="9"/>
      <c r="K627" s="9"/>
      <c r="L627" s="9"/>
      <c r="M627" s="9"/>
      <c r="AA627" s="13"/>
      <c r="AB627" s="13"/>
      <c r="AC627" s="13"/>
      <c r="AD627" s="13"/>
    </row>
    <row r="628">
      <c r="G628" s="22"/>
      <c r="J628" s="9"/>
      <c r="K628" s="9"/>
      <c r="L628" s="9"/>
      <c r="M628" s="9"/>
      <c r="AA628" s="13"/>
      <c r="AB628" s="13"/>
      <c r="AC628" s="13"/>
      <c r="AD628" s="13"/>
    </row>
    <row r="629">
      <c r="G629" s="22"/>
      <c r="J629" s="9"/>
      <c r="K629" s="9"/>
      <c r="L629" s="9"/>
      <c r="M629" s="9"/>
      <c r="AA629" s="13"/>
      <c r="AB629" s="13"/>
      <c r="AC629" s="13"/>
      <c r="AD629" s="13"/>
    </row>
    <row r="630">
      <c r="G630" s="22"/>
      <c r="J630" s="9"/>
      <c r="K630" s="9"/>
      <c r="L630" s="9"/>
      <c r="M630" s="9"/>
      <c r="AA630" s="13"/>
      <c r="AB630" s="13"/>
      <c r="AC630" s="13"/>
      <c r="AD630" s="13"/>
    </row>
    <row r="631">
      <c r="G631" s="22"/>
      <c r="J631" s="9"/>
      <c r="K631" s="9"/>
      <c r="L631" s="9"/>
      <c r="M631" s="9"/>
      <c r="AA631" s="13"/>
      <c r="AB631" s="13"/>
      <c r="AC631" s="13"/>
      <c r="AD631" s="13"/>
    </row>
    <row r="632">
      <c r="G632" s="22"/>
      <c r="J632" s="9"/>
      <c r="K632" s="9"/>
      <c r="L632" s="9"/>
      <c r="M632" s="9"/>
      <c r="AA632" s="13"/>
      <c r="AB632" s="13"/>
      <c r="AC632" s="13"/>
      <c r="AD632" s="13"/>
    </row>
    <row r="633">
      <c r="G633" s="22"/>
      <c r="J633" s="9"/>
      <c r="K633" s="9"/>
      <c r="L633" s="9"/>
      <c r="M633" s="9"/>
      <c r="AA633" s="13"/>
      <c r="AB633" s="13"/>
      <c r="AC633" s="13"/>
      <c r="AD633" s="13"/>
    </row>
    <row r="634">
      <c r="G634" s="22"/>
      <c r="J634" s="9"/>
      <c r="K634" s="9"/>
      <c r="L634" s="9"/>
      <c r="M634" s="9"/>
      <c r="AA634" s="13"/>
      <c r="AB634" s="13"/>
      <c r="AC634" s="13"/>
      <c r="AD634" s="13"/>
    </row>
    <row r="635">
      <c r="G635" s="22"/>
      <c r="J635" s="9"/>
      <c r="K635" s="9"/>
      <c r="L635" s="9"/>
      <c r="M635" s="9"/>
      <c r="AA635" s="13"/>
      <c r="AB635" s="13"/>
      <c r="AC635" s="13"/>
      <c r="AD635" s="13"/>
    </row>
    <row r="636">
      <c r="G636" s="22"/>
      <c r="J636" s="9"/>
      <c r="K636" s="9"/>
      <c r="L636" s="9"/>
      <c r="M636" s="9"/>
      <c r="AA636" s="13"/>
      <c r="AB636" s="13"/>
      <c r="AC636" s="13"/>
      <c r="AD636" s="13"/>
    </row>
    <row r="637">
      <c r="G637" s="22"/>
      <c r="J637" s="9"/>
      <c r="K637" s="9"/>
      <c r="L637" s="9"/>
      <c r="M637" s="9"/>
      <c r="AA637" s="13"/>
      <c r="AB637" s="13"/>
      <c r="AC637" s="13"/>
      <c r="AD637" s="13"/>
    </row>
    <row r="638">
      <c r="G638" s="22"/>
      <c r="J638" s="9"/>
      <c r="K638" s="9"/>
      <c r="L638" s="9"/>
      <c r="M638" s="9"/>
      <c r="AA638" s="13"/>
      <c r="AB638" s="13"/>
      <c r="AC638" s="13"/>
      <c r="AD638" s="13"/>
    </row>
    <row r="639">
      <c r="G639" s="22"/>
      <c r="J639" s="9"/>
      <c r="K639" s="9"/>
      <c r="L639" s="9"/>
      <c r="M639" s="9"/>
      <c r="AA639" s="13"/>
      <c r="AB639" s="13"/>
      <c r="AC639" s="13"/>
      <c r="AD639" s="13"/>
    </row>
    <row r="640">
      <c r="G640" s="22"/>
      <c r="J640" s="9"/>
      <c r="K640" s="9"/>
      <c r="L640" s="9"/>
      <c r="M640" s="9"/>
      <c r="AA640" s="13"/>
      <c r="AB640" s="13"/>
      <c r="AC640" s="13"/>
      <c r="AD640" s="13"/>
    </row>
    <row r="641">
      <c r="G641" s="22"/>
      <c r="J641" s="9"/>
      <c r="K641" s="9"/>
      <c r="L641" s="9"/>
      <c r="M641" s="9"/>
      <c r="AA641" s="13"/>
      <c r="AB641" s="13"/>
      <c r="AC641" s="13"/>
      <c r="AD641" s="13"/>
    </row>
    <row r="642">
      <c r="G642" s="22"/>
      <c r="J642" s="9"/>
      <c r="K642" s="9"/>
      <c r="L642" s="9"/>
      <c r="M642" s="9"/>
      <c r="AA642" s="13"/>
      <c r="AB642" s="13"/>
      <c r="AC642" s="13"/>
      <c r="AD642" s="13"/>
    </row>
    <row r="643">
      <c r="G643" s="22"/>
      <c r="J643" s="9"/>
      <c r="K643" s="9"/>
      <c r="L643" s="9"/>
      <c r="M643" s="9"/>
      <c r="AA643" s="13"/>
      <c r="AB643" s="13"/>
      <c r="AC643" s="13"/>
      <c r="AD643" s="13"/>
    </row>
    <row r="644">
      <c r="G644" s="22"/>
      <c r="J644" s="9"/>
      <c r="K644" s="9"/>
      <c r="L644" s="9"/>
      <c r="M644" s="9"/>
      <c r="AA644" s="13"/>
      <c r="AB644" s="13"/>
      <c r="AC644" s="13"/>
      <c r="AD644" s="13"/>
    </row>
    <row r="645">
      <c r="G645" s="22"/>
      <c r="J645" s="9"/>
      <c r="K645" s="9"/>
      <c r="L645" s="9"/>
      <c r="M645" s="9"/>
      <c r="AA645" s="13"/>
      <c r="AB645" s="13"/>
      <c r="AC645" s="13"/>
      <c r="AD645" s="13"/>
    </row>
    <row r="646">
      <c r="G646" s="22"/>
      <c r="J646" s="9"/>
      <c r="K646" s="9"/>
      <c r="L646" s="9"/>
      <c r="M646" s="9"/>
      <c r="AA646" s="13"/>
      <c r="AB646" s="13"/>
      <c r="AC646" s="13"/>
      <c r="AD646" s="13"/>
    </row>
    <row r="647">
      <c r="G647" s="22"/>
      <c r="J647" s="9"/>
      <c r="K647" s="9"/>
      <c r="L647" s="9"/>
      <c r="M647" s="9"/>
      <c r="AA647" s="13"/>
      <c r="AB647" s="13"/>
      <c r="AC647" s="13"/>
      <c r="AD647" s="13"/>
    </row>
    <row r="648">
      <c r="G648" s="22"/>
      <c r="J648" s="9"/>
      <c r="K648" s="9"/>
      <c r="L648" s="9"/>
      <c r="M648" s="9"/>
      <c r="AA648" s="13"/>
      <c r="AB648" s="13"/>
      <c r="AC648" s="13"/>
      <c r="AD648" s="13"/>
    </row>
    <row r="649">
      <c r="G649" s="22"/>
      <c r="J649" s="9"/>
      <c r="K649" s="9"/>
      <c r="L649" s="9"/>
      <c r="M649" s="9"/>
      <c r="AA649" s="13"/>
      <c r="AB649" s="13"/>
      <c r="AC649" s="13"/>
      <c r="AD649" s="13"/>
    </row>
    <row r="650">
      <c r="G650" s="22"/>
      <c r="J650" s="9"/>
      <c r="K650" s="9"/>
      <c r="L650" s="9"/>
      <c r="M650" s="9"/>
      <c r="AA650" s="13"/>
      <c r="AB650" s="13"/>
      <c r="AC650" s="13"/>
      <c r="AD650" s="13"/>
    </row>
    <row r="651">
      <c r="G651" s="22"/>
      <c r="J651" s="9"/>
      <c r="K651" s="9"/>
      <c r="L651" s="9"/>
      <c r="M651" s="9"/>
      <c r="AA651" s="13"/>
      <c r="AB651" s="13"/>
      <c r="AC651" s="13"/>
      <c r="AD651" s="13"/>
    </row>
    <row r="652">
      <c r="G652" s="22"/>
      <c r="J652" s="9"/>
      <c r="K652" s="9"/>
      <c r="L652" s="9"/>
      <c r="M652" s="9"/>
      <c r="AA652" s="13"/>
      <c r="AB652" s="13"/>
      <c r="AC652" s="13"/>
      <c r="AD652" s="13"/>
    </row>
    <row r="653">
      <c r="G653" s="22"/>
      <c r="J653" s="9"/>
      <c r="K653" s="9"/>
      <c r="L653" s="9"/>
      <c r="M653" s="9"/>
      <c r="AA653" s="13"/>
      <c r="AB653" s="13"/>
      <c r="AC653" s="13"/>
      <c r="AD653" s="13"/>
    </row>
    <row r="654">
      <c r="G654" s="22"/>
      <c r="J654" s="9"/>
      <c r="K654" s="9"/>
      <c r="L654" s="9"/>
      <c r="M654" s="9"/>
      <c r="AA654" s="13"/>
      <c r="AB654" s="13"/>
      <c r="AC654" s="13"/>
      <c r="AD654" s="13"/>
    </row>
    <row r="655">
      <c r="G655" s="22"/>
      <c r="J655" s="9"/>
      <c r="K655" s="9"/>
      <c r="L655" s="9"/>
      <c r="M655" s="9"/>
      <c r="AA655" s="13"/>
      <c r="AB655" s="13"/>
      <c r="AC655" s="13"/>
      <c r="AD655" s="13"/>
    </row>
    <row r="656">
      <c r="G656" s="22"/>
      <c r="J656" s="9"/>
      <c r="K656" s="9"/>
      <c r="L656" s="9"/>
      <c r="M656" s="9"/>
      <c r="AA656" s="13"/>
      <c r="AB656" s="13"/>
      <c r="AC656" s="13"/>
      <c r="AD656" s="13"/>
    </row>
    <row r="657">
      <c r="G657" s="22"/>
      <c r="J657" s="9"/>
      <c r="K657" s="9"/>
      <c r="L657" s="9"/>
      <c r="M657" s="9"/>
      <c r="AA657" s="13"/>
      <c r="AB657" s="13"/>
      <c r="AC657" s="13"/>
      <c r="AD657" s="13"/>
    </row>
    <row r="658">
      <c r="G658" s="22"/>
      <c r="J658" s="9"/>
      <c r="K658" s="9"/>
      <c r="L658" s="9"/>
      <c r="M658" s="9"/>
      <c r="AA658" s="13"/>
      <c r="AB658" s="13"/>
      <c r="AC658" s="13"/>
      <c r="AD658" s="13"/>
    </row>
    <row r="659">
      <c r="G659" s="22"/>
      <c r="J659" s="9"/>
      <c r="K659" s="9"/>
      <c r="L659" s="9"/>
      <c r="M659" s="9"/>
      <c r="AA659" s="13"/>
      <c r="AB659" s="13"/>
      <c r="AC659" s="13"/>
      <c r="AD659" s="13"/>
    </row>
    <row r="660">
      <c r="G660" s="22"/>
      <c r="J660" s="9"/>
      <c r="K660" s="9"/>
      <c r="L660" s="9"/>
      <c r="M660" s="9"/>
      <c r="AA660" s="13"/>
      <c r="AB660" s="13"/>
      <c r="AC660" s="13"/>
      <c r="AD660" s="13"/>
    </row>
    <row r="661">
      <c r="G661" s="22"/>
      <c r="J661" s="9"/>
      <c r="K661" s="9"/>
      <c r="L661" s="9"/>
      <c r="M661" s="9"/>
      <c r="AA661" s="13"/>
      <c r="AB661" s="13"/>
      <c r="AC661" s="13"/>
      <c r="AD661" s="13"/>
    </row>
    <row r="662">
      <c r="G662" s="22"/>
      <c r="J662" s="9"/>
      <c r="K662" s="9"/>
      <c r="L662" s="9"/>
      <c r="M662" s="9"/>
      <c r="AA662" s="13"/>
      <c r="AB662" s="13"/>
      <c r="AC662" s="13"/>
      <c r="AD662" s="13"/>
    </row>
    <row r="663">
      <c r="G663" s="22"/>
      <c r="J663" s="9"/>
      <c r="K663" s="9"/>
      <c r="L663" s="9"/>
      <c r="M663" s="9"/>
      <c r="AA663" s="13"/>
      <c r="AB663" s="13"/>
      <c r="AC663" s="13"/>
      <c r="AD663" s="13"/>
    </row>
    <row r="664">
      <c r="G664" s="22"/>
      <c r="J664" s="9"/>
      <c r="K664" s="9"/>
      <c r="L664" s="9"/>
      <c r="M664" s="9"/>
      <c r="AA664" s="13"/>
      <c r="AB664" s="13"/>
      <c r="AC664" s="13"/>
      <c r="AD664" s="13"/>
    </row>
    <row r="665">
      <c r="G665" s="22"/>
      <c r="J665" s="9"/>
      <c r="K665" s="9"/>
      <c r="L665" s="9"/>
      <c r="M665" s="9"/>
      <c r="AA665" s="13"/>
      <c r="AB665" s="13"/>
      <c r="AC665" s="13"/>
      <c r="AD665" s="13"/>
    </row>
    <row r="666">
      <c r="G666" s="22"/>
      <c r="J666" s="9"/>
      <c r="K666" s="9"/>
      <c r="L666" s="9"/>
      <c r="M666" s="9"/>
      <c r="AA666" s="13"/>
      <c r="AB666" s="13"/>
      <c r="AC666" s="13"/>
      <c r="AD666" s="13"/>
    </row>
    <row r="667">
      <c r="G667" s="22"/>
      <c r="J667" s="9"/>
      <c r="K667" s="9"/>
      <c r="L667" s="9"/>
      <c r="M667" s="9"/>
      <c r="AA667" s="13"/>
      <c r="AB667" s="13"/>
      <c r="AC667" s="13"/>
      <c r="AD667" s="13"/>
    </row>
    <row r="668">
      <c r="G668" s="22"/>
      <c r="J668" s="9"/>
      <c r="K668" s="9"/>
      <c r="L668" s="9"/>
      <c r="M668" s="9"/>
      <c r="AA668" s="13"/>
      <c r="AB668" s="13"/>
      <c r="AC668" s="13"/>
      <c r="AD668" s="13"/>
    </row>
    <row r="669">
      <c r="G669" s="22"/>
      <c r="J669" s="9"/>
      <c r="K669" s="9"/>
      <c r="L669" s="9"/>
      <c r="M669" s="9"/>
      <c r="AA669" s="13"/>
      <c r="AB669" s="13"/>
      <c r="AC669" s="13"/>
      <c r="AD669" s="13"/>
    </row>
    <row r="670">
      <c r="G670" s="22"/>
      <c r="J670" s="9"/>
      <c r="K670" s="9"/>
      <c r="L670" s="9"/>
      <c r="M670" s="9"/>
      <c r="AA670" s="13"/>
      <c r="AB670" s="13"/>
      <c r="AC670" s="13"/>
      <c r="AD670" s="13"/>
    </row>
    <row r="671">
      <c r="G671" s="22"/>
      <c r="J671" s="9"/>
      <c r="K671" s="9"/>
      <c r="L671" s="9"/>
      <c r="M671" s="9"/>
      <c r="AA671" s="13"/>
      <c r="AB671" s="13"/>
      <c r="AC671" s="13"/>
      <c r="AD671" s="13"/>
    </row>
    <row r="672">
      <c r="G672" s="22"/>
      <c r="J672" s="9"/>
      <c r="K672" s="9"/>
      <c r="L672" s="9"/>
      <c r="M672" s="9"/>
      <c r="AA672" s="13"/>
      <c r="AB672" s="13"/>
      <c r="AC672" s="13"/>
      <c r="AD672" s="13"/>
    </row>
    <row r="673">
      <c r="G673" s="22"/>
      <c r="J673" s="9"/>
      <c r="K673" s="9"/>
      <c r="L673" s="9"/>
      <c r="M673" s="9"/>
      <c r="AA673" s="13"/>
      <c r="AB673" s="13"/>
      <c r="AC673" s="13"/>
      <c r="AD673" s="13"/>
    </row>
    <row r="674">
      <c r="G674" s="22"/>
      <c r="J674" s="9"/>
      <c r="K674" s="9"/>
      <c r="L674" s="9"/>
      <c r="M674" s="9"/>
      <c r="AA674" s="13"/>
      <c r="AB674" s="13"/>
      <c r="AC674" s="13"/>
      <c r="AD674" s="13"/>
    </row>
    <row r="675">
      <c r="G675" s="22"/>
      <c r="J675" s="9"/>
      <c r="K675" s="9"/>
      <c r="L675" s="9"/>
      <c r="M675" s="9"/>
      <c r="AA675" s="13"/>
      <c r="AB675" s="13"/>
      <c r="AC675" s="13"/>
      <c r="AD675" s="13"/>
    </row>
    <row r="676">
      <c r="G676" s="22"/>
      <c r="J676" s="9"/>
      <c r="K676" s="9"/>
      <c r="L676" s="9"/>
      <c r="M676" s="9"/>
      <c r="AA676" s="13"/>
      <c r="AB676" s="13"/>
      <c r="AC676" s="13"/>
      <c r="AD676" s="13"/>
    </row>
    <row r="677">
      <c r="G677" s="22"/>
      <c r="J677" s="9"/>
      <c r="K677" s="9"/>
      <c r="L677" s="9"/>
      <c r="M677" s="9"/>
      <c r="AA677" s="13"/>
      <c r="AB677" s="13"/>
      <c r="AC677" s="13"/>
      <c r="AD677" s="13"/>
    </row>
    <row r="678">
      <c r="G678" s="22"/>
      <c r="J678" s="9"/>
      <c r="K678" s="9"/>
      <c r="L678" s="9"/>
      <c r="M678" s="9"/>
      <c r="AA678" s="13"/>
      <c r="AB678" s="13"/>
      <c r="AC678" s="13"/>
      <c r="AD678" s="13"/>
    </row>
    <row r="679">
      <c r="G679" s="22"/>
      <c r="J679" s="9"/>
      <c r="K679" s="9"/>
      <c r="L679" s="9"/>
      <c r="M679" s="9"/>
      <c r="AA679" s="13"/>
      <c r="AB679" s="13"/>
      <c r="AC679" s="13"/>
      <c r="AD679" s="13"/>
    </row>
    <row r="680">
      <c r="G680" s="22"/>
      <c r="J680" s="9"/>
      <c r="K680" s="9"/>
      <c r="L680" s="9"/>
      <c r="M680" s="9"/>
      <c r="AA680" s="13"/>
      <c r="AB680" s="13"/>
      <c r="AC680" s="13"/>
      <c r="AD680" s="13"/>
    </row>
    <row r="681">
      <c r="G681" s="22"/>
      <c r="J681" s="9"/>
      <c r="K681" s="9"/>
      <c r="L681" s="9"/>
      <c r="M681" s="9"/>
      <c r="AA681" s="13"/>
      <c r="AB681" s="13"/>
      <c r="AC681" s="13"/>
      <c r="AD681" s="13"/>
    </row>
    <row r="682">
      <c r="G682" s="22"/>
      <c r="J682" s="9"/>
      <c r="K682" s="9"/>
      <c r="L682" s="9"/>
      <c r="M682" s="9"/>
      <c r="AA682" s="13"/>
      <c r="AB682" s="13"/>
      <c r="AC682" s="13"/>
      <c r="AD682" s="13"/>
    </row>
    <row r="683">
      <c r="G683" s="22"/>
      <c r="J683" s="9"/>
      <c r="K683" s="9"/>
      <c r="L683" s="9"/>
      <c r="M683" s="9"/>
      <c r="AA683" s="13"/>
      <c r="AB683" s="13"/>
      <c r="AC683" s="13"/>
      <c r="AD683" s="13"/>
    </row>
    <row r="684">
      <c r="G684" s="22"/>
      <c r="J684" s="9"/>
      <c r="K684" s="9"/>
      <c r="L684" s="9"/>
      <c r="M684" s="9"/>
      <c r="AA684" s="13"/>
      <c r="AB684" s="13"/>
      <c r="AC684" s="13"/>
      <c r="AD684" s="13"/>
    </row>
    <row r="685">
      <c r="G685" s="22"/>
      <c r="J685" s="9"/>
      <c r="K685" s="9"/>
      <c r="L685" s="9"/>
      <c r="M685" s="9"/>
      <c r="AA685" s="13"/>
      <c r="AB685" s="13"/>
      <c r="AC685" s="13"/>
      <c r="AD685" s="13"/>
    </row>
    <row r="686">
      <c r="G686" s="22"/>
      <c r="J686" s="9"/>
      <c r="K686" s="9"/>
      <c r="L686" s="9"/>
      <c r="M686" s="9"/>
      <c r="AA686" s="13"/>
      <c r="AB686" s="13"/>
      <c r="AC686" s="13"/>
      <c r="AD686" s="13"/>
    </row>
    <row r="687">
      <c r="G687" s="22"/>
      <c r="J687" s="9"/>
      <c r="K687" s="9"/>
      <c r="L687" s="9"/>
      <c r="M687" s="9"/>
      <c r="AA687" s="13"/>
      <c r="AB687" s="13"/>
      <c r="AC687" s="13"/>
      <c r="AD687" s="13"/>
    </row>
    <row r="688">
      <c r="G688" s="22"/>
      <c r="J688" s="9"/>
      <c r="K688" s="9"/>
      <c r="L688" s="9"/>
      <c r="M688" s="9"/>
      <c r="AA688" s="13"/>
      <c r="AB688" s="13"/>
      <c r="AC688" s="13"/>
      <c r="AD688" s="13"/>
    </row>
    <row r="689">
      <c r="G689" s="22"/>
      <c r="J689" s="9"/>
      <c r="K689" s="9"/>
      <c r="L689" s="9"/>
      <c r="M689" s="9"/>
      <c r="AA689" s="13"/>
      <c r="AB689" s="13"/>
      <c r="AC689" s="13"/>
      <c r="AD689" s="13"/>
    </row>
    <row r="690">
      <c r="G690" s="22"/>
      <c r="J690" s="9"/>
      <c r="K690" s="9"/>
      <c r="L690" s="9"/>
      <c r="M690" s="9"/>
      <c r="AA690" s="13"/>
      <c r="AB690" s="13"/>
      <c r="AC690" s="13"/>
      <c r="AD690" s="13"/>
    </row>
    <row r="691">
      <c r="G691" s="22"/>
      <c r="J691" s="9"/>
      <c r="K691" s="9"/>
      <c r="L691" s="9"/>
      <c r="M691" s="9"/>
      <c r="AA691" s="13"/>
      <c r="AB691" s="13"/>
      <c r="AC691" s="13"/>
      <c r="AD691" s="13"/>
    </row>
    <row r="692">
      <c r="G692" s="22"/>
      <c r="J692" s="9"/>
      <c r="K692" s="9"/>
      <c r="L692" s="9"/>
      <c r="M692" s="9"/>
      <c r="AA692" s="13"/>
      <c r="AB692" s="13"/>
      <c r="AC692" s="13"/>
      <c r="AD692" s="13"/>
    </row>
    <row r="693">
      <c r="G693" s="22"/>
      <c r="J693" s="9"/>
      <c r="K693" s="9"/>
      <c r="L693" s="9"/>
      <c r="M693" s="9"/>
      <c r="AA693" s="13"/>
      <c r="AB693" s="13"/>
      <c r="AC693" s="13"/>
      <c r="AD693" s="13"/>
    </row>
    <row r="694">
      <c r="G694" s="22"/>
      <c r="J694" s="9"/>
      <c r="K694" s="9"/>
      <c r="L694" s="9"/>
      <c r="M694" s="9"/>
      <c r="AA694" s="13"/>
      <c r="AB694" s="13"/>
      <c r="AC694" s="13"/>
      <c r="AD694" s="13"/>
    </row>
    <row r="695">
      <c r="G695" s="22"/>
      <c r="J695" s="9"/>
      <c r="K695" s="9"/>
      <c r="L695" s="9"/>
      <c r="M695" s="9"/>
      <c r="AA695" s="13"/>
      <c r="AB695" s="13"/>
      <c r="AC695" s="13"/>
      <c r="AD695" s="13"/>
    </row>
    <row r="696">
      <c r="G696" s="22"/>
      <c r="J696" s="9"/>
      <c r="K696" s="9"/>
      <c r="L696" s="9"/>
      <c r="M696" s="9"/>
      <c r="AA696" s="13"/>
      <c r="AB696" s="13"/>
      <c r="AC696" s="13"/>
      <c r="AD696" s="13"/>
    </row>
    <row r="697">
      <c r="G697" s="22"/>
      <c r="J697" s="9"/>
      <c r="K697" s="9"/>
      <c r="L697" s="9"/>
      <c r="M697" s="9"/>
      <c r="AA697" s="13"/>
      <c r="AB697" s="13"/>
      <c r="AC697" s="13"/>
      <c r="AD697" s="13"/>
    </row>
    <row r="698">
      <c r="G698" s="22"/>
      <c r="J698" s="9"/>
      <c r="K698" s="9"/>
      <c r="L698" s="9"/>
      <c r="M698" s="9"/>
      <c r="AA698" s="13"/>
      <c r="AB698" s="13"/>
      <c r="AC698" s="13"/>
      <c r="AD698" s="13"/>
    </row>
    <row r="699">
      <c r="G699" s="22"/>
      <c r="J699" s="9"/>
      <c r="K699" s="9"/>
      <c r="L699" s="9"/>
      <c r="M699" s="9"/>
      <c r="AA699" s="13"/>
      <c r="AB699" s="13"/>
      <c r="AC699" s="13"/>
      <c r="AD699" s="13"/>
    </row>
    <row r="700">
      <c r="G700" s="22"/>
      <c r="J700" s="9"/>
      <c r="K700" s="9"/>
      <c r="L700" s="9"/>
      <c r="M700" s="9"/>
      <c r="AA700" s="13"/>
      <c r="AB700" s="13"/>
      <c r="AC700" s="13"/>
      <c r="AD700" s="13"/>
    </row>
    <row r="701">
      <c r="G701" s="22"/>
      <c r="J701" s="9"/>
      <c r="K701" s="9"/>
      <c r="L701" s="9"/>
      <c r="M701" s="9"/>
      <c r="AA701" s="13"/>
      <c r="AB701" s="13"/>
      <c r="AC701" s="13"/>
      <c r="AD701" s="13"/>
    </row>
    <row r="702">
      <c r="G702" s="22"/>
      <c r="J702" s="9"/>
      <c r="K702" s="9"/>
      <c r="L702" s="9"/>
      <c r="M702" s="9"/>
      <c r="AA702" s="13"/>
      <c r="AB702" s="13"/>
      <c r="AC702" s="13"/>
      <c r="AD702" s="13"/>
    </row>
    <row r="703">
      <c r="G703" s="22"/>
      <c r="J703" s="9"/>
      <c r="K703" s="9"/>
      <c r="L703" s="9"/>
      <c r="M703" s="9"/>
      <c r="AA703" s="13"/>
      <c r="AB703" s="13"/>
      <c r="AC703" s="13"/>
      <c r="AD703" s="13"/>
    </row>
    <row r="704">
      <c r="G704" s="22"/>
      <c r="J704" s="9"/>
      <c r="K704" s="9"/>
      <c r="L704" s="9"/>
      <c r="M704" s="9"/>
      <c r="AA704" s="13"/>
      <c r="AB704" s="13"/>
      <c r="AC704" s="13"/>
      <c r="AD704" s="13"/>
    </row>
    <row r="705">
      <c r="G705" s="22"/>
      <c r="J705" s="9"/>
      <c r="K705" s="9"/>
      <c r="L705" s="9"/>
      <c r="M705" s="9"/>
      <c r="AA705" s="13"/>
      <c r="AB705" s="13"/>
      <c r="AC705" s="13"/>
      <c r="AD705" s="13"/>
    </row>
    <row r="706">
      <c r="G706" s="22"/>
      <c r="J706" s="9"/>
      <c r="K706" s="9"/>
      <c r="L706" s="9"/>
      <c r="M706" s="9"/>
      <c r="AA706" s="13"/>
      <c r="AB706" s="13"/>
      <c r="AC706" s="13"/>
      <c r="AD706" s="13"/>
    </row>
    <row r="707">
      <c r="G707" s="22"/>
      <c r="J707" s="9"/>
      <c r="K707" s="9"/>
      <c r="L707" s="9"/>
      <c r="M707" s="9"/>
      <c r="AA707" s="13"/>
      <c r="AB707" s="13"/>
      <c r="AC707" s="13"/>
      <c r="AD707" s="13"/>
    </row>
    <row r="708">
      <c r="G708" s="22"/>
      <c r="J708" s="9"/>
      <c r="K708" s="9"/>
      <c r="L708" s="9"/>
      <c r="M708" s="9"/>
      <c r="AA708" s="13"/>
      <c r="AB708" s="13"/>
      <c r="AC708" s="13"/>
      <c r="AD708" s="13"/>
    </row>
    <row r="709">
      <c r="G709" s="22"/>
      <c r="J709" s="9"/>
      <c r="K709" s="9"/>
      <c r="L709" s="9"/>
      <c r="M709" s="9"/>
      <c r="AA709" s="13"/>
      <c r="AB709" s="13"/>
      <c r="AC709" s="13"/>
      <c r="AD709" s="13"/>
    </row>
    <row r="710">
      <c r="G710" s="22"/>
      <c r="J710" s="9"/>
      <c r="K710" s="9"/>
      <c r="L710" s="9"/>
      <c r="M710" s="9"/>
      <c r="AA710" s="13"/>
      <c r="AB710" s="13"/>
      <c r="AC710" s="13"/>
      <c r="AD710" s="13"/>
    </row>
    <row r="711">
      <c r="G711" s="22"/>
      <c r="J711" s="9"/>
      <c r="K711" s="9"/>
      <c r="L711" s="9"/>
      <c r="M711" s="9"/>
      <c r="AA711" s="13"/>
      <c r="AB711" s="13"/>
      <c r="AC711" s="13"/>
      <c r="AD711" s="13"/>
    </row>
    <row r="712">
      <c r="G712" s="22"/>
      <c r="J712" s="9"/>
      <c r="K712" s="9"/>
      <c r="L712" s="9"/>
      <c r="M712" s="9"/>
      <c r="AA712" s="13"/>
      <c r="AB712" s="13"/>
      <c r="AC712" s="13"/>
      <c r="AD712" s="13"/>
    </row>
    <row r="713">
      <c r="G713" s="22"/>
      <c r="J713" s="9"/>
      <c r="K713" s="9"/>
      <c r="L713" s="9"/>
      <c r="M713" s="9"/>
      <c r="AA713" s="13"/>
      <c r="AB713" s="13"/>
      <c r="AC713" s="13"/>
      <c r="AD713" s="13"/>
    </row>
    <row r="714">
      <c r="G714" s="22"/>
      <c r="J714" s="9"/>
      <c r="K714" s="9"/>
      <c r="L714" s="9"/>
      <c r="M714" s="9"/>
      <c r="AA714" s="13"/>
      <c r="AB714" s="13"/>
      <c r="AC714" s="13"/>
      <c r="AD714" s="13"/>
    </row>
    <row r="715">
      <c r="G715" s="22"/>
      <c r="J715" s="9"/>
      <c r="K715" s="9"/>
      <c r="L715" s="9"/>
      <c r="M715" s="9"/>
      <c r="AA715" s="13"/>
      <c r="AB715" s="13"/>
      <c r="AC715" s="13"/>
      <c r="AD715" s="13"/>
    </row>
    <row r="716">
      <c r="G716" s="22"/>
      <c r="J716" s="9"/>
      <c r="K716" s="9"/>
      <c r="L716" s="9"/>
      <c r="M716" s="9"/>
      <c r="AA716" s="13"/>
      <c r="AB716" s="13"/>
      <c r="AC716" s="13"/>
      <c r="AD716" s="13"/>
    </row>
    <row r="717">
      <c r="G717" s="22"/>
      <c r="J717" s="9"/>
      <c r="K717" s="9"/>
      <c r="L717" s="9"/>
      <c r="M717" s="9"/>
      <c r="AA717" s="13"/>
      <c r="AB717" s="13"/>
      <c r="AC717" s="13"/>
      <c r="AD717" s="13"/>
    </row>
    <row r="718">
      <c r="G718" s="22"/>
      <c r="J718" s="9"/>
      <c r="K718" s="9"/>
      <c r="L718" s="9"/>
      <c r="M718" s="9"/>
      <c r="AA718" s="13"/>
      <c r="AB718" s="13"/>
      <c r="AC718" s="13"/>
      <c r="AD718" s="13"/>
    </row>
    <row r="719">
      <c r="G719" s="22"/>
      <c r="J719" s="9"/>
      <c r="K719" s="9"/>
      <c r="L719" s="9"/>
      <c r="M719" s="9"/>
      <c r="AA719" s="13"/>
      <c r="AB719" s="13"/>
      <c r="AC719" s="13"/>
      <c r="AD719" s="13"/>
    </row>
    <row r="720">
      <c r="G720" s="22"/>
      <c r="J720" s="9"/>
      <c r="K720" s="9"/>
      <c r="L720" s="9"/>
      <c r="M720" s="9"/>
      <c r="AA720" s="13"/>
      <c r="AB720" s="13"/>
      <c r="AC720" s="13"/>
      <c r="AD720" s="13"/>
    </row>
    <row r="721">
      <c r="G721" s="22"/>
      <c r="J721" s="9"/>
      <c r="K721" s="9"/>
      <c r="L721" s="9"/>
      <c r="M721" s="9"/>
      <c r="AA721" s="13"/>
      <c r="AB721" s="13"/>
      <c r="AC721" s="13"/>
      <c r="AD721" s="13"/>
    </row>
    <row r="722">
      <c r="G722" s="22"/>
      <c r="J722" s="9"/>
      <c r="K722" s="9"/>
      <c r="L722" s="9"/>
      <c r="M722" s="9"/>
      <c r="AA722" s="13"/>
      <c r="AB722" s="13"/>
      <c r="AC722" s="13"/>
      <c r="AD722" s="13"/>
    </row>
    <row r="723">
      <c r="G723" s="22"/>
      <c r="J723" s="9"/>
      <c r="K723" s="9"/>
      <c r="L723" s="9"/>
      <c r="M723" s="9"/>
      <c r="AA723" s="13"/>
      <c r="AB723" s="13"/>
      <c r="AC723" s="13"/>
      <c r="AD723" s="13"/>
    </row>
    <row r="724">
      <c r="G724" s="22"/>
      <c r="J724" s="9"/>
      <c r="K724" s="9"/>
      <c r="L724" s="9"/>
      <c r="M724" s="9"/>
      <c r="AA724" s="13"/>
      <c r="AB724" s="13"/>
      <c r="AC724" s="13"/>
      <c r="AD724" s="13"/>
    </row>
    <row r="725">
      <c r="G725" s="22"/>
      <c r="J725" s="9"/>
      <c r="K725" s="9"/>
      <c r="L725" s="9"/>
      <c r="M725" s="9"/>
      <c r="AA725" s="13"/>
      <c r="AB725" s="13"/>
      <c r="AC725" s="13"/>
      <c r="AD725" s="13"/>
    </row>
    <row r="726">
      <c r="G726" s="22"/>
      <c r="J726" s="9"/>
      <c r="K726" s="9"/>
      <c r="L726" s="9"/>
      <c r="M726" s="9"/>
      <c r="AA726" s="13"/>
      <c r="AB726" s="13"/>
      <c r="AC726" s="13"/>
      <c r="AD726" s="13"/>
    </row>
    <row r="727">
      <c r="G727" s="22"/>
      <c r="J727" s="9"/>
      <c r="K727" s="9"/>
      <c r="L727" s="9"/>
      <c r="M727" s="9"/>
      <c r="AA727" s="13"/>
      <c r="AB727" s="13"/>
      <c r="AC727" s="13"/>
      <c r="AD727" s="13"/>
    </row>
    <row r="728">
      <c r="G728" s="22"/>
      <c r="J728" s="9"/>
      <c r="K728" s="9"/>
      <c r="L728" s="9"/>
      <c r="M728" s="9"/>
      <c r="AA728" s="13"/>
      <c r="AB728" s="13"/>
      <c r="AC728" s="13"/>
      <c r="AD728" s="13"/>
    </row>
    <row r="729">
      <c r="G729" s="22"/>
      <c r="J729" s="9"/>
      <c r="K729" s="9"/>
      <c r="L729" s="9"/>
      <c r="M729" s="9"/>
      <c r="AA729" s="13"/>
      <c r="AB729" s="13"/>
      <c r="AC729" s="13"/>
      <c r="AD729" s="13"/>
    </row>
    <row r="730">
      <c r="G730" s="22"/>
      <c r="J730" s="9"/>
      <c r="K730" s="9"/>
      <c r="L730" s="9"/>
      <c r="M730" s="9"/>
      <c r="AA730" s="13"/>
      <c r="AB730" s="13"/>
      <c r="AC730" s="13"/>
      <c r="AD730" s="13"/>
    </row>
    <row r="731">
      <c r="G731" s="22"/>
      <c r="J731" s="9"/>
      <c r="K731" s="9"/>
      <c r="L731" s="9"/>
      <c r="M731" s="9"/>
      <c r="AA731" s="13"/>
      <c r="AB731" s="13"/>
      <c r="AC731" s="13"/>
      <c r="AD731" s="13"/>
    </row>
    <row r="732">
      <c r="G732" s="22"/>
      <c r="J732" s="9"/>
      <c r="K732" s="9"/>
      <c r="L732" s="9"/>
      <c r="M732" s="9"/>
      <c r="AA732" s="13"/>
      <c r="AB732" s="13"/>
      <c r="AC732" s="13"/>
      <c r="AD732" s="13"/>
    </row>
    <row r="733">
      <c r="G733" s="22"/>
      <c r="J733" s="9"/>
      <c r="K733" s="9"/>
      <c r="L733" s="9"/>
      <c r="M733" s="9"/>
      <c r="AA733" s="13"/>
      <c r="AB733" s="13"/>
      <c r="AC733" s="13"/>
      <c r="AD733" s="13"/>
    </row>
    <row r="734">
      <c r="G734" s="22"/>
      <c r="J734" s="9"/>
      <c r="K734" s="9"/>
      <c r="L734" s="9"/>
      <c r="M734" s="9"/>
      <c r="AA734" s="13"/>
      <c r="AB734" s="13"/>
      <c r="AC734" s="13"/>
      <c r="AD734" s="13"/>
    </row>
    <row r="735">
      <c r="G735" s="22"/>
      <c r="J735" s="9"/>
      <c r="K735" s="9"/>
      <c r="L735" s="9"/>
      <c r="M735" s="9"/>
      <c r="AA735" s="13"/>
      <c r="AB735" s="13"/>
      <c r="AC735" s="13"/>
      <c r="AD735" s="13"/>
    </row>
    <row r="736">
      <c r="G736" s="22"/>
      <c r="J736" s="9"/>
      <c r="K736" s="9"/>
      <c r="L736" s="9"/>
      <c r="M736" s="9"/>
      <c r="AA736" s="13"/>
      <c r="AB736" s="13"/>
      <c r="AC736" s="13"/>
      <c r="AD736" s="13"/>
    </row>
    <row r="737">
      <c r="G737" s="22"/>
      <c r="J737" s="9"/>
      <c r="K737" s="9"/>
      <c r="L737" s="9"/>
      <c r="M737" s="9"/>
      <c r="AA737" s="13"/>
      <c r="AB737" s="13"/>
      <c r="AC737" s="13"/>
      <c r="AD737" s="13"/>
    </row>
    <row r="738">
      <c r="G738" s="22"/>
      <c r="J738" s="9"/>
      <c r="K738" s="9"/>
      <c r="L738" s="9"/>
      <c r="M738" s="9"/>
      <c r="AA738" s="13"/>
      <c r="AB738" s="13"/>
      <c r="AC738" s="13"/>
      <c r="AD738" s="13"/>
    </row>
    <row r="739">
      <c r="G739" s="22"/>
      <c r="J739" s="9"/>
      <c r="K739" s="9"/>
      <c r="L739" s="9"/>
      <c r="M739" s="9"/>
      <c r="AA739" s="13"/>
      <c r="AB739" s="13"/>
      <c r="AC739" s="13"/>
      <c r="AD739" s="13"/>
    </row>
    <row r="740">
      <c r="G740" s="22"/>
      <c r="J740" s="9"/>
      <c r="K740" s="9"/>
      <c r="L740" s="9"/>
      <c r="M740" s="9"/>
      <c r="AA740" s="13"/>
      <c r="AB740" s="13"/>
      <c r="AC740" s="13"/>
      <c r="AD740" s="13"/>
    </row>
    <row r="741">
      <c r="G741" s="22"/>
      <c r="J741" s="9"/>
      <c r="K741" s="9"/>
      <c r="L741" s="9"/>
      <c r="M741" s="9"/>
      <c r="AA741" s="13"/>
      <c r="AB741" s="13"/>
      <c r="AC741" s="13"/>
      <c r="AD741" s="13"/>
    </row>
    <row r="742">
      <c r="G742" s="22"/>
      <c r="J742" s="9"/>
      <c r="K742" s="9"/>
      <c r="L742" s="9"/>
      <c r="M742" s="9"/>
      <c r="AA742" s="13"/>
      <c r="AB742" s="13"/>
      <c r="AC742" s="13"/>
      <c r="AD742" s="13"/>
    </row>
    <row r="743">
      <c r="G743" s="22"/>
      <c r="J743" s="9"/>
      <c r="K743" s="9"/>
      <c r="L743" s="9"/>
      <c r="M743" s="9"/>
      <c r="AA743" s="13"/>
      <c r="AB743" s="13"/>
      <c r="AC743" s="13"/>
      <c r="AD743" s="13"/>
    </row>
    <row r="744">
      <c r="G744" s="22"/>
      <c r="J744" s="9"/>
      <c r="K744" s="9"/>
      <c r="L744" s="9"/>
      <c r="M744" s="9"/>
      <c r="AA744" s="13"/>
      <c r="AB744" s="13"/>
      <c r="AC744" s="13"/>
      <c r="AD744" s="13"/>
    </row>
    <row r="745">
      <c r="G745" s="22"/>
      <c r="J745" s="9"/>
      <c r="K745" s="9"/>
      <c r="L745" s="9"/>
      <c r="M745" s="9"/>
      <c r="AA745" s="13"/>
      <c r="AB745" s="13"/>
      <c r="AC745" s="13"/>
      <c r="AD745" s="13"/>
    </row>
    <row r="746">
      <c r="G746" s="22"/>
      <c r="J746" s="9"/>
      <c r="K746" s="9"/>
      <c r="L746" s="9"/>
      <c r="M746" s="9"/>
      <c r="AA746" s="13"/>
      <c r="AB746" s="13"/>
      <c r="AC746" s="13"/>
      <c r="AD746" s="13"/>
    </row>
    <row r="747">
      <c r="G747" s="22"/>
      <c r="J747" s="9"/>
      <c r="K747" s="9"/>
      <c r="L747" s="9"/>
      <c r="M747" s="9"/>
      <c r="AA747" s="13"/>
      <c r="AB747" s="13"/>
      <c r="AC747" s="13"/>
      <c r="AD747" s="13"/>
    </row>
    <row r="748">
      <c r="G748" s="22"/>
      <c r="J748" s="9"/>
      <c r="K748" s="9"/>
      <c r="L748" s="9"/>
      <c r="M748" s="9"/>
      <c r="AA748" s="13"/>
      <c r="AB748" s="13"/>
      <c r="AC748" s="13"/>
      <c r="AD748" s="13"/>
    </row>
    <row r="749">
      <c r="G749" s="22"/>
      <c r="J749" s="9"/>
      <c r="K749" s="9"/>
      <c r="L749" s="9"/>
      <c r="M749" s="9"/>
      <c r="AA749" s="13"/>
      <c r="AB749" s="13"/>
      <c r="AC749" s="13"/>
      <c r="AD749" s="13"/>
    </row>
    <row r="750">
      <c r="G750" s="22"/>
      <c r="J750" s="9"/>
      <c r="K750" s="9"/>
      <c r="L750" s="9"/>
      <c r="M750" s="9"/>
      <c r="AA750" s="13"/>
      <c r="AB750" s="13"/>
      <c r="AC750" s="13"/>
      <c r="AD750" s="13"/>
    </row>
    <row r="751">
      <c r="G751" s="22"/>
      <c r="J751" s="9"/>
      <c r="K751" s="9"/>
      <c r="L751" s="9"/>
      <c r="M751" s="9"/>
      <c r="AA751" s="13"/>
      <c r="AB751" s="13"/>
      <c r="AC751" s="13"/>
      <c r="AD751" s="13"/>
    </row>
    <row r="752">
      <c r="G752" s="22"/>
      <c r="J752" s="9"/>
      <c r="K752" s="9"/>
      <c r="L752" s="9"/>
      <c r="M752" s="9"/>
      <c r="AA752" s="13"/>
      <c r="AB752" s="13"/>
      <c r="AC752" s="13"/>
      <c r="AD752" s="13"/>
    </row>
    <row r="753">
      <c r="G753" s="22"/>
      <c r="J753" s="9"/>
      <c r="K753" s="9"/>
      <c r="L753" s="9"/>
      <c r="M753" s="9"/>
      <c r="AA753" s="13"/>
      <c r="AB753" s="13"/>
      <c r="AC753" s="13"/>
      <c r="AD753" s="13"/>
    </row>
    <row r="754">
      <c r="G754" s="22"/>
      <c r="J754" s="9"/>
      <c r="K754" s="9"/>
      <c r="L754" s="9"/>
      <c r="M754" s="9"/>
      <c r="AA754" s="13"/>
      <c r="AB754" s="13"/>
      <c r="AC754" s="13"/>
      <c r="AD754" s="13"/>
    </row>
    <row r="755">
      <c r="G755" s="22"/>
      <c r="J755" s="9"/>
      <c r="K755" s="9"/>
      <c r="L755" s="9"/>
      <c r="M755" s="9"/>
      <c r="AA755" s="13"/>
      <c r="AB755" s="13"/>
      <c r="AC755" s="13"/>
      <c r="AD755" s="13"/>
    </row>
    <row r="756">
      <c r="G756" s="22"/>
      <c r="J756" s="9"/>
      <c r="K756" s="9"/>
      <c r="L756" s="9"/>
      <c r="M756" s="9"/>
      <c r="AA756" s="13"/>
      <c r="AB756" s="13"/>
      <c r="AC756" s="13"/>
      <c r="AD756" s="13"/>
    </row>
    <row r="757">
      <c r="G757" s="22"/>
      <c r="J757" s="9"/>
      <c r="K757" s="9"/>
      <c r="L757" s="9"/>
      <c r="M757" s="9"/>
      <c r="AA757" s="13"/>
      <c r="AB757" s="13"/>
      <c r="AC757" s="13"/>
      <c r="AD757" s="13"/>
    </row>
    <row r="758">
      <c r="G758" s="22"/>
      <c r="J758" s="9"/>
      <c r="K758" s="9"/>
      <c r="L758" s="9"/>
      <c r="M758" s="9"/>
      <c r="AA758" s="13"/>
      <c r="AB758" s="13"/>
      <c r="AC758" s="13"/>
      <c r="AD758" s="13"/>
    </row>
    <row r="759">
      <c r="G759" s="22"/>
      <c r="J759" s="9"/>
      <c r="K759" s="9"/>
      <c r="L759" s="9"/>
      <c r="M759" s="9"/>
      <c r="AA759" s="13"/>
      <c r="AB759" s="13"/>
      <c r="AC759" s="13"/>
      <c r="AD759" s="13"/>
    </row>
    <row r="760">
      <c r="G760" s="22"/>
      <c r="J760" s="9"/>
      <c r="K760" s="9"/>
      <c r="L760" s="9"/>
      <c r="M760" s="9"/>
      <c r="AA760" s="13"/>
      <c r="AB760" s="13"/>
      <c r="AC760" s="13"/>
      <c r="AD760" s="13"/>
    </row>
    <row r="761">
      <c r="G761" s="22"/>
      <c r="J761" s="9"/>
      <c r="K761" s="9"/>
      <c r="L761" s="9"/>
      <c r="M761" s="9"/>
      <c r="AA761" s="13"/>
      <c r="AB761" s="13"/>
      <c r="AC761" s="13"/>
      <c r="AD761" s="13"/>
    </row>
    <row r="762">
      <c r="G762" s="22"/>
      <c r="J762" s="9"/>
      <c r="K762" s="9"/>
      <c r="L762" s="9"/>
      <c r="M762" s="9"/>
      <c r="AA762" s="13"/>
      <c r="AB762" s="13"/>
      <c r="AC762" s="13"/>
      <c r="AD762" s="13"/>
    </row>
    <row r="763">
      <c r="G763" s="22"/>
      <c r="J763" s="9"/>
      <c r="K763" s="9"/>
      <c r="L763" s="9"/>
      <c r="M763" s="9"/>
      <c r="AA763" s="13"/>
      <c r="AB763" s="13"/>
      <c r="AC763" s="13"/>
      <c r="AD763" s="13"/>
    </row>
    <row r="764">
      <c r="G764" s="22"/>
      <c r="J764" s="9"/>
      <c r="K764" s="9"/>
      <c r="L764" s="9"/>
      <c r="M764" s="9"/>
      <c r="AA764" s="13"/>
      <c r="AB764" s="13"/>
      <c r="AC764" s="13"/>
      <c r="AD764" s="13"/>
    </row>
    <row r="765">
      <c r="G765" s="22"/>
      <c r="J765" s="9"/>
      <c r="K765" s="9"/>
      <c r="L765" s="9"/>
      <c r="M765" s="9"/>
      <c r="AA765" s="13"/>
      <c r="AB765" s="13"/>
      <c r="AC765" s="13"/>
      <c r="AD765" s="13"/>
    </row>
    <row r="766">
      <c r="G766" s="22"/>
      <c r="J766" s="9"/>
      <c r="K766" s="9"/>
      <c r="L766" s="9"/>
      <c r="M766" s="9"/>
      <c r="AA766" s="13"/>
      <c r="AB766" s="13"/>
      <c r="AC766" s="13"/>
      <c r="AD766" s="13"/>
    </row>
    <row r="767">
      <c r="G767" s="22"/>
      <c r="J767" s="9"/>
      <c r="K767" s="9"/>
      <c r="L767" s="9"/>
      <c r="M767" s="9"/>
      <c r="AA767" s="13"/>
      <c r="AB767" s="13"/>
      <c r="AC767" s="13"/>
      <c r="AD767" s="13"/>
    </row>
    <row r="768">
      <c r="G768" s="22"/>
      <c r="J768" s="9"/>
      <c r="K768" s="9"/>
      <c r="L768" s="9"/>
      <c r="M768" s="9"/>
      <c r="AA768" s="13"/>
      <c r="AB768" s="13"/>
      <c r="AC768" s="13"/>
      <c r="AD768" s="13"/>
    </row>
    <row r="769">
      <c r="G769" s="22"/>
      <c r="J769" s="9"/>
      <c r="K769" s="9"/>
      <c r="L769" s="9"/>
      <c r="M769" s="9"/>
      <c r="AA769" s="13"/>
      <c r="AB769" s="13"/>
      <c r="AC769" s="13"/>
      <c r="AD769" s="13"/>
    </row>
    <row r="770">
      <c r="G770" s="22"/>
      <c r="J770" s="9"/>
      <c r="K770" s="9"/>
      <c r="L770" s="9"/>
      <c r="M770" s="9"/>
      <c r="AA770" s="13"/>
      <c r="AB770" s="13"/>
      <c r="AC770" s="13"/>
      <c r="AD770" s="13"/>
    </row>
    <row r="771">
      <c r="G771" s="22"/>
      <c r="J771" s="9"/>
      <c r="K771" s="9"/>
      <c r="L771" s="9"/>
      <c r="M771" s="9"/>
      <c r="AA771" s="13"/>
      <c r="AB771" s="13"/>
      <c r="AC771" s="13"/>
      <c r="AD771" s="13"/>
    </row>
    <row r="772">
      <c r="G772" s="22"/>
      <c r="J772" s="9"/>
      <c r="K772" s="9"/>
      <c r="L772" s="9"/>
      <c r="M772" s="9"/>
      <c r="AA772" s="13"/>
      <c r="AB772" s="13"/>
      <c r="AC772" s="13"/>
      <c r="AD772" s="13"/>
    </row>
    <row r="773">
      <c r="G773" s="22"/>
      <c r="J773" s="9"/>
      <c r="K773" s="9"/>
      <c r="L773" s="9"/>
      <c r="M773" s="9"/>
      <c r="AA773" s="13"/>
      <c r="AB773" s="13"/>
      <c r="AC773" s="13"/>
      <c r="AD773" s="13"/>
    </row>
    <row r="774">
      <c r="G774" s="22"/>
      <c r="J774" s="9"/>
      <c r="K774" s="9"/>
      <c r="L774" s="9"/>
      <c r="M774" s="9"/>
      <c r="AA774" s="13"/>
      <c r="AB774" s="13"/>
      <c r="AC774" s="13"/>
      <c r="AD774" s="13"/>
    </row>
    <row r="775">
      <c r="G775" s="22"/>
      <c r="J775" s="9"/>
      <c r="K775" s="9"/>
      <c r="L775" s="9"/>
      <c r="M775" s="9"/>
      <c r="AA775" s="13"/>
      <c r="AB775" s="13"/>
      <c r="AC775" s="13"/>
      <c r="AD775" s="13"/>
    </row>
    <row r="776">
      <c r="G776" s="22"/>
      <c r="J776" s="9"/>
      <c r="K776" s="9"/>
      <c r="L776" s="9"/>
      <c r="M776" s="9"/>
      <c r="AA776" s="13"/>
      <c r="AB776" s="13"/>
      <c r="AC776" s="13"/>
      <c r="AD776" s="13"/>
    </row>
    <row r="777">
      <c r="G777" s="22"/>
      <c r="J777" s="9"/>
      <c r="K777" s="9"/>
      <c r="L777" s="9"/>
      <c r="M777" s="9"/>
      <c r="AA777" s="13"/>
      <c r="AB777" s="13"/>
      <c r="AC777" s="13"/>
      <c r="AD777" s="13"/>
    </row>
    <row r="778">
      <c r="G778" s="22"/>
      <c r="J778" s="9"/>
      <c r="K778" s="9"/>
      <c r="L778" s="9"/>
      <c r="M778" s="9"/>
      <c r="AA778" s="13"/>
      <c r="AB778" s="13"/>
      <c r="AC778" s="13"/>
      <c r="AD778" s="13"/>
    </row>
    <row r="779">
      <c r="G779" s="22"/>
      <c r="J779" s="9"/>
      <c r="K779" s="9"/>
      <c r="L779" s="9"/>
      <c r="M779" s="9"/>
      <c r="AA779" s="13"/>
      <c r="AB779" s="13"/>
      <c r="AC779" s="13"/>
      <c r="AD779" s="13"/>
    </row>
    <row r="780">
      <c r="G780" s="22"/>
      <c r="J780" s="9"/>
      <c r="K780" s="9"/>
      <c r="L780" s="9"/>
      <c r="M780" s="9"/>
      <c r="AA780" s="13"/>
      <c r="AB780" s="13"/>
      <c r="AC780" s="13"/>
      <c r="AD780" s="13"/>
    </row>
    <row r="781">
      <c r="G781" s="22"/>
      <c r="J781" s="9"/>
      <c r="K781" s="9"/>
      <c r="L781" s="9"/>
      <c r="M781" s="9"/>
      <c r="AA781" s="13"/>
      <c r="AB781" s="13"/>
      <c r="AC781" s="13"/>
      <c r="AD781" s="13"/>
    </row>
    <row r="782">
      <c r="G782" s="22"/>
      <c r="J782" s="9"/>
      <c r="K782" s="9"/>
      <c r="L782" s="9"/>
      <c r="M782" s="9"/>
      <c r="AA782" s="13"/>
      <c r="AB782" s="13"/>
      <c r="AC782" s="13"/>
      <c r="AD782" s="13"/>
    </row>
    <row r="783">
      <c r="G783" s="22"/>
      <c r="J783" s="9"/>
      <c r="K783" s="9"/>
      <c r="L783" s="9"/>
      <c r="M783" s="9"/>
      <c r="AA783" s="13"/>
      <c r="AB783" s="13"/>
      <c r="AC783" s="13"/>
      <c r="AD783" s="13"/>
    </row>
    <row r="784">
      <c r="G784" s="22"/>
      <c r="J784" s="9"/>
      <c r="K784" s="9"/>
      <c r="L784" s="9"/>
      <c r="M784" s="9"/>
      <c r="AA784" s="13"/>
      <c r="AB784" s="13"/>
      <c r="AC784" s="13"/>
      <c r="AD784" s="13"/>
    </row>
    <row r="785">
      <c r="G785" s="22"/>
      <c r="J785" s="9"/>
      <c r="K785" s="9"/>
      <c r="L785" s="9"/>
      <c r="M785" s="9"/>
      <c r="AA785" s="13"/>
      <c r="AB785" s="13"/>
      <c r="AC785" s="13"/>
      <c r="AD785" s="13"/>
    </row>
    <row r="786">
      <c r="G786" s="22"/>
      <c r="J786" s="9"/>
      <c r="K786" s="9"/>
      <c r="L786" s="9"/>
      <c r="M786" s="9"/>
      <c r="AA786" s="13"/>
      <c r="AB786" s="13"/>
      <c r="AC786" s="13"/>
      <c r="AD786" s="13"/>
    </row>
    <row r="787">
      <c r="G787" s="22"/>
      <c r="J787" s="9"/>
      <c r="K787" s="9"/>
      <c r="L787" s="9"/>
      <c r="M787" s="9"/>
      <c r="AA787" s="13"/>
      <c r="AB787" s="13"/>
      <c r="AC787" s="13"/>
      <c r="AD787" s="13"/>
    </row>
    <row r="788">
      <c r="G788" s="22"/>
      <c r="J788" s="9"/>
      <c r="K788" s="9"/>
      <c r="L788" s="9"/>
      <c r="M788" s="9"/>
      <c r="AA788" s="13"/>
      <c r="AB788" s="13"/>
      <c r="AC788" s="13"/>
      <c r="AD788" s="13"/>
    </row>
    <row r="789">
      <c r="G789" s="22"/>
      <c r="J789" s="9"/>
      <c r="K789" s="9"/>
      <c r="L789" s="9"/>
      <c r="M789" s="9"/>
      <c r="AA789" s="13"/>
      <c r="AB789" s="13"/>
      <c r="AC789" s="13"/>
      <c r="AD789" s="13"/>
    </row>
    <row r="790">
      <c r="G790" s="22"/>
      <c r="J790" s="9"/>
      <c r="K790" s="9"/>
      <c r="L790" s="9"/>
      <c r="M790" s="9"/>
      <c r="AA790" s="13"/>
      <c r="AB790" s="13"/>
      <c r="AC790" s="13"/>
      <c r="AD790" s="13"/>
    </row>
    <row r="791">
      <c r="G791" s="22"/>
      <c r="J791" s="9"/>
      <c r="K791" s="9"/>
      <c r="L791" s="9"/>
      <c r="M791" s="9"/>
      <c r="AA791" s="13"/>
      <c r="AB791" s="13"/>
      <c r="AC791" s="13"/>
      <c r="AD791" s="13"/>
    </row>
    <row r="792">
      <c r="G792" s="22"/>
      <c r="J792" s="9"/>
      <c r="K792" s="9"/>
      <c r="L792" s="9"/>
      <c r="M792" s="9"/>
      <c r="AA792" s="13"/>
      <c r="AB792" s="13"/>
      <c r="AC792" s="13"/>
      <c r="AD792" s="13"/>
    </row>
    <row r="793">
      <c r="G793" s="22"/>
      <c r="J793" s="9"/>
      <c r="K793" s="9"/>
      <c r="L793" s="9"/>
      <c r="M793" s="9"/>
      <c r="AA793" s="13"/>
      <c r="AB793" s="13"/>
      <c r="AC793" s="13"/>
      <c r="AD793" s="13"/>
    </row>
    <row r="794">
      <c r="G794" s="22"/>
      <c r="J794" s="9"/>
      <c r="K794" s="9"/>
      <c r="L794" s="9"/>
      <c r="M794" s="9"/>
      <c r="AA794" s="13"/>
      <c r="AB794" s="13"/>
      <c r="AC794" s="13"/>
      <c r="AD794" s="13"/>
    </row>
    <row r="795">
      <c r="G795" s="22"/>
      <c r="J795" s="9"/>
      <c r="K795" s="9"/>
      <c r="L795" s="9"/>
      <c r="M795" s="9"/>
      <c r="AA795" s="13"/>
      <c r="AB795" s="13"/>
      <c r="AC795" s="13"/>
      <c r="AD795" s="13"/>
    </row>
    <row r="796">
      <c r="G796" s="22"/>
      <c r="J796" s="9"/>
      <c r="K796" s="9"/>
      <c r="L796" s="9"/>
      <c r="M796" s="9"/>
      <c r="AA796" s="13"/>
      <c r="AB796" s="13"/>
      <c r="AC796" s="13"/>
      <c r="AD796" s="13"/>
    </row>
    <row r="797">
      <c r="G797" s="22"/>
      <c r="J797" s="9"/>
      <c r="K797" s="9"/>
      <c r="L797" s="9"/>
      <c r="M797" s="9"/>
      <c r="AA797" s="13"/>
      <c r="AB797" s="13"/>
      <c r="AC797" s="13"/>
      <c r="AD797" s="13"/>
    </row>
    <row r="798">
      <c r="G798" s="22"/>
      <c r="J798" s="9"/>
      <c r="K798" s="9"/>
      <c r="L798" s="9"/>
      <c r="M798" s="9"/>
      <c r="AA798" s="13"/>
      <c r="AB798" s="13"/>
      <c r="AC798" s="13"/>
      <c r="AD798" s="13"/>
    </row>
    <row r="799">
      <c r="G799" s="22"/>
      <c r="J799" s="9"/>
      <c r="K799" s="9"/>
      <c r="L799" s="9"/>
      <c r="M799" s="9"/>
      <c r="AA799" s="13"/>
      <c r="AB799" s="13"/>
      <c r="AC799" s="13"/>
      <c r="AD799" s="13"/>
    </row>
    <row r="800">
      <c r="G800" s="22"/>
      <c r="J800" s="9"/>
      <c r="K800" s="9"/>
      <c r="L800" s="9"/>
      <c r="M800" s="9"/>
      <c r="AA800" s="13"/>
      <c r="AB800" s="13"/>
      <c r="AC800" s="13"/>
      <c r="AD800" s="13"/>
    </row>
    <row r="801">
      <c r="G801" s="22"/>
      <c r="J801" s="9"/>
      <c r="K801" s="9"/>
      <c r="L801" s="9"/>
      <c r="M801" s="9"/>
      <c r="AA801" s="13"/>
      <c r="AB801" s="13"/>
      <c r="AC801" s="13"/>
      <c r="AD801" s="13"/>
    </row>
    <row r="802">
      <c r="G802" s="22"/>
      <c r="J802" s="9"/>
      <c r="K802" s="9"/>
      <c r="L802" s="9"/>
      <c r="M802" s="9"/>
      <c r="AA802" s="13"/>
      <c r="AB802" s="13"/>
      <c r="AC802" s="13"/>
      <c r="AD802" s="13"/>
    </row>
    <row r="803">
      <c r="G803" s="22"/>
      <c r="J803" s="9"/>
      <c r="K803" s="9"/>
      <c r="L803" s="9"/>
      <c r="M803" s="9"/>
      <c r="AA803" s="13"/>
      <c r="AB803" s="13"/>
      <c r="AC803" s="13"/>
      <c r="AD803" s="13"/>
    </row>
    <row r="804">
      <c r="G804" s="22"/>
      <c r="J804" s="9"/>
      <c r="K804" s="9"/>
      <c r="L804" s="9"/>
      <c r="M804" s="9"/>
      <c r="AA804" s="13"/>
      <c r="AB804" s="13"/>
      <c r="AC804" s="13"/>
      <c r="AD804" s="13"/>
    </row>
    <row r="805">
      <c r="G805" s="22"/>
      <c r="J805" s="9"/>
      <c r="K805" s="9"/>
      <c r="L805" s="9"/>
      <c r="M805" s="9"/>
      <c r="AA805" s="13"/>
      <c r="AB805" s="13"/>
      <c r="AC805" s="13"/>
      <c r="AD805" s="13"/>
    </row>
    <row r="806">
      <c r="G806" s="22"/>
      <c r="J806" s="9"/>
      <c r="K806" s="9"/>
      <c r="L806" s="9"/>
      <c r="M806" s="9"/>
      <c r="AA806" s="13"/>
      <c r="AB806" s="13"/>
      <c r="AC806" s="13"/>
      <c r="AD806" s="13"/>
    </row>
    <row r="807">
      <c r="G807" s="22"/>
      <c r="J807" s="9"/>
      <c r="K807" s="9"/>
      <c r="L807" s="9"/>
      <c r="M807" s="9"/>
      <c r="AA807" s="13"/>
      <c r="AB807" s="13"/>
      <c r="AC807" s="13"/>
      <c r="AD807" s="13"/>
    </row>
    <row r="808">
      <c r="G808" s="22"/>
      <c r="J808" s="9"/>
      <c r="K808" s="9"/>
      <c r="L808" s="9"/>
      <c r="M808" s="9"/>
      <c r="AA808" s="13"/>
      <c r="AB808" s="13"/>
      <c r="AC808" s="13"/>
      <c r="AD808" s="13"/>
    </row>
    <row r="809">
      <c r="G809" s="22"/>
      <c r="J809" s="9"/>
      <c r="K809" s="9"/>
      <c r="L809" s="9"/>
      <c r="M809" s="9"/>
      <c r="AA809" s="13"/>
      <c r="AB809" s="13"/>
      <c r="AC809" s="13"/>
      <c r="AD809" s="13"/>
    </row>
    <row r="810">
      <c r="G810" s="22"/>
      <c r="J810" s="9"/>
      <c r="K810" s="9"/>
      <c r="L810" s="9"/>
      <c r="M810" s="9"/>
      <c r="AA810" s="13"/>
      <c r="AB810" s="13"/>
      <c r="AC810" s="13"/>
      <c r="AD810" s="13"/>
    </row>
    <row r="811">
      <c r="G811" s="22"/>
      <c r="J811" s="9"/>
      <c r="K811" s="9"/>
      <c r="L811" s="9"/>
      <c r="M811" s="9"/>
      <c r="AA811" s="13"/>
      <c r="AB811" s="13"/>
      <c r="AC811" s="13"/>
      <c r="AD811" s="13"/>
    </row>
    <row r="812">
      <c r="G812" s="22"/>
      <c r="J812" s="9"/>
      <c r="K812" s="9"/>
      <c r="L812" s="9"/>
      <c r="M812" s="9"/>
      <c r="AA812" s="13"/>
      <c r="AB812" s="13"/>
      <c r="AC812" s="13"/>
      <c r="AD812" s="13"/>
    </row>
    <row r="813">
      <c r="G813" s="22"/>
      <c r="J813" s="9"/>
      <c r="K813" s="9"/>
      <c r="L813" s="9"/>
      <c r="M813" s="9"/>
      <c r="AA813" s="13"/>
      <c r="AB813" s="13"/>
      <c r="AC813" s="13"/>
      <c r="AD813" s="13"/>
    </row>
    <row r="814">
      <c r="G814" s="22"/>
      <c r="J814" s="9"/>
      <c r="K814" s="9"/>
      <c r="L814" s="9"/>
      <c r="M814" s="9"/>
      <c r="AA814" s="13"/>
      <c r="AB814" s="13"/>
      <c r="AC814" s="13"/>
      <c r="AD814" s="13"/>
    </row>
    <row r="815">
      <c r="G815" s="22"/>
      <c r="J815" s="9"/>
      <c r="K815" s="9"/>
      <c r="L815" s="9"/>
      <c r="M815" s="9"/>
      <c r="AA815" s="13"/>
      <c r="AB815" s="13"/>
      <c r="AC815" s="13"/>
      <c r="AD815" s="13"/>
    </row>
    <row r="816">
      <c r="G816" s="22"/>
      <c r="J816" s="9"/>
      <c r="K816" s="9"/>
      <c r="L816" s="9"/>
      <c r="M816" s="9"/>
      <c r="AA816" s="13"/>
      <c r="AB816" s="13"/>
      <c r="AC816" s="13"/>
      <c r="AD816" s="13"/>
    </row>
    <row r="817">
      <c r="G817" s="22"/>
      <c r="J817" s="9"/>
      <c r="K817" s="9"/>
      <c r="L817" s="9"/>
      <c r="M817" s="9"/>
      <c r="AA817" s="13"/>
      <c r="AB817" s="13"/>
      <c r="AC817" s="13"/>
      <c r="AD817" s="13"/>
    </row>
    <row r="818">
      <c r="G818" s="22"/>
      <c r="J818" s="9"/>
      <c r="K818" s="9"/>
      <c r="L818" s="9"/>
      <c r="M818" s="9"/>
      <c r="AA818" s="13"/>
      <c r="AB818" s="13"/>
      <c r="AC818" s="13"/>
      <c r="AD818" s="13"/>
    </row>
    <row r="819">
      <c r="G819" s="22"/>
      <c r="J819" s="9"/>
      <c r="K819" s="9"/>
      <c r="L819" s="9"/>
      <c r="M819" s="9"/>
      <c r="AA819" s="13"/>
      <c r="AB819" s="13"/>
      <c r="AC819" s="13"/>
      <c r="AD819" s="13"/>
    </row>
    <row r="820">
      <c r="G820" s="22"/>
      <c r="J820" s="9"/>
      <c r="K820" s="9"/>
      <c r="L820" s="9"/>
      <c r="M820" s="9"/>
      <c r="AA820" s="13"/>
      <c r="AB820" s="13"/>
      <c r="AC820" s="13"/>
      <c r="AD820" s="13"/>
    </row>
    <row r="821">
      <c r="G821" s="22"/>
      <c r="J821" s="9"/>
      <c r="K821" s="9"/>
      <c r="L821" s="9"/>
      <c r="M821" s="9"/>
      <c r="AA821" s="13"/>
      <c r="AB821" s="13"/>
      <c r="AC821" s="13"/>
      <c r="AD821" s="13"/>
    </row>
    <row r="822">
      <c r="G822" s="22"/>
      <c r="J822" s="9"/>
      <c r="K822" s="9"/>
      <c r="L822" s="9"/>
      <c r="M822" s="9"/>
      <c r="AA822" s="13"/>
      <c r="AB822" s="13"/>
      <c r="AC822" s="13"/>
      <c r="AD822" s="13"/>
    </row>
    <row r="823">
      <c r="G823" s="22"/>
      <c r="J823" s="9"/>
      <c r="K823" s="9"/>
      <c r="L823" s="9"/>
      <c r="M823" s="9"/>
      <c r="AA823" s="13"/>
      <c r="AB823" s="13"/>
      <c r="AC823" s="13"/>
      <c r="AD823" s="13"/>
    </row>
    <row r="824">
      <c r="G824" s="22"/>
      <c r="J824" s="9"/>
      <c r="K824" s="9"/>
      <c r="L824" s="9"/>
      <c r="M824" s="9"/>
      <c r="AA824" s="13"/>
      <c r="AB824" s="13"/>
      <c r="AC824" s="13"/>
      <c r="AD824" s="13"/>
    </row>
    <row r="825">
      <c r="G825" s="22"/>
      <c r="J825" s="9"/>
      <c r="K825" s="9"/>
      <c r="L825" s="9"/>
      <c r="M825" s="9"/>
      <c r="AA825" s="13"/>
      <c r="AB825" s="13"/>
      <c r="AC825" s="13"/>
      <c r="AD825" s="13"/>
    </row>
    <row r="826">
      <c r="G826" s="22"/>
      <c r="J826" s="9"/>
      <c r="K826" s="9"/>
      <c r="L826" s="9"/>
      <c r="M826" s="9"/>
      <c r="AA826" s="13"/>
      <c r="AB826" s="13"/>
      <c r="AC826" s="13"/>
      <c r="AD826" s="13"/>
    </row>
    <row r="827">
      <c r="G827" s="22"/>
      <c r="J827" s="9"/>
      <c r="K827" s="9"/>
      <c r="L827" s="9"/>
      <c r="M827" s="9"/>
      <c r="AA827" s="13"/>
      <c r="AB827" s="13"/>
      <c r="AC827" s="13"/>
      <c r="AD827" s="13"/>
    </row>
    <row r="828">
      <c r="G828" s="22"/>
      <c r="J828" s="9"/>
      <c r="K828" s="9"/>
      <c r="L828" s="9"/>
      <c r="M828" s="9"/>
      <c r="AA828" s="13"/>
      <c r="AB828" s="13"/>
      <c r="AC828" s="13"/>
      <c r="AD828" s="13"/>
    </row>
    <row r="829">
      <c r="G829" s="22"/>
      <c r="J829" s="9"/>
      <c r="K829" s="9"/>
      <c r="L829" s="9"/>
      <c r="M829" s="9"/>
      <c r="AA829" s="13"/>
      <c r="AB829" s="13"/>
      <c r="AC829" s="13"/>
      <c r="AD829" s="13"/>
    </row>
    <row r="830">
      <c r="G830" s="22"/>
      <c r="J830" s="9"/>
      <c r="K830" s="9"/>
      <c r="L830" s="9"/>
      <c r="M830" s="9"/>
      <c r="AA830" s="13"/>
      <c r="AB830" s="13"/>
      <c r="AC830" s="13"/>
      <c r="AD830" s="13"/>
    </row>
    <row r="831">
      <c r="G831" s="22"/>
      <c r="J831" s="9"/>
      <c r="K831" s="9"/>
      <c r="L831" s="9"/>
      <c r="M831" s="9"/>
      <c r="AA831" s="13"/>
      <c r="AB831" s="13"/>
      <c r="AC831" s="13"/>
      <c r="AD831" s="13"/>
    </row>
    <row r="832">
      <c r="G832" s="22"/>
      <c r="J832" s="9"/>
      <c r="K832" s="9"/>
      <c r="L832" s="9"/>
      <c r="M832" s="9"/>
      <c r="AA832" s="13"/>
      <c r="AB832" s="13"/>
      <c r="AC832" s="13"/>
      <c r="AD832" s="13"/>
    </row>
    <row r="833">
      <c r="G833" s="22"/>
      <c r="J833" s="9"/>
      <c r="K833" s="9"/>
      <c r="L833" s="9"/>
      <c r="M833" s="9"/>
      <c r="AA833" s="13"/>
      <c r="AB833" s="13"/>
      <c r="AC833" s="13"/>
      <c r="AD833" s="13"/>
    </row>
    <row r="834">
      <c r="G834" s="22"/>
      <c r="J834" s="9"/>
      <c r="K834" s="9"/>
      <c r="L834" s="9"/>
      <c r="M834" s="9"/>
      <c r="AA834" s="13"/>
      <c r="AB834" s="13"/>
      <c r="AC834" s="13"/>
      <c r="AD834" s="13"/>
    </row>
    <row r="835">
      <c r="G835" s="22"/>
      <c r="J835" s="9"/>
      <c r="K835" s="9"/>
      <c r="L835" s="9"/>
      <c r="M835" s="9"/>
      <c r="AA835" s="13"/>
      <c r="AB835" s="13"/>
      <c r="AC835" s="13"/>
      <c r="AD835" s="13"/>
    </row>
    <row r="836">
      <c r="G836" s="22"/>
      <c r="J836" s="9"/>
      <c r="K836" s="9"/>
      <c r="L836" s="9"/>
      <c r="M836" s="9"/>
      <c r="AA836" s="13"/>
      <c r="AB836" s="13"/>
      <c r="AC836" s="13"/>
      <c r="AD836" s="13"/>
    </row>
    <row r="837">
      <c r="G837" s="22"/>
      <c r="J837" s="9"/>
      <c r="K837" s="9"/>
      <c r="L837" s="9"/>
      <c r="M837" s="9"/>
      <c r="AA837" s="13"/>
      <c r="AB837" s="13"/>
      <c r="AC837" s="13"/>
      <c r="AD837" s="13"/>
    </row>
    <row r="838">
      <c r="G838" s="22"/>
      <c r="J838" s="9"/>
      <c r="K838" s="9"/>
      <c r="L838" s="9"/>
      <c r="M838" s="9"/>
      <c r="AA838" s="13"/>
      <c r="AB838" s="13"/>
      <c r="AC838" s="13"/>
      <c r="AD838" s="13"/>
    </row>
    <row r="839">
      <c r="G839" s="22"/>
      <c r="J839" s="9"/>
      <c r="K839" s="9"/>
      <c r="L839" s="9"/>
      <c r="M839" s="9"/>
      <c r="AA839" s="13"/>
      <c r="AB839" s="13"/>
      <c r="AC839" s="13"/>
      <c r="AD839" s="13"/>
    </row>
    <row r="840">
      <c r="G840" s="22"/>
      <c r="J840" s="9"/>
      <c r="K840" s="9"/>
      <c r="L840" s="9"/>
      <c r="M840" s="9"/>
      <c r="AA840" s="13"/>
      <c r="AB840" s="13"/>
      <c r="AC840" s="13"/>
      <c r="AD840" s="13"/>
    </row>
    <row r="841">
      <c r="G841" s="22"/>
      <c r="J841" s="9"/>
      <c r="K841" s="9"/>
      <c r="L841" s="9"/>
      <c r="M841" s="9"/>
      <c r="AA841" s="13"/>
      <c r="AB841" s="13"/>
      <c r="AC841" s="13"/>
      <c r="AD841" s="13"/>
    </row>
    <row r="842">
      <c r="G842" s="22"/>
      <c r="J842" s="9"/>
      <c r="K842" s="9"/>
      <c r="L842" s="9"/>
      <c r="M842" s="9"/>
      <c r="AA842" s="13"/>
      <c r="AB842" s="13"/>
      <c r="AC842" s="13"/>
      <c r="AD842" s="13"/>
    </row>
    <row r="843">
      <c r="G843" s="22"/>
      <c r="J843" s="9"/>
      <c r="K843" s="9"/>
      <c r="L843" s="9"/>
      <c r="M843" s="9"/>
      <c r="AA843" s="13"/>
      <c r="AB843" s="13"/>
      <c r="AC843" s="13"/>
      <c r="AD843" s="13"/>
    </row>
    <row r="844">
      <c r="G844" s="22"/>
      <c r="J844" s="9"/>
      <c r="K844" s="9"/>
      <c r="L844" s="9"/>
      <c r="M844" s="9"/>
      <c r="AA844" s="13"/>
      <c r="AB844" s="13"/>
      <c r="AC844" s="13"/>
      <c r="AD844" s="13"/>
    </row>
    <row r="845">
      <c r="G845" s="22"/>
      <c r="J845" s="9"/>
      <c r="K845" s="9"/>
      <c r="L845" s="9"/>
      <c r="M845" s="9"/>
      <c r="AA845" s="13"/>
      <c r="AB845" s="13"/>
      <c r="AC845" s="13"/>
      <c r="AD845" s="13"/>
    </row>
    <row r="846">
      <c r="G846" s="22"/>
      <c r="J846" s="9"/>
      <c r="K846" s="9"/>
      <c r="L846" s="9"/>
      <c r="M846" s="9"/>
      <c r="AA846" s="13"/>
      <c r="AB846" s="13"/>
      <c r="AC846" s="13"/>
      <c r="AD846" s="13"/>
    </row>
    <row r="847">
      <c r="G847" s="22"/>
      <c r="J847" s="9"/>
      <c r="K847" s="9"/>
      <c r="L847" s="9"/>
      <c r="M847" s="9"/>
      <c r="AA847" s="13"/>
      <c r="AB847" s="13"/>
      <c r="AC847" s="13"/>
      <c r="AD847" s="13"/>
    </row>
    <row r="848">
      <c r="G848" s="22"/>
      <c r="J848" s="9"/>
      <c r="K848" s="9"/>
      <c r="L848" s="9"/>
      <c r="M848" s="9"/>
      <c r="AA848" s="13"/>
      <c r="AB848" s="13"/>
      <c r="AC848" s="13"/>
      <c r="AD848" s="13"/>
    </row>
    <row r="849">
      <c r="G849" s="22"/>
      <c r="J849" s="9"/>
      <c r="K849" s="9"/>
      <c r="L849" s="9"/>
      <c r="M849" s="9"/>
      <c r="AA849" s="13"/>
      <c r="AB849" s="13"/>
      <c r="AC849" s="13"/>
      <c r="AD849" s="13"/>
    </row>
    <row r="850">
      <c r="G850" s="22"/>
      <c r="J850" s="9"/>
      <c r="K850" s="9"/>
      <c r="L850" s="9"/>
      <c r="M850" s="9"/>
      <c r="AA850" s="13"/>
      <c r="AB850" s="13"/>
      <c r="AC850" s="13"/>
      <c r="AD850" s="13"/>
    </row>
    <row r="851">
      <c r="G851" s="22"/>
      <c r="J851" s="9"/>
      <c r="K851" s="9"/>
      <c r="L851" s="9"/>
      <c r="M851" s="9"/>
      <c r="AA851" s="13"/>
      <c r="AB851" s="13"/>
      <c r="AC851" s="13"/>
      <c r="AD851" s="13"/>
    </row>
    <row r="852">
      <c r="G852" s="22"/>
      <c r="J852" s="9"/>
      <c r="K852" s="9"/>
      <c r="L852" s="9"/>
      <c r="M852" s="9"/>
      <c r="AA852" s="13"/>
      <c r="AB852" s="13"/>
      <c r="AC852" s="13"/>
      <c r="AD852" s="13"/>
    </row>
    <row r="853">
      <c r="G853" s="22"/>
      <c r="J853" s="9"/>
      <c r="K853" s="9"/>
      <c r="L853" s="9"/>
      <c r="M853" s="9"/>
      <c r="AA853" s="13"/>
      <c r="AB853" s="13"/>
      <c r="AC853" s="13"/>
      <c r="AD853" s="13"/>
    </row>
    <row r="854">
      <c r="G854" s="22"/>
      <c r="J854" s="9"/>
      <c r="K854" s="9"/>
      <c r="L854" s="9"/>
      <c r="M854" s="9"/>
      <c r="AA854" s="13"/>
      <c r="AB854" s="13"/>
      <c r="AC854" s="13"/>
      <c r="AD854" s="13"/>
    </row>
    <row r="855">
      <c r="G855" s="22"/>
      <c r="J855" s="9"/>
      <c r="K855" s="9"/>
      <c r="L855" s="9"/>
      <c r="M855" s="9"/>
      <c r="AA855" s="13"/>
      <c r="AB855" s="13"/>
      <c r="AC855" s="13"/>
      <c r="AD855" s="13"/>
    </row>
    <row r="856">
      <c r="G856" s="22"/>
      <c r="J856" s="9"/>
      <c r="K856" s="9"/>
      <c r="L856" s="9"/>
      <c r="M856" s="9"/>
      <c r="AA856" s="13"/>
      <c r="AB856" s="13"/>
      <c r="AC856" s="13"/>
      <c r="AD856" s="13"/>
    </row>
    <row r="857">
      <c r="G857" s="22"/>
      <c r="J857" s="9"/>
      <c r="K857" s="9"/>
      <c r="L857" s="9"/>
      <c r="M857" s="9"/>
      <c r="AA857" s="13"/>
      <c r="AB857" s="13"/>
      <c r="AC857" s="13"/>
      <c r="AD857" s="13"/>
    </row>
    <row r="858">
      <c r="G858" s="22"/>
      <c r="J858" s="9"/>
      <c r="K858" s="9"/>
      <c r="L858" s="9"/>
      <c r="M858" s="9"/>
      <c r="AA858" s="13"/>
      <c r="AB858" s="13"/>
      <c r="AC858" s="13"/>
      <c r="AD858" s="13"/>
    </row>
    <row r="859">
      <c r="G859" s="22"/>
      <c r="J859" s="9"/>
      <c r="K859" s="9"/>
      <c r="L859" s="9"/>
      <c r="M859" s="9"/>
      <c r="AA859" s="13"/>
      <c r="AB859" s="13"/>
      <c r="AC859" s="13"/>
      <c r="AD859" s="13"/>
    </row>
    <row r="860">
      <c r="G860" s="22"/>
      <c r="J860" s="9"/>
      <c r="K860" s="9"/>
      <c r="L860" s="9"/>
      <c r="M860" s="9"/>
      <c r="AA860" s="13"/>
      <c r="AB860" s="13"/>
      <c r="AC860" s="13"/>
      <c r="AD860" s="13"/>
    </row>
    <row r="861">
      <c r="G861" s="22"/>
      <c r="J861" s="9"/>
      <c r="K861" s="9"/>
      <c r="L861" s="9"/>
      <c r="M861" s="9"/>
      <c r="AA861" s="13"/>
      <c r="AB861" s="13"/>
      <c r="AC861" s="13"/>
      <c r="AD861" s="13"/>
    </row>
    <row r="862">
      <c r="G862" s="22"/>
      <c r="J862" s="9"/>
      <c r="K862" s="9"/>
      <c r="L862" s="9"/>
      <c r="M862" s="9"/>
      <c r="AA862" s="13"/>
      <c r="AB862" s="13"/>
      <c r="AC862" s="13"/>
      <c r="AD862" s="13"/>
    </row>
    <row r="863">
      <c r="G863" s="22"/>
      <c r="J863" s="9"/>
      <c r="K863" s="9"/>
      <c r="L863" s="9"/>
      <c r="M863" s="9"/>
      <c r="AA863" s="13"/>
      <c r="AB863" s="13"/>
      <c r="AC863" s="13"/>
      <c r="AD863" s="13"/>
    </row>
    <row r="864">
      <c r="G864" s="22"/>
      <c r="J864" s="9"/>
      <c r="K864" s="9"/>
      <c r="L864" s="9"/>
      <c r="M864" s="9"/>
      <c r="AA864" s="13"/>
      <c r="AB864" s="13"/>
      <c r="AC864" s="13"/>
      <c r="AD864" s="13"/>
    </row>
    <row r="865">
      <c r="G865" s="22"/>
      <c r="J865" s="9"/>
      <c r="K865" s="9"/>
      <c r="L865" s="9"/>
      <c r="M865" s="9"/>
      <c r="AA865" s="13"/>
      <c r="AB865" s="13"/>
      <c r="AC865" s="13"/>
      <c r="AD865" s="13"/>
    </row>
    <row r="866">
      <c r="G866" s="22"/>
      <c r="J866" s="9"/>
      <c r="K866" s="9"/>
      <c r="L866" s="9"/>
      <c r="M866" s="9"/>
      <c r="AA866" s="13"/>
      <c r="AB866" s="13"/>
      <c r="AC866" s="13"/>
      <c r="AD866" s="13"/>
    </row>
    <row r="867">
      <c r="G867" s="22"/>
      <c r="J867" s="9"/>
      <c r="K867" s="9"/>
      <c r="L867" s="9"/>
      <c r="M867" s="9"/>
      <c r="AA867" s="13"/>
      <c r="AB867" s="13"/>
      <c r="AC867" s="13"/>
      <c r="AD867" s="13"/>
    </row>
    <row r="868">
      <c r="G868" s="22"/>
      <c r="J868" s="9"/>
      <c r="K868" s="9"/>
      <c r="L868" s="9"/>
      <c r="M868" s="9"/>
      <c r="AA868" s="13"/>
      <c r="AB868" s="13"/>
      <c r="AC868" s="13"/>
      <c r="AD868" s="13"/>
    </row>
    <row r="869">
      <c r="G869" s="22"/>
      <c r="J869" s="9"/>
      <c r="K869" s="9"/>
      <c r="L869" s="9"/>
      <c r="M869" s="9"/>
      <c r="AA869" s="13"/>
      <c r="AB869" s="13"/>
      <c r="AC869" s="13"/>
      <c r="AD869" s="13"/>
    </row>
    <row r="870">
      <c r="G870" s="22"/>
      <c r="J870" s="9"/>
      <c r="K870" s="9"/>
      <c r="L870" s="9"/>
      <c r="M870" s="9"/>
      <c r="AA870" s="13"/>
      <c r="AB870" s="13"/>
      <c r="AC870" s="13"/>
      <c r="AD870" s="13"/>
    </row>
    <row r="871">
      <c r="G871" s="22"/>
      <c r="J871" s="9"/>
      <c r="K871" s="9"/>
      <c r="L871" s="9"/>
      <c r="M871" s="9"/>
      <c r="AA871" s="13"/>
      <c r="AB871" s="13"/>
      <c r="AC871" s="13"/>
      <c r="AD871" s="13"/>
    </row>
    <row r="872">
      <c r="G872" s="22"/>
      <c r="J872" s="9"/>
      <c r="K872" s="9"/>
      <c r="L872" s="9"/>
      <c r="M872" s="9"/>
      <c r="AA872" s="13"/>
      <c r="AB872" s="13"/>
      <c r="AC872" s="13"/>
      <c r="AD872" s="13"/>
    </row>
    <row r="873">
      <c r="G873" s="22"/>
      <c r="J873" s="9"/>
      <c r="K873" s="9"/>
      <c r="L873" s="9"/>
      <c r="M873" s="9"/>
      <c r="AA873" s="13"/>
      <c r="AB873" s="13"/>
      <c r="AC873" s="13"/>
      <c r="AD873" s="13"/>
    </row>
    <row r="874">
      <c r="G874" s="22"/>
      <c r="J874" s="9"/>
      <c r="K874" s="9"/>
      <c r="L874" s="9"/>
      <c r="M874" s="9"/>
      <c r="AA874" s="13"/>
      <c r="AB874" s="13"/>
      <c r="AC874" s="13"/>
      <c r="AD874" s="13"/>
    </row>
    <row r="875">
      <c r="G875" s="22"/>
      <c r="J875" s="9"/>
      <c r="K875" s="9"/>
      <c r="L875" s="9"/>
      <c r="M875" s="9"/>
      <c r="AA875" s="13"/>
      <c r="AB875" s="13"/>
      <c r="AC875" s="13"/>
      <c r="AD875" s="13"/>
    </row>
    <row r="876">
      <c r="G876" s="22"/>
      <c r="J876" s="9"/>
      <c r="K876" s="9"/>
      <c r="L876" s="9"/>
      <c r="M876" s="9"/>
      <c r="AA876" s="13"/>
      <c r="AB876" s="13"/>
      <c r="AC876" s="13"/>
      <c r="AD876" s="13"/>
    </row>
    <row r="877">
      <c r="G877" s="22"/>
      <c r="J877" s="9"/>
      <c r="K877" s="9"/>
      <c r="L877" s="9"/>
      <c r="M877" s="9"/>
      <c r="AA877" s="13"/>
      <c r="AB877" s="13"/>
      <c r="AC877" s="13"/>
      <c r="AD877" s="13"/>
    </row>
    <row r="878">
      <c r="G878" s="22"/>
      <c r="J878" s="9"/>
      <c r="K878" s="9"/>
      <c r="L878" s="9"/>
      <c r="M878" s="9"/>
      <c r="AA878" s="13"/>
      <c r="AB878" s="13"/>
      <c r="AC878" s="13"/>
      <c r="AD878" s="13"/>
    </row>
    <row r="879">
      <c r="G879" s="22"/>
      <c r="J879" s="9"/>
      <c r="K879" s="9"/>
      <c r="L879" s="9"/>
      <c r="M879" s="9"/>
      <c r="AA879" s="13"/>
      <c r="AB879" s="13"/>
      <c r="AC879" s="13"/>
      <c r="AD879" s="13"/>
    </row>
    <row r="880">
      <c r="G880" s="22"/>
      <c r="J880" s="9"/>
      <c r="K880" s="9"/>
      <c r="L880" s="9"/>
      <c r="M880" s="9"/>
      <c r="AA880" s="13"/>
      <c r="AB880" s="13"/>
      <c r="AC880" s="13"/>
      <c r="AD880" s="13"/>
    </row>
    <row r="881">
      <c r="G881" s="22"/>
      <c r="J881" s="9"/>
      <c r="K881" s="9"/>
      <c r="L881" s="9"/>
      <c r="M881" s="9"/>
      <c r="AA881" s="13"/>
      <c r="AB881" s="13"/>
      <c r="AC881" s="13"/>
      <c r="AD881" s="13"/>
    </row>
    <row r="882">
      <c r="G882" s="22"/>
      <c r="J882" s="9"/>
      <c r="K882" s="9"/>
      <c r="L882" s="9"/>
      <c r="M882" s="9"/>
      <c r="AA882" s="13"/>
      <c r="AB882" s="13"/>
      <c r="AC882" s="13"/>
      <c r="AD882" s="13"/>
    </row>
    <row r="883">
      <c r="G883" s="22"/>
      <c r="J883" s="9"/>
      <c r="K883" s="9"/>
      <c r="L883" s="9"/>
      <c r="M883" s="9"/>
      <c r="AA883" s="13"/>
      <c r="AB883" s="13"/>
      <c r="AC883" s="13"/>
      <c r="AD883" s="13"/>
    </row>
    <row r="884">
      <c r="G884" s="22"/>
      <c r="J884" s="9"/>
      <c r="K884" s="9"/>
      <c r="L884" s="9"/>
      <c r="M884" s="9"/>
      <c r="AA884" s="13"/>
      <c r="AB884" s="13"/>
      <c r="AC884" s="13"/>
      <c r="AD884" s="13"/>
    </row>
    <row r="885">
      <c r="G885" s="22"/>
      <c r="J885" s="9"/>
      <c r="K885" s="9"/>
      <c r="L885" s="9"/>
      <c r="M885" s="9"/>
      <c r="AA885" s="13"/>
      <c r="AB885" s="13"/>
      <c r="AC885" s="13"/>
      <c r="AD885" s="13"/>
    </row>
    <row r="886">
      <c r="G886" s="22"/>
      <c r="J886" s="9"/>
      <c r="K886" s="9"/>
      <c r="L886" s="9"/>
      <c r="M886" s="9"/>
      <c r="AA886" s="13"/>
      <c r="AB886" s="13"/>
      <c r="AC886" s="13"/>
      <c r="AD886" s="13"/>
    </row>
    <row r="887">
      <c r="G887" s="22"/>
      <c r="J887" s="9"/>
      <c r="K887" s="9"/>
      <c r="L887" s="9"/>
      <c r="M887" s="9"/>
      <c r="AA887" s="13"/>
      <c r="AB887" s="13"/>
      <c r="AC887" s="13"/>
      <c r="AD887" s="13"/>
    </row>
    <row r="888">
      <c r="G888" s="22"/>
      <c r="J888" s="9"/>
      <c r="K888" s="9"/>
      <c r="L888" s="9"/>
      <c r="M888" s="9"/>
      <c r="AA888" s="13"/>
      <c r="AB888" s="13"/>
      <c r="AC888" s="13"/>
      <c r="AD888" s="13"/>
    </row>
    <row r="889">
      <c r="G889" s="22"/>
      <c r="J889" s="9"/>
      <c r="K889" s="9"/>
      <c r="L889" s="9"/>
      <c r="M889" s="9"/>
      <c r="AA889" s="13"/>
      <c r="AB889" s="13"/>
      <c r="AC889" s="13"/>
      <c r="AD889" s="13"/>
    </row>
    <row r="890">
      <c r="G890" s="22"/>
      <c r="J890" s="9"/>
      <c r="K890" s="9"/>
      <c r="L890" s="9"/>
      <c r="M890" s="9"/>
      <c r="AA890" s="13"/>
      <c r="AB890" s="13"/>
      <c r="AC890" s="13"/>
      <c r="AD890" s="13"/>
    </row>
    <row r="891">
      <c r="G891" s="22"/>
      <c r="J891" s="9"/>
      <c r="K891" s="9"/>
      <c r="L891" s="9"/>
      <c r="M891" s="9"/>
      <c r="AA891" s="13"/>
      <c r="AB891" s="13"/>
      <c r="AC891" s="13"/>
      <c r="AD891" s="13"/>
    </row>
    <row r="892">
      <c r="G892" s="22"/>
      <c r="J892" s="9"/>
      <c r="K892" s="9"/>
      <c r="L892" s="9"/>
      <c r="M892" s="9"/>
      <c r="AA892" s="13"/>
      <c r="AB892" s="13"/>
      <c r="AC892" s="13"/>
      <c r="AD892" s="13"/>
    </row>
    <row r="893">
      <c r="G893" s="22"/>
      <c r="J893" s="9"/>
      <c r="K893" s="9"/>
      <c r="L893" s="9"/>
      <c r="M893" s="9"/>
      <c r="AA893" s="13"/>
      <c r="AB893" s="13"/>
      <c r="AC893" s="13"/>
      <c r="AD893" s="13"/>
    </row>
    <row r="894">
      <c r="G894" s="22"/>
      <c r="J894" s="9"/>
      <c r="K894" s="9"/>
      <c r="L894" s="9"/>
      <c r="M894" s="9"/>
      <c r="AA894" s="13"/>
      <c r="AB894" s="13"/>
      <c r="AC894" s="13"/>
      <c r="AD894" s="13"/>
    </row>
    <row r="895">
      <c r="G895" s="22"/>
      <c r="J895" s="9"/>
      <c r="K895" s="9"/>
      <c r="L895" s="9"/>
      <c r="M895" s="9"/>
      <c r="AA895" s="13"/>
      <c r="AB895" s="13"/>
      <c r="AC895" s="13"/>
      <c r="AD895" s="13"/>
    </row>
    <row r="896">
      <c r="G896" s="22"/>
      <c r="J896" s="9"/>
      <c r="K896" s="9"/>
      <c r="L896" s="9"/>
      <c r="M896" s="9"/>
      <c r="AA896" s="13"/>
      <c r="AB896" s="13"/>
      <c r="AC896" s="13"/>
      <c r="AD896" s="13"/>
    </row>
    <row r="897">
      <c r="G897" s="22"/>
      <c r="J897" s="9"/>
      <c r="K897" s="9"/>
      <c r="L897" s="9"/>
      <c r="M897" s="9"/>
      <c r="AA897" s="13"/>
      <c r="AB897" s="13"/>
      <c r="AC897" s="13"/>
      <c r="AD897" s="13"/>
    </row>
    <row r="898">
      <c r="G898" s="22"/>
      <c r="J898" s="9"/>
      <c r="K898" s="9"/>
      <c r="L898" s="9"/>
      <c r="M898" s="9"/>
      <c r="AA898" s="13"/>
      <c r="AB898" s="13"/>
      <c r="AC898" s="13"/>
      <c r="AD898" s="13"/>
    </row>
    <row r="899">
      <c r="G899" s="22"/>
      <c r="J899" s="9"/>
      <c r="K899" s="9"/>
      <c r="L899" s="9"/>
      <c r="M899" s="9"/>
      <c r="AA899" s="13"/>
      <c r="AB899" s="13"/>
      <c r="AC899" s="13"/>
      <c r="AD899" s="13"/>
    </row>
    <row r="900">
      <c r="G900" s="22"/>
      <c r="J900" s="9"/>
      <c r="K900" s="9"/>
      <c r="L900" s="9"/>
      <c r="M900" s="9"/>
      <c r="AA900" s="13"/>
      <c r="AB900" s="13"/>
      <c r="AC900" s="13"/>
      <c r="AD900" s="13"/>
    </row>
    <row r="901">
      <c r="G901" s="22"/>
      <c r="J901" s="9"/>
      <c r="K901" s="9"/>
      <c r="L901" s="9"/>
      <c r="M901" s="9"/>
      <c r="AA901" s="13"/>
      <c r="AB901" s="13"/>
      <c r="AC901" s="13"/>
      <c r="AD901" s="13"/>
    </row>
    <row r="902">
      <c r="G902" s="22"/>
      <c r="J902" s="9"/>
      <c r="K902" s="9"/>
      <c r="L902" s="9"/>
      <c r="M902" s="9"/>
      <c r="AA902" s="13"/>
      <c r="AB902" s="13"/>
      <c r="AC902" s="13"/>
      <c r="AD902" s="13"/>
    </row>
    <row r="903">
      <c r="G903" s="22"/>
      <c r="J903" s="9"/>
      <c r="K903" s="9"/>
      <c r="L903" s="9"/>
      <c r="M903" s="9"/>
      <c r="AA903" s="13"/>
      <c r="AB903" s="13"/>
      <c r="AC903" s="13"/>
      <c r="AD903" s="13"/>
    </row>
    <row r="904">
      <c r="G904" s="22"/>
      <c r="J904" s="9"/>
      <c r="K904" s="9"/>
      <c r="L904" s="9"/>
      <c r="M904" s="9"/>
      <c r="AA904" s="13"/>
      <c r="AB904" s="13"/>
      <c r="AC904" s="13"/>
      <c r="AD904" s="13"/>
    </row>
    <row r="905">
      <c r="G905" s="22"/>
      <c r="J905" s="9"/>
      <c r="K905" s="9"/>
      <c r="L905" s="9"/>
      <c r="M905" s="9"/>
      <c r="AA905" s="13"/>
      <c r="AB905" s="13"/>
      <c r="AC905" s="13"/>
      <c r="AD905" s="13"/>
    </row>
    <row r="906">
      <c r="G906" s="22"/>
      <c r="J906" s="9"/>
      <c r="K906" s="9"/>
      <c r="L906" s="9"/>
      <c r="M906" s="9"/>
      <c r="AA906" s="13"/>
      <c r="AB906" s="13"/>
      <c r="AC906" s="13"/>
      <c r="AD906" s="13"/>
    </row>
    <row r="907">
      <c r="G907" s="22"/>
      <c r="J907" s="9"/>
      <c r="K907" s="9"/>
      <c r="L907" s="9"/>
      <c r="M907" s="9"/>
      <c r="AA907" s="13"/>
      <c r="AB907" s="13"/>
      <c r="AC907" s="13"/>
      <c r="AD907" s="13"/>
    </row>
    <row r="908">
      <c r="G908" s="22"/>
      <c r="J908" s="9"/>
      <c r="K908" s="9"/>
      <c r="L908" s="9"/>
      <c r="M908" s="9"/>
      <c r="AA908" s="13"/>
      <c r="AB908" s="13"/>
      <c r="AC908" s="13"/>
      <c r="AD908" s="13"/>
    </row>
    <row r="909">
      <c r="G909" s="22"/>
      <c r="J909" s="9"/>
      <c r="K909" s="9"/>
      <c r="L909" s="9"/>
      <c r="M909" s="9"/>
      <c r="AA909" s="13"/>
      <c r="AB909" s="13"/>
      <c r="AC909" s="13"/>
      <c r="AD909" s="13"/>
    </row>
    <row r="910">
      <c r="G910" s="22"/>
      <c r="J910" s="9"/>
      <c r="K910" s="9"/>
      <c r="L910" s="9"/>
      <c r="M910" s="9"/>
      <c r="AA910" s="13"/>
      <c r="AB910" s="13"/>
      <c r="AC910" s="13"/>
      <c r="AD910" s="13"/>
    </row>
    <row r="911">
      <c r="G911" s="22"/>
      <c r="J911" s="9"/>
      <c r="K911" s="9"/>
      <c r="L911" s="9"/>
      <c r="M911" s="9"/>
      <c r="AA911" s="13"/>
      <c r="AB911" s="13"/>
      <c r="AC911" s="13"/>
      <c r="AD911" s="13"/>
    </row>
    <row r="912">
      <c r="G912" s="22"/>
      <c r="J912" s="9"/>
      <c r="K912" s="9"/>
      <c r="L912" s="9"/>
      <c r="M912" s="9"/>
      <c r="AA912" s="13"/>
      <c r="AB912" s="13"/>
      <c r="AC912" s="13"/>
      <c r="AD912" s="13"/>
    </row>
    <row r="913">
      <c r="G913" s="22"/>
      <c r="J913" s="9"/>
      <c r="K913" s="9"/>
      <c r="L913" s="9"/>
      <c r="M913" s="9"/>
      <c r="AA913" s="13"/>
      <c r="AB913" s="13"/>
      <c r="AC913" s="13"/>
      <c r="AD913" s="13"/>
    </row>
    <row r="914">
      <c r="G914" s="22"/>
      <c r="J914" s="9"/>
      <c r="K914" s="9"/>
      <c r="L914" s="9"/>
      <c r="M914" s="9"/>
      <c r="AA914" s="13"/>
      <c r="AB914" s="13"/>
      <c r="AC914" s="13"/>
      <c r="AD914" s="13"/>
    </row>
    <row r="915">
      <c r="G915" s="22"/>
      <c r="J915" s="9"/>
      <c r="K915" s="9"/>
      <c r="L915" s="9"/>
      <c r="M915" s="9"/>
      <c r="AA915" s="13"/>
      <c r="AB915" s="13"/>
      <c r="AC915" s="13"/>
      <c r="AD915" s="13"/>
    </row>
    <row r="916">
      <c r="G916" s="22"/>
      <c r="J916" s="9"/>
      <c r="K916" s="9"/>
      <c r="L916" s="9"/>
      <c r="M916" s="9"/>
      <c r="AA916" s="13"/>
      <c r="AB916" s="13"/>
      <c r="AC916" s="13"/>
      <c r="AD916" s="13"/>
    </row>
    <row r="917">
      <c r="G917" s="22"/>
      <c r="J917" s="9"/>
      <c r="K917" s="9"/>
      <c r="L917" s="9"/>
      <c r="M917" s="9"/>
      <c r="AA917" s="13"/>
      <c r="AB917" s="13"/>
      <c r="AC917" s="13"/>
      <c r="AD917" s="13"/>
    </row>
    <row r="918">
      <c r="G918" s="22"/>
      <c r="J918" s="9"/>
      <c r="K918" s="9"/>
      <c r="L918" s="9"/>
      <c r="M918" s="9"/>
      <c r="AA918" s="13"/>
      <c r="AB918" s="13"/>
      <c r="AC918" s="13"/>
      <c r="AD918" s="13"/>
    </row>
    <row r="919">
      <c r="G919" s="22"/>
      <c r="J919" s="9"/>
      <c r="K919" s="9"/>
      <c r="L919" s="9"/>
      <c r="M919" s="9"/>
      <c r="AA919" s="13"/>
      <c r="AB919" s="13"/>
      <c r="AC919" s="13"/>
      <c r="AD919" s="13"/>
    </row>
    <row r="920">
      <c r="G920" s="22"/>
      <c r="J920" s="9"/>
      <c r="K920" s="9"/>
      <c r="L920" s="9"/>
      <c r="M920" s="9"/>
      <c r="AA920" s="13"/>
      <c r="AB920" s="13"/>
      <c r="AC920" s="13"/>
      <c r="AD920" s="13"/>
    </row>
    <row r="921">
      <c r="G921" s="22"/>
      <c r="J921" s="9"/>
      <c r="K921" s="9"/>
      <c r="L921" s="9"/>
      <c r="M921" s="9"/>
      <c r="AA921" s="13"/>
      <c r="AB921" s="13"/>
      <c r="AC921" s="13"/>
      <c r="AD921" s="13"/>
    </row>
    <row r="922">
      <c r="G922" s="22"/>
      <c r="J922" s="9"/>
      <c r="K922" s="9"/>
      <c r="L922" s="9"/>
      <c r="M922" s="9"/>
      <c r="AA922" s="13"/>
      <c r="AB922" s="13"/>
      <c r="AC922" s="13"/>
      <c r="AD922" s="13"/>
    </row>
    <row r="923">
      <c r="G923" s="22"/>
      <c r="J923" s="9"/>
      <c r="K923" s="9"/>
      <c r="L923" s="9"/>
      <c r="M923" s="9"/>
      <c r="AA923" s="13"/>
      <c r="AB923" s="13"/>
      <c r="AC923" s="13"/>
      <c r="AD923" s="13"/>
    </row>
    <row r="924">
      <c r="G924" s="22"/>
      <c r="J924" s="9"/>
      <c r="K924" s="9"/>
      <c r="L924" s="9"/>
      <c r="M924" s="9"/>
      <c r="AA924" s="13"/>
      <c r="AB924" s="13"/>
      <c r="AC924" s="13"/>
      <c r="AD924" s="13"/>
    </row>
    <row r="925">
      <c r="G925" s="22"/>
      <c r="J925" s="9"/>
      <c r="K925" s="9"/>
      <c r="L925" s="9"/>
      <c r="M925" s="9"/>
      <c r="AA925" s="13"/>
      <c r="AB925" s="13"/>
      <c r="AC925" s="13"/>
      <c r="AD925" s="13"/>
    </row>
    <row r="926">
      <c r="G926" s="22"/>
      <c r="J926" s="9"/>
      <c r="K926" s="9"/>
      <c r="L926" s="9"/>
      <c r="M926" s="9"/>
      <c r="AA926" s="13"/>
      <c r="AB926" s="13"/>
      <c r="AC926" s="13"/>
      <c r="AD926" s="13"/>
    </row>
    <row r="927">
      <c r="G927" s="22"/>
      <c r="J927" s="9"/>
      <c r="K927" s="9"/>
      <c r="L927" s="9"/>
      <c r="M927" s="9"/>
      <c r="AA927" s="13"/>
      <c r="AB927" s="13"/>
      <c r="AC927" s="13"/>
      <c r="AD927" s="13"/>
    </row>
    <row r="928">
      <c r="G928" s="22"/>
      <c r="J928" s="9"/>
      <c r="K928" s="9"/>
      <c r="L928" s="9"/>
      <c r="M928" s="9"/>
      <c r="AA928" s="13"/>
      <c r="AB928" s="13"/>
      <c r="AC928" s="13"/>
      <c r="AD928" s="13"/>
    </row>
    <row r="929">
      <c r="G929" s="22"/>
      <c r="J929" s="9"/>
      <c r="K929" s="9"/>
      <c r="L929" s="9"/>
      <c r="M929" s="9"/>
      <c r="AA929" s="13"/>
      <c r="AB929" s="13"/>
      <c r="AC929" s="13"/>
      <c r="AD929" s="13"/>
    </row>
    <row r="930">
      <c r="G930" s="22"/>
      <c r="J930" s="9"/>
      <c r="K930" s="9"/>
      <c r="L930" s="9"/>
      <c r="M930" s="9"/>
      <c r="AA930" s="13"/>
      <c r="AB930" s="13"/>
      <c r="AC930" s="13"/>
      <c r="AD930" s="13"/>
    </row>
    <row r="931">
      <c r="G931" s="22"/>
      <c r="J931" s="9"/>
      <c r="K931" s="9"/>
      <c r="L931" s="9"/>
      <c r="M931" s="9"/>
      <c r="AA931" s="13"/>
      <c r="AB931" s="13"/>
      <c r="AC931" s="13"/>
      <c r="AD931" s="13"/>
    </row>
    <row r="932">
      <c r="G932" s="22"/>
      <c r="J932" s="9"/>
      <c r="K932" s="9"/>
      <c r="L932" s="9"/>
      <c r="M932" s="9"/>
      <c r="AA932" s="13"/>
      <c r="AB932" s="13"/>
      <c r="AC932" s="13"/>
      <c r="AD932" s="13"/>
    </row>
    <row r="933">
      <c r="G933" s="22"/>
      <c r="J933" s="9"/>
      <c r="K933" s="9"/>
      <c r="L933" s="9"/>
      <c r="M933" s="9"/>
      <c r="AA933" s="13"/>
      <c r="AB933" s="13"/>
      <c r="AC933" s="13"/>
      <c r="AD933" s="13"/>
    </row>
    <row r="934">
      <c r="G934" s="22"/>
      <c r="J934" s="9"/>
      <c r="K934" s="9"/>
      <c r="L934" s="9"/>
      <c r="M934" s="9"/>
      <c r="AA934" s="13"/>
      <c r="AB934" s="13"/>
      <c r="AC934" s="13"/>
      <c r="AD934" s="13"/>
    </row>
    <row r="935">
      <c r="G935" s="22"/>
      <c r="J935" s="9"/>
      <c r="K935" s="9"/>
      <c r="L935" s="9"/>
      <c r="M935" s="9"/>
      <c r="AA935" s="13"/>
      <c r="AB935" s="13"/>
      <c r="AC935" s="13"/>
      <c r="AD935" s="13"/>
    </row>
    <row r="936">
      <c r="G936" s="22"/>
      <c r="J936" s="9"/>
      <c r="K936" s="9"/>
      <c r="L936" s="9"/>
      <c r="M936" s="9"/>
      <c r="AA936" s="13"/>
      <c r="AB936" s="13"/>
      <c r="AC936" s="13"/>
      <c r="AD936" s="13"/>
    </row>
    <row r="937">
      <c r="G937" s="22"/>
      <c r="J937" s="9"/>
      <c r="K937" s="9"/>
      <c r="L937" s="9"/>
      <c r="M937" s="9"/>
      <c r="AA937" s="13"/>
      <c r="AB937" s="13"/>
      <c r="AC937" s="13"/>
      <c r="AD937" s="13"/>
    </row>
    <row r="938">
      <c r="G938" s="22"/>
      <c r="J938" s="9"/>
      <c r="K938" s="9"/>
      <c r="L938" s="9"/>
      <c r="M938" s="9"/>
      <c r="AA938" s="13"/>
      <c r="AB938" s="13"/>
      <c r="AC938" s="13"/>
      <c r="AD938" s="13"/>
    </row>
    <row r="939">
      <c r="G939" s="22"/>
      <c r="J939" s="9"/>
      <c r="K939" s="9"/>
      <c r="L939" s="9"/>
      <c r="M939" s="9"/>
      <c r="AA939" s="13"/>
      <c r="AB939" s="13"/>
      <c r="AC939" s="13"/>
      <c r="AD939" s="13"/>
    </row>
    <row r="940">
      <c r="G940" s="22"/>
      <c r="J940" s="9"/>
      <c r="K940" s="9"/>
      <c r="L940" s="9"/>
      <c r="M940" s="9"/>
      <c r="AA940" s="13"/>
      <c r="AB940" s="13"/>
      <c r="AC940" s="13"/>
      <c r="AD940" s="13"/>
    </row>
    <row r="941">
      <c r="G941" s="22"/>
      <c r="J941" s="9"/>
      <c r="K941" s="9"/>
      <c r="L941" s="9"/>
      <c r="M941" s="9"/>
      <c r="AA941" s="13"/>
      <c r="AB941" s="13"/>
      <c r="AC941" s="13"/>
      <c r="AD941" s="13"/>
    </row>
    <row r="942">
      <c r="G942" s="22"/>
      <c r="J942" s="9"/>
      <c r="K942" s="9"/>
      <c r="L942" s="9"/>
      <c r="M942" s="9"/>
      <c r="AA942" s="13"/>
      <c r="AB942" s="13"/>
      <c r="AC942" s="13"/>
      <c r="AD942" s="13"/>
    </row>
    <row r="943">
      <c r="G943" s="22"/>
      <c r="J943" s="9"/>
      <c r="K943" s="9"/>
      <c r="L943" s="9"/>
      <c r="M943" s="9"/>
      <c r="AA943" s="13"/>
      <c r="AB943" s="13"/>
      <c r="AC943" s="13"/>
      <c r="AD943" s="13"/>
    </row>
    <row r="944">
      <c r="G944" s="22"/>
      <c r="J944" s="9"/>
      <c r="K944" s="9"/>
      <c r="L944" s="9"/>
      <c r="M944" s="9"/>
      <c r="AA944" s="13"/>
      <c r="AB944" s="13"/>
      <c r="AC944" s="13"/>
      <c r="AD944" s="13"/>
    </row>
    <row r="945">
      <c r="G945" s="22"/>
      <c r="J945" s="9"/>
      <c r="K945" s="9"/>
      <c r="L945" s="9"/>
      <c r="M945" s="9"/>
      <c r="AA945" s="13"/>
      <c r="AB945" s="13"/>
      <c r="AC945" s="13"/>
      <c r="AD945" s="13"/>
    </row>
    <row r="946">
      <c r="G946" s="22"/>
      <c r="J946" s="9"/>
      <c r="K946" s="9"/>
      <c r="L946" s="9"/>
      <c r="M946" s="9"/>
      <c r="AA946" s="13"/>
      <c r="AB946" s="13"/>
      <c r="AC946" s="13"/>
      <c r="AD946" s="13"/>
    </row>
    <row r="947">
      <c r="G947" s="22"/>
      <c r="J947" s="9"/>
      <c r="K947" s="9"/>
      <c r="L947" s="9"/>
      <c r="M947" s="9"/>
      <c r="AA947" s="13"/>
      <c r="AB947" s="13"/>
      <c r="AC947" s="13"/>
      <c r="AD947" s="13"/>
    </row>
    <row r="948">
      <c r="G948" s="22"/>
      <c r="J948" s="9"/>
      <c r="K948" s="9"/>
      <c r="L948" s="9"/>
      <c r="M948" s="9"/>
      <c r="AA948" s="13"/>
      <c r="AB948" s="13"/>
      <c r="AC948" s="13"/>
      <c r="AD948" s="13"/>
    </row>
    <row r="949">
      <c r="G949" s="22"/>
      <c r="J949" s="9"/>
      <c r="K949" s="9"/>
      <c r="L949" s="9"/>
      <c r="M949" s="9"/>
      <c r="AA949" s="13"/>
      <c r="AB949" s="13"/>
      <c r="AC949" s="13"/>
      <c r="AD949" s="13"/>
    </row>
    <row r="950">
      <c r="G950" s="22"/>
      <c r="J950" s="9"/>
      <c r="K950" s="9"/>
      <c r="L950" s="9"/>
      <c r="M950" s="9"/>
      <c r="AA950" s="13"/>
      <c r="AB950" s="13"/>
      <c r="AC950" s="13"/>
      <c r="AD950" s="13"/>
    </row>
    <row r="951">
      <c r="G951" s="22"/>
      <c r="J951" s="9"/>
      <c r="K951" s="9"/>
      <c r="L951" s="9"/>
      <c r="M951" s="9"/>
      <c r="AA951" s="13"/>
      <c r="AB951" s="13"/>
      <c r="AC951" s="13"/>
      <c r="AD951" s="13"/>
    </row>
    <row r="952">
      <c r="G952" s="22"/>
      <c r="J952" s="9"/>
      <c r="K952" s="9"/>
      <c r="L952" s="9"/>
      <c r="M952" s="9"/>
      <c r="AA952" s="13"/>
      <c r="AB952" s="13"/>
      <c r="AC952" s="13"/>
      <c r="AD952" s="13"/>
    </row>
    <row r="953">
      <c r="G953" s="22"/>
      <c r="J953" s="9"/>
      <c r="K953" s="9"/>
      <c r="L953" s="9"/>
      <c r="M953" s="9"/>
      <c r="AA953" s="13"/>
      <c r="AB953" s="13"/>
      <c r="AC953" s="13"/>
      <c r="AD953" s="13"/>
    </row>
    <row r="954">
      <c r="G954" s="22"/>
      <c r="J954" s="9"/>
      <c r="K954" s="9"/>
      <c r="L954" s="9"/>
      <c r="M954" s="9"/>
      <c r="AA954" s="13"/>
      <c r="AB954" s="13"/>
      <c r="AC954" s="13"/>
      <c r="AD954" s="13"/>
    </row>
    <row r="955">
      <c r="G955" s="22"/>
      <c r="J955" s="9"/>
      <c r="K955" s="9"/>
      <c r="L955" s="9"/>
      <c r="M955" s="9"/>
      <c r="AA955" s="13"/>
      <c r="AB955" s="13"/>
      <c r="AC955" s="13"/>
      <c r="AD955" s="13"/>
    </row>
    <row r="956">
      <c r="G956" s="22"/>
      <c r="J956" s="9"/>
      <c r="K956" s="9"/>
      <c r="L956" s="9"/>
      <c r="M956" s="9"/>
      <c r="AA956" s="13"/>
      <c r="AB956" s="13"/>
      <c r="AC956" s="13"/>
      <c r="AD956" s="13"/>
    </row>
    <row r="957">
      <c r="G957" s="22"/>
      <c r="J957" s="9"/>
      <c r="K957" s="9"/>
      <c r="L957" s="9"/>
      <c r="M957" s="9"/>
      <c r="AA957" s="13"/>
      <c r="AB957" s="13"/>
      <c r="AC957" s="13"/>
      <c r="AD957" s="13"/>
    </row>
    <row r="958">
      <c r="G958" s="22"/>
      <c r="J958" s="9"/>
      <c r="K958" s="9"/>
      <c r="L958" s="9"/>
      <c r="M958" s="9"/>
      <c r="AA958" s="13"/>
      <c r="AB958" s="13"/>
      <c r="AC958" s="13"/>
      <c r="AD958" s="13"/>
    </row>
    <row r="959">
      <c r="G959" s="22"/>
      <c r="J959" s="9"/>
      <c r="K959" s="9"/>
      <c r="L959" s="9"/>
      <c r="M959" s="9"/>
      <c r="AA959" s="13"/>
      <c r="AB959" s="13"/>
      <c r="AC959" s="13"/>
      <c r="AD959" s="13"/>
    </row>
    <row r="960">
      <c r="G960" s="22"/>
      <c r="J960" s="9"/>
      <c r="K960" s="9"/>
      <c r="L960" s="9"/>
      <c r="M960" s="9"/>
      <c r="AA960" s="13"/>
      <c r="AB960" s="13"/>
      <c r="AC960" s="13"/>
      <c r="AD960" s="13"/>
    </row>
    <row r="961">
      <c r="G961" s="22"/>
      <c r="J961" s="9"/>
      <c r="K961" s="9"/>
      <c r="L961" s="9"/>
      <c r="M961" s="9"/>
      <c r="AA961" s="13"/>
      <c r="AB961" s="13"/>
      <c r="AC961" s="13"/>
      <c r="AD961" s="13"/>
    </row>
    <row r="962">
      <c r="G962" s="22"/>
      <c r="J962" s="9"/>
      <c r="K962" s="9"/>
      <c r="L962" s="9"/>
      <c r="M962" s="9"/>
      <c r="AA962" s="13"/>
      <c r="AB962" s="13"/>
      <c r="AC962" s="13"/>
      <c r="AD962" s="13"/>
    </row>
    <row r="963">
      <c r="G963" s="22"/>
      <c r="J963" s="9"/>
      <c r="K963" s="9"/>
      <c r="L963" s="9"/>
      <c r="M963" s="9"/>
      <c r="AA963" s="13"/>
      <c r="AB963" s="13"/>
      <c r="AC963" s="13"/>
      <c r="AD963" s="13"/>
    </row>
    <row r="964">
      <c r="G964" s="22"/>
      <c r="J964" s="9"/>
      <c r="K964" s="9"/>
      <c r="L964" s="9"/>
      <c r="M964" s="9"/>
      <c r="AA964" s="13"/>
      <c r="AB964" s="13"/>
      <c r="AC964" s="13"/>
      <c r="AD964" s="13"/>
    </row>
    <row r="965">
      <c r="G965" s="22"/>
      <c r="J965" s="9"/>
      <c r="K965" s="9"/>
      <c r="L965" s="9"/>
      <c r="M965" s="9"/>
      <c r="AA965" s="13"/>
      <c r="AB965" s="13"/>
      <c r="AC965" s="13"/>
      <c r="AD965" s="13"/>
    </row>
    <row r="966">
      <c r="G966" s="22"/>
      <c r="J966" s="9"/>
      <c r="K966" s="9"/>
      <c r="L966" s="9"/>
      <c r="M966" s="9"/>
      <c r="AA966" s="13"/>
      <c r="AB966" s="13"/>
      <c r="AC966" s="13"/>
      <c r="AD966" s="13"/>
    </row>
    <row r="967">
      <c r="G967" s="22"/>
      <c r="J967" s="9"/>
      <c r="K967" s="9"/>
      <c r="L967" s="9"/>
      <c r="M967" s="9"/>
      <c r="AA967" s="13"/>
      <c r="AB967" s="13"/>
      <c r="AC967" s="13"/>
      <c r="AD967" s="13"/>
    </row>
    <row r="968">
      <c r="G968" s="22"/>
      <c r="J968" s="9"/>
      <c r="K968" s="9"/>
      <c r="L968" s="9"/>
      <c r="M968" s="9"/>
      <c r="AA968" s="13"/>
      <c r="AB968" s="13"/>
      <c r="AC968" s="13"/>
      <c r="AD968" s="13"/>
    </row>
    <row r="969">
      <c r="G969" s="22"/>
      <c r="J969" s="9"/>
      <c r="K969" s="9"/>
      <c r="L969" s="9"/>
      <c r="M969" s="9"/>
      <c r="AA969" s="13"/>
      <c r="AB969" s="13"/>
      <c r="AC969" s="13"/>
      <c r="AD969" s="13"/>
    </row>
    <row r="970">
      <c r="G970" s="22"/>
      <c r="J970" s="9"/>
      <c r="K970" s="9"/>
      <c r="L970" s="9"/>
      <c r="M970" s="9"/>
      <c r="AA970" s="13"/>
      <c r="AB970" s="13"/>
      <c r="AC970" s="13"/>
      <c r="AD970" s="13"/>
    </row>
    <row r="971">
      <c r="G971" s="22"/>
      <c r="J971" s="9"/>
      <c r="K971" s="9"/>
      <c r="L971" s="9"/>
      <c r="M971" s="9"/>
      <c r="AA971" s="13"/>
      <c r="AB971" s="13"/>
      <c r="AC971" s="13"/>
      <c r="AD971" s="13"/>
    </row>
    <row r="972">
      <c r="G972" s="22"/>
      <c r="J972" s="9"/>
      <c r="K972" s="9"/>
      <c r="L972" s="9"/>
      <c r="M972" s="9"/>
      <c r="AA972" s="13"/>
      <c r="AB972" s="13"/>
      <c r="AC972" s="13"/>
      <c r="AD972" s="13"/>
    </row>
    <row r="973">
      <c r="G973" s="22"/>
      <c r="J973" s="9"/>
      <c r="K973" s="9"/>
      <c r="L973" s="9"/>
      <c r="M973" s="9"/>
      <c r="AA973" s="13"/>
      <c r="AB973" s="13"/>
      <c r="AC973" s="13"/>
      <c r="AD973" s="13"/>
    </row>
    <row r="974">
      <c r="G974" s="22"/>
      <c r="J974" s="9"/>
      <c r="K974" s="9"/>
      <c r="L974" s="9"/>
      <c r="M974" s="9"/>
      <c r="AA974" s="13"/>
      <c r="AB974" s="13"/>
      <c r="AC974" s="13"/>
      <c r="AD974" s="13"/>
    </row>
    <row r="975">
      <c r="G975" s="22"/>
      <c r="J975" s="9"/>
      <c r="K975" s="9"/>
      <c r="L975" s="9"/>
      <c r="M975" s="9"/>
      <c r="AA975" s="13"/>
      <c r="AB975" s="13"/>
      <c r="AC975" s="13"/>
      <c r="AD975" s="13"/>
    </row>
    <row r="976">
      <c r="G976" s="22"/>
      <c r="J976" s="9"/>
      <c r="K976" s="9"/>
      <c r="L976" s="9"/>
      <c r="M976" s="9"/>
      <c r="AA976" s="13"/>
      <c r="AB976" s="13"/>
      <c r="AC976" s="13"/>
      <c r="AD976" s="13"/>
    </row>
    <row r="977">
      <c r="G977" s="22"/>
      <c r="J977" s="9"/>
      <c r="K977" s="9"/>
      <c r="L977" s="9"/>
      <c r="M977" s="9"/>
      <c r="AA977" s="13"/>
      <c r="AB977" s="13"/>
      <c r="AC977" s="13"/>
      <c r="AD977" s="13"/>
    </row>
    <row r="978">
      <c r="G978" s="22"/>
      <c r="J978" s="9"/>
      <c r="K978" s="9"/>
      <c r="L978" s="9"/>
      <c r="M978" s="9"/>
      <c r="AA978" s="13"/>
      <c r="AB978" s="13"/>
      <c r="AC978" s="13"/>
      <c r="AD978" s="13"/>
    </row>
    <row r="979">
      <c r="G979" s="22"/>
      <c r="J979" s="9"/>
      <c r="K979" s="9"/>
      <c r="L979" s="9"/>
      <c r="M979" s="9"/>
      <c r="AA979" s="13"/>
      <c r="AB979" s="13"/>
      <c r="AC979" s="13"/>
      <c r="AD979" s="13"/>
    </row>
    <row r="980">
      <c r="G980" s="22"/>
      <c r="J980" s="9"/>
      <c r="K980" s="9"/>
      <c r="L980" s="9"/>
      <c r="M980" s="9"/>
      <c r="AA980" s="13"/>
      <c r="AB980" s="13"/>
      <c r="AC980" s="13"/>
      <c r="AD980" s="13"/>
    </row>
    <row r="981">
      <c r="G981" s="22"/>
      <c r="J981" s="9"/>
      <c r="K981" s="9"/>
      <c r="L981" s="9"/>
      <c r="M981" s="9"/>
      <c r="AA981" s="13"/>
      <c r="AB981" s="13"/>
      <c r="AC981" s="13"/>
      <c r="AD981" s="13"/>
    </row>
    <row r="982">
      <c r="G982" s="22"/>
      <c r="J982" s="9"/>
      <c r="K982" s="9"/>
      <c r="L982" s="9"/>
      <c r="M982" s="9"/>
      <c r="AA982" s="13"/>
      <c r="AB982" s="13"/>
      <c r="AC982" s="13"/>
      <c r="AD982" s="13"/>
    </row>
    <row r="983">
      <c r="G983" s="22"/>
      <c r="J983" s="9"/>
      <c r="K983" s="9"/>
      <c r="L983" s="9"/>
      <c r="M983" s="9"/>
      <c r="AA983" s="13"/>
      <c r="AB983" s="13"/>
      <c r="AC983" s="13"/>
      <c r="AD983" s="13"/>
    </row>
    <row r="984">
      <c r="G984" s="22"/>
      <c r="J984" s="9"/>
      <c r="K984" s="9"/>
      <c r="L984" s="9"/>
      <c r="M984" s="9"/>
      <c r="AA984" s="13"/>
      <c r="AB984" s="13"/>
      <c r="AC984" s="13"/>
      <c r="AD984" s="13"/>
    </row>
    <row r="985">
      <c r="G985" s="22"/>
      <c r="J985" s="9"/>
      <c r="K985" s="9"/>
      <c r="L985" s="9"/>
      <c r="M985" s="9"/>
      <c r="AA985" s="13"/>
      <c r="AB985" s="13"/>
      <c r="AC985" s="13"/>
      <c r="AD985" s="13"/>
    </row>
    <row r="986">
      <c r="G986" s="22"/>
      <c r="J986" s="9"/>
      <c r="K986" s="9"/>
      <c r="L986" s="9"/>
      <c r="M986" s="9"/>
      <c r="AA986" s="13"/>
      <c r="AB986" s="13"/>
      <c r="AC986" s="13"/>
      <c r="AD986" s="13"/>
    </row>
    <row r="987">
      <c r="G987" s="22"/>
      <c r="J987" s="9"/>
      <c r="K987" s="9"/>
      <c r="L987" s="9"/>
      <c r="M987" s="9"/>
      <c r="AA987" s="13"/>
      <c r="AB987" s="13"/>
      <c r="AC987" s="13"/>
      <c r="AD987" s="13"/>
    </row>
    <row r="988">
      <c r="G988" s="22"/>
      <c r="J988" s="9"/>
      <c r="K988" s="9"/>
      <c r="L988" s="9"/>
      <c r="M988" s="9"/>
      <c r="AA988" s="13"/>
      <c r="AB988" s="13"/>
      <c r="AC988" s="13"/>
      <c r="AD988" s="13"/>
    </row>
    <row r="989">
      <c r="G989" s="22"/>
      <c r="J989" s="9"/>
      <c r="K989" s="9"/>
      <c r="L989" s="9"/>
      <c r="M989" s="9"/>
      <c r="AA989" s="13"/>
      <c r="AB989" s="13"/>
      <c r="AC989" s="13"/>
      <c r="AD989" s="13"/>
    </row>
    <row r="990">
      <c r="G990" s="22"/>
      <c r="J990" s="9"/>
      <c r="K990" s="9"/>
      <c r="L990" s="9"/>
      <c r="M990" s="9"/>
      <c r="AA990" s="13"/>
      <c r="AB990" s="13"/>
      <c r="AC990" s="13"/>
      <c r="AD990" s="13"/>
    </row>
    <row r="991">
      <c r="G991" s="22"/>
      <c r="J991" s="9"/>
      <c r="K991" s="9"/>
      <c r="L991" s="9"/>
      <c r="M991" s="9"/>
      <c r="AA991" s="13"/>
      <c r="AB991" s="13"/>
      <c r="AC991" s="13"/>
      <c r="AD991" s="13"/>
    </row>
    <row r="992">
      <c r="G992" s="22"/>
      <c r="J992" s="9"/>
      <c r="K992" s="9"/>
      <c r="L992" s="9"/>
      <c r="M992" s="9"/>
      <c r="AA992" s="13"/>
      <c r="AB992" s="13"/>
      <c r="AC992" s="13"/>
      <c r="AD992" s="13"/>
    </row>
    <row r="993">
      <c r="G993" s="22"/>
      <c r="J993" s="9"/>
      <c r="K993" s="9"/>
      <c r="L993" s="9"/>
      <c r="M993" s="9"/>
      <c r="AA993" s="13"/>
      <c r="AB993" s="13"/>
      <c r="AC993" s="13"/>
      <c r="AD993" s="13"/>
    </row>
    <row r="994">
      <c r="G994" s="22"/>
      <c r="J994" s="9"/>
      <c r="K994" s="9"/>
      <c r="L994" s="9"/>
      <c r="M994" s="9"/>
      <c r="AA994" s="13"/>
      <c r="AB994" s="13"/>
      <c r="AC994" s="13"/>
      <c r="AD994" s="13"/>
    </row>
    <row r="995">
      <c r="G995" s="22"/>
      <c r="J995" s="9"/>
      <c r="K995" s="9"/>
      <c r="L995" s="9"/>
      <c r="M995" s="9"/>
      <c r="AA995" s="13"/>
      <c r="AB995" s="13"/>
      <c r="AC995" s="13"/>
      <c r="AD995" s="13"/>
    </row>
    <row r="996">
      <c r="G996" s="22"/>
      <c r="J996" s="9"/>
      <c r="K996" s="9"/>
      <c r="L996" s="9"/>
      <c r="M996" s="9"/>
      <c r="AA996" s="13"/>
      <c r="AB996" s="13"/>
      <c r="AC996" s="13"/>
      <c r="AD996" s="13"/>
    </row>
    <row r="997">
      <c r="G997" s="22"/>
      <c r="J997" s="9"/>
      <c r="K997" s="9"/>
      <c r="L997" s="9"/>
      <c r="M997" s="9"/>
      <c r="AA997" s="13"/>
      <c r="AB997" s="13"/>
      <c r="AC997" s="13"/>
      <c r="AD997" s="13"/>
    </row>
    <row r="998">
      <c r="G998" s="22"/>
      <c r="J998" s="9"/>
      <c r="K998" s="9"/>
      <c r="L998" s="9"/>
      <c r="M998" s="9"/>
      <c r="AA998" s="13"/>
      <c r="AB998" s="13"/>
      <c r="AC998" s="13"/>
      <c r="AD998" s="13"/>
    </row>
    <row r="999">
      <c r="G999" s="22"/>
      <c r="J999" s="9"/>
      <c r="K999" s="9"/>
      <c r="L999" s="9"/>
      <c r="M999" s="9"/>
      <c r="AA999" s="13"/>
      <c r="AB999" s="13"/>
      <c r="AC999" s="13"/>
      <c r="AD999" s="13"/>
    </row>
    <row r="1000">
      <c r="G1000" s="22"/>
      <c r="J1000" s="9"/>
      <c r="K1000" s="9"/>
      <c r="L1000" s="9"/>
      <c r="M1000" s="9"/>
      <c r="AA1000" s="13"/>
      <c r="AB1000" s="13"/>
      <c r="AC1000" s="13"/>
      <c r="AD1000" s="13"/>
    </row>
    <row r="1001">
      <c r="G1001" s="22"/>
      <c r="J1001" s="9"/>
      <c r="K1001" s="9"/>
      <c r="L1001" s="9"/>
      <c r="M1001" s="9"/>
      <c r="AA1001" s="13"/>
      <c r="AB1001" s="13"/>
      <c r="AC1001" s="13"/>
      <c r="AD1001" s="13"/>
    </row>
    <row r="1002">
      <c r="G1002" s="22"/>
      <c r="J1002" s="9"/>
      <c r="K1002" s="9"/>
      <c r="L1002" s="9"/>
      <c r="M1002" s="9"/>
      <c r="AA1002" s="13"/>
      <c r="AB1002" s="13"/>
      <c r="AC1002" s="13"/>
      <c r="AD1002" s="13"/>
    </row>
    <row r="1003">
      <c r="G1003" s="22"/>
      <c r="J1003" s="9"/>
      <c r="K1003" s="9"/>
      <c r="L1003" s="9"/>
      <c r="M1003" s="9"/>
      <c r="AA1003" s="13"/>
      <c r="AB1003" s="13"/>
      <c r="AC1003" s="13"/>
      <c r="AD1003" s="13"/>
    </row>
    <row r="1004">
      <c r="G1004" s="22"/>
      <c r="J1004" s="9"/>
      <c r="K1004" s="9"/>
      <c r="L1004" s="9"/>
      <c r="M1004" s="9"/>
      <c r="AA1004" s="13"/>
      <c r="AB1004" s="13"/>
      <c r="AC1004" s="13"/>
      <c r="AD1004" s="13"/>
    </row>
    <row r="1005">
      <c r="G1005" s="22"/>
      <c r="J1005" s="9"/>
      <c r="K1005" s="9"/>
      <c r="L1005" s="9"/>
      <c r="M1005" s="9"/>
      <c r="AA1005" s="13"/>
      <c r="AB1005" s="13"/>
      <c r="AC1005" s="13"/>
      <c r="AD1005" s="13"/>
    </row>
    <row r="1006">
      <c r="G1006" s="22"/>
      <c r="J1006" s="9"/>
      <c r="K1006" s="9"/>
      <c r="L1006" s="9"/>
      <c r="M1006" s="9"/>
      <c r="AA1006" s="13"/>
      <c r="AB1006" s="13"/>
      <c r="AC1006" s="13"/>
      <c r="AD1006" s="13"/>
    </row>
    <row r="1007">
      <c r="G1007" s="22"/>
      <c r="J1007" s="9"/>
      <c r="K1007" s="9"/>
      <c r="L1007" s="9"/>
      <c r="M1007" s="9"/>
      <c r="AA1007" s="13"/>
      <c r="AB1007" s="13"/>
      <c r="AC1007" s="13"/>
      <c r="AD1007" s="13"/>
    </row>
    <row r="1008">
      <c r="G1008" s="22"/>
      <c r="J1008" s="9"/>
      <c r="K1008" s="9"/>
      <c r="L1008" s="9"/>
      <c r="M1008" s="9"/>
      <c r="AA1008" s="13"/>
      <c r="AB1008" s="13"/>
      <c r="AC1008" s="13"/>
      <c r="AD1008" s="13"/>
    </row>
    <row r="1009">
      <c r="G1009" s="22"/>
      <c r="J1009" s="9"/>
      <c r="K1009" s="9"/>
      <c r="L1009" s="9"/>
      <c r="M1009" s="9"/>
      <c r="AA1009" s="13"/>
      <c r="AB1009" s="13"/>
      <c r="AC1009" s="13"/>
      <c r="AD1009" s="13"/>
    </row>
    <row r="1010">
      <c r="G1010" s="22"/>
      <c r="J1010" s="9"/>
      <c r="K1010" s="9"/>
      <c r="L1010" s="9"/>
      <c r="M1010" s="9"/>
      <c r="AA1010" s="13"/>
      <c r="AB1010" s="13"/>
      <c r="AC1010" s="13"/>
      <c r="AD1010" s="13"/>
    </row>
    <row r="1011">
      <c r="G1011" s="22"/>
      <c r="J1011" s="9"/>
      <c r="K1011" s="9"/>
      <c r="L1011" s="9"/>
      <c r="M1011" s="9"/>
      <c r="AA1011" s="13"/>
      <c r="AB1011" s="13"/>
      <c r="AC1011" s="13"/>
      <c r="AD1011" s="13"/>
    </row>
    <row r="1012">
      <c r="G1012" s="22"/>
      <c r="J1012" s="9"/>
      <c r="K1012" s="9"/>
      <c r="L1012" s="9"/>
      <c r="M1012" s="9"/>
      <c r="AA1012" s="13"/>
      <c r="AB1012" s="13"/>
      <c r="AC1012" s="13"/>
      <c r="AD1012" s="13"/>
    </row>
    <row r="1013">
      <c r="G1013" s="22"/>
      <c r="J1013" s="9"/>
      <c r="K1013" s="9"/>
      <c r="L1013" s="9"/>
      <c r="M1013" s="9"/>
      <c r="AA1013" s="13"/>
      <c r="AB1013" s="13"/>
      <c r="AC1013" s="13"/>
      <c r="AD1013" s="13"/>
    </row>
    <row r="1014">
      <c r="G1014" s="22"/>
      <c r="J1014" s="9"/>
      <c r="K1014" s="9"/>
      <c r="L1014" s="9"/>
      <c r="M1014" s="9"/>
      <c r="AA1014" s="13"/>
      <c r="AB1014" s="13"/>
      <c r="AC1014" s="13"/>
      <c r="AD1014" s="13"/>
    </row>
    <row r="1015">
      <c r="G1015" s="22"/>
      <c r="J1015" s="9"/>
      <c r="K1015" s="9"/>
      <c r="L1015" s="9"/>
      <c r="M1015" s="9"/>
      <c r="AA1015" s="13"/>
      <c r="AB1015" s="13"/>
      <c r="AC1015" s="13"/>
      <c r="AD1015" s="13"/>
    </row>
    <row r="1016">
      <c r="G1016" s="22"/>
      <c r="J1016" s="9"/>
      <c r="K1016" s="9"/>
      <c r="L1016" s="9"/>
      <c r="M1016" s="9"/>
      <c r="AA1016" s="13"/>
      <c r="AB1016" s="13"/>
      <c r="AC1016" s="13"/>
      <c r="AD1016" s="13"/>
    </row>
    <row r="1017">
      <c r="G1017" s="22"/>
      <c r="J1017" s="9"/>
      <c r="K1017" s="9"/>
      <c r="L1017" s="9"/>
      <c r="M1017" s="9"/>
      <c r="AA1017" s="13"/>
      <c r="AB1017" s="13"/>
      <c r="AC1017" s="13"/>
      <c r="AD1017" s="13"/>
    </row>
    <row r="1018">
      <c r="G1018" s="22"/>
      <c r="J1018" s="9"/>
      <c r="K1018" s="9"/>
      <c r="L1018" s="9"/>
      <c r="M1018" s="9"/>
      <c r="AA1018" s="13"/>
      <c r="AB1018" s="13"/>
      <c r="AC1018" s="13"/>
      <c r="AD1018" s="13"/>
    </row>
    <row r="1019">
      <c r="G1019" s="22"/>
      <c r="J1019" s="9"/>
      <c r="K1019" s="9"/>
      <c r="L1019" s="9"/>
      <c r="M1019" s="9"/>
      <c r="AA1019" s="13"/>
      <c r="AB1019" s="13"/>
      <c r="AC1019" s="13"/>
      <c r="AD1019" s="13"/>
    </row>
    <row r="1020">
      <c r="G1020" s="22"/>
      <c r="J1020" s="9"/>
      <c r="K1020" s="9"/>
      <c r="L1020" s="9"/>
      <c r="M1020" s="9"/>
      <c r="AA1020" s="13"/>
      <c r="AB1020" s="13"/>
      <c r="AC1020" s="13"/>
      <c r="AD1020" s="13"/>
    </row>
    <row r="1021">
      <c r="G1021" s="22"/>
      <c r="J1021" s="9"/>
      <c r="K1021" s="9"/>
      <c r="L1021" s="9"/>
      <c r="M1021" s="9"/>
      <c r="AA1021" s="13"/>
      <c r="AB1021" s="13"/>
      <c r="AC1021" s="13"/>
      <c r="AD1021" s="13"/>
    </row>
    <row r="1022">
      <c r="G1022" s="22"/>
      <c r="J1022" s="9"/>
      <c r="K1022" s="9"/>
      <c r="L1022" s="9"/>
      <c r="M1022" s="9"/>
      <c r="AA1022" s="13"/>
      <c r="AB1022" s="13"/>
      <c r="AC1022" s="13"/>
      <c r="AD1022" s="13"/>
    </row>
    <row r="1023">
      <c r="G1023" s="22"/>
      <c r="J1023" s="9"/>
      <c r="K1023" s="9"/>
      <c r="L1023" s="9"/>
      <c r="M1023" s="9"/>
      <c r="AA1023" s="13"/>
      <c r="AB1023" s="13"/>
      <c r="AC1023" s="13"/>
      <c r="AD1023" s="13"/>
    </row>
    <row r="1024">
      <c r="G1024" s="22"/>
      <c r="J1024" s="9"/>
      <c r="K1024" s="9"/>
      <c r="L1024" s="9"/>
      <c r="M1024" s="9"/>
      <c r="AA1024" s="13"/>
      <c r="AB1024" s="13"/>
      <c r="AC1024" s="13"/>
      <c r="AD1024" s="13"/>
    </row>
    <row r="1025">
      <c r="G1025" s="22"/>
      <c r="J1025" s="9"/>
      <c r="K1025" s="9"/>
      <c r="L1025" s="9"/>
      <c r="M1025" s="9"/>
      <c r="AA1025" s="13"/>
      <c r="AB1025" s="13"/>
      <c r="AC1025" s="13"/>
      <c r="AD1025" s="13"/>
    </row>
    <row r="1026">
      <c r="G1026" s="22"/>
      <c r="J1026" s="9"/>
      <c r="K1026" s="9"/>
      <c r="L1026" s="9"/>
      <c r="M1026" s="9"/>
      <c r="AA1026" s="13"/>
      <c r="AB1026" s="13"/>
      <c r="AC1026" s="13"/>
      <c r="AD1026" s="13"/>
    </row>
    <row r="1027">
      <c r="G1027" s="22"/>
      <c r="J1027" s="9"/>
      <c r="K1027" s="9"/>
      <c r="L1027" s="9"/>
      <c r="M1027" s="9"/>
      <c r="AA1027" s="13"/>
      <c r="AB1027" s="13"/>
      <c r="AC1027" s="13"/>
      <c r="AD1027" s="13"/>
    </row>
    <row r="1028">
      <c r="G1028" s="22"/>
      <c r="J1028" s="9"/>
      <c r="K1028" s="9"/>
      <c r="L1028" s="9"/>
      <c r="M1028" s="9"/>
      <c r="AA1028" s="13"/>
      <c r="AB1028" s="13"/>
      <c r="AC1028" s="13"/>
      <c r="AD1028" s="13"/>
    </row>
    <row r="1029">
      <c r="G1029" s="22"/>
      <c r="J1029" s="9"/>
      <c r="K1029" s="9"/>
      <c r="L1029" s="9"/>
      <c r="M1029" s="9"/>
      <c r="AA1029" s="13"/>
      <c r="AB1029" s="13"/>
      <c r="AC1029" s="13"/>
      <c r="AD1029" s="13"/>
    </row>
    <row r="1030">
      <c r="G1030" s="22"/>
      <c r="J1030" s="9"/>
      <c r="K1030" s="9"/>
      <c r="L1030" s="9"/>
      <c r="M1030" s="9"/>
      <c r="AA1030" s="13"/>
      <c r="AB1030" s="13"/>
      <c r="AC1030" s="13"/>
      <c r="AD1030" s="13"/>
    </row>
    <row r="1031">
      <c r="G1031" s="22"/>
      <c r="J1031" s="9"/>
      <c r="K1031" s="9"/>
      <c r="L1031" s="9"/>
      <c r="M1031" s="9"/>
      <c r="AA1031" s="13"/>
      <c r="AB1031" s="13"/>
      <c r="AC1031" s="13"/>
      <c r="AD1031" s="13"/>
    </row>
    <row r="1032">
      <c r="G1032" s="22"/>
      <c r="J1032" s="9"/>
      <c r="K1032" s="9"/>
      <c r="L1032" s="9"/>
      <c r="M1032" s="9"/>
      <c r="AA1032" s="13"/>
      <c r="AB1032" s="13"/>
      <c r="AC1032" s="13"/>
      <c r="AD1032" s="13"/>
    </row>
    <row r="1033">
      <c r="G1033" s="22"/>
      <c r="J1033" s="9"/>
      <c r="K1033" s="9"/>
      <c r="L1033" s="9"/>
      <c r="M1033" s="9"/>
      <c r="AA1033" s="13"/>
      <c r="AB1033" s="13"/>
      <c r="AC1033" s="13"/>
      <c r="AD1033" s="13"/>
    </row>
    <row r="1034">
      <c r="G1034" s="22"/>
      <c r="J1034" s="9"/>
      <c r="K1034" s="9"/>
      <c r="L1034" s="9"/>
      <c r="M1034" s="9"/>
      <c r="AA1034" s="13"/>
      <c r="AB1034" s="13"/>
      <c r="AC1034" s="13"/>
      <c r="AD1034" s="13"/>
    </row>
    <row r="1035">
      <c r="G1035" s="22"/>
      <c r="J1035" s="9"/>
      <c r="K1035" s="9"/>
      <c r="L1035" s="9"/>
      <c r="M1035" s="9"/>
      <c r="AA1035" s="13"/>
      <c r="AB1035" s="13"/>
      <c r="AC1035" s="13"/>
      <c r="AD1035" s="13"/>
    </row>
    <row r="1036">
      <c r="G1036" s="22"/>
      <c r="J1036" s="9"/>
      <c r="K1036" s="9"/>
      <c r="L1036" s="9"/>
      <c r="M1036" s="9"/>
      <c r="AA1036" s="13"/>
      <c r="AB1036" s="13"/>
      <c r="AC1036" s="13"/>
      <c r="AD1036" s="13"/>
    </row>
    <row r="1037">
      <c r="G1037" s="22"/>
      <c r="J1037" s="9"/>
      <c r="K1037" s="9"/>
      <c r="L1037" s="9"/>
      <c r="M1037" s="9"/>
      <c r="AA1037" s="13"/>
      <c r="AB1037" s="13"/>
      <c r="AC1037" s="13"/>
      <c r="AD1037" s="13"/>
    </row>
    <row r="1038">
      <c r="G1038" s="22"/>
      <c r="J1038" s="9"/>
      <c r="K1038" s="9"/>
      <c r="L1038" s="9"/>
      <c r="M1038" s="9"/>
      <c r="AA1038" s="13"/>
      <c r="AB1038" s="13"/>
      <c r="AC1038" s="13"/>
      <c r="AD1038" s="13"/>
    </row>
    <row r="1039">
      <c r="G1039" s="22"/>
      <c r="J1039" s="9"/>
      <c r="K1039" s="9"/>
      <c r="L1039" s="9"/>
      <c r="M1039" s="9"/>
      <c r="AA1039" s="13"/>
      <c r="AB1039" s="13"/>
      <c r="AC1039" s="13"/>
      <c r="AD1039" s="13"/>
    </row>
    <row r="1040">
      <c r="G1040" s="22"/>
      <c r="J1040" s="9"/>
      <c r="K1040" s="9"/>
      <c r="L1040" s="9"/>
      <c r="M1040" s="9"/>
      <c r="AA1040" s="13"/>
      <c r="AB1040" s="13"/>
      <c r="AC1040" s="13"/>
      <c r="AD1040" s="13"/>
    </row>
    <row r="1041">
      <c r="G1041" s="22"/>
      <c r="J1041" s="9"/>
      <c r="K1041" s="9"/>
      <c r="L1041" s="9"/>
      <c r="M1041" s="9"/>
      <c r="AA1041" s="13"/>
      <c r="AB1041" s="13"/>
      <c r="AC1041" s="13"/>
      <c r="AD1041" s="13"/>
    </row>
    <row r="1042">
      <c r="G1042" s="22"/>
      <c r="J1042" s="9"/>
      <c r="K1042" s="9"/>
      <c r="L1042" s="9"/>
      <c r="M1042" s="9"/>
      <c r="AA1042" s="13"/>
      <c r="AB1042" s="13"/>
      <c r="AC1042" s="13"/>
      <c r="AD1042" s="13"/>
    </row>
    <row r="1043">
      <c r="G1043" s="22"/>
      <c r="J1043" s="9"/>
      <c r="K1043" s="9"/>
      <c r="L1043" s="9"/>
      <c r="M1043" s="9"/>
      <c r="AA1043" s="13"/>
      <c r="AB1043" s="13"/>
      <c r="AC1043" s="13"/>
      <c r="AD1043" s="13"/>
    </row>
    <row r="1044">
      <c r="G1044" s="22"/>
      <c r="J1044" s="9"/>
      <c r="K1044" s="9"/>
      <c r="L1044" s="9"/>
      <c r="M1044" s="9"/>
      <c r="AA1044" s="13"/>
      <c r="AB1044" s="13"/>
      <c r="AC1044" s="13"/>
      <c r="AD1044" s="13"/>
    </row>
    <row r="1045">
      <c r="G1045" s="22"/>
      <c r="J1045" s="9"/>
      <c r="K1045" s="9"/>
      <c r="L1045" s="9"/>
      <c r="M1045" s="9"/>
      <c r="AA1045" s="13"/>
      <c r="AB1045" s="13"/>
      <c r="AC1045" s="13"/>
      <c r="AD1045" s="13"/>
    </row>
    <row r="1046">
      <c r="G1046" s="22"/>
      <c r="J1046" s="9"/>
      <c r="K1046" s="9"/>
      <c r="L1046" s="9"/>
      <c r="M1046" s="9"/>
      <c r="AA1046" s="13"/>
      <c r="AB1046" s="13"/>
      <c r="AC1046" s="13"/>
      <c r="AD1046" s="13"/>
    </row>
    <row r="1047">
      <c r="G1047" s="22"/>
      <c r="J1047" s="9"/>
      <c r="K1047" s="9"/>
      <c r="L1047" s="9"/>
      <c r="M1047" s="9"/>
      <c r="AA1047" s="13"/>
      <c r="AB1047" s="13"/>
      <c r="AC1047" s="13"/>
      <c r="AD1047" s="13"/>
    </row>
    <row r="1048">
      <c r="G1048" s="22"/>
      <c r="J1048" s="9"/>
      <c r="K1048" s="9"/>
      <c r="L1048" s="9"/>
      <c r="M1048" s="9"/>
      <c r="AA1048" s="13"/>
      <c r="AB1048" s="13"/>
      <c r="AC1048" s="13"/>
      <c r="AD1048" s="13"/>
    </row>
    <row r="1049">
      <c r="G1049" s="22"/>
      <c r="J1049" s="9"/>
      <c r="K1049" s="9"/>
      <c r="L1049" s="9"/>
      <c r="M1049" s="9"/>
      <c r="AA1049" s="13"/>
      <c r="AB1049" s="13"/>
      <c r="AC1049" s="13"/>
      <c r="AD1049" s="13"/>
    </row>
    <row r="1050">
      <c r="G1050" s="22"/>
      <c r="J1050" s="9"/>
      <c r="K1050" s="9"/>
      <c r="L1050" s="9"/>
      <c r="M1050" s="9"/>
      <c r="AA1050" s="13"/>
      <c r="AB1050" s="13"/>
      <c r="AC1050" s="13"/>
      <c r="AD1050" s="13"/>
    </row>
    <row r="1051">
      <c r="G1051" s="22"/>
      <c r="J1051" s="9"/>
      <c r="K1051" s="9"/>
      <c r="L1051" s="9"/>
      <c r="M1051" s="9"/>
      <c r="AA1051" s="13"/>
      <c r="AB1051" s="13"/>
      <c r="AC1051" s="13"/>
      <c r="AD1051" s="13"/>
    </row>
    <row r="1052">
      <c r="G1052" s="22"/>
      <c r="J1052" s="9"/>
      <c r="K1052" s="9"/>
      <c r="L1052" s="9"/>
      <c r="M1052" s="9"/>
      <c r="AA1052" s="13"/>
      <c r="AB1052" s="13"/>
      <c r="AC1052" s="13"/>
      <c r="AD1052" s="13"/>
    </row>
    <row r="1053">
      <c r="G1053" s="22"/>
      <c r="J1053" s="9"/>
      <c r="K1053" s="9"/>
      <c r="L1053" s="9"/>
      <c r="M1053" s="9"/>
      <c r="AA1053" s="13"/>
      <c r="AB1053" s="13"/>
      <c r="AC1053" s="13"/>
      <c r="AD1053" s="13"/>
    </row>
    <row r="1054">
      <c r="G1054" s="22"/>
      <c r="J1054" s="9"/>
      <c r="K1054" s="9"/>
      <c r="L1054" s="9"/>
      <c r="M1054" s="9"/>
      <c r="AA1054" s="13"/>
      <c r="AB1054" s="13"/>
      <c r="AC1054" s="13"/>
      <c r="AD1054" s="13"/>
    </row>
    <row r="1055">
      <c r="G1055" s="22"/>
      <c r="J1055" s="9"/>
      <c r="K1055" s="9"/>
      <c r="L1055" s="9"/>
      <c r="M1055" s="9"/>
      <c r="AA1055" s="13"/>
      <c r="AB1055" s="13"/>
      <c r="AC1055" s="13"/>
      <c r="AD1055" s="13"/>
    </row>
    <row r="1056">
      <c r="G1056" s="22"/>
      <c r="J1056" s="9"/>
      <c r="K1056" s="9"/>
      <c r="L1056" s="9"/>
      <c r="M1056" s="9"/>
      <c r="AA1056" s="13"/>
      <c r="AB1056" s="13"/>
      <c r="AC1056" s="13"/>
      <c r="AD1056" s="13"/>
    </row>
    <row r="1057">
      <c r="G1057" s="22"/>
      <c r="J1057" s="9"/>
      <c r="K1057" s="9"/>
      <c r="L1057" s="9"/>
      <c r="M1057" s="9"/>
      <c r="AA1057" s="13"/>
      <c r="AB1057" s="13"/>
      <c r="AC1057" s="13"/>
      <c r="AD1057" s="13"/>
    </row>
    <row r="1058">
      <c r="G1058" s="22"/>
      <c r="J1058" s="9"/>
      <c r="K1058" s="9"/>
      <c r="L1058" s="9"/>
      <c r="M1058" s="9"/>
      <c r="AA1058" s="13"/>
      <c r="AB1058" s="13"/>
      <c r="AC1058" s="13"/>
      <c r="AD1058" s="13"/>
    </row>
    <row r="1059">
      <c r="G1059" s="22"/>
      <c r="J1059" s="9"/>
      <c r="K1059" s="9"/>
      <c r="L1059" s="9"/>
      <c r="M1059" s="9"/>
      <c r="AA1059" s="13"/>
      <c r="AB1059" s="13"/>
      <c r="AC1059" s="13"/>
      <c r="AD1059" s="13"/>
    </row>
    <row r="1060">
      <c r="G1060" s="22"/>
      <c r="J1060" s="9"/>
      <c r="K1060" s="9"/>
      <c r="L1060" s="9"/>
      <c r="M1060" s="9"/>
      <c r="AA1060" s="13"/>
      <c r="AB1060" s="13"/>
      <c r="AC1060" s="13"/>
      <c r="AD1060" s="13"/>
    </row>
    <row r="1061">
      <c r="G1061" s="22"/>
      <c r="J1061" s="9"/>
      <c r="K1061" s="9"/>
      <c r="L1061" s="9"/>
      <c r="M1061" s="9"/>
      <c r="AA1061" s="13"/>
      <c r="AB1061" s="13"/>
      <c r="AC1061" s="13"/>
      <c r="AD1061" s="13"/>
    </row>
    <row r="1062">
      <c r="G1062" s="22"/>
      <c r="J1062" s="9"/>
      <c r="K1062" s="9"/>
      <c r="L1062" s="9"/>
      <c r="M1062" s="9"/>
      <c r="AA1062" s="13"/>
      <c r="AB1062" s="13"/>
      <c r="AC1062" s="13"/>
      <c r="AD1062" s="13"/>
    </row>
    <row r="1063">
      <c r="G1063" s="22"/>
      <c r="J1063" s="9"/>
      <c r="K1063" s="9"/>
      <c r="L1063" s="9"/>
      <c r="M1063" s="9"/>
      <c r="AA1063" s="13"/>
      <c r="AB1063" s="13"/>
      <c r="AC1063" s="13"/>
      <c r="AD1063" s="13"/>
    </row>
    <row r="1064">
      <c r="G1064" s="22"/>
      <c r="J1064" s="9"/>
      <c r="K1064" s="9"/>
      <c r="L1064" s="9"/>
      <c r="M1064" s="9"/>
      <c r="AA1064" s="13"/>
      <c r="AB1064" s="13"/>
      <c r="AC1064" s="13"/>
      <c r="AD1064" s="13"/>
    </row>
    <row r="1065">
      <c r="G1065" s="22"/>
      <c r="J1065" s="9"/>
      <c r="K1065" s="9"/>
      <c r="L1065" s="9"/>
      <c r="M1065" s="9"/>
      <c r="AA1065" s="13"/>
      <c r="AB1065" s="13"/>
      <c r="AC1065" s="13"/>
      <c r="AD1065" s="13"/>
    </row>
    <row r="1066">
      <c r="G1066" s="22"/>
      <c r="J1066" s="9"/>
      <c r="K1066" s="9"/>
      <c r="L1066" s="9"/>
      <c r="M1066" s="9"/>
      <c r="AA1066" s="13"/>
      <c r="AB1066" s="13"/>
      <c r="AC1066" s="13"/>
      <c r="AD1066" s="13"/>
    </row>
    <row r="1067">
      <c r="G1067" s="22"/>
      <c r="J1067" s="9"/>
      <c r="K1067" s="9"/>
      <c r="L1067" s="9"/>
      <c r="M1067" s="9"/>
      <c r="AA1067" s="13"/>
      <c r="AB1067" s="13"/>
      <c r="AC1067" s="13"/>
      <c r="AD1067" s="13"/>
    </row>
    <row r="1068">
      <c r="G1068" s="22"/>
      <c r="J1068" s="9"/>
      <c r="K1068" s="9"/>
      <c r="L1068" s="9"/>
      <c r="M1068" s="9"/>
      <c r="AA1068" s="13"/>
      <c r="AB1068" s="13"/>
      <c r="AC1068" s="13"/>
      <c r="AD1068" s="13"/>
    </row>
    <row r="1069">
      <c r="G1069" s="22"/>
      <c r="J1069" s="9"/>
      <c r="K1069" s="9"/>
      <c r="L1069" s="9"/>
      <c r="M1069" s="9"/>
      <c r="AA1069" s="13"/>
      <c r="AB1069" s="13"/>
      <c r="AC1069" s="13"/>
      <c r="AD1069" s="13"/>
    </row>
    <row r="1070">
      <c r="G1070" s="22"/>
      <c r="J1070" s="9"/>
      <c r="K1070" s="9"/>
      <c r="L1070" s="9"/>
      <c r="M1070" s="9"/>
      <c r="AA1070" s="13"/>
      <c r="AB1070" s="13"/>
      <c r="AC1070" s="13"/>
      <c r="AD1070" s="13"/>
    </row>
    <row r="1071">
      <c r="G1071" s="22"/>
      <c r="J1071" s="9"/>
      <c r="K1071" s="9"/>
      <c r="L1071" s="9"/>
      <c r="M1071" s="9"/>
      <c r="AA1071" s="13"/>
      <c r="AB1071" s="13"/>
      <c r="AC1071" s="13"/>
      <c r="AD1071" s="13"/>
    </row>
    <row r="1072">
      <c r="G1072" s="22"/>
      <c r="J1072" s="9"/>
      <c r="K1072" s="9"/>
      <c r="L1072" s="9"/>
      <c r="M1072" s="9"/>
      <c r="AA1072" s="13"/>
      <c r="AB1072" s="13"/>
      <c r="AC1072" s="13"/>
      <c r="AD1072" s="13"/>
    </row>
    <row r="1073">
      <c r="G1073" s="22"/>
      <c r="J1073" s="9"/>
      <c r="K1073" s="9"/>
      <c r="L1073" s="9"/>
      <c r="M1073" s="9"/>
      <c r="AA1073" s="13"/>
      <c r="AB1073" s="13"/>
      <c r="AC1073" s="13"/>
      <c r="AD1073" s="13"/>
    </row>
    <row r="1074">
      <c r="G1074" s="22"/>
      <c r="J1074" s="9"/>
      <c r="K1074" s="9"/>
      <c r="L1074" s="9"/>
      <c r="M1074" s="9"/>
      <c r="AA1074" s="13"/>
      <c r="AB1074" s="13"/>
      <c r="AC1074" s="13"/>
      <c r="AD1074" s="13"/>
    </row>
    <row r="1075">
      <c r="G1075" s="22"/>
      <c r="J1075" s="9"/>
      <c r="K1075" s="9"/>
      <c r="L1075" s="9"/>
      <c r="M1075" s="9"/>
      <c r="AA1075" s="13"/>
      <c r="AB1075" s="13"/>
      <c r="AC1075" s="13"/>
      <c r="AD1075" s="13"/>
    </row>
    <row r="1076">
      <c r="G1076" s="22"/>
      <c r="J1076" s="9"/>
      <c r="K1076" s="9"/>
      <c r="L1076" s="9"/>
      <c r="M1076" s="9"/>
      <c r="AA1076" s="13"/>
      <c r="AB1076" s="13"/>
      <c r="AC1076" s="13"/>
      <c r="AD1076" s="13"/>
    </row>
    <row r="1077">
      <c r="G1077" s="22"/>
      <c r="J1077" s="9"/>
      <c r="K1077" s="9"/>
      <c r="L1077" s="9"/>
      <c r="M1077" s="9"/>
      <c r="AA1077" s="13"/>
      <c r="AB1077" s="13"/>
      <c r="AC1077" s="13"/>
      <c r="AD1077" s="13"/>
    </row>
    <row r="1078">
      <c r="G1078" s="22"/>
      <c r="J1078" s="9"/>
      <c r="K1078" s="9"/>
      <c r="L1078" s="9"/>
      <c r="M1078" s="9"/>
      <c r="AA1078" s="13"/>
      <c r="AB1078" s="13"/>
      <c r="AC1078" s="13"/>
      <c r="AD1078" s="13"/>
    </row>
    <row r="1079">
      <c r="G1079" s="22"/>
      <c r="J1079" s="9"/>
      <c r="K1079" s="9"/>
      <c r="L1079" s="9"/>
      <c r="M1079" s="9"/>
      <c r="AA1079" s="13"/>
      <c r="AB1079" s="13"/>
      <c r="AC1079" s="13"/>
      <c r="AD1079" s="13"/>
    </row>
    <row r="1080">
      <c r="G1080" s="22"/>
      <c r="J1080" s="9"/>
      <c r="K1080" s="9"/>
      <c r="L1080" s="9"/>
      <c r="M1080" s="9"/>
      <c r="AA1080" s="13"/>
      <c r="AB1080" s="13"/>
      <c r="AC1080" s="13"/>
      <c r="AD1080" s="13"/>
    </row>
    <row r="1081">
      <c r="G1081" s="22"/>
      <c r="J1081" s="9"/>
      <c r="K1081" s="9"/>
      <c r="L1081" s="9"/>
      <c r="M1081" s="9"/>
      <c r="AA1081" s="13"/>
      <c r="AB1081" s="13"/>
      <c r="AC1081" s="13"/>
      <c r="AD1081" s="13"/>
    </row>
    <row r="1082">
      <c r="G1082" s="22"/>
      <c r="J1082" s="9"/>
      <c r="K1082" s="9"/>
      <c r="L1082" s="9"/>
      <c r="M1082" s="9"/>
      <c r="AA1082" s="13"/>
      <c r="AB1082" s="13"/>
      <c r="AC1082" s="13"/>
      <c r="AD1082" s="13"/>
    </row>
    <row r="1083">
      <c r="G1083" s="22"/>
      <c r="J1083" s="9"/>
      <c r="K1083" s="9"/>
      <c r="L1083" s="9"/>
      <c r="M1083" s="9"/>
      <c r="AA1083" s="13"/>
      <c r="AB1083" s="13"/>
      <c r="AC1083" s="13"/>
      <c r="AD1083" s="13"/>
    </row>
    <row r="1084">
      <c r="G1084" s="22"/>
      <c r="J1084" s="9"/>
      <c r="K1084" s="9"/>
      <c r="L1084" s="9"/>
      <c r="M1084" s="9"/>
      <c r="AA1084" s="13"/>
      <c r="AB1084" s="13"/>
      <c r="AC1084" s="13"/>
      <c r="AD1084" s="13"/>
    </row>
    <row r="1085">
      <c r="G1085" s="22"/>
      <c r="J1085" s="9"/>
      <c r="K1085" s="9"/>
      <c r="L1085" s="9"/>
      <c r="M1085" s="9"/>
      <c r="AA1085" s="13"/>
      <c r="AB1085" s="13"/>
      <c r="AC1085" s="13"/>
      <c r="AD1085" s="13"/>
    </row>
    <row r="1086">
      <c r="G1086" s="22"/>
      <c r="J1086" s="9"/>
      <c r="K1086" s="9"/>
      <c r="L1086" s="9"/>
      <c r="M1086" s="9"/>
      <c r="AA1086" s="13"/>
      <c r="AB1086" s="13"/>
      <c r="AC1086" s="13"/>
      <c r="AD1086" s="13"/>
    </row>
    <row r="1087">
      <c r="G1087" s="22"/>
      <c r="J1087" s="9"/>
      <c r="K1087" s="9"/>
      <c r="L1087" s="9"/>
      <c r="M1087" s="9"/>
      <c r="AA1087" s="13"/>
      <c r="AB1087" s="13"/>
      <c r="AC1087" s="13"/>
      <c r="AD1087" s="13"/>
    </row>
  </sheetData>
  <mergeCells count="90">
    <mergeCell ref="K3:K6"/>
    <mergeCell ref="L3:L6"/>
    <mergeCell ref="M3:M6"/>
    <mergeCell ref="A2:H2"/>
    <mergeCell ref="C3:C6"/>
    <mergeCell ref="D3:D6"/>
    <mergeCell ref="E3:E6"/>
    <mergeCell ref="F3:F6"/>
    <mergeCell ref="G3:G6"/>
    <mergeCell ref="J3:J6"/>
    <mergeCell ref="L7:L9"/>
    <mergeCell ref="M7:M9"/>
    <mergeCell ref="C7:C9"/>
    <mergeCell ref="D7:D9"/>
    <mergeCell ref="E7:E9"/>
    <mergeCell ref="F7:F9"/>
    <mergeCell ref="G7:G9"/>
    <mergeCell ref="J7:J9"/>
    <mergeCell ref="K7:K9"/>
    <mergeCell ref="L10:L13"/>
    <mergeCell ref="M10:M13"/>
    <mergeCell ref="C10:C13"/>
    <mergeCell ref="D10:D13"/>
    <mergeCell ref="E10:E13"/>
    <mergeCell ref="F10:F13"/>
    <mergeCell ref="G10:G13"/>
    <mergeCell ref="J10:J13"/>
    <mergeCell ref="K10:K13"/>
    <mergeCell ref="L18:L21"/>
    <mergeCell ref="M18:M21"/>
    <mergeCell ref="C18:C21"/>
    <mergeCell ref="D18:D21"/>
    <mergeCell ref="E18:E21"/>
    <mergeCell ref="F18:F21"/>
    <mergeCell ref="G18:G21"/>
    <mergeCell ref="J18:J21"/>
    <mergeCell ref="K18:K21"/>
    <mergeCell ref="E57:E58"/>
    <mergeCell ref="F57:F58"/>
    <mergeCell ref="C81:C86"/>
    <mergeCell ref="D81:D86"/>
    <mergeCell ref="E81:E86"/>
    <mergeCell ref="F81:F86"/>
    <mergeCell ref="G81:G86"/>
    <mergeCell ref="A87:H87"/>
    <mergeCell ref="C55:C56"/>
    <mergeCell ref="D55:D56"/>
    <mergeCell ref="E55:E56"/>
    <mergeCell ref="F55:F56"/>
    <mergeCell ref="G55:G56"/>
    <mergeCell ref="D57:D58"/>
    <mergeCell ref="G57:G58"/>
    <mergeCell ref="L14:L17"/>
    <mergeCell ref="M14:M17"/>
    <mergeCell ref="C14:C17"/>
    <mergeCell ref="D14:D17"/>
    <mergeCell ref="E14:E17"/>
    <mergeCell ref="F14:F17"/>
    <mergeCell ref="G14:G17"/>
    <mergeCell ref="J14:J17"/>
    <mergeCell ref="K14:K17"/>
    <mergeCell ref="E46:E50"/>
    <mergeCell ref="F46:F50"/>
    <mergeCell ref="J46:J50"/>
    <mergeCell ref="K46:K50"/>
    <mergeCell ref="L46:L50"/>
    <mergeCell ref="M46:M50"/>
    <mergeCell ref="C41:C45"/>
    <mergeCell ref="D41:D45"/>
    <mergeCell ref="E41:E45"/>
    <mergeCell ref="F41:F45"/>
    <mergeCell ref="G41:G45"/>
    <mergeCell ref="D46:D50"/>
    <mergeCell ref="G46:G50"/>
    <mergeCell ref="K51:K53"/>
    <mergeCell ref="L51:L53"/>
    <mergeCell ref="M51:M53"/>
    <mergeCell ref="C46:C50"/>
    <mergeCell ref="C51:C53"/>
    <mergeCell ref="D51:D53"/>
    <mergeCell ref="E51:E53"/>
    <mergeCell ref="F51:F53"/>
    <mergeCell ref="G51:G53"/>
    <mergeCell ref="J51:J53"/>
    <mergeCell ref="C57:C58"/>
    <mergeCell ref="C59:C62"/>
    <mergeCell ref="D59:D62"/>
    <mergeCell ref="E59:E62"/>
    <mergeCell ref="F59:F62"/>
    <mergeCell ref="G59:G62"/>
  </mergeCells>
  <dataValidations>
    <dataValidation type="list" allowBlank="1" showErrorMessage="1" sqref="B3:B42 B46:B86 B89:B112 B114:B137">
      <formula1>"Modular,Accessories,Civil Services"</formula1>
    </dataValidation>
    <dataValidation type="list" allowBlank="1" showErrorMessage="1" sqref="F3 F7 F10 F14 F18 F22:F41 F46 F51 F54:F55 F57 F59 F63:F81 F89:F112 F114:F137">
      <formula1>"Core Material,Finish Material,Hinges"</formula1>
    </dataValidation>
    <dataValidation type="list" allowBlank="1" showErrorMessage="1" sqref="E3 E7 E10 E14 E18 E22:E33 E36:E41 E46 E51 E54:E55 E57 E59 E63:E73 E76:E81 E89:E104 E107:E112 E114:E129 E132:E137">
      <formula1>"Carcass,Shutter ,Carcass/shutter ,Wallpanel ,Back panel Support ,pelmet ,Ceiling Panel ,Charcoal Panel,Base panel / Side panel ,Frame and Shutter ,Ledge -25mm,Ledge -36mm,Ledge -50mm,Partition -75mm,Curved Shape Panel ,Chimney Panel,Jam Panel "</formula1>
    </dataValidation>
    <dataValidation type="list" allowBlank="1" showErrorMessage="1" sqref="G7 G10 G25:G30 G51 G90 G96:G101">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,Carcass  Inner 1mm- BWP / Shutter - Plywood Border with Clear / Tinted Glass ,Carcass inner 1mm - BWP / Shutter -  Plywood Border with Fluted Glass ,Carcass  Inner 1mm- BWP / Shutter - Black / Silver  colour Aluminium"&amp;" Profile with Clear or Tinted Glass ,Carcass Inner 1mm - BWP / Shutter - Black / Silver  colour Aluminium Profile with Fluted Glass,Carcass Inner 1mm  - BWP / Shutter - Gold  / Rose Gold   colour Aluminium Profile with Fluted Glass,Carcass Inner 1mm- BWP "&amp;"/ Shutter - Gold  / Rose Gold   colour Aluminium Profile with Clear or Tinted  Glass"</formula1>
    </dataValidation>
    <dataValidation type="list" allowBlank="1" showErrorMessage="1" sqref="G54:G55 G57 G59 G63:G70 G115:G126">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 Shutter - Plywood Border w"&amp;"ith Clear / Tinted Glass ,Carcass - MR - Premium / Shutter -  Ply wood border with Fluted Glass ,Carcass - MR - Premium / Shutter - Black / Silver  colour Aluminium Profile with Clear or Tinted Glass ,Carcass - MR - Premium / Shutter - Gold Colour Alumini"&amp;"um profile with Clear Glass ,Carcass - MR - Premium / Shutter - Gold Colour Aluminium profile with Fluted Glass ,Carcass - MR - Premium / Shutter - Black / Silver  colour Aluminium Profile with Fluted Glass ,Carcass Inner 1mm - MR - Premium/ Shutter - Ply"&amp;"wood Border with Clear / Tinted Glass ,Carcass Inner 1mm- MR - Premium / Shutter -  Ply wood border with Fluted Glass ,Carcass inner 1mm- MR - Premium / Shutter - Black / Silver  colour Aluminium Profile with Clear or Tinted Glass ,Carcass Inner 1mm - MR "&amp;"- Premium / Shutter - Gold Colour Aluminium profile with Clear Glass ,Carcass Inner 1mm - MR - Premium / Shutter - Gold Colour Aluminium profile with Fluted Glass ,Carcass Inner 1mm - MR - Premium / Shutter - Black / Silver  colour Aluminium Profile with "&amp;"Fluted Glass "</formula1>
    </dataValidation>
    <dataValidation type="list" allowBlank="1" showErrorMessage="1" sqref="H3:H35 H46:H75 H89:H106 H114:H131">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Dek,ForMica,Carcass - Kit ply Vista Marine / Shutter - Green Panel with Glass ,Carcass - Kit ply Vista Marine ,Carcass -Kitply Vista Marine / Shutter - Imported Aluminium Profile Shutters ,Carcass - Kitply Plus"&amp;" / Shutter - Green Panel,Carcass / Shutter - Kitply Vist Marine with Glass,Frame- Kit ply Vista Marine / Shutter - Green Panel,Frame - Kit ply Plus / Shutter - Green Panel,Carcass - Kitply plus"</formula1>
    </dataValidation>
    <dataValidation type="list" allowBlank="1" showErrorMessage="1" sqref="D3 D7 D10 D14 D18 D22:D41 D46 D51 D54:D55 D57 D59 D63:D81 D89:D112 D114:D137">
      <formula1>"Base Storage ,Wall Storage,Tall Storage,Wardrobe ,Open Unit - Inner 0.8mm,Panel ,Loft ,Curved Shape Base Storage unit ,Ledge,Partition,Arch Shape panel,Curved Shape Drawer Storage unit ,Open Unit - Inner 1mm,Drawer Storage ,Base Storage - Inner 1mm,Wall S"&amp;"torage - inner 1mm,Tall Storage - Inner 1mm"</formula1>
    </dataValidation>
    <dataValidation type="list" allowBlank="1" showErrorMessage="1" sqref="E34:E35 E74:E75 E105:E106 E130:E131">
      <formula1>"Carcass,Shutter ,Frame /shutter ,Wallpanel ,Back panel Support ,pelmet ,Ceiling Panel ,Charcoal Panel,Base panel / Side panel , Frame and Shutter "</formula1>
    </dataValidation>
    <dataValidation type="list" allowBlank="1" showErrorMessage="1" sqref="C3 C7 C10 C14 C18 C22:C41 C46 C51 C54:C55 C57 C59 C63:C81 C89:C112 C114:C137">
      <formula1>"Wet / Exposed Area,Dry / Inexposed area"</formula1>
    </dataValidation>
    <dataValidation type="list" allowBlank="1" showErrorMessage="1" sqref="G3 G14 G18 G22:G24 G31:G41 G46 G71:G81 G89 G91:G95 G102:G112 G114 G127:G137">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formula1>
    </dataValidation>
    <dataValidation type="list" allowBlank="1" showErrorMessage="1" sqref="A3:A42 A46:A86 A89:A112 A114:A137">
      <formula1>"Economy,Mid Premium,Premium,Luxury"</formula1>
    </dataValidation>
    <dataValidation type="list" allowBlank="1" showErrorMessage="1" sqref="H36:H42 H76:H86 H107:H112 H132:H137">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Dek,ForMica,Ledge - Kit Ply Vista Marine ,Kit Ply Vista Marine ,Ledge - Kitply plus,Kitply plus"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5.88"/>
    <col customWidth="1" min="3" max="3" width="24.63"/>
    <col customWidth="1" min="4" max="4" width="29.88"/>
    <col customWidth="1" min="5" max="5" width="28.88"/>
    <col customWidth="1" min="6" max="6" width="36.63"/>
    <col customWidth="1" min="7" max="7" width="74.0"/>
    <col customWidth="1" min="8" max="9" width="72.63"/>
    <col customWidth="1" min="10" max="10" width="14.38"/>
    <col customWidth="1" min="17" max="17" width="83.5"/>
  </cols>
  <sheetData>
    <row r="1">
      <c r="A1" s="4" t="s">
        <v>0</v>
      </c>
      <c r="B1" s="4" t="s">
        <v>1</v>
      </c>
      <c r="C1" s="4" t="s">
        <v>2</v>
      </c>
      <c r="D1" s="4" t="s">
        <v>3</v>
      </c>
      <c r="E1" s="4" t="s">
        <v>32</v>
      </c>
      <c r="F1" s="4" t="s">
        <v>4</v>
      </c>
      <c r="G1" s="4" t="s">
        <v>6</v>
      </c>
      <c r="H1" s="4" t="s">
        <v>5</v>
      </c>
      <c r="I1" s="4" t="s">
        <v>222</v>
      </c>
      <c r="J1" s="4" t="s">
        <v>34</v>
      </c>
      <c r="K1" s="4" t="s">
        <v>35</v>
      </c>
      <c r="L1" s="5" t="s">
        <v>36</v>
      </c>
      <c r="M1" s="5" t="s">
        <v>37</v>
      </c>
      <c r="N1" s="4"/>
      <c r="O1" s="4"/>
      <c r="P1" s="6"/>
      <c r="Q1" s="6"/>
      <c r="R1" s="6"/>
      <c r="S1" s="6"/>
      <c r="T1" s="6"/>
      <c r="U1" s="6"/>
      <c r="V1" s="6"/>
      <c r="W1" s="6"/>
      <c r="X1" s="6"/>
      <c r="Y1" s="6"/>
      <c r="Z1" s="6"/>
      <c r="AA1" s="6"/>
      <c r="AB1" s="6"/>
      <c r="AC1" s="6"/>
      <c r="AD1" s="6"/>
    </row>
    <row r="2">
      <c r="A2" s="7" t="s">
        <v>38</v>
      </c>
      <c r="K2" s="4"/>
      <c r="L2" s="5"/>
      <c r="M2" s="5"/>
      <c r="N2" s="4"/>
      <c r="O2" s="4"/>
      <c r="P2" s="6"/>
      <c r="Q2" s="6"/>
      <c r="R2" s="6"/>
      <c r="S2" s="6"/>
      <c r="T2" s="6"/>
      <c r="U2" s="6"/>
      <c r="V2" s="6"/>
      <c r="W2" s="6"/>
      <c r="X2" s="6"/>
      <c r="Y2" s="6"/>
      <c r="Z2" s="6"/>
      <c r="AA2" s="6"/>
      <c r="AB2" s="6"/>
      <c r="AC2" s="6"/>
      <c r="AD2" s="6"/>
    </row>
    <row r="3" ht="37.5" customHeight="1">
      <c r="A3" s="10" t="s">
        <v>29</v>
      </c>
      <c r="B3" s="10" t="s">
        <v>10</v>
      </c>
      <c r="C3" s="10" t="s">
        <v>11</v>
      </c>
      <c r="D3" s="10" t="s">
        <v>40</v>
      </c>
      <c r="E3" s="10" t="s">
        <v>41</v>
      </c>
      <c r="F3" s="10" t="s">
        <v>42</v>
      </c>
      <c r="G3" s="10" t="s">
        <v>223</v>
      </c>
      <c r="H3" s="11" t="s">
        <v>224</v>
      </c>
      <c r="I3" s="11"/>
      <c r="J3" s="9">
        <f>J32+100</f>
        <v>1600</v>
      </c>
      <c r="K3" s="12">
        <v>0.25</v>
      </c>
      <c r="L3" s="5">
        <f t="shared" ref="L3:L4" si="1">J3*K3</f>
        <v>400</v>
      </c>
      <c r="M3" s="5">
        <f t="shared" ref="M3:M4" si="2">J3+L3</f>
        <v>2000</v>
      </c>
      <c r="N3" s="10"/>
      <c r="O3" s="13"/>
      <c r="P3" s="13"/>
      <c r="T3" s="13"/>
      <c r="U3" s="13"/>
      <c r="V3" s="13"/>
      <c r="W3" s="13"/>
      <c r="X3" s="13"/>
      <c r="Y3" s="13"/>
      <c r="Z3" s="13"/>
      <c r="AA3" s="13"/>
      <c r="AB3" s="13"/>
      <c r="AC3" s="13"/>
      <c r="AD3" s="13"/>
    </row>
    <row r="4" ht="37.5" customHeight="1">
      <c r="A4" s="10" t="s">
        <v>29</v>
      </c>
      <c r="B4" s="10" t="s">
        <v>10</v>
      </c>
      <c r="C4" s="10" t="s">
        <v>11</v>
      </c>
      <c r="D4" s="10" t="s">
        <v>49</v>
      </c>
      <c r="E4" s="10" t="s">
        <v>50</v>
      </c>
      <c r="F4" s="10" t="s">
        <v>42</v>
      </c>
      <c r="G4" s="10" t="s">
        <v>223</v>
      </c>
      <c r="H4" s="11" t="s">
        <v>224</v>
      </c>
      <c r="I4" s="10" t="s">
        <v>225</v>
      </c>
      <c r="J4" s="4">
        <f>J36+100</f>
        <v>1750</v>
      </c>
      <c r="K4" s="12">
        <v>0.25</v>
      </c>
      <c r="L4" s="5">
        <f t="shared" si="1"/>
        <v>437.5</v>
      </c>
      <c r="M4" s="5">
        <f t="shared" si="2"/>
        <v>2187.5</v>
      </c>
      <c r="N4" s="13"/>
      <c r="O4" s="13"/>
      <c r="P4" s="13"/>
      <c r="T4" s="13"/>
      <c r="U4" s="13"/>
      <c r="V4" s="13"/>
      <c r="W4" s="13"/>
      <c r="X4" s="13"/>
      <c r="Y4" s="13"/>
      <c r="Z4" s="13"/>
      <c r="AA4" s="13"/>
      <c r="AB4" s="13"/>
      <c r="AC4" s="13"/>
      <c r="AD4" s="13"/>
    </row>
    <row r="5" ht="37.5" customHeight="1">
      <c r="H5" s="11" t="s">
        <v>224</v>
      </c>
      <c r="I5" s="10" t="s">
        <v>226</v>
      </c>
      <c r="N5" s="13"/>
      <c r="O5" s="13"/>
      <c r="P5" s="13"/>
      <c r="T5" s="13"/>
      <c r="U5" s="13"/>
      <c r="V5" s="13"/>
      <c r="W5" s="13"/>
      <c r="X5" s="13"/>
      <c r="Y5" s="13"/>
      <c r="Z5" s="13"/>
      <c r="AA5" s="13"/>
      <c r="AB5" s="13"/>
      <c r="AC5" s="13"/>
      <c r="AD5" s="13"/>
    </row>
    <row r="6" ht="37.5" customHeight="1">
      <c r="H6" s="11" t="s">
        <v>224</v>
      </c>
      <c r="I6" s="10" t="s">
        <v>227</v>
      </c>
      <c r="N6" s="13"/>
      <c r="O6" s="13"/>
      <c r="P6" s="13"/>
      <c r="T6" s="13"/>
      <c r="U6" s="13"/>
      <c r="V6" s="13"/>
      <c r="W6" s="13"/>
      <c r="X6" s="13"/>
      <c r="Y6" s="13"/>
      <c r="Z6" s="13"/>
      <c r="AA6" s="13"/>
      <c r="AB6" s="13"/>
      <c r="AC6" s="13"/>
      <c r="AD6" s="13"/>
    </row>
    <row r="7">
      <c r="A7" s="10" t="s">
        <v>29</v>
      </c>
      <c r="B7" s="10" t="s">
        <v>10</v>
      </c>
      <c r="C7" s="10" t="s">
        <v>11</v>
      </c>
      <c r="D7" s="10" t="s">
        <v>40</v>
      </c>
      <c r="E7" s="10" t="s">
        <v>41</v>
      </c>
      <c r="F7" s="10" t="s">
        <v>42</v>
      </c>
      <c r="G7" s="11" t="s">
        <v>55</v>
      </c>
      <c r="H7" s="11" t="s">
        <v>228</v>
      </c>
      <c r="I7" s="11"/>
      <c r="J7" s="9">
        <f t="shared" ref="J7:J16" si="3">J39+100</f>
        <v>2005</v>
      </c>
      <c r="K7" s="12">
        <v>0.25</v>
      </c>
      <c r="L7" s="5">
        <f t="shared" ref="L7:L32" si="4">J7*K7</f>
        <v>501.25</v>
      </c>
      <c r="M7" s="5">
        <f t="shared" ref="M7:M30" si="5">J7+L7</f>
        <v>2506.25</v>
      </c>
      <c r="N7" s="13"/>
      <c r="O7" s="13"/>
      <c r="P7" s="13"/>
      <c r="T7" s="13"/>
      <c r="U7" s="13"/>
      <c r="V7" s="13"/>
      <c r="W7" s="13"/>
      <c r="X7" s="13"/>
      <c r="Y7" s="13"/>
      <c r="Z7" s="13"/>
      <c r="AA7" s="13"/>
      <c r="AB7" s="13"/>
      <c r="AC7" s="13"/>
      <c r="AD7" s="13"/>
    </row>
    <row r="8">
      <c r="A8" s="10" t="s">
        <v>29</v>
      </c>
      <c r="B8" s="10" t="s">
        <v>10</v>
      </c>
      <c r="C8" s="10" t="s">
        <v>11</v>
      </c>
      <c r="D8" s="10" t="s">
        <v>40</v>
      </c>
      <c r="E8" s="10" t="s">
        <v>41</v>
      </c>
      <c r="F8" s="10" t="s">
        <v>42</v>
      </c>
      <c r="G8" s="11" t="s">
        <v>61</v>
      </c>
      <c r="H8" s="11" t="s">
        <v>228</v>
      </c>
      <c r="I8" s="11"/>
      <c r="J8" s="9">
        <f t="shared" si="3"/>
        <v>2125</v>
      </c>
      <c r="K8" s="12">
        <v>0.25</v>
      </c>
      <c r="L8" s="5">
        <f t="shared" si="4"/>
        <v>531.25</v>
      </c>
      <c r="M8" s="5">
        <f t="shared" si="5"/>
        <v>2656.25</v>
      </c>
      <c r="N8" s="13"/>
      <c r="O8" s="13"/>
      <c r="P8" s="13"/>
      <c r="T8" s="13"/>
      <c r="U8" s="13"/>
      <c r="V8" s="13"/>
      <c r="W8" s="13"/>
      <c r="X8" s="13"/>
      <c r="Y8" s="13"/>
      <c r="Z8" s="13"/>
      <c r="AA8" s="13"/>
      <c r="AB8" s="13"/>
      <c r="AC8" s="13"/>
      <c r="AD8" s="13"/>
    </row>
    <row r="9">
      <c r="A9" s="10" t="s">
        <v>29</v>
      </c>
      <c r="B9" s="10" t="s">
        <v>10</v>
      </c>
      <c r="C9" s="10" t="s">
        <v>11</v>
      </c>
      <c r="D9" s="10" t="s">
        <v>40</v>
      </c>
      <c r="E9" s="10" t="s">
        <v>41</v>
      </c>
      <c r="F9" s="10" t="s">
        <v>42</v>
      </c>
      <c r="G9" s="11" t="s">
        <v>66</v>
      </c>
      <c r="H9" s="11" t="s">
        <v>229</v>
      </c>
      <c r="I9" s="11"/>
      <c r="J9" s="9">
        <f t="shared" si="3"/>
        <v>2450</v>
      </c>
      <c r="K9" s="12">
        <v>0.25</v>
      </c>
      <c r="L9" s="5">
        <f t="shared" si="4"/>
        <v>612.5</v>
      </c>
      <c r="M9" s="5">
        <f t="shared" si="5"/>
        <v>3062.5</v>
      </c>
      <c r="N9" s="13"/>
      <c r="O9" s="13"/>
      <c r="P9" s="13"/>
      <c r="T9" s="13"/>
      <c r="U9" s="13"/>
      <c r="V9" s="13"/>
      <c r="W9" s="13"/>
      <c r="X9" s="13"/>
      <c r="Y9" s="13"/>
      <c r="Z9" s="13"/>
      <c r="AA9" s="13"/>
      <c r="AB9" s="13"/>
      <c r="AC9" s="13"/>
      <c r="AD9" s="13"/>
    </row>
    <row r="10">
      <c r="A10" s="10" t="s">
        <v>29</v>
      </c>
      <c r="B10" s="10" t="s">
        <v>10</v>
      </c>
      <c r="C10" s="10" t="s">
        <v>11</v>
      </c>
      <c r="D10" s="10" t="s">
        <v>40</v>
      </c>
      <c r="E10" s="10" t="s">
        <v>41</v>
      </c>
      <c r="F10" s="10" t="s">
        <v>42</v>
      </c>
      <c r="G10" s="11" t="s">
        <v>72</v>
      </c>
      <c r="H10" s="11" t="s">
        <v>229</v>
      </c>
      <c r="I10" s="11"/>
      <c r="J10" s="9">
        <f t="shared" si="3"/>
        <v>2550</v>
      </c>
      <c r="K10" s="12">
        <v>0.25</v>
      </c>
      <c r="L10" s="5">
        <f t="shared" si="4"/>
        <v>637.5</v>
      </c>
      <c r="M10" s="5">
        <f t="shared" si="5"/>
        <v>3187.5</v>
      </c>
      <c r="N10" s="13"/>
      <c r="O10" s="13"/>
      <c r="P10" s="13"/>
      <c r="T10" s="13"/>
      <c r="U10" s="13"/>
      <c r="V10" s="13"/>
      <c r="W10" s="13"/>
      <c r="X10" s="13"/>
      <c r="Y10" s="13"/>
      <c r="Z10" s="13"/>
      <c r="AA10" s="13"/>
      <c r="AB10" s="13"/>
      <c r="AC10" s="13"/>
      <c r="AD10" s="13"/>
    </row>
    <row r="11">
      <c r="A11" s="10" t="s">
        <v>29</v>
      </c>
      <c r="B11" s="10" t="s">
        <v>10</v>
      </c>
      <c r="C11" s="10" t="s">
        <v>11</v>
      </c>
      <c r="D11" s="10" t="s">
        <v>40</v>
      </c>
      <c r="E11" s="10" t="s">
        <v>41</v>
      </c>
      <c r="F11" s="10" t="s">
        <v>42</v>
      </c>
      <c r="G11" s="11" t="s">
        <v>230</v>
      </c>
      <c r="H11" s="11" t="s">
        <v>229</v>
      </c>
      <c r="I11" s="11"/>
      <c r="J11" s="9">
        <f t="shared" si="3"/>
        <v>2550</v>
      </c>
      <c r="K11" s="12">
        <v>0.25</v>
      </c>
      <c r="L11" s="5">
        <f t="shared" si="4"/>
        <v>637.5</v>
      </c>
      <c r="M11" s="5">
        <f t="shared" si="5"/>
        <v>3187.5</v>
      </c>
      <c r="N11" s="13"/>
      <c r="O11" s="13"/>
      <c r="P11" s="13"/>
      <c r="T11" s="13"/>
      <c r="U11" s="13"/>
      <c r="V11" s="13"/>
      <c r="W11" s="13"/>
      <c r="X11" s="13"/>
      <c r="Y11" s="13"/>
      <c r="Z11" s="13"/>
      <c r="AA11" s="13"/>
      <c r="AB11" s="13"/>
      <c r="AC11" s="13"/>
      <c r="AD11" s="13"/>
    </row>
    <row r="12">
      <c r="A12" s="10" t="s">
        <v>29</v>
      </c>
      <c r="B12" s="10" t="s">
        <v>10</v>
      </c>
      <c r="C12" s="10" t="s">
        <v>11</v>
      </c>
      <c r="D12" s="10" t="s">
        <v>40</v>
      </c>
      <c r="E12" s="10" t="s">
        <v>41</v>
      </c>
      <c r="F12" s="10" t="s">
        <v>42</v>
      </c>
      <c r="G12" s="11" t="s">
        <v>231</v>
      </c>
      <c r="H12" s="11" t="s">
        <v>229</v>
      </c>
      <c r="I12" s="11"/>
      <c r="J12" s="9">
        <f t="shared" si="3"/>
        <v>2650</v>
      </c>
      <c r="K12" s="12">
        <v>0.25</v>
      </c>
      <c r="L12" s="5">
        <f t="shared" si="4"/>
        <v>662.5</v>
      </c>
      <c r="M12" s="5">
        <f t="shared" si="5"/>
        <v>3312.5</v>
      </c>
      <c r="N12" s="13"/>
      <c r="O12" s="13"/>
      <c r="P12" s="13"/>
      <c r="T12" s="13"/>
      <c r="U12" s="13"/>
      <c r="V12" s="13"/>
      <c r="W12" s="13"/>
      <c r="X12" s="13"/>
      <c r="Y12" s="13"/>
      <c r="Z12" s="13"/>
      <c r="AA12" s="13"/>
      <c r="AB12" s="13"/>
      <c r="AC12" s="13"/>
      <c r="AD12" s="13"/>
    </row>
    <row r="13">
      <c r="A13" s="10" t="s">
        <v>29</v>
      </c>
      <c r="B13" s="10" t="s">
        <v>10</v>
      </c>
      <c r="C13" s="10" t="s">
        <v>11</v>
      </c>
      <c r="D13" s="10" t="s">
        <v>40</v>
      </c>
      <c r="E13" s="10" t="s">
        <v>41</v>
      </c>
      <c r="F13" s="10" t="s">
        <v>42</v>
      </c>
      <c r="G13" s="11" t="s">
        <v>75</v>
      </c>
      <c r="H13" s="11" t="s">
        <v>228</v>
      </c>
      <c r="I13" s="11"/>
      <c r="J13" s="9">
        <f t="shared" si="3"/>
        <v>2130</v>
      </c>
      <c r="K13" s="12">
        <v>0.25</v>
      </c>
      <c r="L13" s="5">
        <f t="shared" si="4"/>
        <v>532.5</v>
      </c>
      <c r="M13" s="5">
        <f t="shared" si="5"/>
        <v>2662.5</v>
      </c>
      <c r="N13" s="13"/>
      <c r="O13" s="13"/>
      <c r="P13" s="13"/>
      <c r="T13" s="13"/>
      <c r="U13" s="13"/>
      <c r="V13" s="13"/>
      <c r="W13" s="13"/>
      <c r="X13" s="13"/>
      <c r="Y13" s="13"/>
      <c r="Z13" s="13"/>
      <c r="AA13" s="13"/>
      <c r="AB13" s="13"/>
      <c r="AC13" s="13"/>
      <c r="AD13" s="13"/>
    </row>
    <row r="14">
      <c r="A14" s="10" t="s">
        <v>29</v>
      </c>
      <c r="B14" s="10" t="s">
        <v>10</v>
      </c>
      <c r="C14" s="10" t="s">
        <v>11</v>
      </c>
      <c r="D14" s="10" t="s">
        <v>40</v>
      </c>
      <c r="E14" s="10" t="s">
        <v>41</v>
      </c>
      <c r="F14" s="10" t="s">
        <v>42</v>
      </c>
      <c r="G14" s="11" t="s">
        <v>76</v>
      </c>
      <c r="H14" s="11" t="s">
        <v>228</v>
      </c>
      <c r="I14" s="11"/>
      <c r="J14" s="9">
        <f t="shared" si="3"/>
        <v>2250</v>
      </c>
      <c r="K14" s="12">
        <v>0.25</v>
      </c>
      <c r="L14" s="5">
        <f t="shared" si="4"/>
        <v>562.5</v>
      </c>
      <c r="M14" s="5">
        <f t="shared" si="5"/>
        <v>2812.5</v>
      </c>
      <c r="N14" s="13"/>
      <c r="O14" s="13"/>
      <c r="P14" s="13"/>
      <c r="T14" s="13"/>
      <c r="U14" s="13"/>
      <c r="V14" s="13"/>
      <c r="W14" s="13"/>
      <c r="X14" s="13"/>
      <c r="Y14" s="13"/>
      <c r="Z14" s="13"/>
      <c r="AA14" s="13"/>
      <c r="AB14" s="13"/>
      <c r="AC14" s="13"/>
      <c r="AD14" s="13"/>
    </row>
    <row r="15">
      <c r="A15" s="10" t="s">
        <v>29</v>
      </c>
      <c r="B15" s="10" t="s">
        <v>10</v>
      </c>
      <c r="C15" s="10" t="s">
        <v>11</v>
      </c>
      <c r="D15" s="10" t="s">
        <v>40</v>
      </c>
      <c r="E15" s="10" t="s">
        <v>41</v>
      </c>
      <c r="F15" s="10" t="s">
        <v>42</v>
      </c>
      <c r="G15" s="11" t="s">
        <v>77</v>
      </c>
      <c r="H15" s="11" t="s">
        <v>229</v>
      </c>
      <c r="I15" s="11"/>
      <c r="J15" s="9">
        <f t="shared" si="3"/>
        <v>2600</v>
      </c>
      <c r="K15" s="12">
        <v>0.25</v>
      </c>
      <c r="L15" s="5">
        <f t="shared" si="4"/>
        <v>650</v>
      </c>
      <c r="M15" s="5">
        <f t="shared" si="5"/>
        <v>3250</v>
      </c>
      <c r="N15" s="13"/>
      <c r="O15" s="13"/>
      <c r="P15" s="13"/>
      <c r="T15" s="13"/>
      <c r="U15" s="13"/>
      <c r="V15" s="13"/>
      <c r="W15" s="13"/>
      <c r="X15" s="13"/>
      <c r="Y15" s="13"/>
      <c r="Z15" s="13"/>
      <c r="AA15" s="13"/>
      <c r="AB15" s="13"/>
      <c r="AC15" s="13"/>
      <c r="AD15" s="13"/>
    </row>
    <row r="16">
      <c r="A16" s="10" t="s">
        <v>29</v>
      </c>
      <c r="B16" s="10" t="s">
        <v>10</v>
      </c>
      <c r="C16" s="10" t="s">
        <v>11</v>
      </c>
      <c r="D16" s="10" t="s">
        <v>40</v>
      </c>
      <c r="E16" s="10" t="s">
        <v>41</v>
      </c>
      <c r="F16" s="10" t="s">
        <v>42</v>
      </c>
      <c r="G16" s="11" t="s">
        <v>78</v>
      </c>
      <c r="H16" s="11" t="s">
        <v>229</v>
      </c>
      <c r="I16" s="11"/>
      <c r="J16" s="9">
        <f t="shared" si="3"/>
        <v>2700</v>
      </c>
      <c r="K16" s="12">
        <v>0.25</v>
      </c>
      <c r="L16" s="5">
        <f t="shared" si="4"/>
        <v>675</v>
      </c>
      <c r="M16" s="5">
        <f t="shared" si="5"/>
        <v>3375</v>
      </c>
      <c r="N16" s="13"/>
      <c r="O16" s="13"/>
      <c r="P16" s="13"/>
      <c r="T16" s="13"/>
      <c r="U16" s="13"/>
      <c r="V16" s="13"/>
      <c r="W16" s="13"/>
      <c r="X16" s="13"/>
      <c r="Y16" s="13"/>
      <c r="Z16" s="13"/>
      <c r="AA16" s="13"/>
      <c r="AB16" s="13"/>
      <c r="AC16" s="13"/>
      <c r="AD16" s="13"/>
    </row>
    <row r="17">
      <c r="A17" s="10" t="s">
        <v>29</v>
      </c>
      <c r="B17" s="10" t="s">
        <v>10</v>
      </c>
      <c r="C17" s="10" t="s">
        <v>11</v>
      </c>
      <c r="D17" s="10" t="s">
        <v>40</v>
      </c>
      <c r="E17" s="10" t="s">
        <v>41</v>
      </c>
      <c r="F17" s="10" t="s">
        <v>42</v>
      </c>
      <c r="G17" s="11" t="s">
        <v>232</v>
      </c>
      <c r="H17" s="11" t="s">
        <v>229</v>
      </c>
      <c r="I17" s="11"/>
      <c r="J17" s="9">
        <f t="shared" ref="J17:J29" si="6">J52+100</f>
        <v>2700</v>
      </c>
      <c r="K17" s="12">
        <v>0.25</v>
      </c>
      <c r="L17" s="5">
        <f t="shared" si="4"/>
        <v>675</v>
      </c>
      <c r="M17" s="5">
        <f t="shared" si="5"/>
        <v>3375</v>
      </c>
      <c r="N17" s="11"/>
      <c r="O17" s="13"/>
      <c r="P17" s="13"/>
      <c r="T17" s="13"/>
      <c r="U17" s="13"/>
      <c r="V17" s="13"/>
      <c r="W17" s="13"/>
      <c r="X17" s="13"/>
      <c r="Y17" s="13"/>
      <c r="Z17" s="13"/>
      <c r="AA17" s="13"/>
      <c r="AB17" s="13"/>
      <c r="AC17" s="13"/>
      <c r="AD17" s="13"/>
    </row>
    <row r="18">
      <c r="A18" s="10" t="s">
        <v>29</v>
      </c>
      <c r="B18" s="10" t="s">
        <v>10</v>
      </c>
      <c r="C18" s="10" t="s">
        <v>11</v>
      </c>
      <c r="D18" s="10" t="s">
        <v>40</v>
      </c>
      <c r="E18" s="10" t="s">
        <v>41</v>
      </c>
      <c r="F18" s="10" t="s">
        <v>42</v>
      </c>
      <c r="G18" s="11" t="s">
        <v>233</v>
      </c>
      <c r="H18" s="11" t="s">
        <v>229</v>
      </c>
      <c r="I18" s="11"/>
      <c r="J18" s="9">
        <f t="shared" si="6"/>
        <v>2800</v>
      </c>
      <c r="K18" s="12">
        <v>0.25</v>
      </c>
      <c r="L18" s="5">
        <f t="shared" si="4"/>
        <v>700</v>
      </c>
      <c r="M18" s="5">
        <f t="shared" si="5"/>
        <v>3500</v>
      </c>
      <c r="N18" s="13"/>
      <c r="O18" s="13"/>
      <c r="P18" s="13"/>
      <c r="T18" s="13"/>
      <c r="U18" s="13"/>
      <c r="V18" s="13"/>
      <c r="W18" s="13"/>
      <c r="X18" s="13"/>
      <c r="Y18" s="13"/>
      <c r="Z18" s="13"/>
      <c r="AA18" s="13"/>
      <c r="AB18" s="13"/>
      <c r="AC18" s="13"/>
      <c r="AD18" s="13"/>
    </row>
    <row r="19">
      <c r="A19" s="10" t="s">
        <v>29</v>
      </c>
      <c r="B19" s="10" t="s">
        <v>10</v>
      </c>
      <c r="C19" s="10" t="s">
        <v>11</v>
      </c>
      <c r="D19" s="10" t="s">
        <v>81</v>
      </c>
      <c r="E19" s="10" t="s">
        <v>41</v>
      </c>
      <c r="F19" s="10" t="s">
        <v>42</v>
      </c>
      <c r="G19" s="11" t="s">
        <v>234</v>
      </c>
      <c r="H19" s="11" t="s">
        <v>224</v>
      </c>
      <c r="I19" s="11"/>
      <c r="J19" s="9">
        <f t="shared" si="6"/>
        <v>1975</v>
      </c>
      <c r="K19" s="12">
        <v>0.25</v>
      </c>
      <c r="L19" s="5">
        <f t="shared" si="4"/>
        <v>493.75</v>
      </c>
      <c r="M19" s="5">
        <f t="shared" si="5"/>
        <v>2468.75</v>
      </c>
      <c r="N19" s="13"/>
      <c r="O19" s="13"/>
      <c r="P19" s="13"/>
      <c r="T19" s="13"/>
      <c r="U19" s="13"/>
      <c r="V19" s="13"/>
      <c r="W19" s="13"/>
      <c r="X19" s="13"/>
      <c r="Y19" s="13"/>
      <c r="Z19" s="13"/>
      <c r="AA19" s="13"/>
      <c r="AB19" s="13"/>
      <c r="AC19" s="13"/>
      <c r="AD19" s="13"/>
    </row>
    <row r="20">
      <c r="A20" s="10" t="s">
        <v>29</v>
      </c>
      <c r="B20" s="10" t="s">
        <v>10</v>
      </c>
      <c r="C20" s="10" t="s">
        <v>11</v>
      </c>
      <c r="D20" s="10" t="s">
        <v>82</v>
      </c>
      <c r="E20" s="10" t="s">
        <v>41</v>
      </c>
      <c r="F20" s="10" t="s">
        <v>83</v>
      </c>
      <c r="G20" s="11" t="s">
        <v>235</v>
      </c>
      <c r="H20" s="11" t="s">
        <v>236</v>
      </c>
      <c r="I20" s="11"/>
      <c r="J20" s="9">
        <f t="shared" si="6"/>
        <v>1975</v>
      </c>
      <c r="K20" s="12">
        <v>0.25</v>
      </c>
      <c r="L20" s="5">
        <f t="shared" si="4"/>
        <v>493.75</v>
      </c>
      <c r="M20" s="5">
        <f t="shared" si="5"/>
        <v>2468.75</v>
      </c>
      <c r="N20" s="13"/>
      <c r="O20" s="13"/>
      <c r="P20" s="13"/>
      <c r="T20" s="13"/>
      <c r="U20" s="13"/>
      <c r="V20" s="13"/>
      <c r="W20" s="13"/>
      <c r="X20" s="13"/>
      <c r="Y20" s="13"/>
      <c r="Z20" s="13"/>
      <c r="AA20" s="13"/>
      <c r="AB20" s="13"/>
      <c r="AC20" s="13"/>
      <c r="AD20" s="13"/>
    </row>
    <row r="21">
      <c r="A21" s="10" t="s">
        <v>29</v>
      </c>
      <c r="B21" s="10" t="s">
        <v>10</v>
      </c>
      <c r="C21" s="10" t="s">
        <v>11</v>
      </c>
      <c r="D21" s="10" t="s">
        <v>170</v>
      </c>
      <c r="E21" s="10" t="s">
        <v>87</v>
      </c>
      <c r="F21" s="10" t="s">
        <v>83</v>
      </c>
      <c r="G21" s="11" t="s">
        <v>88</v>
      </c>
      <c r="H21" s="11" t="s">
        <v>237</v>
      </c>
      <c r="I21" s="11"/>
      <c r="J21" s="9">
        <f t="shared" si="6"/>
        <v>1375</v>
      </c>
      <c r="K21" s="12">
        <v>0.25</v>
      </c>
      <c r="L21" s="5">
        <f t="shared" si="4"/>
        <v>343.75</v>
      </c>
      <c r="M21" s="5">
        <f t="shared" si="5"/>
        <v>1718.75</v>
      </c>
      <c r="N21" s="13"/>
      <c r="O21" s="13"/>
      <c r="P21" s="13"/>
      <c r="T21" s="13"/>
      <c r="U21" s="13"/>
      <c r="V21" s="13"/>
      <c r="W21" s="13"/>
      <c r="X21" s="13"/>
      <c r="Y21" s="13"/>
      <c r="Z21" s="13"/>
      <c r="AA21" s="13"/>
      <c r="AB21" s="13"/>
      <c r="AC21" s="13"/>
      <c r="AD21" s="13"/>
    </row>
    <row r="22">
      <c r="A22" s="10" t="s">
        <v>29</v>
      </c>
      <c r="B22" s="10" t="s">
        <v>10</v>
      </c>
      <c r="C22" s="10" t="s">
        <v>11</v>
      </c>
      <c r="D22" s="10" t="s">
        <v>91</v>
      </c>
      <c r="E22" s="10" t="s">
        <v>87</v>
      </c>
      <c r="F22" s="10" t="s">
        <v>83</v>
      </c>
      <c r="G22" s="10" t="s">
        <v>88</v>
      </c>
      <c r="H22" s="11" t="s">
        <v>237</v>
      </c>
      <c r="I22" s="11"/>
      <c r="J22" s="9">
        <f t="shared" si="6"/>
        <v>1600</v>
      </c>
      <c r="K22" s="12">
        <v>0.25</v>
      </c>
      <c r="L22" s="5">
        <f t="shared" si="4"/>
        <v>400</v>
      </c>
      <c r="M22" s="5">
        <f t="shared" si="5"/>
        <v>2000</v>
      </c>
      <c r="N22" s="13"/>
      <c r="O22" s="13"/>
      <c r="P22" s="13"/>
      <c r="T22" s="13"/>
      <c r="U22" s="13"/>
      <c r="V22" s="13"/>
      <c r="W22" s="13"/>
      <c r="X22" s="13"/>
      <c r="Y22" s="13"/>
      <c r="Z22" s="13"/>
      <c r="AA22" s="13"/>
      <c r="AB22" s="13"/>
      <c r="AC22" s="13"/>
      <c r="AD22" s="13"/>
    </row>
    <row r="23">
      <c r="A23" s="10" t="s">
        <v>29</v>
      </c>
      <c r="B23" s="10" t="s">
        <v>10</v>
      </c>
      <c r="C23" s="10" t="s">
        <v>11</v>
      </c>
      <c r="D23" s="10" t="s">
        <v>93</v>
      </c>
      <c r="E23" s="10" t="s">
        <v>94</v>
      </c>
      <c r="F23" s="10" t="s">
        <v>42</v>
      </c>
      <c r="G23" s="10" t="s">
        <v>238</v>
      </c>
      <c r="H23" s="10" t="s">
        <v>239</v>
      </c>
      <c r="I23" s="10"/>
      <c r="J23" s="9">
        <f t="shared" si="6"/>
        <v>997</v>
      </c>
      <c r="K23" s="12">
        <v>0.25</v>
      </c>
      <c r="L23" s="5">
        <f t="shared" si="4"/>
        <v>249.25</v>
      </c>
      <c r="M23" s="5">
        <f t="shared" si="5"/>
        <v>1246.25</v>
      </c>
      <c r="N23" s="13"/>
      <c r="O23" s="13"/>
      <c r="P23" s="13"/>
      <c r="T23" s="13"/>
      <c r="U23" s="13"/>
      <c r="V23" s="13"/>
      <c r="W23" s="13"/>
      <c r="X23" s="13"/>
      <c r="Y23" s="13"/>
      <c r="Z23" s="13"/>
      <c r="AA23" s="13"/>
      <c r="AB23" s="13"/>
      <c r="AC23" s="13"/>
      <c r="AD23" s="13"/>
    </row>
    <row r="24">
      <c r="A24" s="10" t="s">
        <v>29</v>
      </c>
      <c r="B24" s="10" t="s">
        <v>10</v>
      </c>
      <c r="C24" s="10" t="s">
        <v>11</v>
      </c>
      <c r="D24" s="10" t="s">
        <v>97</v>
      </c>
      <c r="E24" s="10" t="s">
        <v>98</v>
      </c>
      <c r="F24" s="10" t="s">
        <v>99</v>
      </c>
      <c r="G24" s="10" t="s">
        <v>100</v>
      </c>
      <c r="H24" s="10" t="s">
        <v>240</v>
      </c>
      <c r="I24" s="10"/>
      <c r="J24" s="9">
        <f t="shared" si="6"/>
        <v>883</v>
      </c>
      <c r="K24" s="12">
        <v>0.25</v>
      </c>
      <c r="L24" s="5">
        <f t="shared" si="4"/>
        <v>220.75</v>
      </c>
      <c r="M24" s="5">
        <f t="shared" si="5"/>
        <v>1103.75</v>
      </c>
      <c r="N24" s="13"/>
      <c r="O24" s="13"/>
      <c r="P24" s="13"/>
      <c r="T24" s="13"/>
      <c r="U24" s="13"/>
      <c r="V24" s="13"/>
      <c r="W24" s="13"/>
      <c r="X24" s="13"/>
      <c r="Y24" s="13"/>
      <c r="Z24" s="13"/>
      <c r="AA24" s="13"/>
      <c r="AB24" s="13"/>
      <c r="AC24" s="13"/>
      <c r="AD24" s="13"/>
    </row>
    <row r="25">
      <c r="A25" s="10" t="s">
        <v>29</v>
      </c>
      <c r="B25" s="10" t="s">
        <v>10</v>
      </c>
      <c r="C25" s="10" t="s">
        <v>11</v>
      </c>
      <c r="D25" s="10" t="s">
        <v>97</v>
      </c>
      <c r="E25" s="10" t="s">
        <v>102</v>
      </c>
      <c r="F25" s="10" t="s">
        <v>99</v>
      </c>
      <c r="G25" s="10" t="s">
        <v>100</v>
      </c>
      <c r="H25" s="10" t="s">
        <v>240</v>
      </c>
      <c r="I25" s="10"/>
      <c r="J25" s="9">
        <f t="shared" si="6"/>
        <v>883</v>
      </c>
      <c r="K25" s="12">
        <v>0.25</v>
      </c>
      <c r="L25" s="5">
        <f t="shared" si="4"/>
        <v>220.75</v>
      </c>
      <c r="M25" s="5">
        <f t="shared" si="5"/>
        <v>1103.75</v>
      </c>
      <c r="N25" s="13"/>
      <c r="O25" s="13"/>
      <c r="P25" s="13"/>
      <c r="T25" s="13"/>
      <c r="U25" s="13"/>
      <c r="V25" s="13"/>
      <c r="W25" s="13"/>
      <c r="X25" s="13"/>
      <c r="Y25" s="13"/>
      <c r="Z25" s="13"/>
      <c r="AA25" s="13"/>
      <c r="AB25" s="13"/>
      <c r="AC25" s="13"/>
      <c r="AD25" s="13"/>
    </row>
    <row r="26">
      <c r="A26" s="10" t="s">
        <v>29</v>
      </c>
      <c r="B26" s="10" t="s">
        <v>10</v>
      </c>
      <c r="C26" s="10" t="s">
        <v>11</v>
      </c>
      <c r="D26" s="10" t="s">
        <v>97</v>
      </c>
      <c r="E26" s="10" t="s">
        <v>103</v>
      </c>
      <c r="F26" s="10" t="s">
        <v>99</v>
      </c>
      <c r="G26" s="10" t="s">
        <v>100</v>
      </c>
      <c r="H26" s="10" t="s">
        <v>240</v>
      </c>
      <c r="I26" s="10"/>
      <c r="J26" s="9">
        <f t="shared" si="6"/>
        <v>1083</v>
      </c>
      <c r="K26" s="12">
        <v>0.25</v>
      </c>
      <c r="L26" s="5">
        <f t="shared" si="4"/>
        <v>270.75</v>
      </c>
      <c r="M26" s="5">
        <f t="shared" si="5"/>
        <v>1353.75</v>
      </c>
      <c r="N26" s="13"/>
      <c r="O26" s="13"/>
      <c r="P26" s="13"/>
      <c r="T26" s="13"/>
      <c r="U26" s="13"/>
      <c r="V26" s="13"/>
      <c r="W26" s="13"/>
      <c r="X26" s="13"/>
      <c r="Y26" s="13"/>
      <c r="Z26" s="13"/>
      <c r="AA26" s="13"/>
      <c r="AB26" s="13"/>
      <c r="AC26" s="13"/>
      <c r="AD26" s="13"/>
    </row>
    <row r="27">
      <c r="A27" s="10" t="s">
        <v>29</v>
      </c>
      <c r="B27" s="10" t="s">
        <v>10</v>
      </c>
      <c r="C27" s="10" t="s">
        <v>11</v>
      </c>
      <c r="D27" s="10" t="s">
        <v>104</v>
      </c>
      <c r="E27" s="10" t="s">
        <v>105</v>
      </c>
      <c r="F27" s="10" t="s">
        <v>99</v>
      </c>
      <c r="G27" s="10" t="s">
        <v>100</v>
      </c>
      <c r="H27" s="10" t="s">
        <v>241</v>
      </c>
      <c r="I27" s="10"/>
      <c r="J27" s="9">
        <f t="shared" si="6"/>
        <v>1700</v>
      </c>
      <c r="K27" s="12">
        <v>0.25</v>
      </c>
      <c r="L27" s="5">
        <f t="shared" si="4"/>
        <v>425</v>
      </c>
      <c r="M27" s="5">
        <f t="shared" si="5"/>
        <v>2125</v>
      </c>
      <c r="N27" s="13"/>
      <c r="O27" s="13"/>
      <c r="P27" s="13"/>
      <c r="T27" s="13"/>
      <c r="U27" s="13"/>
      <c r="V27" s="13"/>
      <c r="W27" s="13"/>
      <c r="X27" s="13"/>
      <c r="Y27" s="13"/>
      <c r="Z27" s="13"/>
      <c r="AA27" s="13"/>
      <c r="AB27" s="13"/>
      <c r="AC27" s="13"/>
      <c r="AD27" s="13"/>
    </row>
    <row r="28">
      <c r="A28" s="10" t="s">
        <v>29</v>
      </c>
      <c r="B28" s="10" t="s">
        <v>10</v>
      </c>
      <c r="C28" s="10" t="s">
        <v>11</v>
      </c>
      <c r="D28" s="10" t="s">
        <v>107</v>
      </c>
      <c r="E28" s="10" t="s">
        <v>108</v>
      </c>
      <c r="F28" s="10" t="s">
        <v>99</v>
      </c>
      <c r="G28" s="10" t="s">
        <v>100</v>
      </c>
      <c r="H28" s="10" t="s">
        <v>242</v>
      </c>
      <c r="I28" s="10"/>
      <c r="J28" s="9">
        <f t="shared" si="6"/>
        <v>1150</v>
      </c>
      <c r="K28" s="12">
        <v>0.25</v>
      </c>
      <c r="L28" s="5">
        <f t="shared" si="4"/>
        <v>287.5</v>
      </c>
      <c r="M28" s="5">
        <f t="shared" si="5"/>
        <v>1437.5</v>
      </c>
      <c r="N28" s="13"/>
      <c r="O28" s="13"/>
      <c r="P28" s="13"/>
      <c r="Q28" s="13"/>
      <c r="R28" s="13"/>
      <c r="S28" s="13"/>
      <c r="T28" s="13"/>
      <c r="U28" s="13"/>
      <c r="V28" s="13"/>
      <c r="W28" s="13"/>
      <c r="X28" s="13"/>
      <c r="Y28" s="13"/>
      <c r="Z28" s="13"/>
      <c r="AA28" s="13"/>
      <c r="AB28" s="13"/>
      <c r="AC28" s="13"/>
      <c r="AD28" s="13"/>
    </row>
    <row r="29">
      <c r="A29" s="10" t="s">
        <v>29</v>
      </c>
      <c r="B29" s="10" t="s">
        <v>10</v>
      </c>
      <c r="C29" s="10" t="s">
        <v>11</v>
      </c>
      <c r="D29" s="10" t="s">
        <v>107</v>
      </c>
      <c r="E29" s="10" t="s">
        <v>243</v>
      </c>
      <c r="F29" s="10" t="s">
        <v>99</v>
      </c>
      <c r="G29" s="10" t="s">
        <v>100</v>
      </c>
      <c r="H29" s="10" t="s">
        <v>242</v>
      </c>
      <c r="I29" s="10"/>
      <c r="J29" s="9">
        <f t="shared" si="6"/>
        <v>1000</v>
      </c>
      <c r="K29" s="12">
        <v>0.25</v>
      </c>
      <c r="L29" s="5">
        <f t="shared" si="4"/>
        <v>250</v>
      </c>
      <c r="M29" s="5">
        <f t="shared" si="5"/>
        <v>1250</v>
      </c>
      <c r="N29" s="13"/>
      <c r="O29" s="13"/>
      <c r="P29" s="13"/>
      <c r="Q29" s="13"/>
      <c r="R29" s="13"/>
      <c r="S29" s="13"/>
      <c r="T29" s="13"/>
      <c r="U29" s="13"/>
      <c r="V29" s="13"/>
      <c r="W29" s="13"/>
      <c r="X29" s="13"/>
      <c r="Y29" s="13"/>
      <c r="Z29" s="13"/>
      <c r="AA29" s="13"/>
      <c r="AB29" s="13"/>
      <c r="AC29" s="13"/>
      <c r="AD29" s="13"/>
    </row>
    <row r="30">
      <c r="A30" s="10" t="s">
        <v>29</v>
      </c>
      <c r="B30" s="10" t="s">
        <v>10</v>
      </c>
      <c r="C30" s="10" t="s">
        <v>11</v>
      </c>
      <c r="D30" s="10" t="s">
        <v>107</v>
      </c>
      <c r="E30" s="10" t="s">
        <v>244</v>
      </c>
      <c r="F30" s="10" t="s">
        <v>99</v>
      </c>
      <c r="G30" s="10" t="s">
        <v>100</v>
      </c>
      <c r="H30" s="10" t="s">
        <v>242</v>
      </c>
      <c r="I30" s="10"/>
      <c r="J30" s="9">
        <f>J69+100</f>
        <v>1167</v>
      </c>
      <c r="K30" s="12">
        <v>0.25</v>
      </c>
      <c r="L30" s="5">
        <f t="shared" si="4"/>
        <v>291.75</v>
      </c>
      <c r="M30" s="5">
        <f t="shared" si="5"/>
        <v>1458.75</v>
      </c>
      <c r="N30" s="13"/>
      <c r="O30" s="13"/>
      <c r="P30" s="13"/>
      <c r="Q30" s="13"/>
      <c r="R30" s="13"/>
      <c r="S30" s="13"/>
      <c r="T30" s="13"/>
      <c r="U30" s="13"/>
      <c r="V30" s="13"/>
      <c r="W30" s="13"/>
      <c r="X30" s="13"/>
      <c r="Y30" s="13"/>
      <c r="Z30" s="13"/>
      <c r="AA30" s="13"/>
      <c r="AB30" s="13"/>
      <c r="AC30" s="13"/>
      <c r="AD30" s="13"/>
    </row>
    <row r="31">
      <c r="A31" s="10"/>
      <c r="B31" s="13"/>
      <c r="C31" s="13"/>
      <c r="D31" s="13"/>
      <c r="E31" s="13"/>
      <c r="F31" s="13"/>
      <c r="G31" s="13"/>
      <c r="H31" s="13"/>
      <c r="I31" s="13"/>
      <c r="J31" s="6"/>
      <c r="K31" s="12">
        <v>0.25</v>
      </c>
      <c r="L31" s="5">
        <f t="shared" si="4"/>
        <v>0</v>
      </c>
      <c r="M31" s="5"/>
      <c r="N31" s="13"/>
      <c r="O31" s="13"/>
      <c r="P31" s="13"/>
      <c r="Q31" s="13"/>
      <c r="R31" s="13"/>
      <c r="S31" s="13"/>
      <c r="T31" s="13"/>
      <c r="U31" s="13"/>
      <c r="V31" s="13"/>
      <c r="W31" s="13"/>
      <c r="X31" s="13"/>
      <c r="Y31" s="13"/>
      <c r="Z31" s="13"/>
      <c r="AA31" s="13"/>
      <c r="AB31" s="13"/>
      <c r="AC31" s="13"/>
      <c r="AD31" s="13"/>
    </row>
    <row r="32" ht="37.5" customHeight="1">
      <c r="A32" s="10" t="s">
        <v>29</v>
      </c>
      <c r="B32" s="10" t="s">
        <v>10</v>
      </c>
      <c r="C32" s="10" t="s">
        <v>17</v>
      </c>
      <c r="D32" s="10" t="s">
        <v>40</v>
      </c>
      <c r="E32" s="10" t="s">
        <v>41</v>
      </c>
      <c r="F32" s="10" t="s">
        <v>42</v>
      </c>
      <c r="G32" s="10" t="s">
        <v>245</v>
      </c>
      <c r="H32" s="11" t="s">
        <v>246</v>
      </c>
      <c r="I32" s="23" t="s">
        <v>247</v>
      </c>
      <c r="J32" s="4">
        <v>1500.0</v>
      </c>
      <c r="K32" s="12">
        <v>0.25</v>
      </c>
      <c r="L32" s="5">
        <f t="shared" si="4"/>
        <v>375</v>
      </c>
      <c r="M32" s="5">
        <f>J32+L32</f>
        <v>1875</v>
      </c>
      <c r="N32" s="10"/>
      <c r="O32" s="13"/>
      <c r="P32" s="13"/>
      <c r="Q32" s="13"/>
      <c r="R32" s="13"/>
      <c r="S32" s="13"/>
      <c r="T32" s="13"/>
      <c r="U32" s="13"/>
      <c r="V32" s="13"/>
      <c r="W32" s="13"/>
      <c r="X32" s="13"/>
      <c r="Y32" s="13"/>
      <c r="Z32" s="13"/>
      <c r="AA32" s="13"/>
      <c r="AB32" s="13"/>
      <c r="AC32" s="13"/>
      <c r="AD32" s="13"/>
    </row>
    <row r="33" ht="37.5" customHeight="1">
      <c r="H33" s="11"/>
      <c r="I33" s="23" t="s">
        <v>248</v>
      </c>
      <c r="J33" s="4"/>
      <c r="K33" s="12"/>
      <c r="L33" s="5"/>
      <c r="N33" s="10"/>
      <c r="O33" s="13"/>
      <c r="P33" s="13"/>
      <c r="Q33" s="13"/>
      <c r="R33" s="13"/>
      <c r="S33" s="13"/>
      <c r="T33" s="13"/>
      <c r="U33" s="13"/>
      <c r="V33" s="13"/>
      <c r="W33" s="13"/>
      <c r="X33" s="13"/>
      <c r="Y33" s="13"/>
      <c r="Z33" s="13"/>
      <c r="AA33" s="13"/>
      <c r="AB33" s="13"/>
      <c r="AC33" s="13"/>
      <c r="AD33" s="13"/>
    </row>
    <row r="34" ht="37.5" customHeight="1">
      <c r="H34" s="11"/>
      <c r="I34" s="23" t="s">
        <v>249</v>
      </c>
      <c r="J34" s="4"/>
      <c r="K34" s="12"/>
      <c r="L34" s="5"/>
      <c r="N34" s="10"/>
      <c r="O34" s="13"/>
      <c r="P34" s="13"/>
      <c r="Q34" s="13"/>
      <c r="R34" s="13"/>
      <c r="S34" s="13"/>
      <c r="T34" s="13"/>
      <c r="U34" s="13"/>
      <c r="V34" s="13"/>
      <c r="W34" s="13"/>
      <c r="X34" s="13"/>
      <c r="Y34" s="13"/>
      <c r="Z34" s="13"/>
      <c r="AA34" s="13"/>
      <c r="AB34" s="13"/>
      <c r="AC34" s="13"/>
      <c r="AD34" s="13"/>
    </row>
    <row r="35" ht="37.5" customHeight="1">
      <c r="H35" s="11"/>
      <c r="I35" s="23" t="s">
        <v>250</v>
      </c>
      <c r="J35" s="4"/>
      <c r="K35" s="12"/>
      <c r="L35" s="5"/>
      <c r="N35" s="10"/>
      <c r="O35" s="13"/>
      <c r="P35" s="13"/>
      <c r="Q35" s="13"/>
      <c r="R35" s="13"/>
      <c r="S35" s="13"/>
      <c r="T35" s="13"/>
      <c r="U35" s="13"/>
      <c r="V35" s="13"/>
      <c r="W35" s="13"/>
      <c r="X35" s="13"/>
      <c r="Y35" s="13"/>
      <c r="Z35" s="13"/>
      <c r="AA35" s="13"/>
      <c r="AB35" s="13"/>
      <c r="AC35" s="13"/>
      <c r="AD35" s="13"/>
    </row>
    <row r="36" ht="37.5" customHeight="1">
      <c r="A36" s="10" t="s">
        <v>29</v>
      </c>
      <c r="B36" s="10" t="s">
        <v>10</v>
      </c>
      <c r="C36" s="10" t="s">
        <v>17</v>
      </c>
      <c r="D36" s="10" t="s">
        <v>49</v>
      </c>
      <c r="E36" s="10" t="s">
        <v>50</v>
      </c>
      <c r="F36" s="10" t="s">
        <v>42</v>
      </c>
      <c r="G36" s="10" t="s">
        <v>223</v>
      </c>
      <c r="H36" s="11" t="s">
        <v>224</v>
      </c>
      <c r="I36" s="10" t="s">
        <v>251</v>
      </c>
      <c r="J36" s="4">
        <v>1650.0</v>
      </c>
      <c r="K36" s="12">
        <v>0.25</v>
      </c>
      <c r="L36" s="5">
        <f>J36*K36</f>
        <v>412.5</v>
      </c>
      <c r="M36" s="5">
        <f>J36+L36</f>
        <v>2062.5</v>
      </c>
      <c r="N36" s="13"/>
      <c r="O36" s="13"/>
      <c r="P36" s="13"/>
      <c r="Q36" s="13"/>
      <c r="R36" s="13"/>
      <c r="S36" s="13"/>
      <c r="T36" s="13"/>
      <c r="U36" s="13"/>
      <c r="V36" s="13"/>
      <c r="W36" s="13"/>
      <c r="X36" s="13"/>
      <c r="Y36" s="13"/>
      <c r="Z36" s="13"/>
      <c r="AA36" s="13"/>
      <c r="AB36" s="13"/>
      <c r="AC36" s="13"/>
      <c r="AD36" s="13"/>
    </row>
    <row r="37" ht="37.5" customHeight="1">
      <c r="H37" s="11" t="s">
        <v>224</v>
      </c>
      <c r="I37" s="10" t="s">
        <v>252</v>
      </c>
      <c r="J37" s="6"/>
      <c r="K37" s="12"/>
      <c r="L37" s="5"/>
      <c r="N37" s="13"/>
      <c r="O37" s="13"/>
      <c r="P37" s="13"/>
      <c r="Q37" s="13"/>
      <c r="R37" s="13"/>
      <c r="S37" s="13"/>
      <c r="T37" s="13"/>
      <c r="U37" s="13"/>
      <c r="V37" s="13"/>
      <c r="W37" s="13"/>
      <c r="X37" s="13"/>
      <c r="Y37" s="13"/>
      <c r="Z37" s="13"/>
      <c r="AA37" s="13"/>
      <c r="AB37" s="13"/>
      <c r="AC37" s="13"/>
      <c r="AD37" s="13"/>
    </row>
    <row r="38" ht="37.5" customHeight="1">
      <c r="H38" s="11" t="s">
        <v>224</v>
      </c>
      <c r="I38" s="10" t="s">
        <v>253</v>
      </c>
      <c r="J38" s="6"/>
      <c r="K38" s="12"/>
      <c r="L38" s="5"/>
      <c r="N38" s="13"/>
      <c r="O38" s="13"/>
      <c r="P38" s="13"/>
      <c r="Q38" s="13"/>
      <c r="R38" s="13"/>
      <c r="S38" s="13"/>
      <c r="T38" s="13"/>
      <c r="U38" s="13"/>
      <c r="V38" s="13"/>
      <c r="W38" s="13"/>
      <c r="X38" s="13"/>
      <c r="Y38" s="13"/>
      <c r="Z38" s="13"/>
      <c r="AA38" s="13"/>
      <c r="AB38" s="13"/>
      <c r="AC38" s="13"/>
      <c r="AD38" s="13"/>
    </row>
    <row r="39">
      <c r="A39" s="10" t="s">
        <v>29</v>
      </c>
      <c r="B39" s="10" t="s">
        <v>10</v>
      </c>
      <c r="C39" s="10" t="s">
        <v>17</v>
      </c>
      <c r="D39" s="10" t="s">
        <v>40</v>
      </c>
      <c r="E39" s="10" t="s">
        <v>41</v>
      </c>
      <c r="F39" s="10" t="s">
        <v>42</v>
      </c>
      <c r="G39" s="11" t="s">
        <v>254</v>
      </c>
      <c r="H39" s="11" t="s">
        <v>246</v>
      </c>
      <c r="I39" s="11"/>
      <c r="J39" s="4">
        <v>1905.0</v>
      </c>
      <c r="K39" s="12">
        <v>0.25</v>
      </c>
      <c r="L39" s="5">
        <f t="shared" ref="L39:L48" si="7">J39*K39</f>
        <v>476.25</v>
      </c>
      <c r="M39" s="5">
        <f t="shared" ref="M39:M48" si="8">J39+L39</f>
        <v>2381.25</v>
      </c>
      <c r="N39" s="13"/>
      <c r="O39" s="13"/>
      <c r="P39" s="13"/>
      <c r="Q39" s="13"/>
      <c r="R39" s="13"/>
      <c r="S39" s="13"/>
      <c r="T39" s="13"/>
      <c r="U39" s="13"/>
      <c r="V39" s="13"/>
      <c r="W39" s="13"/>
      <c r="X39" s="13"/>
      <c r="Y39" s="13"/>
      <c r="Z39" s="13"/>
      <c r="AA39" s="13"/>
      <c r="AB39" s="13"/>
      <c r="AC39" s="13"/>
      <c r="AD39" s="13"/>
    </row>
    <row r="40">
      <c r="A40" s="10" t="s">
        <v>29</v>
      </c>
      <c r="B40" s="10" t="s">
        <v>10</v>
      </c>
      <c r="C40" s="10" t="s">
        <v>17</v>
      </c>
      <c r="D40" s="10" t="s">
        <v>40</v>
      </c>
      <c r="E40" s="10" t="s">
        <v>41</v>
      </c>
      <c r="F40" s="10" t="s">
        <v>42</v>
      </c>
      <c r="G40" s="11" t="s">
        <v>255</v>
      </c>
      <c r="H40" s="11" t="s">
        <v>256</v>
      </c>
      <c r="I40" s="11"/>
      <c r="J40" s="4">
        <v>2025.0</v>
      </c>
      <c r="K40" s="12">
        <v>0.25</v>
      </c>
      <c r="L40" s="5">
        <f t="shared" si="7"/>
        <v>506.25</v>
      </c>
      <c r="M40" s="5">
        <f t="shared" si="8"/>
        <v>2531.25</v>
      </c>
      <c r="N40" s="13"/>
      <c r="O40" s="13"/>
      <c r="P40" s="13"/>
      <c r="Q40" s="13"/>
      <c r="R40" s="13"/>
      <c r="S40" s="13"/>
      <c r="T40" s="13"/>
      <c r="U40" s="13"/>
      <c r="V40" s="13"/>
      <c r="W40" s="13"/>
      <c r="X40" s="13"/>
      <c r="Y40" s="13"/>
      <c r="Z40" s="13"/>
      <c r="AA40" s="13"/>
      <c r="AB40" s="13"/>
      <c r="AC40" s="13"/>
      <c r="AD40" s="13"/>
    </row>
    <row r="41">
      <c r="A41" s="10" t="s">
        <v>29</v>
      </c>
      <c r="B41" s="10" t="s">
        <v>10</v>
      </c>
      <c r="C41" s="10" t="s">
        <v>17</v>
      </c>
      <c r="D41" s="10" t="s">
        <v>40</v>
      </c>
      <c r="E41" s="10" t="s">
        <v>41</v>
      </c>
      <c r="F41" s="10" t="s">
        <v>42</v>
      </c>
      <c r="G41" s="11" t="s">
        <v>257</v>
      </c>
      <c r="H41" s="21" t="s">
        <v>258</v>
      </c>
      <c r="I41" s="21"/>
      <c r="J41" s="4">
        <f>2250+100</f>
        <v>2350</v>
      </c>
      <c r="K41" s="12">
        <v>0.25</v>
      </c>
      <c r="L41" s="5">
        <f t="shared" si="7"/>
        <v>587.5</v>
      </c>
      <c r="M41" s="5">
        <f t="shared" si="8"/>
        <v>2937.5</v>
      </c>
      <c r="N41" s="13"/>
      <c r="O41" s="13"/>
      <c r="P41" s="13"/>
      <c r="Q41" s="13"/>
      <c r="R41" s="13"/>
      <c r="S41" s="13"/>
      <c r="T41" s="13"/>
      <c r="U41" s="13"/>
      <c r="V41" s="13"/>
      <c r="W41" s="13"/>
      <c r="X41" s="13"/>
      <c r="Y41" s="13"/>
      <c r="Z41" s="13"/>
      <c r="AA41" s="13"/>
      <c r="AB41" s="13"/>
      <c r="AC41" s="13"/>
      <c r="AD41" s="13"/>
    </row>
    <row r="42">
      <c r="A42" s="10" t="s">
        <v>29</v>
      </c>
      <c r="B42" s="10" t="s">
        <v>10</v>
      </c>
      <c r="C42" s="10" t="s">
        <v>17</v>
      </c>
      <c r="D42" s="10" t="s">
        <v>40</v>
      </c>
      <c r="E42" s="10" t="s">
        <v>41</v>
      </c>
      <c r="F42" s="10" t="s">
        <v>42</v>
      </c>
      <c r="G42" s="11" t="s">
        <v>259</v>
      </c>
      <c r="H42" s="11" t="s">
        <v>258</v>
      </c>
      <c r="I42" s="11"/>
      <c r="J42" s="4">
        <f t="shared" ref="J42:J43" si="9">2350+100</f>
        <v>2450</v>
      </c>
      <c r="K42" s="12">
        <v>0.25</v>
      </c>
      <c r="L42" s="5">
        <f t="shared" si="7"/>
        <v>612.5</v>
      </c>
      <c r="M42" s="5">
        <f t="shared" si="8"/>
        <v>3062.5</v>
      </c>
      <c r="N42" s="13"/>
      <c r="O42" s="13"/>
      <c r="P42" s="13"/>
      <c r="Q42" s="13"/>
      <c r="R42" s="13"/>
      <c r="S42" s="13"/>
      <c r="T42" s="13"/>
      <c r="U42" s="13"/>
      <c r="V42" s="13"/>
      <c r="W42" s="13"/>
      <c r="X42" s="13"/>
      <c r="Y42" s="13"/>
      <c r="Z42" s="13"/>
      <c r="AA42" s="13"/>
      <c r="AB42" s="13"/>
      <c r="AC42" s="13"/>
      <c r="AD42" s="13"/>
    </row>
    <row r="43">
      <c r="A43" s="10" t="s">
        <v>29</v>
      </c>
      <c r="B43" s="10" t="s">
        <v>10</v>
      </c>
      <c r="C43" s="10" t="s">
        <v>17</v>
      </c>
      <c r="D43" s="10" t="s">
        <v>40</v>
      </c>
      <c r="E43" s="10" t="s">
        <v>41</v>
      </c>
      <c r="F43" s="10" t="s">
        <v>42</v>
      </c>
      <c r="G43" s="11" t="s">
        <v>260</v>
      </c>
      <c r="H43" s="11" t="s">
        <v>258</v>
      </c>
      <c r="I43" s="11"/>
      <c r="J43" s="4">
        <f t="shared" si="9"/>
        <v>2450</v>
      </c>
      <c r="K43" s="12">
        <v>0.25</v>
      </c>
      <c r="L43" s="5">
        <f t="shared" si="7"/>
        <v>612.5</v>
      </c>
      <c r="M43" s="5">
        <f t="shared" si="8"/>
        <v>3062.5</v>
      </c>
      <c r="N43" s="13"/>
      <c r="O43" s="13"/>
      <c r="P43" s="13"/>
      <c r="Q43" s="13"/>
      <c r="R43" s="13"/>
      <c r="S43" s="13"/>
      <c r="T43" s="13"/>
      <c r="U43" s="13"/>
      <c r="V43" s="13"/>
      <c r="W43" s="13"/>
      <c r="X43" s="13"/>
      <c r="Y43" s="13"/>
      <c r="Z43" s="13"/>
      <c r="AA43" s="13"/>
      <c r="AB43" s="13"/>
      <c r="AC43" s="13"/>
      <c r="AD43" s="13"/>
    </row>
    <row r="44">
      <c r="A44" s="10" t="s">
        <v>29</v>
      </c>
      <c r="B44" s="10" t="s">
        <v>10</v>
      </c>
      <c r="C44" s="10" t="s">
        <v>17</v>
      </c>
      <c r="D44" s="10" t="s">
        <v>40</v>
      </c>
      <c r="E44" s="10" t="s">
        <v>41</v>
      </c>
      <c r="F44" s="10" t="s">
        <v>42</v>
      </c>
      <c r="G44" s="11" t="s">
        <v>261</v>
      </c>
      <c r="H44" s="11" t="s">
        <v>258</v>
      </c>
      <c r="I44" s="11"/>
      <c r="J44" s="4">
        <f>2450+100</f>
        <v>2550</v>
      </c>
      <c r="K44" s="12">
        <v>0.25</v>
      </c>
      <c r="L44" s="5">
        <f t="shared" si="7"/>
        <v>637.5</v>
      </c>
      <c r="M44" s="5">
        <f t="shared" si="8"/>
        <v>3187.5</v>
      </c>
      <c r="N44" s="13"/>
      <c r="O44" s="13"/>
      <c r="P44" s="13"/>
      <c r="Q44" s="13"/>
      <c r="R44" s="13"/>
      <c r="S44" s="13"/>
      <c r="T44" s="13"/>
      <c r="U44" s="13"/>
      <c r="V44" s="13"/>
      <c r="W44" s="13"/>
      <c r="X44" s="13"/>
      <c r="Y44" s="13"/>
      <c r="Z44" s="13"/>
      <c r="AA44" s="13"/>
      <c r="AB44" s="13"/>
      <c r="AC44" s="13"/>
      <c r="AD44" s="13"/>
    </row>
    <row r="45">
      <c r="A45" s="10" t="s">
        <v>29</v>
      </c>
      <c r="B45" s="10" t="s">
        <v>10</v>
      </c>
      <c r="C45" s="10" t="s">
        <v>17</v>
      </c>
      <c r="D45" s="10" t="s">
        <v>40</v>
      </c>
      <c r="E45" s="10" t="s">
        <v>41</v>
      </c>
      <c r="F45" s="10" t="s">
        <v>42</v>
      </c>
      <c r="G45" s="11" t="s">
        <v>262</v>
      </c>
      <c r="H45" s="11" t="s">
        <v>258</v>
      </c>
      <c r="I45" s="11"/>
      <c r="J45" s="4">
        <v>2030.0</v>
      </c>
      <c r="K45" s="12">
        <v>0.25</v>
      </c>
      <c r="L45" s="5">
        <f t="shared" si="7"/>
        <v>507.5</v>
      </c>
      <c r="M45" s="5">
        <f t="shared" si="8"/>
        <v>2537.5</v>
      </c>
      <c r="N45" s="13"/>
      <c r="O45" s="13"/>
      <c r="P45" s="13"/>
      <c r="Q45" s="13"/>
      <c r="R45" s="13"/>
      <c r="S45" s="13"/>
      <c r="T45" s="13"/>
      <c r="U45" s="13"/>
      <c r="V45" s="13"/>
      <c r="W45" s="13"/>
      <c r="X45" s="13"/>
      <c r="Y45" s="13"/>
      <c r="Z45" s="13"/>
      <c r="AA45" s="13"/>
      <c r="AB45" s="13"/>
      <c r="AC45" s="13"/>
      <c r="AD45" s="13"/>
    </row>
    <row r="46">
      <c r="A46" s="10" t="s">
        <v>29</v>
      </c>
      <c r="B46" s="10" t="s">
        <v>10</v>
      </c>
      <c r="C46" s="10" t="s">
        <v>17</v>
      </c>
      <c r="D46" s="10" t="s">
        <v>40</v>
      </c>
      <c r="E46" s="10" t="s">
        <v>41</v>
      </c>
      <c r="F46" s="10" t="s">
        <v>42</v>
      </c>
      <c r="G46" s="11" t="s">
        <v>263</v>
      </c>
      <c r="H46" s="11" t="s">
        <v>258</v>
      </c>
      <c r="I46" s="11"/>
      <c r="J46" s="4">
        <v>2150.0</v>
      </c>
      <c r="K46" s="12">
        <v>0.25</v>
      </c>
      <c r="L46" s="5">
        <f t="shared" si="7"/>
        <v>537.5</v>
      </c>
      <c r="M46" s="5">
        <f t="shared" si="8"/>
        <v>2687.5</v>
      </c>
      <c r="N46" s="13"/>
      <c r="O46" s="13"/>
      <c r="P46" s="13"/>
      <c r="Q46" s="13"/>
      <c r="R46" s="13"/>
      <c r="S46" s="13"/>
      <c r="T46" s="13"/>
      <c r="U46" s="13"/>
      <c r="V46" s="13"/>
      <c r="W46" s="13"/>
      <c r="X46" s="13"/>
      <c r="Y46" s="13"/>
      <c r="Z46" s="13"/>
      <c r="AA46" s="13"/>
      <c r="AB46" s="13"/>
      <c r="AC46" s="13"/>
      <c r="AD46" s="13"/>
    </row>
    <row r="47">
      <c r="A47" s="10" t="s">
        <v>29</v>
      </c>
      <c r="B47" s="10" t="s">
        <v>10</v>
      </c>
      <c r="C47" s="10" t="s">
        <v>17</v>
      </c>
      <c r="D47" s="10" t="s">
        <v>40</v>
      </c>
      <c r="E47" s="10" t="s">
        <v>41</v>
      </c>
      <c r="F47" s="10" t="s">
        <v>42</v>
      </c>
      <c r="G47" s="11" t="s">
        <v>264</v>
      </c>
      <c r="H47" s="11" t="s">
        <v>258</v>
      </c>
      <c r="I47" s="11"/>
      <c r="J47" s="4">
        <v>2500.0</v>
      </c>
      <c r="K47" s="12">
        <v>0.25</v>
      </c>
      <c r="L47" s="5">
        <f t="shared" si="7"/>
        <v>625</v>
      </c>
      <c r="M47" s="5">
        <f t="shared" si="8"/>
        <v>3125</v>
      </c>
      <c r="N47" s="13"/>
      <c r="O47" s="13"/>
      <c r="P47" s="13"/>
      <c r="Q47" s="13"/>
      <c r="R47" s="13"/>
      <c r="S47" s="13"/>
      <c r="T47" s="13"/>
      <c r="U47" s="13"/>
      <c r="V47" s="13"/>
      <c r="W47" s="13"/>
      <c r="X47" s="13"/>
      <c r="Y47" s="13"/>
      <c r="Z47" s="13"/>
      <c r="AA47" s="13"/>
      <c r="AB47" s="13"/>
      <c r="AC47" s="13"/>
      <c r="AD47" s="13"/>
    </row>
    <row r="48">
      <c r="A48" s="10" t="s">
        <v>29</v>
      </c>
      <c r="B48" s="10" t="s">
        <v>10</v>
      </c>
      <c r="C48" s="10" t="s">
        <v>17</v>
      </c>
      <c r="D48" s="10" t="s">
        <v>40</v>
      </c>
      <c r="E48" s="10" t="s">
        <v>41</v>
      </c>
      <c r="F48" s="10" t="s">
        <v>42</v>
      </c>
      <c r="G48" s="11" t="s">
        <v>265</v>
      </c>
      <c r="H48" s="11" t="s">
        <v>258</v>
      </c>
      <c r="I48" s="10" t="s">
        <v>266</v>
      </c>
      <c r="J48" s="4">
        <v>2600.0</v>
      </c>
      <c r="K48" s="12">
        <v>0.25</v>
      </c>
      <c r="L48" s="5">
        <f t="shared" si="7"/>
        <v>650</v>
      </c>
      <c r="M48" s="5">
        <f t="shared" si="8"/>
        <v>3250</v>
      </c>
      <c r="N48" s="13"/>
      <c r="O48" s="13"/>
      <c r="P48" s="13"/>
      <c r="Q48" s="13"/>
      <c r="R48" s="13"/>
      <c r="S48" s="13"/>
      <c r="T48" s="13"/>
      <c r="U48" s="13"/>
      <c r="V48" s="13"/>
      <c r="W48" s="13"/>
      <c r="X48" s="13"/>
      <c r="Y48" s="13"/>
      <c r="Z48" s="13"/>
      <c r="AA48" s="13"/>
      <c r="AB48" s="13"/>
      <c r="AC48" s="13"/>
      <c r="AD48" s="13"/>
    </row>
    <row r="49">
      <c r="F49" s="10"/>
      <c r="H49" s="11"/>
      <c r="I49" s="10" t="s">
        <v>267</v>
      </c>
      <c r="J49" s="4"/>
      <c r="K49" s="12"/>
      <c r="L49" s="5"/>
      <c r="M49" s="5"/>
      <c r="N49" s="13"/>
      <c r="O49" s="13"/>
      <c r="P49" s="13"/>
      <c r="Q49" s="13"/>
      <c r="R49" s="13"/>
      <c r="S49" s="13"/>
      <c r="T49" s="13"/>
      <c r="U49" s="13"/>
      <c r="V49" s="13"/>
      <c r="W49" s="13"/>
      <c r="X49" s="13"/>
      <c r="Y49" s="13"/>
      <c r="Z49" s="13"/>
      <c r="AA49" s="13"/>
      <c r="AB49" s="13"/>
      <c r="AC49" s="13"/>
      <c r="AD49" s="13"/>
    </row>
    <row r="50">
      <c r="F50" s="10"/>
      <c r="H50" s="11"/>
      <c r="I50" s="10" t="s">
        <v>268</v>
      </c>
      <c r="J50" s="4"/>
      <c r="K50" s="12"/>
      <c r="L50" s="5"/>
      <c r="M50" s="5"/>
      <c r="N50" s="13"/>
      <c r="O50" s="13"/>
      <c r="P50" s="13"/>
      <c r="Q50" s="13"/>
      <c r="R50" s="13"/>
      <c r="S50" s="13"/>
      <c r="T50" s="13"/>
      <c r="U50" s="13"/>
      <c r="V50" s="13"/>
      <c r="W50" s="13"/>
      <c r="X50" s="13"/>
      <c r="Y50" s="13"/>
      <c r="Z50" s="13"/>
      <c r="AA50" s="13"/>
      <c r="AB50" s="13"/>
      <c r="AC50" s="13"/>
      <c r="AD50" s="13"/>
    </row>
    <row r="51">
      <c r="F51" s="10"/>
      <c r="H51" s="11"/>
      <c r="I51" s="10" t="s">
        <v>269</v>
      </c>
      <c r="J51" s="4"/>
      <c r="K51" s="12"/>
      <c r="L51" s="5"/>
      <c r="M51" s="5"/>
      <c r="N51" s="13"/>
      <c r="O51" s="13"/>
      <c r="P51" s="13"/>
      <c r="Q51" s="13"/>
      <c r="R51" s="13"/>
      <c r="S51" s="13"/>
      <c r="T51" s="13"/>
      <c r="U51" s="13"/>
      <c r="V51" s="13"/>
      <c r="W51" s="13"/>
      <c r="X51" s="13"/>
      <c r="Y51" s="13"/>
      <c r="Z51" s="13"/>
      <c r="AA51" s="13"/>
      <c r="AB51" s="13"/>
      <c r="AC51" s="13"/>
      <c r="AD51" s="13"/>
    </row>
    <row r="52">
      <c r="A52" s="10" t="s">
        <v>29</v>
      </c>
      <c r="B52" s="10" t="s">
        <v>10</v>
      </c>
      <c r="C52" s="10" t="s">
        <v>17</v>
      </c>
      <c r="D52" s="10" t="s">
        <v>40</v>
      </c>
      <c r="E52" s="10" t="s">
        <v>41</v>
      </c>
      <c r="F52" s="10" t="s">
        <v>42</v>
      </c>
      <c r="G52" s="11" t="s">
        <v>270</v>
      </c>
      <c r="H52" s="11" t="s">
        <v>258</v>
      </c>
      <c r="I52" s="11"/>
      <c r="J52" s="4">
        <v>2600.0</v>
      </c>
      <c r="K52" s="12">
        <v>0.25</v>
      </c>
      <c r="L52" s="5">
        <f t="shared" ref="L52:L64" si="10">J52*K52</f>
        <v>650</v>
      </c>
      <c r="M52" s="5">
        <f t="shared" ref="M52:M64" si="11">J52+L52</f>
        <v>3250</v>
      </c>
      <c r="N52" s="13"/>
      <c r="O52" s="13"/>
      <c r="P52" s="13"/>
      <c r="Q52" s="13"/>
      <c r="R52" s="13"/>
      <c r="S52" s="13"/>
      <c r="T52" s="13"/>
      <c r="U52" s="13"/>
      <c r="V52" s="13"/>
      <c r="W52" s="13"/>
      <c r="X52" s="13"/>
      <c r="Y52" s="13"/>
      <c r="Z52" s="13"/>
      <c r="AA52" s="13"/>
      <c r="AB52" s="13"/>
      <c r="AC52" s="13"/>
      <c r="AD52" s="13"/>
    </row>
    <row r="53">
      <c r="A53" s="10" t="s">
        <v>29</v>
      </c>
      <c r="B53" s="10" t="s">
        <v>10</v>
      </c>
      <c r="C53" s="10" t="s">
        <v>17</v>
      </c>
      <c r="D53" s="10" t="s">
        <v>40</v>
      </c>
      <c r="E53" s="10" t="s">
        <v>41</v>
      </c>
      <c r="F53" s="10" t="s">
        <v>42</v>
      </c>
      <c r="G53" s="11" t="s">
        <v>271</v>
      </c>
      <c r="H53" s="11" t="s">
        <v>258</v>
      </c>
      <c r="I53" s="11"/>
      <c r="J53" s="4">
        <v>2700.0</v>
      </c>
      <c r="K53" s="12">
        <v>0.25</v>
      </c>
      <c r="L53" s="5">
        <f t="shared" si="10"/>
        <v>675</v>
      </c>
      <c r="M53" s="5">
        <f t="shared" si="11"/>
        <v>3375</v>
      </c>
      <c r="N53" s="13"/>
      <c r="O53" s="13"/>
      <c r="P53" s="13"/>
      <c r="Q53" s="13"/>
      <c r="R53" s="13"/>
      <c r="S53" s="13"/>
      <c r="T53" s="13"/>
      <c r="U53" s="13"/>
      <c r="V53" s="13"/>
      <c r="W53" s="13"/>
      <c r="X53" s="13"/>
      <c r="Y53" s="13"/>
      <c r="Z53" s="13"/>
      <c r="AA53" s="13"/>
      <c r="AB53" s="13"/>
      <c r="AC53" s="13"/>
      <c r="AD53" s="13"/>
    </row>
    <row r="54">
      <c r="A54" s="10" t="s">
        <v>29</v>
      </c>
      <c r="B54" s="10" t="s">
        <v>10</v>
      </c>
      <c r="C54" s="10" t="s">
        <v>17</v>
      </c>
      <c r="D54" s="10" t="s">
        <v>81</v>
      </c>
      <c r="E54" s="10" t="s">
        <v>41</v>
      </c>
      <c r="F54" s="10" t="s">
        <v>42</v>
      </c>
      <c r="G54" s="11" t="s">
        <v>272</v>
      </c>
      <c r="H54" s="11" t="s">
        <v>273</v>
      </c>
      <c r="I54" s="11"/>
      <c r="J54" s="4">
        <v>1875.0</v>
      </c>
      <c r="K54" s="12">
        <v>0.25</v>
      </c>
      <c r="L54" s="5">
        <f t="shared" si="10"/>
        <v>468.75</v>
      </c>
      <c r="M54" s="5">
        <f t="shared" si="11"/>
        <v>2343.75</v>
      </c>
      <c r="N54" s="13"/>
      <c r="O54" s="13"/>
      <c r="P54" s="13"/>
      <c r="Q54" s="13"/>
      <c r="R54" s="13"/>
      <c r="S54" s="13"/>
      <c r="T54" s="13"/>
      <c r="U54" s="13"/>
      <c r="V54" s="13"/>
      <c r="W54" s="13"/>
      <c r="X54" s="13"/>
      <c r="Y54" s="13"/>
      <c r="Z54" s="13"/>
      <c r="AA54" s="13"/>
      <c r="AB54" s="13"/>
      <c r="AC54" s="13"/>
      <c r="AD54" s="13"/>
    </row>
    <row r="55">
      <c r="A55" s="10" t="s">
        <v>29</v>
      </c>
      <c r="B55" s="10" t="s">
        <v>10</v>
      </c>
      <c r="C55" s="10" t="s">
        <v>17</v>
      </c>
      <c r="D55" s="10" t="s">
        <v>82</v>
      </c>
      <c r="E55" s="10" t="s">
        <v>41</v>
      </c>
      <c r="F55" s="10" t="s">
        <v>83</v>
      </c>
      <c r="G55" s="11" t="s">
        <v>274</v>
      </c>
      <c r="H55" s="11" t="s">
        <v>275</v>
      </c>
      <c r="I55" s="11"/>
      <c r="J55" s="4">
        <v>1875.0</v>
      </c>
      <c r="K55" s="12">
        <v>0.25</v>
      </c>
      <c r="L55" s="5">
        <f t="shared" si="10"/>
        <v>468.75</v>
      </c>
      <c r="M55" s="5">
        <f t="shared" si="11"/>
        <v>2343.75</v>
      </c>
      <c r="N55" s="13"/>
      <c r="O55" s="13"/>
      <c r="P55" s="13"/>
      <c r="Q55" s="13"/>
      <c r="R55" s="13"/>
      <c r="S55" s="13"/>
      <c r="T55" s="13"/>
      <c r="U55" s="13"/>
      <c r="V55" s="13"/>
      <c r="W55" s="13"/>
      <c r="X55" s="13"/>
      <c r="Y55" s="13"/>
      <c r="Z55" s="13"/>
      <c r="AA55" s="13"/>
      <c r="AB55" s="13"/>
      <c r="AC55" s="13"/>
      <c r="AD55" s="13"/>
    </row>
    <row r="56">
      <c r="A56" s="10" t="s">
        <v>29</v>
      </c>
      <c r="B56" s="10" t="s">
        <v>10</v>
      </c>
      <c r="C56" s="10" t="s">
        <v>17</v>
      </c>
      <c r="D56" s="10" t="s">
        <v>170</v>
      </c>
      <c r="E56" s="10" t="s">
        <v>87</v>
      </c>
      <c r="F56" s="10" t="s">
        <v>83</v>
      </c>
      <c r="G56" s="11" t="s">
        <v>276</v>
      </c>
      <c r="H56" s="11" t="s">
        <v>277</v>
      </c>
      <c r="I56" s="11"/>
      <c r="J56" s="4">
        <v>1275.0</v>
      </c>
      <c r="K56" s="12">
        <v>0.25</v>
      </c>
      <c r="L56" s="5">
        <f t="shared" si="10"/>
        <v>318.75</v>
      </c>
      <c r="M56" s="5">
        <f t="shared" si="11"/>
        <v>1593.75</v>
      </c>
      <c r="N56" s="13"/>
      <c r="O56" s="13"/>
      <c r="P56" s="13"/>
      <c r="Q56" s="13"/>
      <c r="R56" s="13"/>
      <c r="S56" s="13"/>
      <c r="T56" s="13"/>
      <c r="U56" s="13"/>
      <c r="V56" s="13"/>
      <c r="W56" s="13"/>
      <c r="X56" s="13"/>
      <c r="Y56" s="13"/>
      <c r="Z56" s="13"/>
      <c r="AA56" s="13"/>
      <c r="AB56" s="13"/>
      <c r="AC56" s="13"/>
      <c r="AD56" s="13"/>
    </row>
    <row r="57">
      <c r="A57" s="10" t="s">
        <v>29</v>
      </c>
      <c r="B57" s="10" t="s">
        <v>10</v>
      </c>
      <c r="C57" s="10" t="s">
        <v>17</v>
      </c>
      <c r="D57" s="10" t="s">
        <v>91</v>
      </c>
      <c r="E57" s="10" t="s">
        <v>87</v>
      </c>
      <c r="F57" s="10" t="s">
        <v>83</v>
      </c>
      <c r="G57" s="10" t="s">
        <v>276</v>
      </c>
      <c r="H57" s="11" t="s">
        <v>278</v>
      </c>
      <c r="I57" s="10" t="s">
        <v>279</v>
      </c>
      <c r="J57" s="4">
        <v>1500.0</v>
      </c>
      <c r="K57" s="12">
        <v>0.25</v>
      </c>
      <c r="L57" s="5">
        <f t="shared" si="10"/>
        <v>375</v>
      </c>
      <c r="M57" s="5">
        <f t="shared" si="11"/>
        <v>1875</v>
      </c>
      <c r="N57" s="13"/>
      <c r="O57" s="13"/>
      <c r="P57" s="13"/>
      <c r="Q57" s="13"/>
      <c r="R57" s="13"/>
      <c r="S57" s="13"/>
      <c r="T57" s="13"/>
      <c r="U57" s="13"/>
      <c r="V57" s="13"/>
      <c r="W57" s="13"/>
      <c r="X57" s="13"/>
      <c r="Y57" s="13"/>
      <c r="Z57" s="13"/>
      <c r="AA57" s="13"/>
      <c r="AB57" s="13"/>
      <c r="AC57" s="13"/>
      <c r="AD57" s="13"/>
    </row>
    <row r="58">
      <c r="A58" s="10" t="s">
        <v>29</v>
      </c>
      <c r="B58" s="10" t="s">
        <v>10</v>
      </c>
      <c r="C58" s="10" t="s">
        <v>17</v>
      </c>
      <c r="D58" s="10" t="s">
        <v>93</v>
      </c>
      <c r="E58" s="10" t="s">
        <v>94</v>
      </c>
      <c r="F58" s="10" t="s">
        <v>42</v>
      </c>
      <c r="G58" s="11" t="s">
        <v>280</v>
      </c>
      <c r="H58" s="10" t="s">
        <v>281</v>
      </c>
      <c r="I58" s="10" t="s">
        <v>282</v>
      </c>
      <c r="J58" s="4">
        <v>897.0</v>
      </c>
      <c r="K58" s="12">
        <v>0.25</v>
      </c>
      <c r="L58" s="5">
        <f t="shared" si="10"/>
        <v>224.25</v>
      </c>
      <c r="M58" s="5">
        <f t="shared" si="11"/>
        <v>1121.25</v>
      </c>
      <c r="N58" s="13"/>
      <c r="O58" s="13"/>
      <c r="P58" s="13"/>
      <c r="Q58" s="13"/>
      <c r="R58" s="13"/>
      <c r="S58" s="13"/>
      <c r="T58" s="13"/>
      <c r="U58" s="13"/>
      <c r="V58" s="13"/>
      <c r="W58" s="13"/>
      <c r="X58" s="13"/>
      <c r="Y58" s="13"/>
      <c r="Z58" s="13"/>
      <c r="AA58" s="13"/>
      <c r="AB58" s="13"/>
      <c r="AC58" s="13"/>
      <c r="AD58" s="13"/>
    </row>
    <row r="59">
      <c r="A59" s="10" t="s">
        <v>29</v>
      </c>
      <c r="B59" s="10" t="s">
        <v>10</v>
      </c>
      <c r="C59" s="10" t="s">
        <v>17</v>
      </c>
      <c r="D59" s="10" t="s">
        <v>97</v>
      </c>
      <c r="E59" s="10" t="s">
        <v>98</v>
      </c>
      <c r="F59" s="10" t="s">
        <v>99</v>
      </c>
      <c r="G59" s="11" t="s">
        <v>276</v>
      </c>
      <c r="H59" s="10" t="s">
        <v>283</v>
      </c>
      <c r="I59" s="10" t="s">
        <v>284</v>
      </c>
      <c r="J59" s="4">
        <v>783.0</v>
      </c>
      <c r="K59" s="12">
        <v>0.25</v>
      </c>
      <c r="L59" s="5">
        <f t="shared" si="10"/>
        <v>195.75</v>
      </c>
      <c r="M59" s="5">
        <f t="shared" si="11"/>
        <v>978.75</v>
      </c>
      <c r="N59" s="13"/>
      <c r="O59" s="13"/>
      <c r="P59" s="13"/>
      <c r="Q59" s="13"/>
      <c r="R59" s="13"/>
      <c r="S59" s="13"/>
      <c r="T59" s="13"/>
      <c r="U59" s="13"/>
      <c r="V59" s="13"/>
      <c r="W59" s="13"/>
      <c r="X59" s="13"/>
      <c r="Y59" s="13"/>
      <c r="Z59" s="13"/>
      <c r="AA59" s="13"/>
      <c r="AB59" s="13"/>
      <c r="AC59" s="13"/>
      <c r="AD59" s="13"/>
    </row>
    <row r="60">
      <c r="A60" s="10" t="s">
        <v>29</v>
      </c>
      <c r="B60" s="10" t="s">
        <v>10</v>
      </c>
      <c r="C60" s="10" t="s">
        <v>17</v>
      </c>
      <c r="D60" s="10" t="s">
        <v>97</v>
      </c>
      <c r="E60" s="10" t="s">
        <v>102</v>
      </c>
      <c r="F60" s="10" t="s">
        <v>99</v>
      </c>
      <c r="G60" s="11" t="s">
        <v>276</v>
      </c>
      <c r="H60" s="10" t="s">
        <v>283</v>
      </c>
      <c r="I60" s="10"/>
      <c r="J60" s="4">
        <v>783.0</v>
      </c>
      <c r="K60" s="12">
        <v>0.25</v>
      </c>
      <c r="L60" s="5">
        <f t="shared" si="10"/>
        <v>195.75</v>
      </c>
      <c r="M60" s="5">
        <f t="shared" si="11"/>
        <v>978.75</v>
      </c>
      <c r="N60" s="13"/>
      <c r="O60" s="13"/>
      <c r="P60" s="13"/>
      <c r="Q60" s="13"/>
      <c r="R60" s="13"/>
      <c r="S60" s="13"/>
      <c r="T60" s="13"/>
      <c r="U60" s="13"/>
      <c r="V60" s="13"/>
      <c r="W60" s="13"/>
      <c r="X60" s="13"/>
      <c r="Y60" s="13"/>
      <c r="Z60" s="13"/>
      <c r="AA60" s="13"/>
      <c r="AB60" s="13"/>
      <c r="AC60" s="13"/>
      <c r="AD60" s="13"/>
    </row>
    <row r="61">
      <c r="A61" s="10" t="s">
        <v>29</v>
      </c>
      <c r="B61" s="10" t="s">
        <v>10</v>
      </c>
      <c r="C61" s="10" t="s">
        <v>17</v>
      </c>
      <c r="D61" s="10" t="s">
        <v>97</v>
      </c>
      <c r="E61" s="10" t="s">
        <v>103</v>
      </c>
      <c r="F61" s="10" t="s">
        <v>99</v>
      </c>
      <c r="G61" s="11" t="s">
        <v>276</v>
      </c>
      <c r="H61" s="10" t="s">
        <v>283</v>
      </c>
      <c r="I61" s="10"/>
      <c r="J61" s="4">
        <v>983.0</v>
      </c>
      <c r="K61" s="12">
        <v>0.25</v>
      </c>
      <c r="L61" s="5">
        <f t="shared" si="10"/>
        <v>245.75</v>
      </c>
      <c r="M61" s="5">
        <f t="shared" si="11"/>
        <v>1228.75</v>
      </c>
      <c r="N61" s="13"/>
      <c r="O61" s="13"/>
      <c r="P61" s="13"/>
      <c r="Q61" s="13"/>
      <c r="R61" s="13"/>
      <c r="S61" s="13"/>
      <c r="T61" s="13"/>
      <c r="U61" s="13"/>
      <c r="V61" s="13"/>
      <c r="W61" s="13"/>
      <c r="X61" s="13"/>
      <c r="Y61" s="13"/>
      <c r="Z61" s="13"/>
      <c r="AA61" s="13"/>
      <c r="AB61" s="13"/>
      <c r="AC61" s="13"/>
      <c r="AD61" s="13"/>
    </row>
    <row r="62">
      <c r="A62" s="10" t="s">
        <v>29</v>
      </c>
      <c r="B62" s="10" t="s">
        <v>10</v>
      </c>
      <c r="C62" s="10" t="s">
        <v>17</v>
      </c>
      <c r="D62" s="10" t="s">
        <v>104</v>
      </c>
      <c r="E62" s="10" t="s">
        <v>105</v>
      </c>
      <c r="F62" s="10" t="s">
        <v>99</v>
      </c>
      <c r="G62" s="11" t="s">
        <v>276</v>
      </c>
      <c r="H62" s="10" t="s">
        <v>283</v>
      </c>
      <c r="I62" s="10"/>
      <c r="J62" s="4">
        <v>1600.0</v>
      </c>
      <c r="K62" s="12">
        <v>0.25</v>
      </c>
      <c r="L62" s="5">
        <f t="shared" si="10"/>
        <v>400</v>
      </c>
      <c r="M62" s="5">
        <f t="shared" si="11"/>
        <v>2000</v>
      </c>
      <c r="N62" s="13"/>
      <c r="O62" s="13"/>
      <c r="P62" s="13"/>
      <c r="Q62" s="13"/>
      <c r="R62" s="13"/>
      <c r="S62" s="13"/>
      <c r="T62" s="13"/>
      <c r="U62" s="13"/>
      <c r="V62" s="13"/>
      <c r="W62" s="13"/>
      <c r="X62" s="13"/>
      <c r="Y62" s="13"/>
      <c r="Z62" s="13"/>
      <c r="AA62" s="13"/>
      <c r="AB62" s="13"/>
      <c r="AC62" s="13"/>
      <c r="AD62" s="13"/>
    </row>
    <row r="63">
      <c r="A63" s="10" t="s">
        <v>29</v>
      </c>
      <c r="B63" s="10" t="s">
        <v>10</v>
      </c>
      <c r="C63" s="10" t="s">
        <v>17</v>
      </c>
      <c r="D63" s="10" t="s">
        <v>107</v>
      </c>
      <c r="E63" s="10" t="s">
        <v>108</v>
      </c>
      <c r="F63" s="10" t="s">
        <v>99</v>
      </c>
      <c r="G63" s="11" t="s">
        <v>276</v>
      </c>
      <c r="H63" s="10" t="s">
        <v>283</v>
      </c>
      <c r="I63" s="10"/>
      <c r="J63" s="4">
        <v>1050.0</v>
      </c>
      <c r="K63" s="12">
        <v>0.25</v>
      </c>
      <c r="L63" s="5">
        <f t="shared" si="10"/>
        <v>262.5</v>
      </c>
      <c r="M63" s="5">
        <f t="shared" si="11"/>
        <v>1312.5</v>
      </c>
      <c r="N63" s="13"/>
      <c r="O63" s="13"/>
      <c r="P63" s="13"/>
      <c r="Q63" s="13"/>
      <c r="R63" s="13"/>
      <c r="S63" s="13"/>
      <c r="T63" s="13"/>
      <c r="U63" s="13"/>
      <c r="V63" s="13"/>
      <c r="W63" s="13"/>
      <c r="X63" s="13"/>
      <c r="Y63" s="13"/>
      <c r="Z63" s="13"/>
      <c r="AA63" s="13"/>
      <c r="AB63" s="13"/>
      <c r="AC63" s="13"/>
      <c r="AD63" s="13"/>
    </row>
    <row r="64">
      <c r="A64" s="10" t="s">
        <v>29</v>
      </c>
      <c r="B64" s="10" t="s">
        <v>10</v>
      </c>
      <c r="C64" s="10" t="s">
        <v>17</v>
      </c>
      <c r="D64" s="10" t="s">
        <v>107</v>
      </c>
      <c r="E64" s="10" t="s">
        <v>285</v>
      </c>
      <c r="F64" s="10" t="s">
        <v>99</v>
      </c>
      <c r="G64" s="11" t="s">
        <v>276</v>
      </c>
      <c r="H64" s="10" t="s">
        <v>283</v>
      </c>
      <c r="I64" s="10" t="s">
        <v>286</v>
      </c>
      <c r="J64" s="4">
        <v>900.0</v>
      </c>
      <c r="K64" s="12">
        <v>0.25</v>
      </c>
      <c r="L64" s="5">
        <f t="shared" si="10"/>
        <v>225</v>
      </c>
      <c r="M64" s="5">
        <f t="shared" si="11"/>
        <v>1125</v>
      </c>
      <c r="N64" s="13"/>
      <c r="O64" s="13"/>
      <c r="P64" s="13"/>
      <c r="Q64" s="13"/>
      <c r="R64" s="13"/>
      <c r="S64" s="13"/>
      <c r="T64" s="13"/>
      <c r="U64" s="13"/>
      <c r="V64" s="13"/>
      <c r="W64" s="13"/>
      <c r="X64" s="13"/>
      <c r="Y64" s="13"/>
      <c r="Z64" s="13"/>
      <c r="AA64" s="13"/>
      <c r="AB64" s="13"/>
      <c r="AC64" s="13"/>
      <c r="AD64" s="13"/>
    </row>
    <row r="65">
      <c r="H65" s="10"/>
      <c r="I65" s="10" t="s">
        <v>287</v>
      </c>
      <c r="N65" s="13"/>
      <c r="O65" s="13"/>
      <c r="P65" s="13"/>
      <c r="Q65" s="13"/>
      <c r="R65" s="13"/>
      <c r="S65" s="13"/>
      <c r="T65" s="13"/>
      <c r="U65" s="13"/>
      <c r="V65" s="13"/>
      <c r="W65" s="13"/>
      <c r="X65" s="13"/>
      <c r="Y65" s="13"/>
      <c r="Z65" s="13"/>
      <c r="AA65" s="13"/>
      <c r="AB65" s="13"/>
      <c r="AC65" s="13"/>
      <c r="AD65" s="13"/>
    </row>
    <row r="66">
      <c r="H66" s="10"/>
      <c r="I66" s="10" t="s">
        <v>288</v>
      </c>
      <c r="N66" s="13"/>
      <c r="O66" s="13"/>
      <c r="P66" s="13"/>
      <c r="Q66" s="13"/>
      <c r="R66" s="13"/>
      <c r="S66" s="13"/>
      <c r="T66" s="13"/>
      <c r="U66" s="13"/>
      <c r="V66" s="13"/>
      <c r="W66" s="13"/>
      <c r="X66" s="13"/>
      <c r="Y66" s="13"/>
      <c r="Z66" s="13"/>
      <c r="AA66" s="13"/>
      <c r="AB66" s="13"/>
      <c r="AC66" s="13"/>
      <c r="AD66" s="13"/>
    </row>
    <row r="67">
      <c r="H67" s="10"/>
      <c r="I67" s="10" t="s">
        <v>289</v>
      </c>
      <c r="N67" s="13"/>
      <c r="O67" s="13"/>
      <c r="P67" s="13"/>
      <c r="Q67" s="13"/>
      <c r="R67" s="13"/>
      <c r="S67" s="13"/>
      <c r="T67" s="13"/>
      <c r="U67" s="13"/>
      <c r="V67" s="13"/>
      <c r="W67" s="13"/>
      <c r="X67" s="13"/>
      <c r="Y67" s="13"/>
      <c r="Z67" s="13"/>
      <c r="AA67" s="13"/>
      <c r="AB67" s="13"/>
      <c r="AC67" s="13"/>
      <c r="AD67" s="13"/>
    </row>
    <row r="68">
      <c r="H68" s="10"/>
      <c r="I68" s="10" t="s">
        <v>290</v>
      </c>
      <c r="N68" s="13"/>
      <c r="O68" s="13"/>
      <c r="P68" s="13"/>
      <c r="Q68" s="13"/>
      <c r="R68" s="13"/>
      <c r="S68" s="13"/>
      <c r="T68" s="13"/>
      <c r="U68" s="13"/>
      <c r="V68" s="13"/>
      <c r="W68" s="13"/>
      <c r="X68" s="13"/>
      <c r="Y68" s="13"/>
      <c r="Z68" s="13"/>
      <c r="AA68" s="13"/>
      <c r="AB68" s="13"/>
      <c r="AC68" s="13"/>
      <c r="AD68" s="13"/>
    </row>
    <row r="69">
      <c r="A69" s="10"/>
      <c r="B69" s="10"/>
      <c r="C69" s="10"/>
      <c r="D69" s="10" t="s">
        <v>107</v>
      </c>
      <c r="E69" s="10" t="s">
        <v>291</v>
      </c>
      <c r="F69" s="10"/>
      <c r="G69" s="11" t="s">
        <v>292</v>
      </c>
      <c r="H69" s="10"/>
      <c r="I69" s="10"/>
      <c r="J69" s="4">
        <v>1067.0</v>
      </c>
      <c r="K69" s="12">
        <v>0.25</v>
      </c>
      <c r="L69" s="5">
        <f>J69*K69</f>
        <v>266.75</v>
      </c>
      <c r="M69" s="5">
        <f>L69+J69</f>
        <v>1333.75</v>
      </c>
      <c r="N69" s="13"/>
      <c r="O69" s="13"/>
      <c r="P69" s="13"/>
      <c r="Q69" s="13"/>
      <c r="R69" s="13"/>
      <c r="S69" s="13"/>
      <c r="T69" s="13"/>
      <c r="U69" s="13"/>
      <c r="V69" s="13"/>
      <c r="W69" s="13"/>
      <c r="X69" s="13"/>
      <c r="Y69" s="13"/>
      <c r="Z69" s="13"/>
      <c r="AA69" s="13"/>
      <c r="AB69" s="13"/>
      <c r="AC69" s="13"/>
      <c r="AD69" s="13"/>
    </row>
    <row r="70">
      <c r="A70" s="7" t="s">
        <v>185</v>
      </c>
      <c r="N70" s="13"/>
      <c r="O70" s="13"/>
      <c r="P70" s="13"/>
      <c r="Q70" s="13"/>
      <c r="R70" s="13"/>
      <c r="S70" s="13"/>
      <c r="T70" s="13"/>
      <c r="U70" s="13"/>
      <c r="V70" s="13"/>
      <c r="W70" s="13"/>
      <c r="X70" s="13"/>
      <c r="Y70" s="13"/>
      <c r="Z70" s="13"/>
      <c r="AA70" s="13"/>
      <c r="AB70" s="13"/>
      <c r="AC70" s="13"/>
      <c r="AD70" s="13"/>
    </row>
    <row r="71">
      <c r="A71" s="10"/>
      <c r="B71" s="4" t="s">
        <v>1</v>
      </c>
      <c r="C71" s="4" t="s">
        <v>2</v>
      </c>
      <c r="D71" s="4" t="s">
        <v>3</v>
      </c>
      <c r="E71" s="4" t="s">
        <v>32</v>
      </c>
      <c r="F71" s="4" t="s">
        <v>4</v>
      </c>
      <c r="G71" s="4" t="s">
        <v>6</v>
      </c>
      <c r="H71" s="4" t="s">
        <v>5</v>
      </c>
      <c r="I71" s="4"/>
      <c r="J71" s="4" t="s">
        <v>34</v>
      </c>
      <c r="K71" s="12">
        <v>0.25</v>
      </c>
      <c r="L71" s="5" t="str">
        <f t="shared" ref="L71:L73" si="12">J71*K71</f>
        <v>#VALUE!</v>
      </c>
      <c r="M71" s="5" t="str">
        <f t="shared" ref="M71:M73" si="13">J71+L71</f>
        <v>#VALUE!</v>
      </c>
      <c r="Z71" s="13"/>
      <c r="AA71" s="13"/>
      <c r="AB71" s="13"/>
      <c r="AC71" s="13"/>
      <c r="AD71" s="13"/>
    </row>
    <row r="72">
      <c r="A72" s="10" t="s">
        <v>29</v>
      </c>
      <c r="B72" s="10" t="s">
        <v>10</v>
      </c>
      <c r="C72" s="10" t="s">
        <v>11</v>
      </c>
      <c r="D72" s="10" t="s">
        <v>40</v>
      </c>
      <c r="E72" s="10" t="s">
        <v>41</v>
      </c>
      <c r="F72" s="10" t="s">
        <v>42</v>
      </c>
      <c r="G72" s="10" t="s">
        <v>293</v>
      </c>
      <c r="H72" s="11" t="s">
        <v>224</v>
      </c>
      <c r="I72" s="11"/>
      <c r="J72" s="4">
        <f t="shared" ref="J72:J73" si="14">J3+50</f>
        <v>1650</v>
      </c>
      <c r="K72" s="12">
        <v>0.25</v>
      </c>
      <c r="L72" s="5">
        <f t="shared" si="12"/>
        <v>412.5</v>
      </c>
      <c r="M72" s="5">
        <f t="shared" si="13"/>
        <v>2062.5</v>
      </c>
      <c r="O72" s="3" t="s">
        <v>294</v>
      </c>
      <c r="Z72" s="13"/>
      <c r="AA72" s="13"/>
      <c r="AB72" s="13"/>
      <c r="AC72" s="13"/>
      <c r="AD72" s="13"/>
    </row>
    <row r="73">
      <c r="A73" s="10"/>
      <c r="B73" s="10"/>
      <c r="C73" s="10"/>
      <c r="D73" s="10" t="s">
        <v>49</v>
      </c>
      <c r="E73" s="10" t="s">
        <v>50</v>
      </c>
      <c r="F73" s="10" t="s">
        <v>42</v>
      </c>
      <c r="G73" s="10" t="s">
        <v>293</v>
      </c>
      <c r="H73" s="11" t="s">
        <v>224</v>
      </c>
      <c r="I73" s="10" t="s">
        <v>295</v>
      </c>
      <c r="J73" s="4">
        <f t="shared" si="14"/>
        <v>1800</v>
      </c>
      <c r="K73" s="12">
        <v>0.25</v>
      </c>
      <c r="L73" s="5">
        <f t="shared" si="12"/>
        <v>450</v>
      </c>
      <c r="M73" s="5">
        <f t="shared" si="13"/>
        <v>2250</v>
      </c>
      <c r="O73" s="3"/>
      <c r="Z73" s="13"/>
      <c r="AA73" s="13"/>
      <c r="AB73" s="13"/>
      <c r="AC73" s="13"/>
      <c r="AD73" s="13"/>
    </row>
    <row r="74">
      <c r="A74" s="10"/>
      <c r="B74" s="10"/>
      <c r="C74" s="10"/>
      <c r="H74" s="11" t="s">
        <v>224</v>
      </c>
      <c r="I74" s="10" t="s">
        <v>296</v>
      </c>
      <c r="O74" s="3"/>
      <c r="Z74" s="13"/>
      <c r="AA74" s="13"/>
      <c r="AB74" s="13"/>
      <c r="AC74" s="13"/>
      <c r="AD74" s="13"/>
    </row>
    <row r="75">
      <c r="A75" s="10"/>
      <c r="B75" s="10"/>
      <c r="C75" s="10"/>
      <c r="H75" s="11" t="s">
        <v>224</v>
      </c>
      <c r="I75" s="10" t="s">
        <v>297</v>
      </c>
      <c r="O75" s="3"/>
      <c r="Z75" s="13"/>
      <c r="AA75" s="13"/>
      <c r="AB75" s="13"/>
      <c r="AC75" s="13"/>
      <c r="AD75" s="13"/>
    </row>
    <row r="76">
      <c r="A76" s="10" t="s">
        <v>29</v>
      </c>
      <c r="B76" s="10" t="s">
        <v>10</v>
      </c>
      <c r="C76" s="10" t="s">
        <v>11</v>
      </c>
      <c r="D76" s="10" t="s">
        <v>40</v>
      </c>
      <c r="E76" s="10" t="s">
        <v>41</v>
      </c>
      <c r="F76" s="10" t="s">
        <v>42</v>
      </c>
      <c r="G76" s="11" t="s">
        <v>187</v>
      </c>
      <c r="H76" s="11" t="s">
        <v>228</v>
      </c>
      <c r="I76" s="11"/>
      <c r="J76" s="4">
        <f t="shared" ref="J76:J99" si="15">J7+50</f>
        <v>2055</v>
      </c>
      <c r="K76" s="12">
        <v>0.25</v>
      </c>
      <c r="L76" s="5">
        <f t="shared" ref="L76:L102" si="16">J76*K76</f>
        <v>513.75</v>
      </c>
      <c r="M76" s="5">
        <f t="shared" ref="M76:M98" si="17">J76+L76</f>
        <v>2568.75</v>
      </c>
      <c r="Z76" s="13"/>
      <c r="AA76" s="13"/>
      <c r="AB76" s="13"/>
      <c r="AC76" s="13"/>
      <c r="AD76" s="13"/>
    </row>
    <row r="77">
      <c r="A77" s="10" t="s">
        <v>29</v>
      </c>
      <c r="B77" s="10" t="s">
        <v>10</v>
      </c>
      <c r="C77" s="10" t="s">
        <v>11</v>
      </c>
      <c r="D77" s="10" t="s">
        <v>40</v>
      </c>
      <c r="E77" s="10" t="s">
        <v>41</v>
      </c>
      <c r="F77" s="10" t="s">
        <v>42</v>
      </c>
      <c r="G77" s="11" t="s">
        <v>188</v>
      </c>
      <c r="H77" s="11" t="s">
        <v>228</v>
      </c>
      <c r="I77" s="11"/>
      <c r="J77" s="4">
        <f t="shared" si="15"/>
        <v>2175</v>
      </c>
      <c r="K77" s="12">
        <v>0.25</v>
      </c>
      <c r="L77" s="5">
        <f t="shared" si="16"/>
        <v>543.75</v>
      </c>
      <c r="M77" s="5">
        <f t="shared" si="17"/>
        <v>2718.75</v>
      </c>
      <c r="Z77" s="13"/>
      <c r="AA77" s="13"/>
      <c r="AB77" s="13"/>
      <c r="AC77" s="13"/>
      <c r="AD77" s="13"/>
    </row>
    <row r="78">
      <c r="A78" s="10" t="s">
        <v>29</v>
      </c>
      <c r="B78" s="10" t="s">
        <v>10</v>
      </c>
      <c r="C78" s="10" t="s">
        <v>11</v>
      </c>
      <c r="D78" s="10" t="s">
        <v>40</v>
      </c>
      <c r="E78" s="10" t="s">
        <v>41</v>
      </c>
      <c r="F78" s="10" t="s">
        <v>42</v>
      </c>
      <c r="G78" s="11" t="s">
        <v>189</v>
      </c>
      <c r="H78" s="11" t="s">
        <v>229</v>
      </c>
      <c r="I78" s="11"/>
      <c r="J78" s="4">
        <f t="shared" si="15"/>
        <v>2500</v>
      </c>
      <c r="K78" s="12">
        <v>0.25</v>
      </c>
      <c r="L78" s="5">
        <f t="shared" si="16"/>
        <v>625</v>
      </c>
      <c r="M78" s="5">
        <f t="shared" si="17"/>
        <v>3125</v>
      </c>
      <c r="Z78" s="13"/>
      <c r="AA78" s="13"/>
      <c r="AB78" s="13"/>
      <c r="AC78" s="13"/>
      <c r="AD78" s="13"/>
    </row>
    <row r="79">
      <c r="A79" s="10" t="s">
        <v>29</v>
      </c>
      <c r="B79" s="10" t="s">
        <v>10</v>
      </c>
      <c r="C79" s="10" t="s">
        <v>11</v>
      </c>
      <c r="D79" s="10" t="s">
        <v>40</v>
      </c>
      <c r="E79" s="10" t="s">
        <v>41</v>
      </c>
      <c r="F79" s="10" t="s">
        <v>42</v>
      </c>
      <c r="G79" s="11" t="s">
        <v>190</v>
      </c>
      <c r="H79" s="11" t="s">
        <v>229</v>
      </c>
      <c r="I79" s="11"/>
      <c r="J79" s="4">
        <f t="shared" si="15"/>
        <v>2600</v>
      </c>
      <c r="K79" s="12">
        <v>0.25</v>
      </c>
      <c r="L79" s="5">
        <f t="shared" si="16"/>
        <v>650</v>
      </c>
      <c r="M79" s="5">
        <f t="shared" si="17"/>
        <v>3250</v>
      </c>
      <c r="Z79" s="13"/>
      <c r="AA79" s="13"/>
      <c r="AB79" s="13"/>
      <c r="AC79" s="13"/>
      <c r="AD79" s="13"/>
    </row>
    <row r="80">
      <c r="A80" s="10" t="s">
        <v>29</v>
      </c>
      <c r="B80" s="10" t="s">
        <v>10</v>
      </c>
      <c r="C80" s="10" t="s">
        <v>11</v>
      </c>
      <c r="D80" s="10" t="s">
        <v>40</v>
      </c>
      <c r="E80" s="10" t="s">
        <v>41</v>
      </c>
      <c r="F80" s="10" t="s">
        <v>42</v>
      </c>
      <c r="G80" s="11" t="s">
        <v>298</v>
      </c>
      <c r="H80" s="11" t="s">
        <v>229</v>
      </c>
      <c r="I80" s="11"/>
      <c r="J80" s="4">
        <f t="shared" si="15"/>
        <v>2600</v>
      </c>
      <c r="K80" s="12">
        <v>0.25</v>
      </c>
      <c r="L80" s="5">
        <f t="shared" si="16"/>
        <v>650</v>
      </c>
      <c r="M80" s="5">
        <f t="shared" si="17"/>
        <v>3250</v>
      </c>
      <c r="Z80" s="13"/>
      <c r="AA80" s="13"/>
      <c r="AB80" s="13"/>
      <c r="AC80" s="13"/>
      <c r="AD80" s="13"/>
    </row>
    <row r="81">
      <c r="A81" s="10" t="s">
        <v>29</v>
      </c>
      <c r="B81" s="10" t="s">
        <v>10</v>
      </c>
      <c r="C81" s="10" t="s">
        <v>11</v>
      </c>
      <c r="D81" s="10" t="s">
        <v>40</v>
      </c>
      <c r="E81" s="10" t="s">
        <v>41</v>
      </c>
      <c r="F81" s="10" t="s">
        <v>42</v>
      </c>
      <c r="G81" s="11" t="s">
        <v>299</v>
      </c>
      <c r="H81" s="11" t="s">
        <v>229</v>
      </c>
      <c r="I81" s="11"/>
      <c r="J81" s="4">
        <f t="shared" si="15"/>
        <v>2700</v>
      </c>
      <c r="K81" s="12">
        <v>0.25</v>
      </c>
      <c r="L81" s="5">
        <f t="shared" si="16"/>
        <v>675</v>
      </c>
      <c r="M81" s="5">
        <f t="shared" si="17"/>
        <v>3375</v>
      </c>
      <c r="Z81" s="13"/>
      <c r="AA81" s="13"/>
      <c r="AB81" s="13"/>
      <c r="AC81" s="13"/>
      <c r="AD81" s="13"/>
    </row>
    <row r="82">
      <c r="A82" s="10" t="s">
        <v>29</v>
      </c>
      <c r="B82" s="10" t="s">
        <v>10</v>
      </c>
      <c r="C82" s="10" t="s">
        <v>11</v>
      </c>
      <c r="D82" s="10" t="s">
        <v>40</v>
      </c>
      <c r="E82" s="10" t="s">
        <v>41</v>
      </c>
      <c r="F82" s="10" t="s">
        <v>42</v>
      </c>
      <c r="G82" s="11" t="s">
        <v>193</v>
      </c>
      <c r="H82" s="11" t="s">
        <v>228</v>
      </c>
      <c r="I82" s="11"/>
      <c r="J82" s="4">
        <f t="shared" si="15"/>
        <v>2180</v>
      </c>
      <c r="K82" s="12">
        <v>0.25</v>
      </c>
      <c r="L82" s="5">
        <f t="shared" si="16"/>
        <v>545</v>
      </c>
      <c r="M82" s="5">
        <f t="shared" si="17"/>
        <v>2725</v>
      </c>
      <c r="Z82" s="13"/>
      <c r="AA82" s="13"/>
      <c r="AB82" s="13"/>
      <c r="AC82" s="13"/>
      <c r="AD82" s="13"/>
    </row>
    <row r="83">
      <c r="A83" s="10" t="s">
        <v>29</v>
      </c>
      <c r="B83" s="10" t="s">
        <v>10</v>
      </c>
      <c r="C83" s="10" t="s">
        <v>11</v>
      </c>
      <c r="D83" s="10" t="s">
        <v>40</v>
      </c>
      <c r="E83" s="10" t="s">
        <v>41</v>
      </c>
      <c r="F83" s="10" t="s">
        <v>42</v>
      </c>
      <c r="G83" s="11" t="s">
        <v>194</v>
      </c>
      <c r="H83" s="11" t="s">
        <v>228</v>
      </c>
      <c r="I83" s="11"/>
      <c r="J83" s="4">
        <f t="shared" si="15"/>
        <v>2300</v>
      </c>
      <c r="K83" s="12">
        <v>0.25</v>
      </c>
      <c r="L83" s="5">
        <f t="shared" si="16"/>
        <v>575</v>
      </c>
      <c r="M83" s="5">
        <f t="shared" si="17"/>
        <v>2875</v>
      </c>
      <c r="Z83" s="13"/>
      <c r="AA83" s="13"/>
      <c r="AB83" s="13"/>
      <c r="AC83" s="13"/>
      <c r="AD83" s="13"/>
    </row>
    <row r="84">
      <c r="A84" s="10" t="s">
        <v>29</v>
      </c>
      <c r="B84" s="10" t="s">
        <v>10</v>
      </c>
      <c r="C84" s="10" t="s">
        <v>11</v>
      </c>
      <c r="D84" s="10" t="s">
        <v>40</v>
      </c>
      <c r="E84" s="10" t="s">
        <v>41</v>
      </c>
      <c r="F84" s="10" t="s">
        <v>42</v>
      </c>
      <c r="G84" s="11" t="s">
        <v>195</v>
      </c>
      <c r="H84" s="11" t="s">
        <v>229</v>
      </c>
      <c r="I84" s="11"/>
      <c r="J84" s="4">
        <f t="shared" si="15"/>
        <v>2650</v>
      </c>
      <c r="K84" s="12">
        <v>0.25</v>
      </c>
      <c r="L84" s="5">
        <f t="shared" si="16"/>
        <v>662.5</v>
      </c>
      <c r="M84" s="5">
        <f t="shared" si="17"/>
        <v>3312.5</v>
      </c>
      <c r="Z84" s="13"/>
      <c r="AA84" s="13"/>
      <c r="AB84" s="13"/>
      <c r="AC84" s="13"/>
      <c r="AD84" s="13"/>
    </row>
    <row r="85">
      <c r="A85" s="10" t="s">
        <v>29</v>
      </c>
      <c r="B85" s="10" t="s">
        <v>10</v>
      </c>
      <c r="C85" s="10" t="s">
        <v>11</v>
      </c>
      <c r="D85" s="10" t="s">
        <v>40</v>
      </c>
      <c r="E85" s="10" t="s">
        <v>41</v>
      </c>
      <c r="F85" s="10" t="s">
        <v>42</v>
      </c>
      <c r="G85" s="11" t="s">
        <v>196</v>
      </c>
      <c r="H85" s="11" t="s">
        <v>229</v>
      </c>
      <c r="I85" s="11"/>
      <c r="J85" s="4">
        <f t="shared" si="15"/>
        <v>2750</v>
      </c>
      <c r="K85" s="12">
        <v>0.25</v>
      </c>
      <c r="L85" s="5">
        <f t="shared" si="16"/>
        <v>687.5</v>
      </c>
      <c r="M85" s="5">
        <f t="shared" si="17"/>
        <v>3437.5</v>
      </c>
      <c r="Z85" s="13"/>
      <c r="AA85" s="13"/>
      <c r="AB85" s="13"/>
      <c r="AC85" s="13"/>
      <c r="AD85" s="13"/>
    </row>
    <row r="86">
      <c r="A86" s="10" t="s">
        <v>29</v>
      </c>
      <c r="B86" s="10" t="s">
        <v>10</v>
      </c>
      <c r="C86" s="10" t="s">
        <v>11</v>
      </c>
      <c r="D86" s="10" t="s">
        <v>40</v>
      </c>
      <c r="E86" s="10" t="s">
        <v>41</v>
      </c>
      <c r="F86" s="10" t="s">
        <v>42</v>
      </c>
      <c r="G86" s="11" t="s">
        <v>300</v>
      </c>
      <c r="H86" s="11" t="s">
        <v>229</v>
      </c>
      <c r="I86" s="11"/>
      <c r="J86" s="4">
        <f t="shared" si="15"/>
        <v>2750</v>
      </c>
      <c r="K86" s="12">
        <v>0.25</v>
      </c>
      <c r="L86" s="5">
        <f t="shared" si="16"/>
        <v>687.5</v>
      </c>
      <c r="M86" s="5">
        <f t="shared" si="17"/>
        <v>3437.5</v>
      </c>
      <c r="Z86" s="13"/>
      <c r="AA86" s="13"/>
      <c r="AB86" s="13"/>
      <c r="AC86" s="13"/>
      <c r="AD86" s="13"/>
    </row>
    <row r="87">
      <c r="A87" s="10" t="s">
        <v>29</v>
      </c>
      <c r="B87" s="10" t="s">
        <v>10</v>
      </c>
      <c r="C87" s="10" t="s">
        <v>11</v>
      </c>
      <c r="D87" s="10" t="s">
        <v>40</v>
      </c>
      <c r="E87" s="10" t="s">
        <v>41</v>
      </c>
      <c r="F87" s="10" t="s">
        <v>42</v>
      </c>
      <c r="G87" s="11" t="s">
        <v>301</v>
      </c>
      <c r="H87" s="11" t="s">
        <v>229</v>
      </c>
      <c r="I87" s="11"/>
      <c r="J87" s="4">
        <f t="shared" si="15"/>
        <v>2850</v>
      </c>
      <c r="K87" s="12">
        <v>0.25</v>
      </c>
      <c r="L87" s="5">
        <f t="shared" si="16"/>
        <v>712.5</v>
      </c>
      <c r="M87" s="5">
        <f t="shared" si="17"/>
        <v>3562.5</v>
      </c>
      <c r="Z87" s="13"/>
      <c r="AA87" s="13"/>
      <c r="AB87" s="13"/>
      <c r="AC87" s="13"/>
      <c r="AD87" s="13"/>
    </row>
    <row r="88">
      <c r="A88" s="10" t="s">
        <v>29</v>
      </c>
      <c r="B88" s="10" t="s">
        <v>10</v>
      </c>
      <c r="C88" s="10" t="s">
        <v>11</v>
      </c>
      <c r="D88" s="10" t="s">
        <v>81</v>
      </c>
      <c r="E88" s="10" t="s">
        <v>41</v>
      </c>
      <c r="F88" s="10" t="s">
        <v>42</v>
      </c>
      <c r="G88" s="11" t="s">
        <v>302</v>
      </c>
      <c r="H88" s="11" t="s">
        <v>224</v>
      </c>
      <c r="I88" s="11"/>
      <c r="J88" s="4">
        <f t="shared" si="15"/>
        <v>2025</v>
      </c>
      <c r="K88" s="12">
        <v>0.25</v>
      </c>
      <c r="L88" s="5">
        <f t="shared" si="16"/>
        <v>506.25</v>
      </c>
      <c r="M88" s="5">
        <f t="shared" si="17"/>
        <v>2531.25</v>
      </c>
      <c r="Z88" s="13"/>
      <c r="AA88" s="13"/>
      <c r="AB88" s="13"/>
      <c r="AC88" s="13"/>
      <c r="AD88" s="13"/>
    </row>
    <row r="89">
      <c r="A89" s="10" t="s">
        <v>29</v>
      </c>
      <c r="B89" s="10" t="s">
        <v>10</v>
      </c>
      <c r="C89" s="10" t="s">
        <v>11</v>
      </c>
      <c r="D89" s="10" t="s">
        <v>82</v>
      </c>
      <c r="E89" s="10" t="s">
        <v>41</v>
      </c>
      <c r="F89" s="10" t="s">
        <v>83</v>
      </c>
      <c r="G89" s="11" t="s">
        <v>303</v>
      </c>
      <c r="H89" s="11" t="s">
        <v>236</v>
      </c>
      <c r="I89" s="11"/>
      <c r="J89" s="4">
        <f t="shared" si="15"/>
        <v>2025</v>
      </c>
      <c r="K89" s="12">
        <v>0.25</v>
      </c>
      <c r="L89" s="5">
        <f t="shared" si="16"/>
        <v>506.25</v>
      </c>
      <c r="M89" s="5">
        <f t="shared" si="17"/>
        <v>2531.25</v>
      </c>
      <c r="Z89" s="13"/>
      <c r="AA89" s="13"/>
      <c r="AB89" s="13"/>
      <c r="AC89" s="13"/>
      <c r="AD89" s="13"/>
    </row>
    <row r="90">
      <c r="A90" s="10" t="s">
        <v>29</v>
      </c>
      <c r="B90" s="10" t="s">
        <v>10</v>
      </c>
      <c r="C90" s="10" t="s">
        <v>11</v>
      </c>
      <c r="D90" s="10" t="s">
        <v>170</v>
      </c>
      <c r="E90" s="10" t="s">
        <v>87</v>
      </c>
      <c r="F90" s="10" t="s">
        <v>83</v>
      </c>
      <c r="G90" s="11" t="s">
        <v>201</v>
      </c>
      <c r="H90" s="11" t="s">
        <v>237</v>
      </c>
      <c r="I90" s="11"/>
      <c r="J90" s="4">
        <f t="shared" si="15"/>
        <v>1425</v>
      </c>
      <c r="K90" s="12">
        <v>0.25</v>
      </c>
      <c r="L90" s="5">
        <f t="shared" si="16"/>
        <v>356.25</v>
      </c>
      <c r="M90" s="5">
        <f t="shared" si="17"/>
        <v>1781.25</v>
      </c>
      <c r="Z90" s="13"/>
      <c r="AA90" s="13"/>
      <c r="AB90" s="13"/>
      <c r="AC90" s="13"/>
      <c r="AD90" s="13"/>
    </row>
    <row r="91">
      <c r="A91" s="10" t="s">
        <v>29</v>
      </c>
      <c r="B91" s="10" t="s">
        <v>10</v>
      </c>
      <c r="C91" s="10" t="s">
        <v>11</v>
      </c>
      <c r="D91" s="10" t="s">
        <v>91</v>
      </c>
      <c r="E91" s="10" t="s">
        <v>87</v>
      </c>
      <c r="F91" s="10" t="s">
        <v>83</v>
      </c>
      <c r="G91" s="10" t="s">
        <v>201</v>
      </c>
      <c r="H91" s="11" t="s">
        <v>237</v>
      </c>
      <c r="I91" s="11"/>
      <c r="J91" s="4">
        <f t="shared" si="15"/>
        <v>1650</v>
      </c>
      <c r="K91" s="12">
        <v>0.25</v>
      </c>
      <c r="L91" s="5">
        <f t="shared" si="16"/>
        <v>412.5</v>
      </c>
      <c r="M91" s="5">
        <f t="shared" si="17"/>
        <v>2062.5</v>
      </c>
      <c r="Z91" s="13"/>
      <c r="AA91" s="13"/>
      <c r="AB91" s="13"/>
      <c r="AC91" s="13"/>
      <c r="AD91" s="13"/>
    </row>
    <row r="92">
      <c r="A92" s="10" t="s">
        <v>29</v>
      </c>
      <c r="B92" s="10" t="s">
        <v>10</v>
      </c>
      <c r="C92" s="10" t="s">
        <v>11</v>
      </c>
      <c r="D92" s="10" t="s">
        <v>93</v>
      </c>
      <c r="E92" s="10" t="s">
        <v>94</v>
      </c>
      <c r="F92" s="10" t="s">
        <v>42</v>
      </c>
      <c r="G92" s="10" t="s">
        <v>304</v>
      </c>
      <c r="H92" s="10" t="s">
        <v>239</v>
      </c>
      <c r="I92" s="10"/>
      <c r="J92" s="4">
        <f t="shared" si="15"/>
        <v>1047</v>
      </c>
      <c r="K92" s="12">
        <v>0.25</v>
      </c>
      <c r="L92" s="5">
        <f t="shared" si="16"/>
        <v>261.75</v>
      </c>
      <c r="M92" s="5">
        <f t="shared" si="17"/>
        <v>1308.75</v>
      </c>
      <c r="Z92" s="13"/>
      <c r="AA92" s="13"/>
      <c r="AB92" s="13"/>
      <c r="AC92" s="13"/>
      <c r="AD92" s="13"/>
    </row>
    <row r="93">
      <c r="A93" s="10" t="s">
        <v>29</v>
      </c>
      <c r="B93" s="10" t="s">
        <v>10</v>
      </c>
      <c r="C93" s="10" t="s">
        <v>11</v>
      </c>
      <c r="D93" s="10" t="s">
        <v>97</v>
      </c>
      <c r="E93" s="10" t="s">
        <v>98</v>
      </c>
      <c r="F93" s="10" t="s">
        <v>99</v>
      </c>
      <c r="G93" s="10" t="s">
        <v>203</v>
      </c>
      <c r="H93" s="10" t="s">
        <v>240</v>
      </c>
      <c r="I93" s="10"/>
      <c r="J93" s="4">
        <f t="shared" si="15"/>
        <v>933</v>
      </c>
      <c r="K93" s="12">
        <v>0.25</v>
      </c>
      <c r="L93" s="5">
        <f t="shared" si="16"/>
        <v>233.25</v>
      </c>
      <c r="M93" s="5">
        <f t="shared" si="17"/>
        <v>1166.25</v>
      </c>
      <c r="Z93" s="13"/>
      <c r="AA93" s="13"/>
      <c r="AB93" s="13"/>
      <c r="AC93" s="13"/>
      <c r="AD93" s="13"/>
    </row>
    <row r="94">
      <c r="A94" s="10" t="s">
        <v>29</v>
      </c>
      <c r="B94" s="10" t="s">
        <v>10</v>
      </c>
      <c r="C94" s="10" t="s">
        <v>11</v>
      </c>
      <c r="D94" s="10" t="s">
        <v>97</v>
      </c>
      <c r="E94" s="10" t="s">
        <v>102</v>
      </c>
      <c r="F94" s="10" t="s">
        <v>99</v>
      </c>
      <c r="G94" s="10" t="s">
        <v>203</v>
      </c>
      <c r="H94" s="10" t="s">
        <v>240</v>
      </c>
      <c r="I94" s="10"/>
      <c r="J94" s="4">
        <f t="shared" si="15"/>
        <v>933</v>
      </c>
      <c r="K94" s="12">
        <v>0.25</v>
      </c>
      <c r="L94" s="5">
        <f t="shared" si="16"/>
        <v>233.25</v>
      </c>
      <c r="M94" s="5">
        <f t="shared" si="17"/>
        <v>1166.25</v>
      </c>
      <c r="Z94" s="13"/>
      <c r="AA94" s="13"/>
      <c r="AB94" s="13"/>
      <c r="AC94" s="13"/>
      <c r="AD94" s="13"/>
    </row>
    <row r="95">
      <c r="A95" s="10" t="s">
        <v>29</v>
      </c>
      <c r="B95" s="10" t="s">
        <v>10</v>
      </c>
      <c r="C95" s="10" t="s">
        <v>11</v>
      </c>
      <c r="D95" s="10" t="s">
        <v>97</v>
      </c>
      <c r="E95" s="10" t="s">
        <v>103</v>
      </c>
      <c r="F95" s="10" t="s">
        <v>99</v>
      </c>
      <c r="G95" s="10" t="s">
        <v>203</v>
      </c>
      <c r="H95" s="10" t="s">
        <v>240</v>
      </c>
      <c r="I95" s="10"/>
      <c r="J95" s="4">
        <f t="shared" si="15"/>
        <v>1133</v>
      </c>
      <c r="K95" s="12">
        <v>0.25</v>
      </c>
      <c r="L95" s="5">
        <f t="shared" si="16"/>
        <v>283.25</v>
      </c>
      <c r="M95" s="5">
        <f t="shared" si="17"/>
        <v>1416.25</v>
      </c>
      <c r="Z95" s="13"/>
      <c r="AA95" s="13"/>
      <c r="AB95" s="13"/>
      <c r="AC95" s="13"/>
      <c r="AD95" s="13"/>
    </row>
    <row r="96">
      <c r="A96" s="10" t="s">
        <v>29</v>
      </c>
      <c r="B96" s="10" t="s">
        <v>10</v>
      </c>
      <c r="C96" s="10" t="s">
        <v>11</v>
      </c>
      <c r="D96" s="10" t="s">
        <v>104</v>
      </c>
      <c r="E96" s="10" t="s">
        <v>105</v>
      </c>
      <c r="F96" s="10" t="s">
        <v>99</v>
      </c>
      <c r="G96" s="10" t="s">
        <v>203</v>
      </c>
      <c r="H96" s="10" t="s">
        <v>241</v>
      </c>
      <c r="I96" s="10"/>
      <c r="J96" s="4">
        <f t="shared" si="15"/>
        <v>1750</v>
      </c>
      <c r="K96" s="12">
        <v>0.25</v>
      </c>
      <c r="L96" s="5">
        <f t="shared" si="16"/>
        <v>437.5</v>
      </c>
      <c r="M96" s="5">
        <f t="shared" si="17"/>
        <v>2187.5</v>
      </c>
      <c r="Z96" s="13"/>
      <c r="AA96" s="13"/>
      <c r="AB96" s="13"/>
      <c r="AC96" s="13"/>
      <c r="AD96" s="13"/>
    </row>
    <row r="97">
      <c r="A97" s="10" t="s">
        <v>29</v>
      </c>
      <c r="B97" s="10" t="s">
        <v>10</v>
      </c>
      <c r="C97" s="10" t="s">
        <v>11</v>
      </c>
      <c r="D97" s="10" t="s">
        <v>107</v>
      </c>
      <c r="E97" s="10" t="s">
        <v>108</v>
      </c>
      <c r="F97" s="10" t="s">
        <v>99</v>
      </c>
      <c r="G97" s="10" t="s">
        <v>203</v>
      </c>
      <c r="H97" s="10" t="s">
        <v>242</v>
      </c>
      <c r="I97" s="10"/>
      <c r="J97" s="4">
        <f t="shared" si="15"/>
        <v>1200</v>
      </c>
      <c r="K97" s="12">
        <v>0.25</v>
      </c>
      <c r="L97" s="5">
        <f t="shared" si="16"/>
        <v>300</v>
      </c>
      <c r="M97" s="5">
        <f t="shared" si="17"/>
        <v>1500</v>
      </c>
      <c r="Z97" s="13"/>
      <c r="AA97" s="13"/>
      <c r="AB97" s="13"/>
      <c r="AC97" s="13"/>
      <c r="AD97" s="13"/>
    </row>
    <row r="98">
      <c r="A98" s="10" t="s">
        <v>29</v>
      </c>
      <c r="B98" s="10" t="s">
        <v>10</v>
      </c>
      <c r="C98" s="10" t="s">
        <v>11</v>
      </c>
      <c r="D98" s="10" t="s">
        <v>107</v>
      </c>
      <c r="E98" s="10" t="s">
        <v>243</v>
      </c>
      <c r="F98" s="10" t="s">
        <v>99</v>
      </c>
      <c r="G98" s="10" t="s">
        <v>203</v>
      </c>
      <c r="H98" s="10" t="s">
        <v>242</v>
      </c>
      <c r="I98" s="10"/>
      <c r="J98" s="4">
        <f t="shared" si="15"/>
        <v>1050</v>
      </c>
      <c r="K98" s="12">
        <v>0.25</v>
      </c>
      <c r="L98" s="5">
        <f t="shared" si="16"/>
        <v>262.5</v>
      </c>
      <c r="M98" s="5">
        <f t="shared" si="17"/>
        <v>1312.5</v>
      </c>
      <c r="Z98" s="13"/>
      <c r="AA98" s="13"/>
      <c r="AB98" s="13"/>
      <c r="AC98" s="13"/>
      <c r="AD98" s="13"/>
    </row>
    <row r="99">
      <c r="A99" s="10"/>
      <c r="B99" s="10"/>
      <c r="C99" s="10"/>
      <c r="D99" s="10" t="s">
        <v>107</v>
      </c>
      <c r="E99" s="10" t="s">
        <v>291</v>
      </c>
      <c r="F99" s="10"/>
      <c r="G99" s="10" t="s">
        <v>203</v>
      </c>
      <c r="H99" s="10"/>
      <c r="I99" s="10"/>
      <c r="J99" s="4">
        <f t="shared" si="15"/>
        <v>1217</v>
      </c>
      <c r="K99" s="12">
        <v>0.25</v>
      </c>
      <c r="L99" s="5">
        <f t="shared" si="16"/>
        <v>304.25</v>
      </c>
      <c r="M99" s="5">
        <f>L99+J99</f>
        <v>1521.25</v>
      </c>
      <c r="N99" s="13"/>
      <c r="O99" s="13"/>
      <c r="P99" s="13"/>
      <c r="Q99" s="13"/>
      <c r="R99" s="13"/>
      <c r="S99" s="13"/>
      <c r="T99" s="13"/>
      <c r="U99" s="13"/>
      <c r="V99" s="13"/>
      <c r="W99" s="13"/>
      <c r="X99" s="13"/>
      <c r="Y99" s="13"/>
      <c r="Z99" s="13"/>
      <c r="AA99" s="13"/>
      <c r="AB99" s="13"/>
      <c r="AC99" s="13"/>
      <c r="AD99" s="13"/>
    </row>
    <row r="100">
      <c r="A100" s="10" t="s">
        <v>29</v>
      </c>
      <c r="B100" s="13"/>
      <c r="C100" s="13"/>
      <c r="D100" s="13"/>
      <c r="E100" s="13"/>
      <c r="F100" s="13"/>
      <c r="H100" s="13"/>
      <c r="I100" s="13"/>
      <c r="J100" s="4"/>
      <c r="K100" s="12">
        <v>0.25</v>
      </c>
      <c r="L100" s="5">
        <f t="shared" si="16"/>
        <v>0</v>
      </c>
      <c r="M100" s="5">
        <f t="shared" ref="M100:M102" si="18">J100+L100</f>
        <v>0</v>
      </c>
      <c r="Z100" s="13"/>
      <c r="AA100" s="13"/>
      <c r="AB100" s="13"/>
      <c r="AC100" s="13"/>
      <c r="AD100" s="13"/>
    </row>
    <row r="101">
      <c r="A101" s="10" t="s">
        <v>29</v>
      </c>
      <c r="B101" s="10" t="s">
        <v>10</v>
      </c>
      <c r="C101" s="10" t="s">
        <v>17</v>
      </c>
      <c r="D101" s="10" t="s">
        <v>40</v>
      </c>
      <c r="E101" s="10" t="s">
        <v>41</v>
      </c>
      <c r="F101" s="10" t="s">
        <v>42</v>
      </c>
      <c r="G101" s="10" t="s">
        <v>305</v>
      </c>
      <c r="H101" s="11" t="s">
        <v>246</v>
      </c>
      <c r="I101" s="11"/>
      <c r="J101" s="4">
        <f>J32+50</f>
        <v>1550</v>
      </c>
      <c r="K101" s="12">
        <v>0.25</v>
      </c>
      <c r="L101" s="5">
        <f t="shared" si="16"/>
        <v>387.5</v>
      </c>
      <c r="M101" s="5">
        <f t="shared" si="18"/>
        <v>1937.5</v>
      </c>
      <c r="Z101" s="13"/>
      <c r="AA101" s="13"/>
      <c r="AB101" s="13"/>
      <c r="AC101" s="13"/>
      <c r="AD101" s="13"/>
    </row>
    <row r="102">
      <c r="A102" s="10"/>
      <c r="B102" s="10"/>
      <c r="C102" s="10"/>
      <c r="D102" s="24" t="s">
        <v>49</v>
      </c>
      <c r="E102" s="24" t="s">
        <v>50</v>
      </c>
      <c r="F102" s="24" t="s">
        <v>42</v>
      </c>
      <c r="G102" s="10" t="s">
        <v>305</v>
      </c>
      <c r="H102" s="25" t="s">
        <v>224</v>
      </c>
      <c r="I102" s="25" t="s">
        <v>306</v>
      </c>
      <c r="J102" s="4">
        <f>J36+50</f>
        <v>1700</v>
      </c>
      <c r="K102" s="26">
        <v>0.25</v>
      </c>
      <c r="L102" s="27">
        <f t="shared" si="16"/>
        <v>425</v>
      </c>
      <c r="M102" s="27">
        <f t="shared" si="18"/>
        <v>2125</v>
      </c>
      <c r="Z102" s="13"/>
      <c r="AA102" s="13"/>
      <c r="AB102" s="13"/>
      <c r="AC102" s="13"/>
      <c r="AD102" s="13"/>
    </row>
    <row r="103">
      <c r="A103" s="10"/>
      <c r="B103" s="10"/>
      <c r="C103" s="10"/>
      <c r="H103" s="25" t="s">
        <v>224</v>
      </c>
      <c r="I103" s="25" t="s">
        <v>307</v>
      </c>
      <c r="Z103" s="13"/>
      <c r="AA103" s="13"/>
      <c r="AB103" s="13"/>
      <c r="AC103" s="13"/>
      <c r="AD103" s="13"/>
    </row>
    <row r="104">
      <c r="A104" s="10"/>
      <c r="B104" s="10"/>
      <c r="C104" s="10"/>
      <c r="H104" s="25" t="s">
        <v>224</v>
      </c>
      <c r="I104" s="25" t="s">
        <v>308</v>
      </c>
      <c r="Z104" s="13"/>
      <c r="AA104" s="13"/>
      <c r="AB104" s="13"/>
      <c r="AC104" s="13"/>
      <c r="AD104" s="13"/>
    </row>
    <row r="105">
      <c r="A105" s="10" t="s">
        <v>29</v>
      </c>
      <c r="B105" s="10" t="s">
        <v>10</v>
      </c>
      <c r="C105" s="10" t="s">
        <v>17</v>
      </c>
      <c r="D105" s="10" t="s">
        <v>40</v>
      </c>
      <c r="E105" s="10" t="s">
        <v>41</v>
      </c>
      <c r="F105" s="10" t="s">
        <v>42</v>
      </c>
      <c r="G105" s="11" t="s">
        <v>309</v>
      </c>
      <c r="H105" s="11" t="s">
        <v>246</v>
      </c>
      <c r="I105" s="11"/>
      <c r="J105" s="4">
        <f t="shared" ref="J105:J114" si="19">J39+50</f>
        <v>1955</v>
      </c>
      <c r="K105" s="12">
        <v>0.25</v>
      </c>
      <c r="L105" s="5">
        <f t="shared" ref="L105:L127" si="20">J105*K105</f>
        <v>488.75</v>
      </c>
      <c r="M105" s="5">
        <f t="shared" ref="M105:M127" si="21">J105+L105</f>
        <v>2443.75</v>
      </c>
      <c r="Z105" s="13"/>
      <c r="AA105" s="13"/>
      <c r="AB105" s="13"/>
      <c r="AC105" s="13"/>
      <c r="AD105" s="13"/>
    </row>
    <row r="106">
      <c r="A106" s="10" t="s">
        <v>29</v>
      </c>
      <c r="B106" s="10" t="s">
        <v>10</v>
      </c>
      <c r="C106" s="10" t="s">
        <v>17</v>
      </c>
      <c r="D106" s="10" t="s">
        <v>40</v>
      </c>
      <c r="E106" s="10" t="s">
        <v>41</v>
      </c>
      <c r="F106" s="10" t="s">
        <v>42</v>
      </c>
      <c r="G106" s="11" t="s">
        <v>310</v>
      </c>
      <c r="H106" s="11" t="s">
        <v>256</v>
      </c>
      <c r="I106" s="11"/>
      <c r="J106" s="4">
        <f t="shared" si="19"/>
        <v>2075</v>
      </c>
      <c r="K106" s="12">
        <v>0.25</v>
      </c>
      <c r="L106" s="5">
        <f t="shared" si="20"/>
        <v>518.75</v>
      </c>
      <c r="M106" s="5">
        <f t="shared" si="21"/>
        <v>2593.75</v>
      </c>
      <c r="Z106" s="13"/>
      <c r="AA106" s="13"/>
      <c r="AB106" s="13"/>
      <c r="AC106" s="13"/>
      <c r="AD106" s="13"/>
    </row>
    <row r="107">
      <c r="A107" s="10" t="s">
        <v>29</v>
      </c>
      <c r="B107" s="10" t="s">
        <v>10</v>
      </c>
      <c r="C107" s="10" t="s">
        <v>17</v>
      </c>
      <c r="D107" s="10" t="s">
        <v>40</v>
      </c>
      <c r="E107" s="10" t="s">
        <v>41</v>
      </c>
      <c r="F107" s="10" t="s">
        <v>42</v>
      </c>
      <c r="G107" s="11" t="s">
        <v>311</v>
      </c>
      <c r="H107" s="21" t="s">
        <v>258</v>
      </c>
      <c r="I107" s="21"/>
      <c r="J107" s="4">
        <f t="shared" si="19"/>
        <v>2400</v>
      </c>
      <c r="K107" s="12">
        <v>0.25</v>
      </c>
      <c r="L107" s="5">
        <f t="shared" si="20"/>
        <v>600</v>
      </c>
      <c r="M107" s="5">
        <f t="shared" si="21"/>
        <v>3000</v>
      </c>
      <c r="Z107" s="13"/>
      <c r="AA107" s="13"/>
      <c r="AB107" s="13"/>
      <c r="AC107" s="13"/>
      <c r="AD107" s="13"/>
    </row>
    <row r="108">
      <c r="A108" s="10" t="s">
        <v>29</v>
      </c>
      <c r="B108" s="10" t="s">
        <v>10</v>
      </c>
      <c r="C108" s="10" t="s">
        <v>17</v>
      </c>
      <c r="D108" s="10" t="s">
        <v>40</v>
      </c>
      <c r="E108" s="10" t="s">
        <v>41</v>
      </c>
      <c r="F108" s="10" t="s">
        <v>42</v>
      </c>
      <c r="G108" s="11" t="s">
        <v>312</v>
      </c>
      <c r="H108" s="11" t="s">
        <v>258</v>
      </c>
      <c r="I108" s="11"/>
      <c r="J108" s="4">
        <f t="shared" si="19"/>
        <v>2500</v>
      </c>
      <c r="K108" s="12">
        <v>0.25</v>
      </c>
      <c r="L108" s="5">
        <f t="shared" si="20"/>
        <v>625</v>
      </c>
      <c r="M108" s="5">
        <f t="shared" si="21"/>
        <v>3125</v>
      </c>
      <c r="Z108" s="13"/>
      <c r="AA108" s="13"/>
      <c r="AB108" s="13"/>
      <c r="AC108" s="13"/>
      <c r="AD108" s="13"/>
    </row>
    <row r="109">
      <c r="A109" s="10" t="s">
        <v>29</v>
      </c>
      <c r="B109" s="10" t="s">
        <v>10</v>
      </c>
      <c r="C109" s="10" t="s">
        <v>17</v>
      </c>
      <c r="D109" s="10" t="s">
        <v>40</v>
      </c>
      <c r="E109" s="10" t="s">
        <v>41</v>
      </c>
      <c r="F109" s="10" t="s">
        <v>42</v>
      </c>
      <c r="G109" s="11" t="s">
        <v>313</v>
      </c>
      <c r="H109" s="11" t="s">
        <v>258</v>
      </c>
      <c r="I109" s="11"/>
      <c r="J109" s="4">
        <f t="shared" si="19"/>
        <v>2500</v>
      </c>
      <c r="K109" s="12">
        <v>0.25</v>
      </c>
      <c r="L109" s="5">
        <f t="shared" si="20"/>
        <v>625</v>
      </c>
      <c r="M109" s="5">
        <f t="shared" si="21"/>
        <v>3125</v>
      </c>
      <c r="Z109" s="13"/>
      <c r="AA109" s="13"/>
      <c r="AB109" s="13"/>
      <c r="AC109" s="13"/>
      <c r="AD109" s="13"/>
    </row>
    <row r="110">
      <c r="A110" s="10" t="s">
        <v>29</v>
      </c>
      <c r="B110" s="10" t="s">
        <v>10</v>
      </c>
      <c r="C110" s="10" t="s">
        <v>17</v>
      </c>
      <c r="D110" s="10" t="s">
        <v>40</v>
      </c>
      <c r="E110" s="10" t="s">
        <v>41</v>
      </c>
      <c r="F110" s="10" t="s">
        <v>42</v>
      </c>
      <c r="G110" s="11" t="s">
        <v>314</v>
      </c>
      <c r="H110" s="11" t="s">
        <v>258</v>
      </c>
      <c r="I110" s="11"/>
      <c r="J110" s="4">
        <f t="shared" si="19"/>
        <v>2600</v>
      </c>
      <c r="K110" s="12">
        <v>0.25</v>
      </c>
      <c r="L110" s="5">
        <f t="shared" si="20"/>
        <v>650</v>
      </c>
      <c r="M110" s="5">
        <f t="shared" si="21"/>
        <v>3250</v>
      </c>
      <c r="Z110" s="13"/>
      <c r="AA110" s="13"/>
      <c r="AB110" s="13"/>
      <c r="AC110" s="13"/>
      <c r="AD110" s="13"/>
    </row>
    <row r="111">
      <c r="A111" s="10" t="s">
        <v>29</v>
      </c>
      <c r="B111" s="10" t="s">
        <v>10</v>
      </c>
      <c r="C111" s="10" t="s">
        <v>17</v>
      </c>
      <c r="D111" s="10" t="s">
        <v>40</v>
      </c>
      <c r="E111" s="10" t="s">
        <v>41</v>
      </c>
      <c r="F111" s="10" t="s">
        <v>42</v>
      </c>
      <c r="G111" s="11" t="s">
        <v>315</v>
      </c>
      <c r="H111" s="11" t="s">
        <v>258</v>
      </c>
      <c r="I111" s="11"/>
      <c r="J111" s="4">
        <f t="shared" si="19"/>
        <v>2080</v>
      </c>
      <c r="K111" s="12">
        <v>0.25</v>
      </c>
      <c r="L111" s="5">
        <f t="shared" si="20"/>
        <v>520</v>
      </c>
      <c r="M111" s="5">
        <f t="shared" si="21"/>
        <v>2600</v>
      </c>
      <c r="Z111" s="13"/>
      <c r="AA111" s="13"/>
      <c r="AB111" s="13"/>
      <c r="AC111" s="13"/>
      <c r="AD111" s="13"/>
    </row>
    <row r="112">
      <c r="A112" s="10" t="s">
        <v>29</v>
      </c>
      <c r="B112" s="10" t="s">
        <v>10</v>
      </c>
      <c r="C112" s="10" t="s">
        <v>17</v>
      </c>
      <c r="D112" s="10" t="s">
        <v>40</v>
      </c>
      <c r="E112" s="10" t="s">
        <v>41</v>
      </c>
      <c r="F112" s="10" t="s">
        <v>42</v>
      </c>
      <c r="G112" s="11" t="s">
        <v>316</v>
      </c>
      <c r="H112" s="11" t="s">
        <v>258</v>
      </c>
      <c r="I112" s="11"/>
      <c r="J112" s="4">
        <f t="shared" si="19"/>
        <v>2200</v>
      </c>
      <c r="K112" s="12">
        <v>0.25</v>
      </c>
      <c r="L112" s="5">
        <f t="shared" si="20"/>
        <v>550</v>
      </c>
      <c r="M112" s="5">
        <f t="shared" si="21"/>
        <v>2750</v>
      </c>
      <c r="Z112" s="13"/>
      <c r="AA112" s="13"/>
      <c r="AB112" s="13"/>
      <c r="AC112" s="13"/>
      <c r="AD112" s="13"/>
    </row>
    <row r="113">
      <c r="A113" s="10" t="s">
        <v>29</v>
      </c>
      <c r="B113" s="10" t="s">
        <v>10</v>
      </c>
      <c r="C113" s="10" t="s">
        <v>17</v>
      </c>
      <c r="D113" s="10" t="s">
        <v>40</v>
      </c>
      <c r="E113" s="10" t="s">
        <v>41</v>
      </c>
      <c r="F113" s="10" t="s">
        <v>42</v>
      </c>
      <c r="G113" s="11" t="s">
        <v>317</v>
      </c>
      <c r="H113" s="11" t="s">
        <v>258</v>
      </c>
      <c r="I113" s="11"/>
      <c r="J113" s="4">
        <f t="shared" si="19"/>
        <v>2550</v>
      </c>
      <c r="K113" s="12">
        <v>0.25</v>
      </c>
      <c r="L113" s="5">
        <f t="shared" si="20"/>
        <v>637.5</v>
      </c>
      <c r="M113" s="5">
        <f t="shared" si="21"/>
        <v>3187.5</v>
      </c>
      <c r="Z113" s="13"/>
      <c r="AA113" s="13"/>
      <c r="AB113" s="13"/>
      <c r="AC113" s="13"/>
      <c r="AD113" s="13"/>
    </row>
    <row r="114">
      <c r="A114" s="10" t="s">
        <v>29</v>
      </c>
      <c r="B114" s="10" t="s">
        <v>10</v>
      </c>
      <c r="C114" s="10" t="s">
        <v>17</v>
      </c>
      <c r="D114" s="10" t="s">
        <v>40</v>
      </c>
      <c r="E114" s="10" t="s">
        <v>41</v>
      </c>
      <c r="F114" s="10" t="s">
        <v>42</v>
      </c>
      <c r="G114" s="11" t="s">
        <v>318</v>
      </c>
      <c r="H114" s="11" t="s">
        <v>258</v>
      </c>
      <c r="I114" s="11"/>
      <c r="J114" s="4">
        <f t="shared" si="19"/>
        <v>2650</v>
      </c>
      <c r="K114" s="12">
        <v>0.25</v>
      </c>
      <c r="L114" s="5">
        <f t="shared" si="20"/>
        <v>662.5</v>
      </c>
      <c r="M114" s="5">
        <f t="shared" si="21"/>
        <v>3312.5</v>
      </c>
      <c r="Z114" s="13"/>
      <c r="AA114" s="13"/>
      <c r="AB114" s="13"/>
      <c r="AC114" s="13"/>
      <c r="AD114" s="13"/>
    </row>
    <row r="115">
      <c r="A115" s="10" t="s">
        <v>29</v>
      </c>
      <c r="B115" s="10" t="s">
        <v>10</v>
      </c>
      <c r="C115" s="10" t="s">
        <v>17</v>
      </c>
      <c r="D115" s="10" t="s">
        <v>40</v>
      </c>
      <c r="E115" s="10" t="s">
        <v>41</v>
      </c>
      <c r="F115" s="10" t="s">
        <v>42</v>
      </c>
      <c r="G115" s="11" t="s">
        <v>319</v>
      </c>
      <c r="H115" s="11" t="s">
        <v>258</v>
      </c>
      <c r="I115" s="11"/>
      <c r="J115" s="4">
        <f t="shared" ref="J115:J127" si="22">J52+50</f>
        <v>2650</v>
      </c>
      <c r="K115" s="12">
        <v>0.25</v>
      </c>
      <c r="L115" s="5">
        <f t="shared" si="20"/>
        <v>662.5</v>
      </c>
      <c r="M115" s="5">
        <f t="shared" si="21"/>
        <v>3312.5</v>
      </c>
      <c r="Z115" s="13"/>
      <c r="AA115" s="13"/>
      <c r="AB115" s="13"/>
      <c r="AC115" s="13"/>
      <c r="AD115" s="13"/>
    </row>
    <row r="116">
      <c r="A116" s="10" t="s">
        <v>29</v>
      </c>
      <c r="B116" s="10" t="s">
        <v>10</v>
      </c>
      <c r="C116" s="10" t="s">
        <v>17</v>
      </c>
      <c r="D116" s="10" t="s">
        <v>40</v>
      </c>
      <c r="E116" s="10" t="s">
        <v>41</v>
      </c>
      <c r="F116" s="10" t="s">
        <v>42</v>
      </c>
      <c r="G116" s="11" t="s">
        <v>320</v>
      </c>
      <c r="H116" s="11" t="s">
        <v>258</v>
      </c>
      <c r="I116" s="11"/>
      <c r="J116" s="4">
        <f t="shared" si="22"/>
        <v>2750</v>
      </c>
      <c r="K116" s="12">
        <v>0.25</v>
      </c>
      <c r="L116" s="5">
        <f t="shared" si="20"/>
        <v>687.5</v>
      </c>
      <c r="M116" s="5">
        <f t="shared" si="21"/>
        <v>3437.5</v>
      </c>
      <c r="Z116" s="13"/>
      <c r="AA116" s="13"/>
      <c r="AB116" s="13"/>
      <c r="AC116" s="13"/>
      <c r="AD116" s="13"/>
    </row>
    <row r="117">
      <c r="A117" s="10" t="s">
        <v>29</v>
      </c>
      <c r="B117" s="10" t="s">
        <v>10</v>
      </c>
      <c r="C117" s="10" t="s">
        <v>17</v>
      </c>
      <c r="D117" s="10" t="s">
        <v>81</v>
      </c>
      <c r="E117" s="10" t="s">
        <v>41</v>
      </c>
      <c r="F117" s="10" t="s">
        <v>42</v>
      </c>
      <c r="G117" s="11" t="s">
        <v>321</v>
      </c>
      <c r="H117" s="11" t="s">
        <v>273</v>
      </c>
      <c r="I117" s="11"/>
      <c r="J117" s="4">
        <f t="shared" si="22"/>
        <v>1925</v>
      </c>
      <c r="K117" s="12">
        <v>0.25</v>
      </c>
      <c r="L117" s="5">
        <f t="shared" si="20"/>
        <v>481.25</v>
      </c>
      <c r="M117" s="5">
        <f t="shared" si="21"/>
        <v>2406.25</v>
      </c>
      <c r="Z117" s="13"/>
      <c r="AA117" s="13"/>
      <c r="AB117" s="13"/>
      <c r="AC117" s="13"/>
      <c r="AD117" s="13"/>
    </row>
    <row r="118">
      <c r="A118" s="10" t="s">
        <v>29</v>
      </c>
      <c r="B118" s="10" t="s">
        <v>10</v>
      </c>
      <c r="C118" s="10" t="s">
        <v>17</v>
      </c>
      <c r="D118" s="10" t="s">
        <v>82</v>
      </c>
      <c r="E118" s="10" t="s">
        <v>41</v>
      </c>
      <c r="F118" s="10" t="s">
        <v>83</v>
      </c>
      <c r="G118" s="11" t="s">
        <v>322</v>
      </c>
      <c r="H118" s="11" t="s">
        <v>275</v>
      </c>
      <c r="I118" s="11"/>
      <c r="J118" s="4">
        <f t="shared" si="22"/>
        <v>1925</v>
      </c>
      <c r="K118" s="12">
        <v>0.25</v>
      </c>
      <c r="L118" s="5">
        <f t="shared" si="20"/>
        <v>481.25</v>
      </c>
      <c r="M118" s="5">
        <f t="shared" si="21"/>
        <v>2406.25</v>
      </c>
      <c r="Z118" s="13"/>
      <c r="AA118" s="13"/>
      <c r="AB118" s="13"/>
      <c r="AC118" s="13"/>
      <c r="AD118" s="13"/>
    </row>
    <row r="119">
      <c r="A119" s="10" t="s">
        <v>29</v>
      </c>
      <c r="B119" s="10" t="s">
        <v>10</v>
      </c>
      <c r="C119" s="10" t="s">
        <v>17</v>
      </c>
      <c r="D119" s="10" t="s">
        <v>170</v>
      </c>
      <c r="E119" s="10" t="s">
        <v>87</v>
      </c>
      <c r="F119" s="10" t="s">
        <v>83</v>
      </c>
      <c r="G119" s="11" t="s">
        <v>323</v>
      </c>
      <c r="H119" s="11" t="s">
        <v>277</v>
      </c>
      <c r="I119" s="11"/>
      <c r="J119" s="4">
        <f t="shared" si="22"/>
        <v>1325</v>
      </c>
      <c r="K119" s="12">
        <v>0.25</v>
      </c>
      <c r="L119" s="5">
        <f t="shared" si="20"/>
        <v>331.25</v>
      </c>
      <c r="M119" s="5">
        <f t="shared" si="21"/>
        <v>1656.25</v>
      </c>
      <c r="Z119" s="13"/>
      <c r="AA119" s="13"/>
      <c r="AB119" s="13"/>
      <c r="AC119" s="13"/>
      <c r="AD119" s="13"/>
    </row>
    <row r="120">
      <c r="A120" s="10" t="s">
        <v>29</v>
      </c>
      <c r="B120" s="10" t="s">
        <v>10</v>
      </c>
      <c r="C120" s="10" t="s">
        <v>17</v>
      </c>
      <c r="D120" s="10" t="s">
        <v>91</v>
      </c>
      <c r="E120" s="10" t="s">
        <v>87</v>
      </c>
      <c r="F120" s="10" t="s">
        <v>83</v>
      </c>
      <c r="G120" s="10" t="s">
        <v>323</v>
      </c>
      <c r="H120" s="11" t="s">
        <v>278</v>
      </c>
      <c r="I120" s="11"/>
      <c r="J120" s="4">
        <f t="shared" si="22"/>
        <v>1550</v>
      </c>
      <c r="K120" s="12">
        <v>0.25</v>
      </c>
      <c r="L120" s="5">
        <f t="shared" si="20"/>
        <v>387.5</v>
      </c>
      <c r="M120" s="5">
        <f t="shared" si="21"/>
        <v>1937.5</v>
      </c>
      <c r="Z120" s="13"/>
      <c r="AA120" s="13"/>
      <c r="AB120" s="13"/>
      <c r="AC120" s="13"/>
      <c r="AD120" s="13"/>
    </row>
    <row r="121">
      <c r="A121" s="10" t="s">
        <v>29</v>
      </c>
      <c r="B121" s="10" t="s">
        <v>10</v>
      </c>
      <c r="C121" s="10" t="s">
        <v>17</v>
      </c>
      <c r="D121" s="10" t="s">
        <v>93</v>
      </c>
      <c r="E121" s="10" t="s">
        <v>94</v>
      </c>
      <c r="F121" s="10" t="s">
        <v>42</v>
      </c>
      <c r="G121" s="11" t="s">
        <v>324</v>
      </c>
      <c r="H121" s="10" t="s">
        <v>281</v>
      </c>
      <c r="I121" s="10" t="s">
        <v>325</v>
      </c>
      <c r="J121" s="4">
        <f t="shared" si="22"/>
        <v>947</v>
      </c>
      <c r="K121" s="12">
        <v>0.25</v>
      </c>
      <c r="L121" s="5">
        <f t="shared" si="20"/>
        <v>236.75</v>
      </c>
      <c r="M121" s="5">
        <f t="shared" si="21"/>
        <v>1183.75</v>
      </c>
      <c r="Z121" s="13"/>
      <c r="AA121" s="13"/>
      <c r="AB121" s="13"/>
      <c r="AC121" s="13"/>
      <c r="AD121" s="13"/>
    </row>
    <row r="122">
      <c r="A122" s="10" t="s">
        <v>29</v>
      </c>
      <c r="B122" s="10" t="s">
        <v>10</v>
      </c>
      <c r="C122" s="10" t="s">
        <v>17</v>
      </c>
      <c r="D122" s="10" t="s">
        <v>97</v>
      </c>
      <c r="E122" s="10" t="s">
        <v>98</v>
      </c>
      <c r="F122" s="10" t="s">
        <v>99</v>
      </c>
      <c r="G122" s="11" t="s">
        <v>323</v>
      </c>
      <c r="H122" s="10" t="s">
        <v>283</v>
      </c>
      <c r="I122" s="10"/>
      <c r="J122" s="4">
        <f t="shared" si="22"/>
        <v>833</v>
      </c>
      <c r="K122" s="12">
        <v>0.25</v>
      </c>
      <c r="L122" s="5">
        <f t="shared" si="20"/>
        <v>208.25</v>
      </c>
      <c r="M122" s="5">
        <f t="shared" si="21"/>
        <v>1041.25</v>
      </c>
      <c r="Z122" s="13"/>
      <c r="AA122" s="13"/>
      <c r="AB122" s="13"/>
      <c r="AC122" s="13"/>
      <c r="AD122" s="13"/>
    </row>
    <row r="123">
      <c r="A123" s="10" t="s">
        <v>29</v>
      </c>
      <c r="B123" s="10" t="s">
        <v>10</v>
      </c>
      <c r="C123" s="10" t="s">
        <v>17</v>
      </c>
      <c r="D123" s="10" t="s">
        <v>97</v>
      </c>
      <c r="E123" s="10" t="s">
        <v>102</v>
      </c>
      <c r="F123" s="10" t="s">
        <v>99</v>
      </c>
      <c r="G123" s="11" t="s">
        <v>323</v>
      </c>
      <c r="H123" s="10" t="s">
        <v>283</v>
      </c>
      <c r="I123" s="10"/>
      <c r="J123" s="4">
        <f t="shared" si="22"/>
        <v>833</v>
      </c>
      <c r="K123" s="12">
        <v>0.25</v>
      </c>
      <c r="L123" s="5">
        <f t="shared" si="20"/>
        <v>208.25</v>
      </c>
      <c r="M123" s="5">
        <f t="shared" si="21"/>
        <v>1041.25</v>
      </c>
      <c r="Z123" s="13"/>
      <c r="AA123" s="13"/>
      <c r="AB123" s="13"/>
      <c r="AC123" s="13"/>
      <c r="AD123" s="13"/>
    </row>
    <row r="124">
      <c r="A124" s="10" t="s">
        <v>29</v>
      </c>
      <c r="B124" s="10" t="s">
        <v>10</v>
      </c>
      <c r="C124" s="10" t="s">
        <v>17</v>
      </c>
      <c r="D124" s="10" t="s">
        <v>97</v>
      </c>
      <c r="E124" s="10" t="s">
        <v>103</v>
      </c>
      <c r="F124" s="10" t="s">
        <v>99</v>
      </c>
      <c r="G124" s="11" t="s">
        <v>323</v>
      </c>
      <c r="H124" s="10" t="s">
        <v>283</v>
      </c>
      <c r="I124" s="10"/>
      <c r="J124" s="4">
        <f t="shared" si="22"/>
        <v>1033</v>
      </c>
      <c r="K124" s="12">
        <v>0.25</v>
      </c>
      <c r="L124" s="5">
        <f t="shared" si="20"/>
        <v>258.25</v>
      </c>
      <c r="M124" s="5">
        <f t="shared" si="21"/>
        <v>1291.25</v>
      </c>
      <c r="Z124" s="13"/>
      <c r="AA124" s="13"/>
      <c r="AB124" s="13"/>
      <c r="AC124" s="13"/>
      <c r="AD124" s="13"/>
    </row>
    <row r="125">
      <c r="A125" s="10" t="s">
        <v>29</v>
      </c>
      <c r="B125" s="10" t="s">
        <v>10</v>
      </c>
      <c r="C125" s="10" t="s">
        <v>17</v>
      </c>
      <c r="D125" s="10" t="s">
        <v>104</v>
      </c>
      <c r="E125" s="10" t="s">
        <v>105</v>
      </c>
      <c r="F125" s="10" t="s">
        <v>99</v>
      </c>
      <c r="G125" s="11" t="s">
        <v>323</v>
      </c>
      <c r="H125" s="10" t="s">
        <v>283</v>
      </c>
      <c r="I125" s="10"/>
      <c r="J125" s="4">
        <f t="shared" si="22"/>
        <v>1650</v>
      </c>
      <c r="K125" s="12">
        <v>0.25</v>
      </c>
      <c r="L125" s="5">
        <f t="shared" si="20"/>
        <v>412.5</v>
      </c>
      <c r="M125" s="5">
        <f t="shared" si="21"/>
        <v>2062.5</v>
      </c>
      <c r="Z125" s="13"/>
      <c r="AA125" s="13"/>
      <c r="AB125" s="13"/>
      <c r="AC125" s="13"/>
      <c r="AD125" s="13"/>
    </row>
    <row r="126">
      <c r="A126" s="10" t="s">
        <v>29</v>
      </c>
      <c r="B126" s="10" t="s">
        <v>10</v>
      </c>
      <c r="C126" s="10" t="s">
        <v>17</v>
      </c>
      <c r="D126" s="10" t="s">
        <v>107</v>
      </c>
      <c r="E126" s="10" t="s">
        <v>108</v>
      </c>
      <c r="F126" s="10" t="s">
        <v>99</v>
      </c>
      <c r="G126" s="11" t="s">
        <v>323</v>
      </c>
      <c r="H126" s="10" t="s">
        <v>283</v>
      </c>
      <c r="I126" s="10"/>
      <c r="J126" s="4">
        <f t="shared" si="22"/>
        <v>1100</v>
      </c>
      <c r="K126" s="12">
        <v>0.25</v>
      </c>
      <c r="L126" s="5">
        <f t="shared" si="20"/>
        <v>275</v>
      </c>
      <c r="M126" s="5">
        <f t="shared" si="21"/>
        <v>1375</v>
      </c>
      <c r="Z126" s="13"/>
      <c r="AA126" s="13"/>
      <c r="AB126" s="13"/>
      <c r="AC126" s="13"/>
      <c r="AD126" s="13"/>
    </row>
    <row r="127">
      <c r="A127" s="10" t="s">
        <v>29</v>
      </c>
      <c r="B127" s="10" t="s">
        <v>10</v>
      </c>
      <c r="C127" s="10" t="s">
        <v>17</v>
      </c>
      <c r="D127" s="10" t="s">
        <v>107</v>
      </c>
      <c r="E127" s="10" t="s">
        <v>243</v>
      </c>
      <c r="F127" s="10" t="s">
        <v>99</v>
      </c>
      <c r="G127" s="11" t="s">
        <v>323</v>
      </c>
      <c r="H127" s="10" t="s">
        <v>283</v>
      </c>
      <c r="I127" s="10" t="s">
        <v>326</v>
      </c>
      <c r="J127" s="4">
        <f t="shared" si="22"/>
        <v>950</v>
      </c>
      <c r="K127" s="12">
        <v>0.25</v>
      </c>
      <c r="L127" s="5">
        <f t="shared" si="20"/>
        <v>237.5</v>
      </c>
      <c r="M127" s="5">
        <f t="shared" si="21"/>
        <v>1187.5</v>
      </c>
      <c r="Z127" s="13"/>
      <c r="AA127" s="13"/>
      <c r="AB127" s="13"/>
      <c r="AC127" s="13"/>
      <c r="AD127" s="13"/>
    </row>
    <row r="128">
      <c r="H128" s="10"/>
      <c r="I128" s="10" t="s">
        <v>327</v>
      </c>
      <c r="Z128" s="13"/>
      <c r="AA128" s="13"/>
      <c r="AB128" s="13"/>
      <c r="AC128" s="13"/>
      <c r="AD128" s="13"/>
    </row>
    <row r="129">
      <c r="H129" s="10"/>
      <c r="I129" s="10" t="s">
        <v>328</v>
      </c>
      <c r="Z129" s="13"/>
      <c r="AA129" s="13"/>
      <c r="AB129" s="13"/>
      <c r="AC129" s="13"/>
      <c r="AD129" s="13"/>
    </row>
    <row r="130">
      <c r="H130" s="10"/>
      <c r="I130" s="10" t="s">
        <v>329</v>
      </c>
      <c r="Z130" s="13"/>
      <c r="AA130" s="13"/>
      <c r="AB130" s="13"/>
      <c r="AC130" s="13"/>
      <c r="AD130" s="13"/>
    </row>
    <row r="131">
      <c r="H131" s="10"/>
      <c r="I131" s="10" t="s">
        <v>330</v>
      </c>
      <c r="Z131" s="13"/>
      <c r="AA131" s="13"/>
      <c r="AB131" s="13"/>
      <c r="AC131" s="13"/>
      <c r="AD131" s="13"/>
    </row>
    <row r="132">
      <c r="A132" s="10"/>
      <c r="B132" s="10"/>
      <c r="C132" s="10"/>
      <c r="D132" s="10" t="s">
        <v>107</v>
      </c>
      <c r="E132" s="10" t="s">
        <v>244</v>
      </c>
      <c r="F132" s="10"/>
      <c r="G132" s="11" t="s">
        <v>323</v>
      </c>
      <c r="H132" s="10"/>
      <c r="I132" s="10"/>
      <c r="J132" s="4">
        <f>J69+50</f>
        <v>1117</v>
      </c>
      <c r="K132" s="12">
        <v>0.25</v>
      </c>
      <c r="L132" s="5">
        <f>J132*K132</f>
        <v>279.25</v>
      </c>
      <c r="M132" s="5">
        <f>J132+L132</f>
        <v>1396.25</v>
      </c>
      <c r="Z132" s="13"/>
      <c r="AA132" s="13"/>
      <c r="AB132" s="13"/>
      <c r="AC132" s="13"/>
      <c r="AD132" s="13"/>
    </row>
    <row r="133">
      <c r="A133" s="7" t="s">
        <v>331</v>
      </c>
      <c r="Z133" s="13"/>
      <c r="AA133" s="13"/>
      <c r="AB133" s="13"/>
      <c r="AC133" s="13"/>
      <c r="AD133" s="13"/>
    </row>
    <row r="134">
      <c r="A134" s="10" t="s">
        <v>29</v>
      </c>
      <c r="B134" s="4" t="s">
        <v>1</v>
      </c>
      <c r="C134" s="4" t="s">
        <v>2</v>
      </c>
      <c r="D134" s="4" t="s">
        <v>3</v>
      </c>
      <c r="E134" s="4" t="s">
        <v>32</v>
      </c>
      <c r="F134" s="4" t="s">
        <v>4</v>
      </c>
      <c r="G134" s="4" t="s">
        <v>6</v>
      </c>
      <c r="H134" s="4" t="s">
        <v>5</v>
      </c>
      <c r="I134" s="4"/>
      <c r="J134" s="4" t="s">
        <v>34</v>
      </c>
      <c r="K134" s="12">
        <v>0.25</v>
      </c>
      <c r="L134" s="5" t="str">
        <f t="shared" ref="L134:L135" si="23">J134*K134</f>
        <v>#VALUE!</v>
      </c>
      <c r="M134" s="5" t="str">
        <f t="shared" ref="M134:M135" si="24">J134+L134</f>
        <v>#VALUE!</v>
      </c>
      <c r="Z134" s="13"/>
      <c r="AA134" s="13"/>
      <c r="AB134" s="13"/>
      <c r="AC134" s="13"/>
      <c r="AD134" s="13"/>
    </row>
    <row r="135">
      <c r="A135" s="10" t="s">
        <v>29</v>
      </c>
      <c r="B135" s="10" t="s">
        <v>10</v>
      </c>
      <c r="C135" s="10" t="s">
        <v>11</v>
      </c>
      <c r="D135" s="10" t="s">
        <v>40</v>
      </c>
      <c r="E135" s="10" t="s">
        <v>41</v>
      </c>
      <c r="F135" s="10" t="s">
        <v>42</v>
      </c>
      <c r="G135" s="10" t="s">
        <v>332</v>
      </c>
      <c r="H135" s="11" t="s">
        <v>224</v>
      </c>
      <c r="I135" s="10" t="s">
        <v>333</v>
      </c>
      <c r="J135" s="4">
        <f>J72+50</f>
        <v>1700</v>
      </c>
      <c r="K135" s="12">
        <v>0.25</v>
      </c>
      <c r="L135" s="5">
        <f t="shared" si="23"/>
        <v>425</v>
      </c>
      <c r="M135" s="5">
        <f t="shared" si="24"/>
        <v>2125</v>
      </c>
      <c r="Z135" s="13"/>
      <c r="AA135" s="13"/>
      <c r="AB135" s="13"/>
      <c r="AC135" s="13"/>
      <c r="AD135" s="13"/>
    </row>
    <row r="136">
      <c r="H136" s="11"/>
      <c r="I136" s="10" t="s">
        <v>334</v>
      </c>
      <c r="J136" s="4"/>
      <c r="K136" s="12"/>
      <c r="L136" s="5"/>
      <c r="M136" s="5"/>
      <c r="Z136" s="13"/>
      <c r="AA136" s="13"/>
      <c r="AB136" s="13"/>
      <c r="AC136" s="13"/>
      <c r="AD136" s="13"/>
    </row>
    <row r="137">
      <c r="H137" s="11"/>
      <c r="I137" s="10" t="s">
        <v>335</v>
      </c>
      <c r="J137" s="4"/>
      <c r="K137" s="12"/>
      <c r="L137" s="5"/>
      <c r="M137" s="5"/>
      <c r="Z137" s="13"/>
      <c r="AA137" s="13"/>
      <c r="AB137" s="13"/>
      <c r="AC137" s="13"/>
      <c r="AD137" s="13"/>
    </row>
    <row r="138">
      <c r="H138" s="11"/>
      <c r="I138" s="10" t="s">
        <v>336</v>
      </c>
      <c r="J138" s="4"/>
      <c r="K138" s="12"/>
      <c r="L138" s="5"/>
      <c r="M138" s="5"/>
      <c r="Z138" s="13"/>
      <c r="AA138" s="13"/>
      <c r="AB138" s="13"/>
      <c r="AC138" s="13"/>
      <c r="AD138" s="13"/>
    </row>
    <row r="139">
      <c r="A139" s="10"/>
      <c r="B139" s="10"/>
      <c r="C139" s="10"/>
      <c r="D139" s="10" t="s">
        <v>49</v>
      </c>
      <c r="E139" s="10" t="s">
        <v>50</v>
      </c>
      <c r="F139" s="10" t="s">
        <v>42</v>
      </c>
      <c r="G139" s="10" t="s">
        <v>332</v>
      </c>
      <c r="H139" s="11" t="s">
        <v>224</v>
      </c>
      <c r="I139" s="10" t="s">
        <v>337</v>
      </c>
      <c r="J139" s="4">
        <f>J73+50</f>
        <v>1850</v>
      </c>
      <c r="K139" s="12">
        <v>0.25</v>
      </c>
      <c r="L139" s="5">
        <f>J139*K139</f>
        <v>462.5</v>
      </c>
      <c r="M139" s="5">
        <f>J139+L139</f>
        <v>2312.5</v>
      </c>
      <c r="O139" s="3"/>
      <c r="Z139" s="13"/>
      <c r="AA139" s="13"/>
      <c r="AB139" s="13"/>
      <c r="AC139" s="13"/>
      <c r="AD139" s="13"/>
    </row>
    <row r="140">
      <c r="A140" s="10"/>
      <c r="B140" s="10"/>
      <c r="C140" s="10"/>
      <c r="H140" s="11" t="s">
        <v>224</v>
      </c>
      <c r="I140" s="10" t="s">
        <v>338</v>
      </c>
      <c r="O140" s="3"/>
      <c r="Z140" s="13"/>
      <c r="AA140" s="13"/>
      <c r="AB140" s="13"/>
      <c r="AC140" s="13"/>
      <c r="AD140" s="13"/>
    </row>
    <row r="141">
      <c r="A141" s="10"/>
      <c r="B141" s="10"/>
      <c r="C141" s="10"/>
      <c r="H141" s="11" t="s">
        <v>224</v>
      </c>
      <c r="I141" s="10" t="s">
        <v>339</v>
      </c>
      <c r="O141" s="3"/>
      <c r="Z141" s="13"/>
      <c r="AA141" s="13"/>
      <c r="AB141" s="13"/>
      <c r="AC141" s="13"/>
      <c r="AD141" s="13"/>
    </row>
    <row r="142">
      <c r="A142" s="10" t="s">
        <v>29</v>
      </c>
      <c r="B142" s="10" t="s">
        <v>10</v>
      </c>
      <c r="C142" s="10" t="s">
        <v>11</v>
      </c>
      <c r="D142" s="10" t="s">
        <v>40</v>
      </c>
      <c r="E142" s="10" t="s">
        <v>41</v>
      </c>
      <c r="F142" s="10" t="s">
        <v>42</v>
      </c>
      <c r="G142" s="11" t="s">
        <v>340</v>
      </c>
      <c r="H142" s="11" t="s">
        <v>228</v>
      </c>
      <c r="I142" s="11"/>
      <c r="J142" s="4">
        <f t="shared" ref="J142:J144" si="25">J76+50</f>
        <v>2105</v>
      </c>
      <c r="K142" s="12">
        <v>0.25</v>
      </c>
      <c r="L142" s="5">
        <f t="shared" ref="L142:L144" si="26">J142*K142</f>
        <v>526.25</v>
      </c>
      <c r="M142" s="5">
        <f t="shared" ref="M142:M144" si="27">J142+L142</f>
        <v>2631.25</v>
      </c>
      <c r="Z142" s="13"/>
      <c r="AA142" s="13"/>
      <c r="AB142" s="13"/>
      <c r="AC142" s="13"/>
      <c r="AD142" s="13"/>
    </row>
    <row r="143">
      <c r="A143" s="10" t="s">
        <v>29</v>
      </c>
      <c r="B143" s="10" t="s">
        <v>10</v>
      </c>
      <c r="C143" s="10" t="s">
        <v>11</v>
      </c>
      <c r="D143" s="10" t="s">
        <v>40</v>
      </c>
      <c r="E143" s="10" t="s">
        <v>41</v>
      </c>
      <c r="F143" s="10" t="s">
        <v>42</v>
      </c>
      <c r="G143" s="11" t="s">
        <v>341</v>
      </c>
      <c r="H143" s="11" t="s">
        <v>228</v>
      </c>
      <c r="I143" s="11"/>
      <c r="J143" s="4">
        <f t="shared" si="25"/>
        <v>2225</v>
      </c>
      <c r="K143" s="12">
        <v>0.25</v>
      </c>
      <c r="L143" s="5">
        <f t="shared" si="26"/>
        <v>556.25</v>
      </c>
      <c r="M143" s="5">
        <f t="shared" si="27"/>
        <v>2781.25</v>
      </c>
      <c r="Z143" s="13"/>
      <c r="AA143" s="13"/>
      <c r="AB143" s="13"/>
      <c r="AC143" s="13"/>
      <c r="AD143" s="13"/>
    </row>
    <row r="144">
      <c r="A144" s="10" t="s">
        <v>29</v>
      </c>
      <c r="B144" s="10" t="s">
        <v>10</v>
      </c>
      <c r="C144" s="10" t="s">
        <v>11</v>
      </c>
      <c r="D144" s="10" t="s">
        <v>40</v>
      </c>
      <c r="E144" s="10" t="s">
        <v>41</v>
      </c>
      <c r="F144" s="10" t="s">
        <v>42</v>
      </c>
      <c r="G144" s="11" t="s">
        <v>342</v>
      </c>
      <c r="H144" s="11" t="s">
        <v>229</v>
      </c>
      <c r="I144" s="10" t="s">
        <v>343</v>
      </c>
      <c r="J144" s="4">
        <f t="shared" si="25"/>
        <v>2550</v>
      </c>
      <c r="K144" s="12">
        <v>0.25</v>
      </c>
      <c r="L144" s="5">
        <f t="shared" si="26"/>
        <v>637.5</v>
      </c>
      <c r="M144" s="5">
        <f t="shared" si="27"/>
        <v>3187.5</v>
      </c>
      <c r="Z144" s="13"/>
      <c r="AA144" s="13"/>
      <c r="AB144" s="13"/>
      <c r="AC144" s="13"/>
      <c r="AD144" s="13"/>
    </row>
    <row r="145">
      <c r="H145" s="11"/>
      <c r="I145" s="10" t="s">
        <v>344</v>
      </c>
      <c r="J145" s="4"/>
      <c r="K145" s="12"/>
      <c r="L145" s="5"/>
      <c r="M145" s="5"/>
      <c r="Z145" s="13"/>
      <c r="AA145" s="13"/>
      <c r="AB145" s="13"/>
      <c r="AC145" s="13"/>
      <c r="AD145" s="13"/>
    </row>
    <row r="146">
      <c r="H146" s="11"/>
      <c r="I146" s="10" t="s">
        <v>345</v>
      </c>
      <c r="J146" s="4"/>
      <c r="K146" s="12"/>
      <c r="L146" s="5"/>
      <c r="M146" s="5"/>
      <c r="Z146" s="13"/>
      <c r="AA146" s="13"/>
      <c r="AB146" s="13"/>
      <c r="AC146" s="13"/>
      <c r="AD146" s="13"/>
    </row>
    <row r="147">
      <c r="H147" s="11"/>
      <c r="I147" s="10" t="s">
        <v>346</v>
      </c>
      <c r="J147" s="4"/>
      <c r="K147" s="12"/>
      <c r="L147" s="5"/>
      <c r="M147" s="5"/>
      <c r="Z147" s="13"/>
      <c r="AA147" s="13"/>
      <c r="AB147" s="13"/>
      <c r="AC147" s="13"/>
      <c r="AD147" s="13"/>
    </row>
    <row r="148">
      <c r="A148" s="10" t="s">
        <v>29</v>
      </c>
      <c r="B148" s="10" t="s">
        <v>10</v>
      </c>
      <c r="C148" s="10" t="s">
        <v>11</v>
      </c>
      <c r="D148" s="10" t="s">
        <v>40</v>
      </c>
      <c r="E148" s="10" t="s">
        <v>41</v>
      </c>
      <c r="F148" s="10" t="s">
        <v>42</v>
      </c>
      <c r="G148" s="11" t="s">
        <v>347</v>
      </c>
      <c r="H148" s="11" t="s">
        <v>229</v>
      </c>
      <c r="I148" s="11"/>
      <c r="J148" s="4">
        <f t="shared" ref="J148:J156" si="28">J79+50</f>
        <v>2650</v>
      </c>
      <c r="K148" s="12">
        <v>0.25</v>
      </c>
      <c r="L148" s="5">
        <f t="shared" ref="L148:L165" si="29">J148*K148</f>
        <v>662.5</v>
      </c>
      <c r="M148" s="5">
        <f t="shared" ref="M148:M165" si="30">J148+L148</f>
        <v>3312.5</v>
      </c>
      <c r="Z148" s="13"/>
      <c r="AA148" s="13"/>
      <c r="AB148" s="13"/>
      <c r="AC148" s="13"/>
      <c r="AD148" s="13"/>
    </row>
    <row r="149">
      <c r="A149" s="10" t="s">
        <v>29</v>
      </c>
      <c r="B149" s="10" t="s">
        <v>10</v>
      </c>
      <c r="C149" s="10" t="s">
        <v>11</v>
      </c>
      <c r="D149" s="10" t="s">
        <v>40</v>
      </c>
      <c r="E149" s="10" t="s">
        <v>41</v>
      </c>
      <c r="F149" s="10" t="s">
        <v>42</v>
      </c>
      <c r="G149" s="11" t="s">
        <v>348</v>
      </c>
      <c r="H149" s="11" t="s">
        <v>229</v>
      </c>
      <c r="I149" s="11"/>
      <c r="J149" s="4">
        <f t="shared" si="28"/>
        <v>2650</v>
      </c>
      <c r="K149" s="12">
        <v>0.25</v>
      </c>
      <c r="L149" s="5">
        <f t="shared" si="29"/>
        <v>662.5</v>
      </c>
      <c r="M149" s="5">
        <f t="shared" si="30"/>
        <v>3312.5</v>
      </c>
      <c r="Z149" s="13"/>
      <c r="AA149" s="13"/>
      <c r="AB149" s="13"/>
      <c r="AC149" s="13"/>
      <c r="AD149" s="13"/>
    </row>
    <row r="150">
      <c r="A150" s="10" t="s">
        <v>29</v>
      </c>
      <c r="B150" s="10" t="s">
        <v>10</v>
      </c>
      <c r="C150" s="10" t="s">
        <v>11</v>
      </c>
      <c r="D150" s="10" t="s">
        <v>40</v>
      </c>
      <c r="E150" s="10" t="s">
        <v>41</v>
      </c>
      <c r="F150" s="10" t="s">
        <v>42</v>
      </c>
      <c r="G150" s="11" t="s">
        <v>349</v>
      </c>
      <c r="H150" s="11" t="s">
        <v>229</v>
      </c>
      <c r="I150" s="11"/>
      <c r="J150" s="4">
        <f t="shared" si="28"/>
        <v>2750</v>
      </c>
      <c r="K150" s="12">
        <v>0.25</v>
      </c>
      <c r="L150" s="5">
        <f t="shared" si="29"/>
        <v>687.5</v>
      </c>
      <c r="M150" s="5">
        <f t="shared" si="30"/>
        <v>3437.5</v>
      </c>
      <c r="Z150" s="13"/>
      <c r="AA150" s="13"/>
      <c r="AB150" s="13"/>
      <c r="AC150" s="13"/>
      <c r="AD150" s="13"/>
    </row>
    <row r="151">
      <c r="A151" s="10" t="s">
        <v>29</v>
      </c>
      <c r="B151" s="10" t="s">
        <v>10</v>
      </c>
      <c r="C151" s="10" t="s">
        <v>11</v>
      </c>
      <c r="D151" s="10" t="s">
        <v>40</v>
      </c>
      <c r="E151" s="10" t="s">
        <v>41</v>
      </c>
      <c r="F151" s="10" t="s">
        <v>42</v>
      </c>
      <c r="G151" s="11" t="s">
        <v>350</v>
      </c>
      <c r="H151" s="11" t="s">
        <v>228</v>
      </c>
      <c r="I151" s="11"/>
      <c r="J151" s="4">
        <f t="shared" si="28"/>
        <v>2230</v>
      </c>
      <c r="K151" s="12">
        <v>0.25</v>
      </c>
      <c r="L151" s="5">
        <f t="shared" si="29"/>
        <v>557.5</v>
      </c>
      <c r="M151" s="5">
        <f t="shared" si="30"/>
        <v>2787.5</v>
      </c>
      <c r="Z151" s="13"/>
      <c r="AA151" s="13"/>
      <c r="AB151" s="13"/>
      <c r="AC151" s="13"/>
      <c r="AD151" s="13"/>
    </row>
    <row r="152">
      <c r="A152" s="10" t="s">
        <v>29</v>
      </c>
      <c r="B152" s="10" t="s">
        <v>10</v>
      </c>
      <c r="C152" s="10" t="s">
        <v>11</v>
      </c>
      <c r="D152" s="10" t="s">
        <v>40</v>
      </c>
      <c r="E152" s="10" t="s">
        <v>41</v>
      </c>
      <c r="F152" s="10" t="s">
        <v>42</v>
      </c>
      <c r="G152" s="11" t="s">
        <v>351</v>
      </c>
      <c r="H152" s="11" t="s">
        <v>228</v>
      </c>
      <c r="I152" s="11"/>
      <c r="J152" s="4">
        <f t="shared" si="28"/>
        <v>2350</v>
      </c>
      <c r="K152" s="12">
        <v>0.25</v>
      </c>
      <c r="L152" s="5">
        <f t="shared" si="29"/>
        <v>587.5</v>
      </c>
      <c r="M152" s="5">
        <f t="shared" si="30"/>
        <v>2937.5</v>
      </c>
      <c r="Z152" s="13"/>
      <c r="AA152" s="13"/>
      <c r="AB152" s="13"/>
      <c r="AC152" s="13"/>
      <c r="AD152" s="13"/>
    </row>
    <row r="153">
      <c r="A153" s="10" t="s">
        <v>29</v>
      </c>
      <c r="B153" s="10" t="s">
        <v>10</v>
      </c>
      <c r="C153" s="10" t="s">
        <v>11</v>
      </c>
      <c r="D153" s="10" t="s">
        <v>40</v>
      </c>
      <c r="E153" s="10" t="s">
        <v>41</v>
      </c>
      <c r="F153" s="10" t="s">
        <v>42</v>
      </c>
      <c r="G153" s="11" t="s">
        <v>352</v>
      </c>
      <c r="H153" s="11" t="s">
        <v>229</v>
      </c>
      <c r="I153" s="11"/>
      <c r="J153" s="4">
        <f t="shared" si="28"/>
        <v>2700</v>
      </c>
      <c r="K153" s="12">
        <v>0.25</v>
      </c>
      <c r="L153" s="5">
        <f t="shared" si="29"/>
        <v>675</v>
      </c>
      <c r="M153" s="5">
        <f t="shared" si="30"/>
        <v>3375</v>
      </c>
      <c r="Z153" s="13"/>
      <c r="AA153" s="13"/>
      <c r="AB153" s="13"/>
      <c r="AC153" s="13"/>
      <c r="AD153" s="13"/>
    </row>
    <row r="154">
      <c r="A154" s="10" t="s">
        <v>29</v>
      </c>
      <c r="B154" s="10" t="s">
        <v>10</v>
      </c>
      <c r="C154" s="10" t="s">
        <v>11</v>
      </c>
      <c r="D154" s="10" t="s">
        <v>40</v>
      </c>
      <c r="E154" s="10" t="s">
        <v>41</v>
      </c>
      <c r="F154" s="10" t="s">
        <v>42</v>
      </c>
      <c r="G154" s="11" t="s">
        <v>353</v>
      </c>
      <c r="H154" s="11" t="s">
        <v>229</v>
      </c>
      <c r="I154" s="11"/>
      <c r="J154" s="4">
        <f t="shared" si="28"/>
        <v>2800</v>
      </c>
      <c r="K154" s="12">
        <v>0.25</v>
      </c>
      <c r="L154" s="5">
        <f t="shared" si="29"/>
        <v>700</v>
      </c>
      <c r="M154" s="5">
        <f t="shared" si="30"/>
        <v>3500</v>
      </c>
      <c r="Z154" s="13"/>
      <c r="AA154" s="13"/>
      <c r="AB154" s="13"/>
      <c r="AC154" s="13"/>
      <c r="AD154" s="13"/>
    </row>
    <row r="155">
      <c r="A155" s="10" t="s">
        <v>29</v>
      </c>
      <c r="B155" s="10" t="s">
        <v>10</v>
      </c>
      <c r="C155" s="10" t="s">
        <v>11</v>
      </c>
      <c r="D155" s="10" t="s">
        <v>40</v>
      </c>
      <c r="E155" s="10" t="s">
        <v>41</v>
      </c>
      <c r="F155" s="10" t="s">
        <v>42</v>
      </c>
      <c r="G155" s="11" t="s">
        <v>354</v>
      </c>
      <c r="H155" s="11" t="s">
        <v>229</v>
      </c>
      <c r="I155" s="11"/>
      <c r="J155" s="4">
        <f t="shared" si="28"/>
        <v>2800</v>
      </c>
      <c r="K155" s="12">
        <v>0.25</v>
      </c>
      <c r="L155" s="5">
        <f t="shared" si="29"/>
        <v>700</v>
      </c>
      <c r="M155" s="5">
        <f t="shared" si="30"/>
        <v>3500</v>
      </c>
      <c r="Z155" s="13"/>
      <c r="AA155" s="13"/>
      <c r="AB155" s="13"/>
      <c r="AC155" s="13"/>
      <c r="AD155" s="13"/>
    </row>
    <row r="156">
      <c r="A156" s="10" t="s">
        <v>29</v>
      </c>
      <c r="B156" s="10" t="s">
        <v>10</v>
      </c>
      <c r="C156" s="10" t="s">
        <v>11</v>
      </c>
      <c r="D156" s="10" t="s">
        <v>40</v>
      </c>
      <c r="E156" s="10" t="s">
        <v>41</v>
      </c>
      <c r="F156" s="10" t="s">
        <v>42</v>
      </c>
      <c r="G156" s="11" t="s">
        <v>355</v>
      </c>
      <c r="H156" s="11" t="s">
        <v>229</v>
      </c>
      <c r="I156" s="11"/>
      <c r="J156" s="4">
        <f t="shared" si="28"/>
        <v>2900</v>
      </c>
      <c r="K156" s="12">
        <v>0.25</v>
      </c>
      <c r="L156" s="5">
        <f t="shared" si="29"/>
        <v>725</v>
      </c>
      <c r="M156" s="5">
        <f t="shared" si="30"/>
        <v>3625</v>
      </c>
      <c r="Z156" s="13"/>
      <c r="AA156" s="13"/>
      <c r="AB156" s="13"/>
      <c r="AC156" s="13"/>
      <c r="AD156" s="13"/>
    </row>
    <row r="157">
      <c r="A157" s="10" t="s">
        <v>29</v>
      </c>
      <c r="B157" s="10" t="s">
        <v>10</v>
      </c>
      <c r="C157" s="10" t="s">
        <v>11</v>
      </c>
      <c r="D157" s="10" t="s">
        <v>170</v>
      </c>
      <c r="E157" s="10" t="s">
        <v>87</v>
      </c>
      <c r="F157" s="10" t="s">
        <v>83</v>
      </c>
      <c r="G157" s="11" t="s">
        <v>356</v>
      </c>
      <c r="H157" s="11" t="s">
        <v>237</v>
      </c>
      <c r="I157" s="11"/>
      <c r="J157" s="4">
        <f t="shared" ref="J157:J163" si="31">J90+50</f>
        <v>1475</v>
      </c>
      <c r="K157" s="12">
        <v>0.25</v>
      </c>
      <c r="L157" s="5">
        <f t="shared" si="29"/>
        <v>368.75</v>
      </c>
      <c r="M157" s="5">
        <f t="shared" si="30"/>
        <v>1843.75</v>
      </c>
      <c r="Z157" s="13"/>
      <c r="AA157" s="13"/>
      <c r="AB157" s="13"/>
      <c r="AC157" s="13"/>
      <c r="AD157" s="13"/>
    </row>
    <row r="158">
      <c r="A158" s="10" t="s">
        <v>29</v>
      </c>
      <c r="B158" s="10" t="s">
        <v>10</v>
      </c>
      <c r="C158" s="10" t="s">
        <v>11</v>
      </c>
      <c r="D158" s="10" t="s">
        <v>91</v>
      </c>
      <c r="E158" s="10" t="s">
        <v>87</v>
      </c>
      <c r="F158" s="10" t="s">
        <v>83</v>
      </c>
      <c r="G158" s="10" t="s">
        <v>356</v>
      </c>
      <c r="H158" s="11" t="s">
        <v>237</v>
      </c>
      <c r="I158" s="11"/>
      <c r="J158" s="4">
        <f t="shared" si="31"/>
        <v>1700</v>
      </c>
      <c r="K158" s="12">
        <v>0.25</v>
      </c>
      <c r="L158" s="5">
        <f t="shared" si="29"/>
        <v>425</v>
      </c>
      <c r="M158" s="5">
        <f t="shared" si="30"/>
        <v>2125</v>
      </c>
      <c r="Z158" s="13"/>
      <c r="AA158" s="13"/>
      <c r="AB158" s="13"/>
      <c r="AC158" s="13"/>
      <c r="AD158" s="13"/>
    </row>
    <row r="159">
      <c r="A159" s="10" t="s">
        <v>29</v>
      </c>
      <c r="B159" s="10" t="s">
        <v>10</v>
      </c>
      <c r="C159" s="10" t="s">
        <v>11</v>
      </c>
      <c r="D159" s="10" t="s">
        <v>93</v>
      </c>
      <c r="E159" s="10" t="s">
        <v>94</v>
      </c>
      <c r="F159" s="10" t="s">
        <v>42</v>
      </c>
      <c r="G159" s="10" t="s">
        <v>357</v>
      </c>
      <c r="H159" s="10" t="s">
        <v>239</v>
      </c>
      <c r="I159" s="10"/>
      <c r="J159" s="4">
        <f t="shared" si="31"/>
        <v>1097</v>
      </c>
      <c r="K159" s="12">
        <v>0.25</v>
      </c>
      <c r="L159" s="5">
        <f t="shared" si="29"/>
        <v>274.25</v>
      </c>
      <c r="M159" s="5">
        <f t="shared" si="30"/>
        <v>1371.25</v>
      </c>
      <c r="Z159" s="13"/>
      <c r="AA159" s="13"/>
      <c r="AB159" s="13"/>
      <c r="AC159" s="13"/>
      <c r="AD159" s="13"/>
    </row>
    <row r="160">
      <c r="A160" s="10" t="s">
        <v>29</v>
      </c>
      <c r="B160" s="10" t="s">
        <v>10</v>
      </c>
      <c r="C160" s="10" t="s">
        <v>11</v>
      </c>
      <c r="D160" s="10" t="s">
        <v>97</v>
      </c>
      <c r="E160" s="10" t="s">
        <v>98</v>
      </c>
      <c r="F160" s="10" t="s">
        <v>99</v>
      </c>
      <c r="G160" s="10" t="s">
        <v>358</v>
      </c>
      <c r="H160" s="10" t="s">
        <v>240</v>
      </c>
      <c r="I160" s="10"/>
      <c r="J160" s="4">
        <f t="shared" si="31"/>
        <v>983</v>
      </c>
      <c r="K160" s="12">
        <v>0.25</v>
      </c>
      <c r="L160" s="5">
        <f t="shared" si="29"/>
        <v>245.75</v>
      </c>
      <c r="M160" s="5">
        <f t="shared" si="30"/>
        <v>1228.75</v>
      </c>
      <c r="Z160" s="13"/>
      <c r="AA160" s="13"/>
      <c r="AB160" s="13"/>
      <c r="AC160" s="13"/>
      <c r="AD160" s="13"/>
    </row>
    <row r="161">
      <c r="A161" s="10" t="s">
        <v>29</v>
      </c>
      <c r="B161" s="10" t="s">
        <v>10</v>
      </c>
      <c r="C161" s="10" t="s">
        <v>11</v>
      </c>
      <c r="D161" s="10" t="s">
        <v>97</v>
      </c>
      <c r="E161" s="10" t="s">
        <v>102</v>
      </c>
      <c r="F161" s="10" t="s">
        <v>99</v>
      </c>
      <c r="G161" s="10" t="s">
        <v>358</v>
      </c>
      <c r="H161" s="10" t="s">
        <v>240</v>
      </c>
      <c r="I161" s="10"/>
      <c r="J161" s="4">
        <f t="shared" si="31"/>
        <v>983</v>
      </c>
      <c r="K161" s="12">
        <v>0.25</v>
      </c>
      <c r="L161" s="5">
        <f t="shared" si="29"/>
        <v>245.75</v>
      </c>
      <c r="M161" s="5">
        <f t="shared" si="30"/>
        <v>1228.75</v>
      </c>
      <c r="Z161" s="13"/>
      <c r="AA161" s="13"/>
      <c r="AB161" s="13"/>
      <c r="AC161" s="13"/>
      <c r="AD161" s="13"/>
    </row>
    <row r="162">
      <c r="A162" s="10" t="s">
        <v>29</v>
      </c>
      <c r="B162" s="10" t="s">
        <v>10</v>
      </c>
      <c r="C162" s="10" t="s">
        <v>11</v>
      </c>
      <c r="D162" s="10" t="s">
        <v>97</v>
      </c>
      <c r="E162" s="10" t="s">
        <v>103</v>
      </c>
      <c r="F162" s="10" t="s">
        <v>99</v>
      </c>
      <c r="G162" s="10" t="s">
        <v>358</v>
      </c>
      <c r="H162" s="10" t="s">
        <v>240</v>
      </c>
      <c r="I162" s="10"/>
      <c r="J162" s="4">
        <f t="shared" si="31"/>
        <v>1183</v>
      </c>
      <c r="K162" s="12">
        <v>0.25</v>
      </c>
      <c r="L162" s="5">
        <f t="shared" si="29"/>
        <v>295.75</v>
      </c>
      <c r="M162" s="5">
        <f t="shared" si="30"/>
        <v>1478.75</v>
      </c>
      <c r="Z162" s="13"/>
      <c r="AA162" s="13"/>
      <c r="AB162" s="13"/>
      <c r="AC162" s="13"/>
      <c r="AD162" s="13"/>
    </row>
    <row r="163">
      <c r="A163" s="10" t="s">
        <v>29</v>
      </c>
      <c r="B163" s="10" t="s">
        <v>10</v>
      </c>
      <c r="C163" s="10" t="s">
        <v>11</v>
      </c>
      <c r="D163" s="10" t="s">
        <v>104</v>
      </c>
      <c r="E163" s="10" t="s">
        <v>105</v>
      </c>
      <c r="F163" s="10" t="s">
        <v>99</v>
      </c>
      <c r="G163" s="10" t="s">
        <v>358</v>
      </c>
      <c r="H163" s="10" t="s">
        <v>241</v>
      </c>
      <c r="I163" s="10" t="s">
        <v>359</v>
      </c>
      <c r="J163" s="4">
        <f t="shared" si="31"/>
        <v>1800</v>
      </c>
      <c r="K163" s="12">
        <v>0.25</v>
      </c>
      <c r="L163" s="5">
        <f t="shared" si="29"/>
        <v>450</v>
      </c>
      <c r="M163" s="5">
        <f t="shared" si="30"/>
        <v>2250</v>
      </c>
      <c r="Z163" s="13"/>
      <c r="AA163" s="13"/>
      <c r="AB163" s="13"/>
      <c r="AC163" s="13"/>
      <c r="AD163" s="13"/>
    </row>
    <row r="164">
      <c r="A164" s="10" t="s">
        <v>29</v>
      </c>
      <c r="B164" s="10" t="s">
        <v>10</v>
      </c>
      <c r="C164" s="10" t="s">
        <v>11</v>
      </c>
      <c r="D164" s="10" t="s">
        <v>107</v>
      </c>
      <c r="E164" s="10" t="s">
        <v>243</v>
      </c>
      <c r="F164" s="10" t="s">
        <v>99</v>
      </c>
      <c r="G164" s="10" t="s">
        <v>358</v>
      </c>
      <c r="H164" s="10" t="s">
        <v>242</v>
      </c>
      <c r="I164" s="10"/>
      <c r="J164" s="6">
        <f t="shared" ref="J164:J165" si="32">J98+50</f>
        <v>1100</v>
      </c>
      <c r="K164" s="12">
        <v>0.25</v>
      </c>
      <c r="L164" s="5">
        <f t="shared" si="29"/>
        <v>275</v>
      </c>
      <c r="M164" s="5">
        <f t="shared" si="30"/>
        <v>1375</v>
      </c>
      <c r="Z164" s="13"/>
      <c r="AA164" s="13"/>
      <c r="AB164" s="13"/>
      <c r="AC164" s="13"/>
      <c r="AD164" s="13"/>
    </row>
    <row r="165">
      <c r="A165" s="10" t="s">
        <v>29</v>
      </c>
      <c r="B165" s="13"/>
      <c r="C165" s="13"/>
      <c r="D165" s="10" t="s">
        <v>107</v>
      </c>
      <c r="E165" s="11" t="s">
        <v>244</v>
      </c>
      <c r="F165" s="10"/>
      <c r="G165" s="10" t="s">
        <v>358</v>
      </c>
      <c r="H165" s="10"/>
      <c r="I165" s="10"/>
      <c r="J165" s="4">
        <f t="shared" si="32"/>
        <v>1267</v>
      </c>
      <c r="K165" s="12">
        <v>0.25</v>
      </c>
      <c r="L165" s="5">
        <f t="shared" si="29"/>
        <v>316.75</v>
      </c>
      <c r="M165" s="5">
        <f t="shared" si="30"/>
        <v>1583.75</v>
      </c>
      <c r="Z165" s="13"/>
      <c r="AA165" s="13"/>
      <c r="AB165" s="13"/>
      <c r="AC165" s="13"/>
      <c r="AD165" s="13"/>
    </row>
    <row r="166">
      <c r="A166" s="10"/>
      <c r="B166" s="13"/>
      <c r="C166" s="13"/>
      <c r="D166" s="13"/>
      <c r="E166" s="13"/>
      <c r="F166" s="13"/>
      <c r="H166" s="13"/>
      <c r="I166" s="13"/>
      <c r="J166" s="6"/>
      <c r="K166" s="12"/>
      <c r="L166" s="5"/>
      <c r="M166" s="5"/>
      <c r="Z166" s="13"/>
      <c r="AA166" s="13"/>
      <c r="AB166" s="13"/>
      <c r="AC166" s="13"/>
      <c r="AD166" s="13"/>
    </row>
    <row r="167">
      <c r="A167" s="10" t="s">
        <v>29</v>
      </c>
      <c r="B167" s="10" t="s">
        <v>10</v>
      </c>
      <c r="C167" s="10" t="s">
        <v>17</v>
      </c>
      <c r="D167" s="10" t="s">
        <v>40</v>
      </c>
      <c r="E167" s="13"/>
      <c r="F167" s="10" t="s">
        <v>42</v>
      </c>
      <c r="G167" s="10" t="s">
        <v>360</v>
      </c>
      <c r="H167" s="11" t="s">
        <v>246</v>
      </c>
      <c r="I167" s="10" t="s">
        <v>361</v>
      </c>
      <c r="J167" s="4">
        <f>J135-100</f>
        <v>1600</v>
      </c>
      <c r="K167" s="12">
        <v>0.25</v>
      </c>
      <c r="L167" s="5">
        <f>J167*K167</f>
        <v>400</v>
      </c>
      <c r="M167" s="5">
        <f>J167+L167</f>
        <v>2000</v>
      </c>
      <c r="Z167" s="13"/>
      <c r="AA167" s="13"/>
      <c r="AB167" s="13"/>
      <c r="AC167" s="13"/>
      <c r="AD167" s="13"/>
    </row>
    <row r="168">
      <c r="H168" s="11"/>
      <c r="I168" s="10" t="s">
        <v>362</v>
      </c>
      <c r="Z168" s="13"/>
      <c r="AA168" s="13"/>
      <c r="AB168" s="13"/>
      <c r="AC168" s="13"/>
      <c r="AD168" s="13"/>
    </row>
    <row r="169">
      <c r="H169" s="11"/>
      <c r="I169" s="10" t="s">
        <v>363</v>
      </c>
      <c r="Z169" s="13"/>
      <c r="AA169" s="13"/>
      <c r="AB169" s="13"/>
      <c r="AC169" s="13"/>
      <c r="AD169" s="13"/>
    </row>
    <row r="170">
      <c r="H170" s="11"/>
      <c r="I170" s="10" t="s">
        <v>364</v>
      </c>
      <c r="Z170" s="13"/>
      <c r="AA170" s="13"/>
      <c r="AB170" s="13"/>
      <c r="AC170" s="13"/>
      <c r="AD170" s="13"/>
    </row>
    <row r="171">
      <c r="A171" s="28"/>
      <c r="B171" s="28"/>
      <c r="C171" s="28"/>
      <c r="D171" s="24" t="s">
        <v>49</v>
      </c>
      <c r="E171" s="25" t="s">
        <v>50</v>
      </c>
      <c r="F171" s="24" t="s">
        <v>42</v>
      </c>
      <c r="G171" s="10" t="s">
        <v>360</v>
      </c>
      <c r="H171" s="25" t="s">
        <v>224</v>
      </c>
      <c r="I171" s="24" t="s">
        <v>365</v>
      </c>
      <c r="J171" s="29">
        <f>J102+50</f>
        <v>1750</v>
      </c>
      <c r="K171" s="26">
        <v>0.25</v>
      </c>
      <c r="L171" s="27">
        <f>J171*K171</f>
        <v>437.5</v>
      </c>
      <c r="M171" s="27">
        <f>J171+L171</f>
        <v>2187.5</v>
      </c>
      <c r="N171" s="30"/>
      <c r="O171" s="30"/>
      <c r="P171" s="30"/>
      <c r="Q171" s="30"/>
      <c r="R171" s="30"/>
      <c r="S171" s="30"/>
      <c r="T171" s="30"/>
      <c r="U171" s="30"/>
      <c r="V171" s="30"/>
      <c r="W171" s="30"/>
      <c r="X171" s="30"/>
      <c r="Y171" s="30"/>
      <c r="Z171" s="31"/>
      <c r="AA171" s="31"/>
      <c r="AB171" s="31"/>
      <c r="AC171" s="31"/>
      <c r="AD171" s="31"/>
    </row>
    <row r="172">
      <c r="A172" s="28"/>
      <c r="B172" s="28"/>
      <c r="C172" s="28"/>
      <c r="H172" s="25" t="s">
        <v>224</v>
      </c>
      <c r="I172" s="24" t="s">
        <v>366</v>
      </c>
      <c r="N172" s="30"/>
      <c r="O172" s="30"/>
      <c r="P172" s="30"/>
      <c r="Q172" s="30"/>
      <c r="R172" s="30"/>
      <c r="S172" s="30"/>
      <c r="T172" s="30"/>
      <c r="U172" s="30"/>
      <c r="V172" s="30"/>
      <c r="W172" s="30"/>
      <c r="X172" s="30"/>
      <c r="Y172" s="30"/>
      <c r="Z172" s="31"/>
      <c r="AA172" s="31"/>
      <c r="AB172" s="31"/>
      <c r="AC172" s="31"/>
      <c r="AD172" s="31"/>
    </row>
    <row r="173">
      <c r="A173" s="28"/>
      <c r="B173" s="28"/>
      <c r="C173" s="28"/>
      <c r="H173" s="25" t="s">
        <v>224</v>
      </c>
      <c r="I173" s="24" t="s">
        <v>367</v>
      </c>
      <c r="N173" s="30"/>
      <c r="O173" s="30"/>
      <c r="P173" s="30"/>
      <c r="Q173" s="30"/>
      <c r="R173" s="30"/>
      <c r="S173" s="30"/>
      <c r="T173" s="30"/>
      <c r="U173" s="30"/>
      <c r="V173" s="30"/>
      <c r="W173" s="30"/>
      <c r="X173" s="30"/>
      <c r="Y173" s="30"/>
      <c r="Z173" s="31"/>
      <c r="AA173" s="31"/>
      <c r="AB173" s="31"/>
      <c r="AC173" s="31"/>
      <c r="AD173" s="31"/>
    </row>
    <row r="174">
      <c r="A174" s="10" t="s">
        <v>29</v>
      </c>
      <c r="B174" s="10" t="s">
        <v>10</v>
      </c>
      <c r="C174" s="10" t="s">
        <v>17</v>
      </c>
      <c r="D174" s="10" t="s">
        <v>40</v>
      </c>
      <c r="E174" s="10" t="s">
        <v>41</v>
      </c>
      <c r="F174" s="10" t="s">
        <v>42</v>
      </c>
      <c r="G174" s="11" t="s">
        <v>368</v>
      </c>
      <c r="H174" s="11" t="s">
        <v>246</v>
      </c>
      <c r="I174" s="11"/>
      <c r="J174" s="4">
        <f t="shared" ref="J174:J176" si="33">J142-100</f>
        <v>2005</v>
      </c>
      <c r="K174" s="12">
        <v>0.25</v>
      </c>
      <c r="L174" s="5">
        <f t="shared" ref="L174:L176" si="34">J174*K174</f>
        <v>501.25</v>
      </c>
      <c r="M174" s="5">
        <f t="shared" ref="M174:M176" si="35">J174+L174</f>
        <v>2506.25</v>
      </c>
      <c r="Z174" s="13"/>
      <c r="AA174" s="13"/>
      <c r="AB174" s="13"/>
      <c r="AC174" s="13"/>
      <c r="AD174" s="13"/>
    </row>
    <row r="175">
      <c r="A175" s="10" t="s">
        <v>29</v>
      </c>
      <c r="B175" s="10" t="s">
        <v>10</v>
      </c>
      <c r="C175" s="10" t="s">
        <v>17</v>
      </c>
      <c r="D175" s="10" t="s">
        <v>40</v>
      </c>
      <c r="E175" s="10" t="s">
        <v>41</v>
      </c>
      <c r="F175" s="10" t="s">
        <v>42</v>
      </c>
      <c r="G175" s="11" t="s">
        <v>369</v>
      </c>
      <c r="H175" s="11" t="s">
        <v>256</v>
      </c>
      <c r="I175" s="11"/>
      <c r="J175" s="4">
        <f t="shared" si="33"/>
        <v>2125</v>
      </c>
      <c r="K175" s="12">
        <v>0.25</v>
      </c>
      <c r="L175" s="5">
        <f t="shared" si="34"/>
        <v>531.25</v>
      </c>
      <c r="M175" s="5">
        <f t="shared" si="35"/>
        <v>2656.25</v>
      </c>
      <c r="Z175" s="13"/>
      <c r="AA175" s="13"/>
      <c r="AB175" s="13"/>
      <c r="AC175" s="13"/>
      <c r="AD175" s="13"/>
    </row>
    <row r="176">
      <c r="A176" s="10" t="s">
        <v>29</v>
      </c>
      <c r="B176" s="10" t="s">
        <v>10</v>
      </c>
      <c r="C176" s="10" t="s">
        <v>17</v>
      </c>
      <c r="D176" s="10" t="s">
        <v>40</v>
      </c>
      <c r="E176" s="10" t="s">
        <v>41</v>
      </c>
      <c r="F176" s="10" t="s">
        <v>42</v>
      </c>
      <c r="G176" s="11" t="s">
        <v>370</v>
      </c>
      <c r="H176" s="21" t="s">
        <v>258</v>
      </c>
      <c r="I176" s="10" t="s">
        <v>371</v>
      </c>
      <c r="J176" s="4">
        <f t="shared" si="33"/>
        <v>2450</v>
      </c>
      <c r="K176" s="12">
        <v>0.25</v>
      </c>
      <c r="L176" s="5">
        <f t="shared" si="34"/>
        <v>612.5</v>
      </c>
      <c r="M176" s="5">
        <f t="shared" si="35"/>
        <v>3062.5</v>
      </c>
      <c r="Z176" s="13"/>
      <c r="AA176" s="13"/>
      <c r="AB176" s="13"/>
      <c r="AC176" s="13"/>
      <c r="AD176" s="13"/>
    </row>
    <row r="177">
      <c r="H177" s="21"/>
      <c r="I177" s="10" t="s">
        <v>372</v>
      </c>
      <c r="J177" s="4"/>
      <c r="K177" s="12"/>
      <c r="L177" s="5"/>
      <c r="Z177" s="13"/>
      <c r="AA177" s="13"/>
      <c r="AB177" s="13"/>
      <c r="AC177" s="13"/>
      <c r="AD177" s="13"/>
    </row>
    <row r="178">
      <c r="H178" s="21"/>
      <c r="I178" s="10" t="s">
        <v>373</v>
      </c>
      <c r="J178" s="4"/>
      <c r="K178" s="12"/>
      <c r="L178" s="5"/>
      <c r="Z178" s="13"/>
      <c r="AA178" s="13"/>
      <c r="AB178" s="13"/>
      <c r="AC178" s="13"/>
      <c r="AD178" s="13"/>
    </row>
    <row r="179">
      <c r="H179" s="21"/>
      <c r="I179" s="10" t="s">
        <v>374</v>
      </c>
      <c r="J179" s="4"/>
      <c r="K179" s="12"/>
      <c r="L179" s="5"/>
      <c r="Z179" s="13"/>
      <c r="AA179" s="13"/>
      <c r="AB179" s="13"/>
      <c r="AC179" s="13"/>
      <c r="AD179" s="13"/>
    </row>
    <row r="180">
      <c r="A180" s="10" t="s">
        <v>29</v>
      </c>
      <c r="B180" s="10" t="s">
        <v>10</v>
      </c>
      <c r="C180" s="10" t="s">
        <v>17</v>
      </c>
      <c r="D180" s="10" t="s">
        <v>40</v>
      </c>
      <c r="E180" s="10" t="s">
        <v>41</v>
      </c>
      <c r="F180" s="10" t="s">
        <v>42</v>
      </c>
      <c r="G180" s="11" t="s">
        <v>375</v>
      </c>
      <c r="H180" s="11" t="s">
        <v>258</v>
      </c>
      <c r="I180" s="11"/>
      <c r="J180" s="4">
        <f t="shared" ref="J180:J185" si="36">J148-100</f>
        <v>2550</v>
      </c>
      <c r="K180" s="12">
        <v>0.25</v>
      </c>
      <c r="L180" s="5">
        <f t="shared" ref="L180:L185" si="37">J180*K180</f>
        <v>637.5</v>
      </c>
      <c r="M180" s="5">
        <f t="shared" ref="M180:M185" si="38">J180+L180</f>
        <v>3187.5</v>
      </c>
      <c r="Z180" s="13"/>
      <c r="AA180" s="13"/>
      <c r="AB180" s="13"/>
      <c r="AC180" s="13"/>
      <c r="AD180" s="13"/>
    </row>
    <row r="181">
      <c r="A181" s="10" t="s">
        <v>29</v>
      </c>
      <c r="B181" s="10" t="s">
        <v>10</v>
      </c>
      <c r="C181" s="10" t="s">
        <v>17</v>
      </c>
      <c r="D181" s="10" t="s">
        <v>40</v>
      </c>
      <c r="E181" s="10" t="s">
        <v>41</v>
      </c>
      <c r="F181" s="10" t="s">
        <v>42</v>
      </c>
      <c r="G181" s="11" t="s">
        <v>376</v>
      </c>
      <c r="H181" s="11" t="s">
        <v>258</v>
      </c>
      <c r="I181" s="11"/>
      <c r="J181" s="4">
        <f t="shared" si="36"/>
        <v>2550</v>
      </c>
      <c r="K181" s="12">
        <v>0.25</v>
      </c>
      <c r="L181" s="5">
        <f t="shared" si="37"/>
        <v>637.5</v>
      </c>
      <c r="M181" s="5">
        <f t="shared" si="38"/>
        <v>3187.5</v>
      </c>
      <c r="Z181" s="13"/>
      <c r="AA181" s="13"/>
      <c r="AB181" s="13"/>
      <c r="AC181" s="13"/>
      <c r="AD181" s="13"/>
    </row>
    <row r="182">
      <c r="A182" s="10" t="s">
        <v>29</v>
      </c>
      <c r="B182" s="10" t="s">
        <v>10</v>
      </c>
      <c r="C182" s="10" t="s">
        <v>17</v>
      </c>
      <c r="D182" s="10" t="s">
        <v>40</v>
      </c>
      <c r="E182" s="10" t="s">
        <v>41</v>
      </c>
      <c r="F182" s="10" t="s">
        <v>42</v>
      </c>
      <c r="G182" s="11" t="s">
        <v>377</v>
      </c>
      <c r="H182" s="11" t="s">
        <v>258</v>
      </c>
      <c r="I182" s="11"/>
      <c r="J182" s="4">
        <f t="shared" si="36"/>
        <v>2650</v>
      </c>
      <c r="K182" s="12">
        <v>0.25</v>
      </c>
      <c r="L182" s="5">
        <f t="shared" si="37"/>
        <v>662.5</v>
      </c>
      <c r="M182" s="5">
        <f t="shared" si="38"/>
        <v>3312.5</v>
      </c>
      <c r="Z182" s="13"/>
      <c r="AA182" s="13"/>
      <c r="AB182" s="13"/>
      <c r="AC182" s="13"/>
      <c r="AD182" s="13"/>
    </row>
    <row r="183">
      <c r="A183" s="10" t="s">
        <v>29</v>
      </c>
      <c r="B183" s="10" t="s">
        <v>10</v>
      </c>
      <c r="C183" s="10" t="s">
        <v>17</v>
      </c>
      <c r="D183" s="10" t="s">
        <v>40</v>
      </c>
      <c r="E183" s="10" t="s">
        <v>41</v>
      </c>
      <c r="F183" s="10" t="s">
        <v>42</v>
      </c>
      <c r="G183" s="11" t="s">
        <v>378</v>
      </c>
      <c r="H183" s="11" t="s">
        <v>258</v>
      </c>
      <c r="I183" s="11"/>
      <c r="J183" s="4">
        <f t="shared" si="36"/>
        <v>2130</v>
      </c>
      <c r="K183" s="12">
        <v>0.25</v>
      </c>
      <c r="L183" s="5">
        <f t="shared" si="37"/>
        <v>532.5</v>
      </c>
      <c r="M183" s="5">
        <f t="shared" si="38"/>
        <v>2662.5</v>
      </c>
      <c r="Z183" s="13"/>
      <c r="AA183" s="13"/>
      <c r="AB183" s="13"/>
      <c r="AC183" s="13"/>
      <c r="AD183" s="13"/>
    </row>
    <row r="184">
      <c r="A184" s="10" t="s">
        <v>29</v>
      </c>
      <c r="B184" s="10" t="s">
        <v>10</v>
      </c>
      <c r="C184" s="10" t="s">
        <v>17</v>
      </c>
      <c r="D184" s="10" t="s">
        <v>40</v>
      </c>
      <c r="E184" s="10" t="s">
        <v>41</v>
      </c>
      <c r="F184" s="10" t="s">
        <v>42</v>
      </c>
      <c r="G184" s="11" t="s">
        <v>379</v>
      </c>
      <c r="H184" s="11" t="s">
        <v>258</v>
      </c>
      <c r="I184" s="11"/>
      <c r="J184" s="4">
        <f t="shared" si="36"/>
        <v>2250</v>
      </c>
      <c r="K184" s="12">
        <v>0.25</v>
      </c>
      <c r="L184" s="5">
        <f t="shared" si="37"/>
        <v>562.5</v>
      </c>
      <c r="M184" s="5">
        <f t="shared" si="38"/>
        <v>2812.5</v>
      </c>
      <c r="Z184" s="13"/>
      <c r="AA184" s="13"/>
      <c r="AB184" s="13"/>
      <c r="AC184" s="13"/>
      <c r="AD184" s="13"/>
    </row>
    <row r="185">
      <c r="A185" s="10" t="s">
        <v>29</v>
      </c>
      <c r="B185" s="10" t="s">
        <v>10</v>
      </c>
      <c r="C185" s="10" t="s">
        <v>17</v>
      </c>
      <c r="D185" s="10" t="s">
        <v>40</v>
      </c>
      <c r="E185" s="10" t="s">
        <v>41</v>
      </c>
      <c r="F185" s="10" t="s">
        <v>42</v>
      </c>
      <c r="G185" s="11" t="s">
        <v>380</v>
      </c>
      <c r="H185" s="11" t="s">
        <v>258</v>
      </c>
      <c r="I185" s="10" t="s">
        <v>381</v>
      </c>
      <c r="J185" s="4">
        <f t="shared" si="36"/>
        <v>2600</v>
      </c>
      <c r="K185" s="12">
        <v>0.25</v>
      </c>
      <c r="L185" s="5">
        <f t="shared" si="37"/>
        <v>650</v>
      </c>
      <c r="M185" s="5">
        <f t="shared" si="38"/>
        <v>3250</v>
      </c>
      <c r="Z185" s="13"/>
      <c r="AA185" s="13"/>
      <c r="AB185" s="13"/>
      <c r="AC185" s="13"/>
      <c r="AD185" s="13"/>
    </row>
    <row r="186">
      <c r="H186" s="11"/>
      <c r="I186" s="10" t="s">
        <v>382</v>
      </c>
      <c r="J186" s="4"/>
      <c r="K186" s="12"/>
      <c r="L186" s="5"/>
      <c r="Z186" s="13"/>
      <c r="AA186" s="13"/>
      <c r="AB186" s="13"/>
      <c r="AC186" s="13"/>
      <c r="AD186" s="13"/>
    </row>
    <row r="187">
      <c r="H187" s="11"/>
      <c r="I187" s="10" t="s">
        <v>383</v>
      </c>
      <c r="J187" s="4"/>
      <c r="K187" s="12"/>
      <c r="L187" s="5"/>
      <c r="Z187" s="13"/>
      <c r="AA187" s="13"/>
      <c r="AB187" s="13"/>
      <c r="AC187" s="13"/>
      <c r="AD187" s="13"/>
    </row>
    <row r="188">
      <c r="H188" s="11"/>
      <c r="I188" s="10" t="s">
        <v>384</v>
      </c>
      <c r="J188" s="4"/>
      <c r="K188" s="12"/>
      <c r="L188" s="5"/>
      <c r="Z188" s="13"/>
      <c r="AA188" s="13"/>
      <c r="AB188" s="13"/>
      <c r="AC188" s="13"/>
      <c r="AD188" s="13"/>
    </row>
    <row r="189">
      <c r="A189" s="10" t="s">
        <v>29</v>
      </c>
      <c r="B189" s="10" t="s">
        <v>10</v>
      </c>
      <c r="C189" s="10" t="s">
        <v>17</v>
      </c>
      <c r="D189" s="10" t="s">
        <v>40</v>
      </c>
      <c r="E189" s="10" t="s">
        <v>41</v>
      </c>
      <c r="F189" s="10" t="s">
        <v>42</v>
      </c>
      <c r="G189" s="11" t="s">
        <v>385</v>
      </c>
      <c r="H189" s="11" t="s">
        <v>258</v>
      </c>
      <c r="I189" s="11"/>
      <c r="J189" s="4">
        <f t="shared" ref="J189:J199" si="39">J154-100</f>
        <v>2700</v>
      </c>
      <c r="K189" s="12">
        <v>0.25</v>
      </c>
      <c r="L189" s="5">
        <f t="shared" ref="L189:L199" si="40">J189*K189</f>
        <v>675</v>
      </c>
      <c r="M189" s="5">
        <f t="shared" ref="M189:M199" si="41">J189+L189</f>
        <v>3375</v>
      </c>
      <c r="Z189" s="13"/>
      <c r="AA189" s="13"/>
      <c r="AB189" s="13"/>
      <c r="AC189" s="13"/>
      <c r="AD189" s="13"/>
    </row>
    <row r="190">
      <c r="A190" s="10" t="s">
        <v>29</v>
      </c>
      <c r="B190" s="10" t="s">
        <v>10</v>
      </c>
      <c r="C190" s="10" t="s">
        <v>17</v>
      </c>
      <c r="D190" s="10" t="s">
        <v>40</v>
      </c>
      <c r="E190" s="10" t="s">
        <v>41</v>
      </c>
      <c r="F190" s="10" t="s">
        <v>42</v>
      </c>
      <c r="G190" s="11" t="s">
        <v>386</v>
      </c>
      <c r="H190" s="11" t="s">
        <v>258</v>
      </c>
      <c r="I190" s="11"/>
      <c r="J190" s="4">
        <f t="shared" si="39"/>
        <v>2700</v>
      </c>
      <c r="K190" s="12">
        <v>0.25</v>
      </c>
      <c r="L190" s="5">
        <f t="shared" si="40"/>
        <v>675</v>
      </c>
      <c r="M190" s="5">
        <f t="shared" si="41"/>
        <v>3375</v>
      </c>
      <c r="Z190" s="13"/>
      <c r="AA190" s="13"/>
      <c r="AB190" s="13"/>
      <c r="AC190" s="13"/>
      <c r="AD190" s="13"/>
    </row>
    <row r="191">
      <c r="A191" s="10" t="s">
        <v>29</v>
      </c>
      <c r="B191" s="10" t="s">
        <v>10</v>
      </c>
      <c r="C191" s="10" t="s">
        <v>17</v>
      </c>
      <c r="D191" s="10" t="s">
        <v>40</v>
      </c>
      <c r="E191" s="10" t="s">
        <v>41</v>
      </c>
      <c r="F191" s="10" t="s">
        <v>42</v>
      </c>
      <c r="G191" s="11" t="s">
        <v>387</v>
      </c>
      <c r="H191" s="11" t="s">
        <v>258</v>
      </c>
      <c r="I191" s="11"/>
      <c r="J191" s="4">
        <f t="shared" si="39"/>
        <v>2800</v>
      </c>
      <c r="K191" s="12">
        <v>0.25</v>
      </c>
      <c r="L191" s="5">
        <f t="shared" si="40"/>
        <v>700</v>
      </c>
      <c r="M191" s="5">
        <f t="shared" si="41"/>
        <v>3500</v>
      </c>
      <c r="Z191" s="13"/>
      <c r="AA191" s="13"/>
      <c r="AB191" s="13"/>
      <c r="AC191" s="13"/>
      <c r="AD191" s="13"/>
    </row>
    <row r="192">
      <c r="A192" s="10" t="s">
        <v>29</v>
      </c>
      <c r="B192" s="10" t="s">
        <v>10</v>
      </c>
      <c r="C192" s="10" t="s">
        <v>17</v>
      </c>
      <c r="D192" s="10" t="s">
        <v>170</v>
      </c>
      <c r="E192" s="10" t="s">
        <v>87</v>
      </c>
      <c r="F192" s="10" t="s">
        <v>83</v>
      </c>
      <c r="G192" s="11" t="s">
        <v>388</v>
      </c>
      <c r="H192" s="11" t="s">
        <v>277</v>
      </c>
      <c r="I192" s="11"/>
      <c r="J192" s="4">
        <f t="shared" si="39"/>
        <v>1375</v>
      </c>
      <c r="K192" s="12">
        <v>0.25</v>
      </c>
      <c r="L192" s="5">
        <f t="shared" si="40"/>
        <v>343.75</v>
      </c>
      <c r="M192" s="5">
        <f t="shared" si="41"/>
        <v>1718.75</v>
      </c>
      <c r="Z192" s="13"/>
      <c r="AA192" s="13"/>
      <c r="AB192" s="13"/>
      <c r="AC192" s="13"/>
      <c r="AD192" s="13"/>
    </row>
    <row r="193">
      <c r="A193" s="10" t="s">
        <v>29</v>
      </c>
      <c r="B193" s="10" t="s">
        <v>10</v>
      </c>
      <c r="C193" s="10" t="s">
        <v>17</v>
      </c>
      <c r="D193" s="10" t="s">
        <v>91</v>
      </c>
      <c r="E193" s="10" t="s">
        <v>87</v>
      </c>
      <c r="F193" s="10" t="s">
        <v>83</v>
      </c>
      <c r="G193" s="10" t="s">
        <v>388</v>
      </c>
      <c r="H193" s="11" t="s">
        <v>278</v>
      </c>
      <c r="I193" s="11"/>
      <c r="J193" s="4">
        <f t="shared" si="39"/>
        <v>1600</v>
      </c>
      <c r="K193" s="12">
        <v>0.25</v>
      </c>
      <c r="L193" s="5">
        <f t="shared" si="40"/>
        <v>400</v>
      </c>
      <c r="M193" s="5">
        <f t="shared" si="41"/>
        <v>2000</v>
      </c>
      <c r="Z193" s="13"/>
      <c r="AA193" s="13"/>
      <c r="AB193" s="13"/>
      <c r="AC193" s="13"/>
      <c r="AD193" s="13"/>
    </row>
    <row r="194">
      <c r="A194" s="10" t="s">
        <v>29</v>
      </c>
      <c r="B194" s="10" t="s">
        <v>10</v>
      </c>
      <c r="C194" s="10" t="s">
        <v>17</v>
      </c>
      <c r="D194" s="10" t="s">
        <v>93</v>
      </c>
      <c r="E194" s="10" t="s">
        <v>94</v>
      </c>
      <c r="F194" s="10" t="s">
        <v>42</v>
      </c>
      <c r="G194" s="11" t="s">
        <v>389</v>
      </c>
      <c r="H194" s="10" t="s">
        <v>281</v>
      </c>
      <c r="I194" s="10" t="s">
        <v>390</v>
      </c>
      <c r="J194" s="4">
        <f t="shared" si="39"/>
        <v>997</v>
      </c>
      <c r="K194" s="12">
        <v>0.25</v>
      </c>
      <c r="L194" s="5">
        <f t="shared" si="40"/>
        <v>249.25</v>
      </c>
      <c r="M194" s="5">
        <f t="shared" si="41"/>
        <v>1246.25</v>
      </c>
      <c r="Z194" s="13"/>
      <c r="AA194" s="13"/>
      <c r="AB194" s="13"/>
      <c r="AC194" s="13"/>
      <c r="AD194" s="13"/>
    </row>
    <row r="195">
      <c r="A195" s="10" t="s">
        <v>29</v>
      </c>
      <c r="B195" s="10" t="s">
        <v>10</v>
      </c>
      <c r="C195" s="10" t="s">
        <v>17</v>
      </c>
      <c r="D195" s="10" t="s">
        <v>97</v>
      </c>
      <c r="E195" s="10" t="s">
        <v>98</v>
      </c>
      <c r="F195" s="10" t="s">
        <v>99</v>
      </c>
      <c r="G195" s="11" t="s">
        <v>388</v>
      </c>
      <c r="H195" s="10" t="s">
        <v>283</v>
      </c>
      <c r="I195" s="10" t="s">
        <v>391</v>
      </c>
      <c r="J195" s="4">
        <f t="shared" si="39"/>
        <v>883</v>
      </c>
      <c r="K195" s="12">
        <v>0.25</v>
      </c>
      <c r="L195" s="5">
        <f t="shared" si="40"/>
        <v>220.75</v>
      </c>
      <c r="M195" s="5">
        <f t="shared" si="41"/>
        <v>1103.75</v>
      </c>
      <c r="Z195" s="13"/>
      <c r="AA195" s="13"/>
      <c r="AB195" s="13"/>
      <c r="AC195" s="13"/>
      <c r="AD195" s="13"/>
    </row>
    <row r="196">
      <c r="A196" s="10" t="s">
        <v>29</v>
      </c>
      <c r="B196" s="10" t="s">
        <v>10</v>
      </c>
      <c r="C196" s="10" t="s">
        <v>17</v>
      </c>
      <c r="D196" s="10" t="s">
        <v>97</v>
      </c>
      <c r="E196" s="10" t="s">
        <v>102</v>
      </c>
      <c r="F196" s="10" t="s">
        <v>99</v>
      </c>
      <c r="G196" s="11" t="s">
        <v>388</v>
      </c>
      <c r="H196" s="10" t="s">
        <v>283</v>
      </c>
      <c r="I196" s="10"/>
      <c r="J196" s="4">
        <f t="shared" si="39"/>
        <v>883</v>
      </c>
      <c r="K196" s="12">
        <v>0.25</v>
      </c>
      <c r="L196" s="5">
        <f t="shared" si="40"/>
        <v>220.75</v>
      </c>
      <c r="M196" s="5">
        <f t="shared" si="41"/>
        <v>1103.75</v>
      </c>
      <c r="Z196" s="13"/>
      <c r="AA196" s="13"/>
      <c r="AB196" s="13"/>
      <c r="AC196" s="13"/>
      <c r="AD196" s="13"/>
    </row>
    <row r="197">
      <c r="A197" s="10" t="s">
        <v>29</v>
      </c>
      <c r="B197" s="10" t="s">
        <v>10</v>
      </c>
      <c r="C197" s="10" t="s">
        <v>17</v>
      </c>
      <c r="D197" s="10" t="s">
        <v>97</v>
      </c>
      <c r="E197" s="10" t="s">
        <v>103</v>
      </c>
      <c r="F197" s="10" t="s">
        <v>99</v>
      </c>
      <c r="G197" s="11" t="s">
        <v>388</v>
      </c>
      <c r="H197" s="10" t="s">
        <v>283</v>
      </c>
      <c r="I197" s="10"/>
      <c r="J197" s="4">
        <f t="shared" si="39"/>
        <v>1083</v>
      </c>
      <c r="K197" s="12">
        <v>0.25</v>
      </c>
      <c r="L197" s="5">
        <f t="shared" si="40"/>
        <v>270.75</v>
      </c>
      <c r="M197" s="5">
        <f t="shared" si="41"/>
        <v>1353.75</v>
      </c>
      <c r="Z197" s="13"/>
      <c r="AA197" s="13"/>
      <c r="AB197" s="13"/>
      <c r="AC197" s="13"/>
      <c r="AD197" s="13"/>
    </row>
    <row r="198">
      <c r="A198" s="10" t="s">
        <v>29</v>
      </c>
      <c r="B198" s="10" t="s">
        <v>10</v>
      </c>
      <c r="C198" s="10" t="s">
        <v>17</v>
      </c>
      <c r="D198" s="10" t="s">
        <v>104</v>
      </c>
      <c r="E198" s="10" t="s">
        <v>105</v>
      </c>
      <c r="F198" s="10" t="s">
        <v>99</v>
      </c>
      <c r="G198" s="11" t="s">
        <v>388</v>
      </c>
      <c r="H198" s="10" t="s">
        <v>283</v>
      </c>
      <c r="I198" s="10"/>
      <c r="J198" s="4">
        <f t="shared" si="39"/>
        <v>1700</v>
      </c>
      <c r="K198" s="12">
        <v>0.25</v>
      </c>
      <c r="L198" s="5">
        <f t="shared" si="40"/>
        <v>425</v>
      </c>
      <c r="M198" s="5">
        <f t="shared" si="41"/>
        <v>2125</v>
      </c>
      <c r="Z198" s="13"/>
      <c r="AA198" s="13"/>
      <c r="AB198" s="13"/>
      <c r="AC198" s="13"/>
      <c r="AD198" s="13"/>
    </row>
    <row r="199">
      <c r="A199" s="10" t="s">
        <v>29</v>
      </c>
      <c r="B199" s="10" t="s">
        <v>10</v>
      </c>
      <c r="C199" s="10" t="s">
        <v>17</v>
      </c>
      <c r="D199" s="10" t="s">
        <v>107</v>
      </c>
      <c r="E199" s="10" t="s">
        <v>243</v>
      </c>
      <c r="F199" s="10" t="s">
        <v>99</v>
      </c>
      <c r="G199" s="11" t="s">
        <v>388</v>
      </c>
      <c r="H199" s="10" t="s">
        <v>283</v>
      </c>
      <c r="I199" s="10" t="s">
        <v>392</v>
      </c>
      <c r="J199" s="4">
        <f t="shared" si="39"/>
        <v>1000</v>
      </c>
      <c r="K199" s="12">
        <v>0.25</v>
      </c>
      <c r="L199" s="5">
        <f t="shared" si="40"/>
        <v>250</v>
      </c>
      <c r="M199" s="5">
        <f t="shared" si="41"/>
        <v>1250</v>
      </c>
      <c r="Z199" s="13"/>
      <c r="AA199" s="13"/>
      <c r="AB199" s="13"/>
      <c r="AC199" s="13"/>
      <c r="AD199" s="13"/>
    </row>
    <row r="200">
      <c r="H200" s="10"/>
      <c r="I200" s="10" t="s">
        <v>393</v>
      </c>
      <c r="Z200" s="13"/>
      <c r="AA200" s="13"/>
      <c r="AB200" s="13"/>
      <c r="AC200" s="13"/>
      <c r="AD200" s="13"/>
    </row>
    <row r="201">
      <c r="H201" s="10"/>
      <c r="I201" s="10" t="s">
        <v>394</v>
      </c>
      <c r="Z201" s="13"/>
      <c r="AA201" s="13"/>
      <c r="AB201" s="13"/>
      <c r="AC201" s="13"/>
      <c r="AD201" s="13"/>
    </row>
    <row r="202">
      <c r="H202" s="10"/>
      <c r="I202" s="10" t="s">
        <v>395</v>
      </c>
      <c r="Z202" s="13"/>
      <c r="AA202" s="13"/>
      <c r="AB202" s="13"/>
      <c r="AC202" s="13"/>
      <c r="AD202" s="13"/>
    </row>
    <row r="203">
      <c r="H203" s="10"/>
      <c r="I203" s="10" t="s">
        <v>396</v>
      </c>
      <c r="Z203" s="13"/>
      <c r="AA203" s="13"/>
      <c r="AB203" s="13"/>
      <c r="AC203" s="13"/>
      <c r="AD203" s="13"/>
    </row>
    <row r="204">
      <c r="A204" s="10" t="s">
        <v>29</v>
      </c>
      <c r="B204" s="13"/>
      <c r="C204" s="13"/>
      <c r="D204" s="10" t="s">
        <v>107</v>
      </c>
      <c r="E204" s="11" t="s">
        <v>244</v>
      </c>
      <c r="F204" s="10"/>
      <c r="G204" s="11" t="s">
        <v>388</v>
      </c>
      <c r="H204" s="10"/>
      <c r="I204" s="10"/>
      <c r="J204" s="4">
        <f>J165-100</f>
        <v>1167</v>
      </c>
      <c r="K204" s="12">
        <v>0.25</v>
      </c>
      <c r="L204" s="5">
        <f t="shared" ref="L204:L218" si="42">J204*K204</f>
        <v>291.75</v>
      </c>
      <c r="M204" s="5">
        <f t="shared" ref="M204:M218" si="43">J204+L204</f>
        <v>1458.75</v>
      </c>
      <c r="Z204" s="13"/>
      <c r="AA204" s="13"/>
      <c r="AB204" s="13"/>
      <c r="AC204" s="13"/>
      <c r="AD204" s="13"/>
    </row>
    <row r="205">
      <c r="A205" s="7" t="s">
        <v>397</v>
      </c>
      <c r="K205" s="12">
        <v>0.25</v>
      </c>
      <c r="L205" s="5">
        <f t="shared" si="42"/>
        <v>0</v>
      </c>
      <c r="M205" s="5">
        <f t="shared" si="43"/>
        <v>0</v>
      </c>
      <c r="N205" s="4"/>
      <c r="O205" s="4"/>
      <c r="P205" s="6"/>
      <c r="Q205" s="6"/>
      <c r="R205" s="6"/>
      <c r="S205" s="6"/>
      <c r="T205" s="6"/>
      <c r="U205" s="6"/>
      <c r="V205" s="6"/>
      <c r="W205" s="6"/>
      <c r="X205" s="6"/>
      <c r="Y205" s="6"/>
      <c r="Z205" s="6"/>
      <c r="AA205" s="6"/>
      <c r="AB205" s="6"/>
      <c r="AC205" s="6"/>
      <c r="AD205" s="6"/>
    </row>
    <row r="206">
      <c r="A206" s="10" t="s">
        <v>29</v>
      </c>
      <c r="B206" s="4" t="s">
        <v>1</v>
      </c>
      <c r="C206" s="4" t="s">
        <v>2</v>
      </c>
      <c r="D206" s="4" t="s">
        <v>3</v>
      </c>
      <c r="E206" s="4" t="s">
        <v>32</v>
      </c>
      <c r="F206" s="4" t="s">
        <v>4</v>
      </c>
      <c r="G206" s="4" t="s">
        <v>6</v>
      </c>
      <c r="H206" s="4" t="s">
        <v>5</v>
      </c>
      <c r="I206" s="4"/>
      <c r="J206" s="4" t="s">
        <v>34</v>
      </c>
      <c r="K206" s="12">
        <v>0.25</v>
      </c>
      <c r="L206" s="5" t="str">
        <f t="shared" si="42"/>
        <v>#VALUE!</v>
      </c>
      <c r="M206" s="5" t="str">
        <f t="shared" si="43"/>
        <v>#VALUE!</v>
      </c>
      <c r="N206" s="4"/>
      <c r="O206" s="4"/>
      <c r="P206" s="6"/>
      <c r="Q206" s="6"/>
      <c r="R206" s="6"/>
      <c r="S206" s="6"/>
      <c r="T206" s="6"/>
      <c r="U206" s="6"/>
      <c r="V206" s="6"/>
      <c r="W206" s="6"/>
      <c r="X206" s="6"/>
      <c r="Y206" s="6"/>
      <c r="Z206" s="6"/>
      <c r="AA206" s="6"/>
      <c r="AB206" s="6"/>
      <c r="AC206" s="6"/>
      <c r="AD206" s="6"/>
    </row>
    <row r="207" ht="37.5" customHeight="1">
      <c r="A207" s="10" t="s">
        <v>29</v>
      </c>
      <c r="B207" s="10" t="s">
        <v>10</v>
      </c>
      <c r="C207" s="10" t="s">
        <v>11</v>
      </c>
      <c r="D207" s="10" t="s">
        <v>40</v>
      </c>
      <c r="E207" s="10" t="s">
        <v>41</v>
      </c>
      <c r="F207" s="10" t="s">
        <v>42</v>
      </c>
      <c r="G207" s="10" t="s">
        <v>398</v>
      </c>
      <c r="H207" s="11" t="s">
        <v>224</v>
      </c>
      <c r="I207" s="11"/>
      <c r="J207" s="4">
        <f>J135+50</f>
        <v>1750</v>
      </c>
      <c r="K207" s="12">
        <v>0.25</v>
      </c>
      <c r="L207" s="5">
        <f t="shared" si="42"/>
        <v>437.5</v>
      </c>
      <c r="M207" s="5">
        <f t="shared" si="43"/>
        <v>2187.5</v>
      </c>
      <c r="N207" s="10"/>
      <c r="O207" s="13"/>
      <c r="P207" s="13"/>
      <c r="Q207" s="13"/>
      <c r="R207" s="13"/>
      <c r="S207" s="13"/>
      <c r="T207" s="13"/>
      <c r="U207" s="13"/>
      <c r="V207" s="13"/>
      <c r="W207" s="13"/>
      <c r="X207" s="13"/>
      <c r="Y207" s="13"/>
      <c r="Z207" s="13"/>
      <c r="AA207" s="13"/>
      <c r="AB207" s="13"/>
      <c r="AC207" s="13"/>
      <c r="AD207" s="13"/>
    </row>
    <row r="208">
      <c r="A208" s="10" t="s">
        <v>29</v>
      </c>
      <c r="B208" s="10" t="s">
        <v>10</v>
      </c>
      <c r="C208" s="10" t="s">
        <v>11</v>
      </c>
      <c r="D208" s="10" t="s">
        <v>40</v>
      </c>
      <c r="E208" s="10" t="s">
        <v>41</v>
      </c>
      <c r="F208" s="10" t="s">
        <v>42</v>
      </c>
      <c r="G208" s="11" t="s">
        <v>399</v>
      </c>
      <c r="H208" s="11" t="s">
        <v>228</v>
      </c>
      <c r="I208" s="11"/>
      <c r="J208" s="4">
        <f t="shared" ref="J208:J209" si="44">J142+50</f>
        <v>2155</v>
      </c>
      <c r="K208" s="12">
        <v>0.25</v>
      </c>
      <c r="L208" s="5">
        <f t="shared" si="42"/>
        <v>538.75</v>
      </c>
      <c r="M208" s="5">
        <f t="shared" si="43"/>
        <v>2693.75</v>
      </c>
      <c r="N208" s="13"/>
      <c r="O208" s="13"/>
      <c r="P208" s="13"/>
      <c r="Q208" s="13"/>
      <c r="R208" s="13"/>
      <c r="S208" s="13"/>
      <c r="T208" s="13"/>
      <c r="U208" s="13"/>
      <c r="V208" s="13"/>
      <c r="W208" s="13"/>
      <c r="X208" s="13"/>
      <c r="Y208" s="13"/>
      <c r="Z208" s="13"/>
      <c r="AA208" s="13"/>
      <c r="AB208" s="13"/>
      <c r="AC208" s="13"/>
      <c r="AD208" s="13"/>
    </row>
    <row r="209">
      <c r="A209" s="10" t="s">
        <v>29</v>
      </c>
      <c r="B209" s="10" t="s">
        <v>10</v>
      </c>
      <c r="C209" s="10" t="s">
        <v>11</v>
      </c>
      <c r="D209" s="10" t="s">
        <v>40</v>
      </c>
      <c r="E209" s="10" t="s">
        <v>41</v>
      </c>
      <c r="F209" s="10" t="s">
        <v>42</v>
      </c>
      <c r="G209" s="11" t="s">
        <v>400</v>
      </c>
      <c r="H209" s="11" t="s">
        <v>228</v>
      </c>
      <c r="I209" s="11"/>
      <c r="J209" s="4">
        <f t="shared" si="44"/>
        <v>2275</v>
      </c>
      <c r="K209" s="12">
        <v>0.25</v>
      </c>
      <c r="L209" s="5">
        <f t="shared" si="42"/>
        <v>568.75</v>
      </c>
      <c r="M209" s="5">
        <f t="shared" si="43"/>
        <v>2843.75</v>
      </c>
      <c r="N209" s="13"/>
      <c r="O209" s="13"/>
      <c r="P209" s="13"/>
      <c r="Q209" s="13"/>
      <c r="R209" s="13"/>
      <c r="S209" s="13"/>
      <c r="T209" s="13"/>
      <c r="U209" s="13"/>
      <c r="V209" s="13"/>
      <c r="W209" s="13"/>
      <c r="X209" s="13"/>
      <c r="Y209" s="13"/>
      <c r="Z209" s="13"/>
      <c r="AA209" s="13"/>
      <c r="AB209" s="13"/>
      <c r="AC209" s="13"/>
      <c r="AD209" s="13"/>
    </row>
    <row r="210">
      <c r="A210" s="10" t="s">
        <v>29</v>
      </c>
      <c r="B210" s="10" t="s">
        <v>10</v>
      </c>
      <c r="C210" s="10" t="s">
        <v>11</v>
      </c>
      <c r="D210" s="10" t="s">
        <v>170</v>
      </c>
      <c r="E210" s="10" t="s">
        <v>87</v>
      </c>
      <c r="F210" s="10" t="s">
        <v>83</v>
      </c>
      <c r="G210" s="11" t="s">
        <v>401</v>
      </c>
      <c r="H210" s="11" t="s">
        <v>237</v>
      </c>
      <c r="I210" s="11"/>
      <c r="J210" s="4">
        <f t="shared" ref="J210:J218" si="45">J157+50</f>
        <v>1525</v>
      </c>
      <c r="K210" s="12">
        <v>0.25</v>
      </c>
      <c r="L210" s="5">
        <f t="shared" si="42"/>
        <v>381.25</v>
      </c>
      <c r="M210" s="5">
        <f t="shared" si="43"/>
        <v>1906.25</v>
      </c>
      <c r="N210" s="13"/>
      <c r="O210" s="13"/>
      <c r="P210" s="13"/>
      <c r="Q210" s="13"/>
      <c r="R210" s="13"/>
      <c r="S210" s="13"/>
      <c r="T210" s="13"/>
      <c r="U210" s="13"/>
      <c r="V210" s="13"/>
      <c r="W210" s="13"/>
      <c r="X210" s="13"/>
      <c r="Y210" s="13"/>
      <c r="Z210" s="13"/>
      <c r="AA210" s="13"/>
      <c r="AB210" s="13"/>
      <c r="AC210" s="13"/>
      <c r="AD210" s="13"/>
    </row>
    <row r="211">
      <c r="A211" s="10" t="s">
        <v>29</v>
      </c>
      <c r="B211" s="10" t="s">
        <v>10</v>
      </c>
      <c r="C211" s="10" t="s">
        <v>11</v>
      </c>
      <c r="D211" s="10" t="s">
        <v>91</v>
      </c>
      <c r="E211" s="10" t="s">
        <v>87</v>
      </c>
      <c r="F211" s="10" t="s">
        <v>83</v>
      </c>
      <c r="G211" s="10" t="s">
        <v>401</v>
      </c>
      <c r="H211" s="11" t="s">
        <v>237</v>
      </c>
      <c r="I211" s="11"/>
      <c r="J211" s="4">
        <f t="shared" si="45"/>
        <v>1750</v>
      </c>
      <c r="K211" s="12">
        <v>0.25</v>
      </c>
      <c r="L211" s="5">
        <f t="shared" si="42"/>
        <v>437.5</v>
      </c>
      <c r="M211" s="5">
        <f t="shared" si="43"/>
        <v>2187.5</v>
      </c>
      <c r="N211" s="13"/>
      <c r="O211" s="13"/>
      <c r="P211" s="13"/>
      <c r="Q211" s="13"/>
      <c r="R211" s="13"/>
      <c r="S211" s="13"/>
      <c r="T211" s="13"/>
      <c r="U211" s="13"/>
      <c r="V211" s="13"/>
      <c r="W211" s="13"/>
      <c r="X211" s="13"/>
      <c r="Y211" s="13"/>
      <c r="Z211" s="13"/>
      <c r="AA211" s="13"/>
      <c r="AB211" s="13"/>
      <c r="AC211" s="13"/>
      <c r="AD211" s="13"/>
    </row>
    <row r="212">
      <c r="A212" s="10" t="s">
        <v>29</v>
      </c>
      <c r="B212" s="10" t="s">
        <v>10</v>
      </c>
      <c r="C212" s="10" t="s">
        <v>11</v>
      </c>
      <c r="D212" s="10" t="s">
        <v>93</v>
      </c>
      <c r="E212" s="10" t="s">
        <v>94</v>
      </c>
      <c r="F212" s="10" t="s">
        <v>42</v>
      </c>
      <c r="G212" s="10" t="s">
        <v>402</v>
      </c>
      <c r="H212" s="10" t="s">
        <v>239</v>
      </c>
      <c r="I212" s="10"/>
      <c r="J212" s="4">
        <f t="shared" si="45"/>
        <v>1147</v>
      </c>
      <c r="K212" s="12">
        <v>0.25</v>
      </c>
      <c r="L212" s="5">
        <f t="shared" si="42"/>
        <v>286.75</v>
      </c>
      <c r="M212" s="5">
        <f t="shared" si="43"/>
        <v>1433.75</v>
      </c>
      <c r="N212" s="13"/>
      <c r="O212" s="13"/>
      <c r="P212" s="13"/>
      <c r="Q212" s="13"/>
      <c r="R212" s="13"/>
      <c r="S212" s="13"/>
      <c r="T212" s="13"/>
      <c r="U212" s="13"/>
      <c r="V212" s="13"/>
      <c r="W212" s="13"/>
      <c r="X212" s="13"/>
      <c r="Y212" s="13"/>
      <c r="Z212" s="13"/>
      <c r="AA212" s="13"/>
      <c r="AB212" s="13"/>
      <c r="AC212" s="13"/>
      <c r="AD212" s="13"/>
    </row>
    <row r="213">
      <c r="A213" s="10" t="s">
        <v>29</v>
      </c>
      <c r="B213" s="10" t="s">
        <v>10</v>
      </c>
      <c r="C213" s="10" t="s">
        <v>11</v>
      </c>
      <c r="D213" s="10" t="s">
        <v>97</v>
      </c>
      <c r="E213" s="10" t="s">
        <v>98</v>
      </c>
      <c r="F213" s="10" t="s">
        <v>99</v>
      </c>
      <c r="G213" s="10" t="s">
        <v>403</v>
      </c>
      <c r="H213" s="10" t="s">
        <v>240</v>
      </c>
      <c r="I213" s="10"/>
      <c r="J213" s="4">
        <f t="shared" si="45"/>
        <v>1033</v>
      </c>
      <c r="K213" s="12">
        <v>0.25</v>
      </c>
      <c r="L213" s="5">
        <f t="shared" si="42"/>
        <v>258.25</v>
      </c>
      <c r="M213" s="5">
        <f t="shared" si="43"/>
        <v>1291.25</v>
      </c>
      <c r="N213" s="13"/>
      <c r="O213" s="13"/>
      <c r="P213" s="13"/>
      <c r="Q213" s="13"/>
      <c r="R213" s="13"/>
      <c r="S213" s="13"/>
      <c r="T213" s="13"/>
      <c r="U213" s="13"/>
      <c r="V213" s="13"/>
      <c r="W213" s="13"/>
      <c r="X213" s="13"/>
      <c r="Y213" s="13"/>
      <c r="Z213" s="13"/>
      <c r="AA213" s="13"/>
      <c r="AB213" s="13"/>
      <c r="AC213" s="13"/>
      <c r="AD213" s="13"/>
    </row>
    <row r="214">
      <c r="A214" s="10" t="s">
        <v>29</v>
      </c>
      <c r="B214" s="10" t="s">
        <v>10</v>
      </c>
      <c r="C214" s="10" t="s">
        <v>11</v>
      </c>
      <c r="D214" s="10" t="s">
        <v>97</v>
      </c>
      <c r="E214" s="10" t="s">
        <v>102</v>
      </c>
      <c r="F214" s="10" t="s">
        <v>99</v>
      </c>
      <c r="G214" s="10" t="s">
        <v>403</v>
      </c>
      <c r="H214" s="10" t="s">
        <v>240</v>
      </c>
      <c r="I214" s="10"/>
      <c r="J214" s="4">
        <f t="shared" si="45"/>
        <v>1033</v>
      </c>
      <c r="K214" s="12">
        <v>0.25</v>
      </c>
      <c r="L214" s="5">
        <f t="shared" si="42"/>
        <v>258.25</v>
      </c>
      <c r="M214" s="5">
        <f t="shared" si="43"/>
        <v>1291.25</v>
      </c>
      <c r="N214" s="13"/>
      <c r="O214" s="13"/>
      <c r="P214" s="13"/>
      <c r="Q214" s="13"/>
      <c r="R214" s="13"/>
      <c r="S214" s="13"/>
      <c r="T214" s="13"/>
      <c r="U214" s="13"/>
      <c r="V214" s="13"/>
      <c r="W214" s="13"/>
      <c r="X214" s="13"/>
      <c r="Y214" s="13"/>
      <c r="Z214" s="13"/>
      <c r="AA214" s="13"/>
      <c r="AB214" s="13"/>
      <c r="AC214" s="13"/>
      <c r="AD214" s="13"/>
    </row>
    <row r="215">
      <c r="A215" s="10" t="s">
        <v>29</v>
      </c>
      <c r="B215" s="10" t="s">
        <v>10</v>
      </c>
      <c r="C215" s="10" t="s">
        <v>11</v>
      </c>
      <c r="D215" s="10" t="s">
        <v>97</v>
      </c>
      <c r="E215" s="10" t="s">
        <v>103</v>
      </c>
      <c r="F215" s="10" t="s">
        <v>99</v>
      </c>
      <c r="G215" s="10" t="s">
        <v>403</v>
      </c>
      <c r="H215" s="10" t="s">
        <v>240</v>
      </c>
      <c r="I215" s="10"/>
      <c r="J215" s="4">
        <f t="shared" si="45"/>
        <v>1233</v>
      </c>
      <c r="K215" s="12">
        <v>0.25</v>
      </c>
      <c r="L215" s="5">
        <f t="shared" si="42"/>
        <v>308.25</v>
      </c>
      <c r="M215" s="5">
        <f t="shared" si="43"/>
        <v>1541.25</v>
      </c>
      <c r="N215" s="13"/>
      <c r="O215" s="13"/>
      <c r="P215" s="13"/>
      <c r="Q215" s="13"/>
      <c r="R215" s="13"/>
      <c r="S215" s="13"/>
      <c r="T215" s="13"/>
      <c r="U215" s="13"/>
      <c r="V215" s="13"/>
      <c r="W215" s="13"/>
      <c r="X215" s="13"/>
      <c r="Y215" s="13"/>
      <c r="Z215" s="13"/>
      <c r="AA215" s="13"/>
      <c r="AB215" s="13"/>
      <c r="AC215" s="13"/>
      <c r="AD215" s="13"/>
    </row>
    <row r="216">
      <c r="A216" s="10" t="s">
        <v>29</v>
      </c>
      <c r="B216" s="10" t="s">
        <v>10</v>
      </c>
      <c r="C216" s="10" t="s">
        <v>11</v>
      </c>
      <c r="D216" s="10" t="s">
        <v>104</v>
      </c>
      <c r="E216" s="10" t="s">
        <v>105</v>
      </c>
      <c r="F216" s="10" t="s">
        <v>99</v>
      </c>
      <c r="G216" s="10" t="s">
        <v>403</v>
      </c>
      <c r="H216" s="10" t="s">
        <v>241</v>
      </c>
      <c r="I216" s="10"/>
      <c r="J216" s="4">
        <f t="shared" si="45"/>
        <v>1850</v>
      </c>
      <c r="K216" s="12">
        <v>0.25</v>
      </c>
      <c r="L216" s="5">
        <f t="shared" si="42"/>
        <v>462.5</v>
      </c>
      <c r="M216" s="5">
        <f t="shared" si="43"/>
        <v>2312.5</v>
      </c>
      <c r="N216" s="13"/>
      <c r="O216" s="13"/>
      <c r="P216" s="13"/>
      <c r="Q216" s="13"/>
      <c r="R216" s="13"/>
      <c r="S216" s="13"/>
      <c r="T216" s="13"/>
      <c r="U216" s="13"/>
      <c r="V216" s="13"/>
      <c r="W216" s="13"/>
      <c r="X216" s="13"/>
      <c r="Y216" s="13"/>
      <c r="Z216" s="13"/>
      <c r="AA216" s="13"/>
      <c r="AB216" s="13"/>
      <c r="AC216" s="13"/>
      <c r="AD216" s="13"/>
    </row>
    <row r="217">
      <c r="A217" s="10" t="s">
        <v>29</v>
      </c>
      <c r="B217" s="10" t="s">
        <v>10</v>
      </c>
      <c r="C217" s="10" t="s">
        <v>11</v>
      </c>
      <c r="D217" s="10" t="s">
        <v>107</v>
      </c>
      <c r="E217" s="10" t="s">
        <v>243</v>
      </c>
      <c r="F217" s="10" t="s">
        <v>99</v>
      </c>
      <c r="G217" s="10" t="s">
        <v>403</v>
      </c>
      <c r="H217" s="10" t="s">
        <v>242</v>
      </c>
      <c r="I217" s="10"/>
      <c r="J217" s="4">
        <f t="shared" si="45"/>
        <v>1150</v>
      </c>
      <c r="K217" s="12">
        <v>0.25</v>
      </c>
      <c r="L217" s="5">
        <f t="shared" si="42"/>
        <v>287.5</v>
      </c>
      <c r="M217" s="5">
        <f t="shared" si="43"/>
        <v>1437.5</v>
      </c>
      <c r="N217" s="13"/>
      <c r="O217" s="13"/>
      <c r="P217" s="13"/>
      <c r="Q217" s="13"/>
      <c r="R217" s="13"/>
      <c r="S217" s="13"/>
      <c r="T217" s="13"/>
      <c r="U217" s="13"/>
      <c r="V217" s="13"/>
      <c r="W217" s="13"/>
      <c r="X217" s="13"/>
      <c r="Y217" s="13"/>
      <c r="Z217" s="13"/>
      <c r="AA217" s="13"/>
      <c r="AB217" s="13"/>
      <c r="AC217" s="13"/>
      <c r="AD217" s="13"/>
    </row>
    <row r="218">
      <c r="A218" s="10" t="s">
        <v>29</v>
      </c>
      <c r="B218" s="13"/>
      <c r="C218" s="13"/>
      <c r="D218" s="10" t="s">
        <v>107</v>
      </c>
      <c r="E218" s="11" t="s">
        <v>244</v>
      </c>
      <c r="F218" s="10"/>
      <c r="G218" s="10" t="s">
        <v>403</v>
      </c>
      <c r="H218" s="10"/>
      <c r="I218" s="10"/>
      <c r="J218" s="4">
        <f t="shared" si="45"/>
        <v>1317</v>
      </c>
      <c r="K218" s="12">
        <v>0.25</v>
      </c>
      <c r="L218" s="5">
        <f t="shared" si="42"/>
        <v>329.25</v>
      </c>
      <c r="M218" s="5">
        <f t="shared" si="43"/>
        <v>1646.25</v>
      </c>
      <c r="Z218" s="13"/>
      <c r="AA218" s="13"/>
      <c r="AB218" s="13"/>
      <c r="AC218" s="13"/>
      <c r="AD218" s="13"/>
    </row>
    <row r="219">
      <c r="A219" s="10" t="s">
        <v>29</v>
      </c>
      <c r="B219" s="13"/>
      <c r="C219" s="13"/>
      <c r="D219" s="13"/>
      <c r="E219" s="13"/>
      <c r="F219" s="13"/>
      <c r="G219" s="13"/>
      <c r="H219" s="13"/>
      <c r="I219" s="13"/>
      <c r="J219" s="6"/>
      <c r="K219" s="12"/>
      <c r="L219" s="5"/>
      <c r="M219" s="5"/>
      <c r="N219" s="13"/>
      <c r="O219" s="13"/>
      <c r="P219" s="13"/>
      <c r="Q219" s="13"/>
      <c r="R219" s="13"/>
      <c r="S219" s="13"/>
      <c r="T219" s="13"/>
      <c r="U219" s="13"/>
      <c r="V219" s="13"/>
      <c r="W219" s="13"/>
      <c r="X219" s="13"/>
      <c r="Y219" s="13"/>
      <c r="Z219" s="13"/>
      <c r="AA219" s="13"/>
      <c r="AB219" s="13"/>
      <c r="AC219" s="13"/>
      <c r="AD219" s="13"/>
    </row>
    <row r="220" ht="37.5" customHeight="1">
      <c r="A220" s="10" t="s">
        <v>29</v>
      </c>
      <c r="B220" s="10" t="s">
        <v>10</v>
      </c>
      <c r="C220" s="10" t="s">
        <v>17</v>
      </c>
      <c r="D220" s="10" t="s">
        <v>40</v>
      </c>
      <c r="E220" s="13"/>
      <c r="F220" s="10" t="s">
        <v>42</v>
      </c>
      <c r="G220" s="10" t="s">
        <v>404</v>
      </c>
      <c r="H220" s="11" t="s">
        <v>246</v>
      </c>
      <c r="I220" s="10" t="s">
        <v>405</v>
      </c>
      <c r="J220" s="4">
        <f>J207-100</f>
        <v>1650</v>
      </c>
      <c r="K220" s="12">
        <v>0.25</v>
      </c>
      <c r="L220" s="5">
        <f>J220*K220</f>
        <v>412.5</v>
      </c>
      <c r="M220" s="5">
        <f>J220+L220</f>
        <v>2062.5</v>
      </c>
      <c r="N220" s="10"/>
      <c r="O220" s="13"/>
      <c r="P220" s="13"/>
      <c r="Q220" s="13"/>
      <c r="R220" s="13"/>
      <c r="S220" s="13"/>
      <c r="T220" s="13"/>
      <c r="U220" s="13"/>
      <c r="V220" s="13"/>
      <c r="W220" s="13"/>
      <c r="X220" s="13"/>
      <c r="Y220" s="13"/>
      <c r="Z220" s="13"/>
      <c r="AA220" s="13"/>
      <c r="AB220" s="13"/>
      <c r="AC220" s="13"/>
      <c r="AD220" s="13"/>
    </row>
    <row r="221" ht="37.5" customHeight="1">
      <c r="F221" s="10"/>
      <c r="H221" s="11"/>
      <c r="I221" s="10" t="s">
        <v>406</v>
      </c>
      <c r="J221" s="4"/>
      <c r="K221" s="12"/>
      <c r="L221" s="5"/>
      <c r="N221" s="10"/>
      <c r="O221" s="13"/>
      <c r="P221" s="13"/>
      <c r="Q221" s="13"/>
      <c r="R221" s="13"/>
      <c r="S221" s="13"/>
      <c r="T221" s="13"/>
      <c r="U221" s="13"/>
      <c r="V221" s="13"/>
      <c r="W221" s="13"/>
      <c r="X221" s="13"/>
      <c r="Y221" s="13"/>
      <c r="Z221" s="13"/>
      <c r="AA221" s="13"/>
      <c r="AB221" s="13"/>
      <c r="AC221" s="13"/>
      <c r="AD221" s="13"/>
    </row>
    <row r="222" ht="37.5" customHeight="1">
      <c r="F222" s="10"/>
      <c r="H222" s="11"/>
      <c r="I222" s="10" t="s">
        <v>407</v>
      </c>
      <c r="J222" s="4"/>
      <c r="K222" s="12"/>
      <c r="L222" s="5"/>
      <c r="N222" s="10"/>
      <c r="O222" s="13"/>
      <c r="P222" s="13"/>
      <c r="Q222" s="13"/>
      <c r="R222" s="13"/>
      <c r="S222" s="13"/>
      <c r="T222" s="13"/>
      <c r="U222" s="13"/>
      <c r="V222" s="13"/>
      <c r="W222" s="13"/>
      <c r="X222" s="13"/>
      <c r="Y222" s="13"/>
      <c r="Z222" s="13"/>
      <c r="AA222" s="13"/>
      <c r="AB222" s="13"/>
      <c r="AC222" s="13"/>
      <c r="AD222" s="13"/>
    </row>
    <row r="223" ht="37.5" customHeight="1">
      <c r="F223" s="10"/>
      <c r="H223" s="11"/>
      <c r="I223" s="10" t="s">
        <v>408</v>
      </c>
      <c r="J223" s="4"/>
      <c r="K223" s="12"/>
      <c r="L223" s="5"/>
      <c r="N223" s="10"/>
      <c r="O223" s="13"/>
      <c r="P223" s="13"/>
      <c r="Q223" s="13"/>
      <c r="R223" s="13"/>
      <c r="S223" s="13"/>
      <c r="T223" s="13"/>
      <c r="U223" s="13"/>
      <c r="V223" s="13"/>
      <c r="W223" s="13"/>
      <c r="X223" s="13"/>
      <c r="Y223" s="13"/>
      <c r="Z223" s="13"/>
      <c r="AA223" s="13"/>
      <c r="AB223" s="13"/>
      <c r="AC223" s="13"/>
      <c r="AD223" s="13"/>
    </row>
    <row r="224">
      <c r="A224" s="10" t="s">
        <v>29</v>
      </c>
      <c r="B224" s="10" t="s">
        <v>10</v>
      </c>
      <c r="C224" s="10" t="s">
        <v>17</v>
      </c>
      <c r="D224" s="10" t="s">
        <v>40</v>
      </c>
      <c r="E224" s="10" t="s">
        <v>41</v>
      </c>
      <c r="F224" s="10" t="s">
        <v>42</v>
      </c>
      <c r="G224" s="11" t="s">
        <v>409</v>
      </c>
      <c r="H224" s="11" t="s">
        <v>246</v>
      </c>
      <c r="I224" s="11"/>
      <c r="J224" s="4">
        <f t="shared" ref="J224:J233" si="46">J208-100</f>
        <v>2055</v>
      </c>
      <c r="K224" s="12">
        <v>0.25</v>
      </c>
      <c r="L224" s="5">
        <f t="shared" ref="L224:L233" si="47">J224*K224</f>
        <v>513.75</v>
      </c>
      <c r="M224" s="5">
        <f t="shared" ref="M224:M233" si="48">J224+L224</f>
        <v>2568.75</v>
      </c>
      <c r="N224" s="13"/>
      <c r="O224" s="13"/>
      <c r="P224" s="13"/>
      <c r="Q224" s="13"/>
      <c r="R224" s="13"/>
      <c r="S224" s="13"/>
      <c r="T224" s="13"/>
      <c r="U224" s="13"/>
      <c r="V224" s="13"/>
      <c r="W224" s="13"/>
      <c r="X224" s="13"/>
      <c r="Y224" s="13"/>
      <c r="Z224" s="13"/>
      <c r="AA224" s="13"/>
      <c r="AB224" s="13"/>
      <c r="AC224" s="13"/>
      <c r="AD224" s="13"/>
    </row>
    <row r="225">
      <c r="A225" s="10" t="s">
        <v>29</v>
      </c>
      <c r="B225" s="10" t="s">
        <v>10</v>
      </c>
      <c r="C225" s="10" t="s">
        <v>17</v>
      </c>
      <c r="D225" s="10" t="s">
        <v>40</v>
      </c>
      <c r="E225" s="10" t="s">
        <v>41</v>
      </c>
      <c r="F225" s="10" t="s">
        <v>42</v>
      </c>
      <c r="G225" s="11" t="s">
        <v>410</v>
      </c>
      <c r="H225" s="11" t="s">
        <v>256</v>
      </c>
      <c r="I225" s="11"/>
      <c r="J225" s="4">
        <f t="shared" si="46"/>
        <v>2175</v>
      </c>
      <c r="K225" s="12">
        <v>0.25</v>
      </c>
      <c r="L225" s="5">
        <f t="shared" si="47"/>
        <v>543.75</v>
      </c>
      <c r="M225" s="5">
        <f t="shared" si="48"/>
        <v>2718.75</v>
      </c>
      <c r="N225" s="13"/>
      <c r="O225" s="13"/>
      <c r="P225" s="13"/>
      <c r="Q225" s="13"/>
      <c r="R225" s="13"/>
      <c r="S225" s="13"/>
      <c r="T225" s="13"/>
      <c r="U225" s="13"/>
      <c r="V225" s="13"/>
      <c r="W225" s="13"/>
      <c r="X225" s="13"/>
      <c r="Y225" s="13"/>
      <c r="Z225" s="13"/>
      <c r="AA225" s="13"/>
      <c r="AB225" s="13"/>
      <c r="AC225" s="13"/>
      <c r="AD225" s="13"/>
    </row>
    <row r="226">
      <c r="A226" s="10" t="s">
        <v>29</v>
      </c>
      <c r="B226" s="10" t="s">
        <v>10</v>
      </c>
      <c r="C226" s="10" t="s">
        <v>17</v>
      </c>
      <c r="D226" s="10" t="s">
        <v>170</v>
      </c>
      <c r="E226" s="10" t="s">
        <v>87</v>
      </c>
      <c r="F226" s="10" t="s">
        <v>83</v>
      </c>
      <c r="G226" s="11" t="s">
        <v>411</v>
      </c>
      <c r="H226" s="11" t="s">
        <v>277</v>
      </c>
      <c r="I226" s="11"/>
      <c r="J226" s="4">
        <f t="shared" si="46"/>
        <v>1425</v>
      </c>
      <c r="K226" s="12">
        <v>0.25</v>
      </c>
      <c r="L226" s="5">
        <f t="shared" si="47"/>
        <v>356.25</v>
      </c>
      <c r="M226" s="5">
        <f t="shared" si="48"/>
        <v>1781.25</v>
      </c>
      <c r="N226" s="13"/>
      <c r="O226" s="13"/>
      <c r="P226" s="13"/>
      <c r="Q226" s="13"/>
      <c r="R226" s="13"/>
      <c r="S226" s="13"/>
      <c r="T226" s="13"/>
      <c r="U226" s="13"/>
      <c r="V226" s="13"/>
      <c r="W226" s="13"/>
      <c r="X226" s="13"/>
      <c r="Y226" s="13"/>
      <c r="Z226" s="13"/>
      <c r="AA226" s="13"/>
      <c r="AB226" s="13"/>
      <c r="AC226" s="13"/>
      <c r="AD226" s="13"/>
    </row>
    <row r="227">
      <c r="A227" s="10" t="s">
        <v>29</v>
      </c>
      <c r="B227" s="10" t="s">
        <v>10</v>
      </c>
      <c r="C227" s="10" t="s">
        <v>17</v>
      </c>
      <c r="D227" s="10" t="s">
        <v>91</v>
      </c>
      <c r="E227" s="10" t="s">
        <v>87</v>
      </c>
      <c r="F227" s="10" t="s">
        <v>83</v>
      </c>
      <c r="G227" s="10" t="s">
        <v>411</v>
      </c>
      <c r="H227" s="11" t="s">
        <v>278</v>
      </c>
      <c r="I227" s="11"/>
      <c r="J227" s="4">
        <f t="shared" si="46"/>
        <v>1650</v>
      </c>
      <c r="K227" s="12">
        <v>0.25</v>
      </c>
      <c r="L227" s="5">
        <f t="shared" si="47"/>
        <v>412.5</v>
      </c>
      <c r="M227" s="5">
        <f t="shared" si="48"/>
        <v>2062.5</v>
      </c>
      <c r="N227" s="13"/>
      <c r="O227" s="13"/>
      <c r="P227" s="13"/>
      <c r="Q227" s="13"/>
      <c r="R227" s="13"/>
      <c r="S227" s="13"/>
      <c r="T227" s="13"/>
      <c r="U227" s="13"/>
      <c r="V227" s="13"/>
      <c r="W227" s="13"/>
      <c r="X227" s="13"/>
      <c r="Y227" s="13"/>
      <c r="Z227" s="13"/>
      <c r="AA227" s="13"/>
      <c r="AB227" s="13"/>
      <c r="AC227" s="13"/>
      <c r="AD227" s="13"/>
    </row>
    <row r="228">
      <c r="A228" s="10" t="s">
        <v>29</v>
      </c>
      <c r="B228" s="10" t="s">
        <v>10</v>
      </c>
      <c r="C228" s="10" t="s">
        <v>17</v>
      </c>
      <c r="D228" s="10" t="s">
        <v>93</v>
      </c>
      <c r="E228" s="10" t="s">
        <v>94</v>
      </c>
      <c r="F228" s="10" t="s">
        <v>42</v>
      </c>
      <c r="G228" s="11" t="s">
        <v>412</v>
      </c>
      <c r="H228" s="10" t="s">
        <v>281</v>
      </c>
      <c r="I228" s="10"/>
      <c r="J228" s="4">
        <f t="shared" si="46"/>
        <v>1047</v>
      </c>
      <c r="K228" s="12">
        <v>0.25</v>
      </c>
      <c r="L228" s="5">
        <f t="shared" si="47"/>
        <v>261.75</v>
      </c>
      <c r="M228" s="5">
        <f t="shared" si="48"/>
        <v>1308.75</v>
      </c>
      <c r="N228" s="13"/>
      <c r="O228" s="13"/>
      <c r="P228" s="13"/>
      <c r="Q228" s="13"/>
      <c r="R228" s="13"/>
      <c r="S228" s="13"/>
      <c r="T228" s="13"/>
      <c r="U228" s="13"/>
      <c r="V228" s="13"/>
      <c r="W228" s="13"/>
      <c r="X228" s="13"/>
      <c r="Y228" s="13"/>
      <c r="Z228" s="13"/>
      <c r="AA228" s="13"/>
      <c r="AB228" s="13"/>
      <c r="AC228" s="13"/>
      <c r="AD228" s="13"/>
    </row>
    <row r="229">
      <c r="A229" s="10" t="s">
        <v>29</v>
      </c>
      <c r="B229" s="10" t="s">
        <v>10</v>
      </c>
      <c r="C229" s="10" t="s">
        <v>17</v>
      </c>
      <c r="D229" s="10" t="s">
        <v>97</v>
      </c>
      <c r="E229" s="10" t="s">
        <v>98</v>
      </c>
      <c r="F229" s="10" t="s">
        <v>99</v>
      </c>
      <c r="G229" s="11" t="s">
        <v>411</v>
      </c>
      <c r="H229" s="10" t="s">
        <v>283</v>
      </c>
      <c r="I229" s="10"/>
      <c r="J229" s="4">
        <f t="shared" si="46"/>
        <v>933</v>
      </c>
      <c r="K229" s="12">
        <v>0.25</v>
      </c>
      <c r="L229" s="5">
        <f t="shared" si="47"/>
        <v>233.25</v>
      </c>
      <c r="M229" s="5">
        <f t="shared" si="48"/>
        <v>1166.25</v>
      </c>
      <c r="N229" s="13"/>
      <c r="O229" s="13"/>
      <c r="P229" s="13"/>
      <c r="Q229" s="13"/>
      <c r="R229" s="13"/>
      <c r="S229" s="13"/>
      <c r="T229" s="13"/>
      <c r="U229" s="13"/>
      <c r="V229" s="13"/>
      <c r="W229" s="13"/>
      <c r="X229" s="13"/>
      <c r="Y229" s="13"/>
      <c r="Z229" s="13"/>
      <c r="AA229" s="13"/>
      <c r="AB229" s="13"/>
      <c r="AC229" s="13"/>
      <c r="AD229" s="13"/>
    </row>
    <row r="230">
      <c r="A230" s="10" t="s">
        <v>29</v>
      </c>
      <c r="B230" s="10" t="s">
        <v>10</v>
      </c>
      <c r="C230" s="10" t="s">
        <v>17</v>
      </c>
      <c r="D230" s="10" t="s">
        <v>97</v>
      </c>
      <c r="E230" s="10" t="s">
        <v>102</v>
      </c>
      <c r="F230" s="10" t="s">
        <v>99</v>
      </c>
      <c r="G230" s="11" t="s">
        <v>411</v>
      </c>
      <c r="H230" s="10" t="s">
        <v>283</v>
      </c>
      <c r="I230" s="10" t="s">
        <v>413</v>
      </c>
      <c r="J230" s="4">
        <f t="shared" si="46"/>
        <v>933</v>
      </c>
      <c r="K230" s="12">
        <v>0.25</v>
      </c>
      <c r="L230" s="5">
        <f t="shared" si="47"/>
        <v>233.25</v>
      </c>
      <c r="M230" s="5">
        <f t="shared" si="48"/>
        <v>1166.25</v>
      </c>
      <c r="N230" s="13"/>
      <c r="O230" s="13"/>
      <c r="P230" s="13"/>
      <c r="Q230" s="13"/>
      <c r="R230" s="13"/>
      <c r="S230" s="13"/>
      <c r="T230" s="13"/>
      <c r="U230" s="13"/>
      <c r="V230" s="13"/>
      <c r="W230" s="13"/>
      <c r="X230" s="13"/>
      <c r="Y230" s="13"/>
      <c r="Z230" s="13"/>
      <c r="AA230" s="13"/>
      <c r="AB230" s="13"/>
      <c r="AC230" s="13"/>
      <c r="AD230" s="13"/>
    </row>
    <row r="231">
      <c r="A231" s="10" t="s">
        <v>29</v>
      </c>
      <c r="B231" s="10" t="s">
        <v>10</v>
      </c>
      <c r="C231" s="10" t="s">
        <v>17</v>
      </c>
      <c r="D231" s="10" t="s">
        <v>97</v>
      </c>
      <c r="E231" s="10" t="s">
        <v>103</v>
      </c>
      <c r="F231" s="10" t="s">
        <v>99</v>
      </c>
      <c r="G231" s="11" t="s">
        <v>411</v>
      </c>
      <c r="H231" s="10" t="s">
        <v>283</v>
      </c>
      <c r="I231" s="10" t="s">
        <v>414</v>
      </c>
      <c r="J231" s="4">
        <f t="shared" si="46"/>
        <v>1133</v>
      </c>
      <c r="K231" s="12">
        <v>0.25</v>
      </c>
      <c r="L231" s="5">
        <f t="shared" si="47"/>
        <v>283.25</v>
      </c>
      <c r="M231" s="5">
        <f t="shared" si="48"/>
        <v>1416.25</v>
      </c>
      <c r="N231" s="13"/>
      <c r="O231" s="13"/>
      <c r="P231" s="13"/>
      <c r="Q231" s="13"/>
      <c r="R231" s="13"/>
      <c r="S231" s="13"/>
      <c r="T231" s="13"/>
      <c r="U231" s="13"/>
      <c r="V231" s="13"/>
      <c r="W231" s="13"/>
      <c r="X231" s="13"/>
      <c r="Y231" s="13"/>
      <c r="Z231" s="13"/>
      <c r="AA231" s="13"/>
      <c r="AB231" s="13"/>
      <c r="AC231" s="13"/>
      <c r="AD231" s="13"/>
    </row>
    <row r="232">
      <c r="A232" s="10" t="s">
        <v>29</v>
      </c>
      <c r="B232" s="10" t="s">
        <v>10</v>
      </c>
      <c r="C232" s="10" t="s">
        <v>17</v>
      </c>
      <c r="D232" s="10" t="s">
        <v>104</v>
      </c>
      <c r="E232" s="10" t="s">
        <v>105</v>
      </c>
      <c r="F232" s="10" t="s">
        <v>99</v>
      </c>
      <c r="G232" s="11" t="s">
        <v>411</v>
      </c>
      <c r="H232" s="10" t="s">
        <v>283</v>
      </c>
      <c r="I232" s="10"/>
      <c r="J232" s="4">
        <f t="shared" si="46"/>
        <v>1750</v>
      </c>
      <c r="K232" s="12">
        <v>0.25</v>
      </c>
      <c r="L232" s="5">
        <f t="shared" si="47"/>
        <v>437.5</v>
      </c>
      <c r="M232" s="5">
        <f t="shared" si="48"/>
        <v>2187.5</v>
      </c>
      <c r="N232" s="13"/>
      <c r="O232" s="13"/>
      <c r="P232" s="13"/>
      <c r="Q232" s="13"/>
      <c r="R232" s="13"/>
      <c r="S232" s="13"/>
      <c r="T232" s="13"/>
      <c r="U232" s="13"/>
      <c r="V232" s="13"/>
      <c r="W232" s="13"/>
      <c r="X232" s="13"/>
      <c r="Y232" s="13"/>
      <c r="Z232" s="13"/>
      <c r="AA232" s="13"/>
      <c r="AB232" s="13"/>
      <c r="AC232" s="13"/>
      <c r="AD232" s="13"/>
    </row>
    <row r="233">
      <c r="A233" s="10" t="s">
        <v>29</v>
      </c>
      <c r="B233" s="10" t="s">
        <v>10</v>
      </c>
      <c r="C233" s="10" t="s">
        <v>17</v>
      </c>
      <c r="D233" s="10" t="s">
        <v>107</v>
      </c>
      <c r="E233" s="10" t="s">
        <v>243</v>
      </c>
      <c r="F233" s="10" t="s">
        <v>99</v>
      </c>
      <c r="G233" s="11" t="s">
        <v>411</v>
      </c>
      <c r="H233" s="10" t="s">
        <v>283</v>
      </c>
      <c r="I233" s="10" t="s">
        <v>415</v>
      </c>
      <c r="J233" s="4">
        <f t="shared" si="46"/>
        <v>1050</v>
      </c>
      <c r="K233" s="12">
        <v>0.25</v>
      </c>
      <c r="L233" s="5">
        <f t="shared" si="47"/>
        <v>262.5</v>
      </c>
      <c r="M233" s="5">
        <f t="shared" si="48"/>
        <v>1312.5</v>
      </c>
      <c r="N233" s="13"/>
      <c r="O233" s="13"/>
      <c r="P233" s="13"/>
      <c r="Q233" s="13"/>
      <c r="R233" s="13"/>
      <c r="S233" s="13"/>
      <c r="T233" s="13"/>
      <c r="U233" s="13"/>
      <c r="V233" s="13"/>
      <c r="W233" s="13"/>
      <c r="X233" s="13"/>
      <c r="Y233" s="13"/>
      <c r="Z233" s="13"/>
      <c r="AA233" s="13"/>
      <c r="AB233" s="13"/>
      <c r="AC233" s="13"/>
      <c r="AD233" s="13"/>
    </row>
    <row r="234">
      <c r="H234" s="10"/>
      <c r="I234" s="10" t="s">
        <v>416</v>
      </c>
      <c r="N234" s="13"/>
      <c r="O234" s="13"/>
      <c r="P234" s="13"/>
      <c r="Q234" s="13"/>
      <c r="R234" s="13"/>
      <c r="S234" s="13"/>
      <c r="T234" s="13"/>
      <c r="U234" s="13"/>
      <c r="V234" s="13"/>
      <c r="W234" s="13"/>
      <c r="X234" s="13"/>
      <c r="Y234" s="13"/>
      <c r="Z234" s="13"/>
      <c r="AA234" s="13"/>
      <c r="AB234" s="13"/>
      <c r="AC234" s="13"/>
      <c r="AD234" s="13"/>
    </row>
    <row r="235">
      <c r="H235" s="10"/>
      <c r="I235" s="10" t="s">
        <v>417</v>
      </c>
      <c r="N235" s="13"/>
      <c r="O235" s="13"/>
      <c r="P235" s="13"/>
      <c r="Q235" s="13"/>
      <c r="R235" s="13"/>
      <c r="S235" s="13"/>
      <c r="T235" s="13"/>
      <c r="U235" s="13"/>
      <c r="V235" s="13"/>
      <c r="W235" s="13"/>
      <c r="X235" s="13"/>
      <c r="Y235" s="13"/>
      <c r="Z235" s="13"/>
      <c r="AA235" s="13"/>
      <c r="AB235" s="13"/>
      <c r="AC235" s="13"/>
      <c r="AD235" s="13"/>
    </row>
    <row r="236">
      <c r="H236" s="10"/>
      <c r="I236" s="10" t="s">
        <v>418</v>
      </c>
      <c r="N236" s="13"/>
      <c r="O236" s="13"/>
      <c r="P236" s="13"/>
      <c r="Q236" s="13"/>
      <c r="R236" s="13"/>
      <c r="S236" s="13"/>
      <c r="T236" s="13"/>
      <c r="U236" s="13"/>
      <c r="V236" s="13"/>
      <c r="W236" s="13"/>
      <c r="X236" s="13"/>
      <c r="Y236" s="13"/>
      <c r="Z236" s="13"/>
      <c r="AA236" s="13"/>
      <c r="AB236" s="13"/>
      <c r="AC236" s="13"/>
      <c r="AD236" s="13"/>
    </row>
    <row r="237">
      <c r="H237" s="10"/>
      <c r="I237" s="10" t="s">
        <v>419</v>
      </c>
      <c r="N237" s="13"/>
      <c r="O237" s="13"/>
      <c r="P237" s="13"/>
      <c r="Q237" s="13"/>
      <c r="R237" s="13"/>
      <c r="S237" s="13"/>
      <c r="T237" s="13"/>
      <c r="U237" s="13"/>
      <c r="V237" s="13"/>
      <c r="W237" s="13"/>
      <c r="X237" s="13"/>
      <c r="Y237" s="13"/>
      <c r="Z237" s="13"/>
      <c r="AA237" s="13"/>
      <c r="AB237" s="13"/>
      <c r="AC237" s="13"/>
      <c r="AD237" s="13"/>
    </row>
    <row r="238">
      <c r="A238" s="10" t="s">
        <v>29</v>
      </c>
      <c r="B238" s="13"/>
      <c r="C238" s="13"/>
      <c r="D238" s="10" t="s">
        <v>107</v>
      </c>
      <c r="E238" s="11" t="s">
        <v>244</v>
      </c>
      <c r="F238" s="10"/>
      <c r="G238" s="11" t="s">
        <v>411</v>
      </c>
      <c r="H238" s="10"/>
      <c r="I238" s="10"/>
      <c r="J238" s="4">
        <f>J218-100</f>
        <v>1217</v>
      </c>
      <c r="K238" s="12">
        <v>0.25</v>
      </c>
      <c r="L238" s="5">
        <f t="shared" ref="L238:L241" si="49">J238*K238</f>
        <v>304.25</v>
      </c>
      <c r="M238" s="5">
        <f>J238+L238</f>
        <v>1521.25</v>
      </c>
      <c r="Z238" s="13"/>
      <c r="AA238" s="13"/>
      <c r="AB238" s="13"/>
      <c r="AC238" s="13"/>
      <c r="AD238" s="13"/>
    </row>
    <row r="239">
      <c r="A239" s="7" t="s">
        <v>420</v>
      </c>
      <c r="K239" s="12">
        <v>0.25</v>
      </c>
      <c r="L239" s="5">
        <f t="shared" si="49"/>
        <v>0</v>
      </c>
      <c r="M239" s="5"/>
      <c r="N239" s="4"/>
      <c r="O239" s="4"/>
      <c r="P239" s="6"/>
      <c r="Q239" s="6"/>
      <c r="R239" s="6"/>
      <c r="S239" s="6"/>
      <c r="T239" s="6"/>
      <c r="U239" s="6"/>
      <c r="V239" s="6"/>
      <c r="W239" s="6"/>
      <c r="X239" s="6"/>
      <c r="Y239" s="6"/>
      <c r="Z239" s="6"/>
      <c r="AA239" s="6"/>
      <c r="AB239" s="6"/>
      <c r="AC239" s="6"/>
      <c r="AD239" s="6"/>
    </row>
    <row r="240">
      <c r="A240" s="10" t="s">
        <v>29</v>
      </c>
      <c r="B240" s="4" t="s">
        <v>1</v>
      </c>
      <c r="C240" s="4" t="s">
        <v>2</v>
      </c>
      <c r="D240" s="4" t="s">
        <v>3</v>
      </c>
      <c r="E240" s="4" t="s">
        <v>32</v>
      </c>
      <c r="F240" s="4" t="s">
        <v>4</v>
      </c>
      <c r="G240" s="4" t="s">
        <v>6</v>
      </c>
      <c r="H240" s="4" t="s">
        <v>5</v>
      </c>
      <c r="I240" s="4"/>
      <c r="J240" s="4" t="s">
        <v>34</v>
      </c>
      <c r="K240" s="12">
        <v>0.25</v>
      </c>
      <c r="L240" s="5" t="str">
        <f t="shared" si="49"/>
        <v>#VALUE!</v>
      </c>
      <c r="M240" s="5"/>
      <c r="N240" s="4"/>
      <c r="O240" s="4"/>
      <c r="P240" s="6"/>
      <c r="Q240" s="6"/>
      <c r="R240" s="6"/>
      <c r="S240" s="6"/>
      <c r="T240" s="6"/>
      <c r="U240" s="6"/>
      <c r="V240" s="6"/>
      <c r="W240" s="6"/>
      <c r="X240" s="6"/>
      <c r="Y240" s="6"/>
      <c r="Z240" s="6"/>
      <c r="AA240" s="6"/>
      <c r="AB240" s="6"/>
      <c r="AC240" s="6"/>
      <c r="AD240" s="6"/>
    </row>
    <row r="241" ht="37.5" customHeight="1">
      <c r="A241" s="10" t="s">
        <v>29</v>
      </c>
      <c r="B241" s="10" t="s">
        <v>10</v>
      </c>
      <c r="C241" s="10" t="s">
        <v>11</v>
      </c>
      <c r="D241" s="10" t="s">
        <v>40</v>
      </c>
      <c r="E241" s="10" t="s">
        <v>41</v>
      </c>
      <c r="F241" s="10" t="s">
        <v>42</v>
      </c>
      <c r="G241" s="10" t="s">
        <v>421</v>
      </c>
      <c r="H241" s="11" t="s">
        <v>422</v>
      </c>
      <c r="I241" s="10" t="s">
        <v>423</v>
      </c>
      <c r="J241" s="4">
        <f>J207+75</f>
        <v>1825</v>
      </c>
      <c r="K241" s="12">
        <v>0.25</v>
      </c>
      <c r="L241" s="5">
        <f t="shared" si="49"/>
        <v>456.25</v>
      </c>
      <c r="M241" s="5">
        <f>J241+L241</f>
        <v>2281.25</v>
      </c>
      <c r="N241" s="10"/>
      <c r="O241" s="13"/>
      <c r="P241" s="13"/>
      <c r="Q241" s="13"/>
      <c r="R241" s="13"/>
      <c r="S241" s="13"/>
      <c r="T241" s="13"/>
      <c r="U241" s="13"/>
      <c r="V241" s="13"/>
      <c r="W241" s="13"/>
      <c r="X241" s="13"/>
      <c r="Y241" s="13"/>
      <c r="Z241" s="13"/>
      <c r="AA241" s="13"/>
      <c r="AB241" s="13"/>
      <c r="AC241" s="13"/>
      <c r="AD241" s="13"/>
    </row>
    <row r="242" ht="37.5" customHeight="1">
      <c r="H242" s="11"/>
      <c r="I242" s="10" t="s">
        <v>424</v>
      </c>
      <c r="J242" s="4"/>
      <c r="K242" s="12"/>
      <c r="L242" s="5"/>
      <c r="N242" s="10"/>
      <c r="O242" s="13"/>
      <c r="P242" s="13"/>
      <c r="Q242" s="13"/>
      <c r="R242" s="13"/>
      <c r="S242" s="13"/>
      <c r="T242" s="13"/>
      <c r="U242" s="13"/>
      <c r="V242" s="13"/>
      <c r="W242" s="13"/>
      <c r="X242" s="13"/>
      <c r="Y242" s="13"/>
      <c r="Z242" s="13"/>
      <c r="AA242" s="13"/>
      <c r="AB242" s="13"/>
      <c r="AC242" s="13"/>
      <c r="AD242" s="13"/>
    </row>
    <row r="243" ht="37.5" customHeight="1">
      <c r="H243" s="11"/>
      <c r="I243" s="10" t="s">
        <v>425</v>
      </c>
      <c r="J243" s="4"/>
      <c r="K243" s="12"/>
      <c r="L243" s="5"/>
      <c r="N243" s="10"/>
      <c r="O243" s="13"/>
      <c r="P243" s="13"/>
      <c r="Q243" s="13"/>
      <c r="R243" s="13"/>
      <c r="S243" s="13"/>
      <c r="T243" s="13"/>
      <c r="U243" s="13"/>
      <c r="V243" s="13"/>
      <c r="W243" s="13"/>
      <c r="X243" s="13"/>
      <c r="Y243" s="13"/>
      <c r="Z243" s="13"/>
      <c r="AA243" s="13"/>
      <c r="AB243" s="13"/>
      <c r="AC243" s="13"/>
      <c r="AD243" s="13"/>
    </row>
    <row r="244" ht="37.5" customHeight="1">
      <c r="H244" s="11"/>
      <c r="I244" s="10" t="s">
        <v>426</v>
      </c>
      <c r="J244" s="4"/>
      <c r="K244" s="12"/>
      <c r="L244" s="5"/>
      <c r="N244" s="10"/>
      <c r="O244" s="13"/>
      <c r="P244" s="13"/>
      <c r="Q244" s="13"/>
      <c r="R244" s="13"/>
      <c r="S244" s="13"/>
      <c r="T244" s="13"/>
      <c r="U244" s="13"/>
      <c r="V244" s="13"/>
      <c r="W244" s="13"/>
      <c r="X244" s="13"/>
      <c r="Y244" s="13"/>
      <c r="Z244" s="13"/>
      <c r="AA244" s="13"/>
      <c r="AB244" s="13"/>
      <c r="AC244" s="13"/>
      <c r="AD244" s="13"/>
    </row>
    <row r="245">
      <c r="A245" s="10" t="s">
        <v>29</v>
      </c>
      <c r="B245" s="10" t="s">
        <v>10</v>
      </c>
      <c r="C245" s="10" t="s">
        <v>11</v>
      </c>
      <c r="D245" s="10" t="s">
        <v>40</v>
      </c>
      <c r="E245" s="10" t="s">
        <v>41</v>
      </c>
      <c r="F245" s="10" t="s">
        <v>42</v>
      </c>
      <c r="G245" s="11" t="s">
        <v>427</v>
      </c>
      <c r="H245" s="11" t="s">
        <v>428</v>
      </c>
      <c r="I245" s="11"/>
      <c r="J245" s="4">
        <f t="shared" ref="J245:J246" si="50">J208+75</f>
        <v>2230</v>
      </c>
      <c r="K245" s="12">
        <v>0.25</v>
      </c>
      <c r="L245" s="5">
        <f t="shared" ref="L245:L259" si="51">J245*K245</f>
        <v>557.5</v>
      </c>
      <c r="M245" s="5">
        <f t="shared" ref="M245:M259" si="52">J245+L245</f>
        <v>2787.5</v>
      </c>
      <c r="N245" s="13"/>
      <c r="O245" s="13"/>
      <c r="P245" s="13"/>
      <c r="Q245" s="13"/>
      <c r="R245" s="13"/>
      <c r="S245" s="13"/>
      <c r="T245" s="13"/>
      <c r="U245" s="13"/>
      <c r="V245" s="13"/>
      <c r="W245" s="13"/>
      <c r="X245" s="13"/>
      <c r="Y245" s="13"/>
      <c r="Z245" s="13"/>
      <c r="AA245" s="13"/>
      <c r="AB245" s="13"/>
      <c r="AC245" s="13"/>
      <c r="AD245" s="13"/>
    </row>
    <row r="246">
      <c r="A246" s="10" t="s">
        <v>29</v>
      </c>
      <c r="B246" s="10" t="s">
        <v>10</v>
      </c>
      <c r="C246" s="10" t="s">
        <v>11</v>
      </c>
      <c r="D246" s="10" t="s">
        <v>40</v>
      </c>
      <c r="E246" s="10" t="s">
        <v>41</v>
      </c>
      <c r="F246" s="10" t="s">
        <v>42</v>
      </c>
      <c r="G246" s="11" t="s">
        <v>429</v>
      </c>
      <c r="H246" s="11" t="s">
        <v>428</v>
      </c>
      <c r="I246" s="11"/>
      <c r="J246" s="4">
        <f t="shared" si="50"/>
        <v>2350</v>
      </c>
      <c r="K246" s="12">
        <v>0.25</v>
      </c>
      <c r="L246" s="5">
        <f t="shared" si="51"/>
        <v>587.5</v>
      </c>
      <c r="M246" s="5">
        <f t="shared" si="52"/>
        <v>2937.5</v>
      </c>
      <c r="N246" s="13"/>
      <c r="O246" s="13"/>
      <c r="P246" s="13"/>
      <c r="Q246" s="13"/>
      <c r="R246" s="13"/>
      <c r="S246" s="13"/>
      <c r="T246" s="13"/>
      <c r="U246" s="13"/>
      <c r="V246" s="13"/>
      <c r="W246" s="13"/>
      <c r="X246" s="13"/>
      <c r="Y246" s="13"/>
      <c r="Z246" s="13"/>
      <c r="AA246" s="13"/>
      <c r="AB246" s="13"/>
      <c r="AC246" s="13"/>
      <c r="AD246" s="13"/>
    </row>
    <row r="247">
      <c r="A247" s="10" t="s">
        <v>29</v>
      </c>
      <c r="B247" s="10" t="s">
        <v>10</v>
      </c>
      <c r="C247" s="10" t="s">
        <v>11</v>
      </c>
      <c r="D247" s="10" t="s">
        <v>40</v>
      </c>
      <c r="E247" s="10" t="s">
        <v>41</v>
      </c>
      <c r="F247" s="10" t="s">
        <v>42</v>
      </c>
      <c r="G247" s="11" t="s">
        <v>430</v>
      </c>
      <c r="H247" s="11" t="s">
        <v>431</v>
      </c>
      <c r="I247" s="11"/>
      <c r="J247" s="4">
        <f t="shared" ref="J247:J250" si="53">J78</f>
        <v>2500</v>
      </c>
      <c r="K247" s="12">
        <v>0.25</v>
      </c>
      <c r="L247" s="5">
        <f t="shared" si="51"/>
        <v>625</v>
      </c>
      <c r="M247" s="5">
        <f t="shared" si="52"/>
        <v>3125</v>
      </c>
      <c r="N247" s="13"/>
      <c r="O247" s="13"/>
      <c r="P247" s="13"/>
      <c r="Q247" s="13"/>
      <c r="R247" s="13"/>
      <c r="S247" s="13"/>
      <c r="T247" s="13"/>
      <c r="U247" s="13"/>
      <c r="V247" s="13"/>
      <c r="W247" s="13"/>
      <c r="X247" s="13"/>
      <c r="Y247" s="13"/>
      <c r="Z247" s="13"/>
      <c r="AA247" s="13"/>
      <c r="AB247" s="13"/>
      <c r="AC247" s="13"/>
      <c r="AD247" s="13"/>
    </row>
    <row r="248">
      <c r="A248" s="10" t="s">
        <v>29</v>
      </c>
      <c r="B248" s="10" t="s">
        <v>10</v>
      </c>
      <c r="C248" s="10" t="s">
        <v>11</v>
      </c>
      <c r="D248" s="10" t="s">
        <v>40</v>
      </c>
      <c r="E248" s="10" t="s">
        <v>41</v>
      </c>
      <c r="F248" s="10" t="s">
        <v>42</v>
      </c>
      <c r="G248" s="11" t="s">
        <v>432</v>
      </c>
      <c r="H248" s="11" t="s">
        <v>431</v>
      </c>
      <c r="I248" s="11"/>
      <c r="J248" s="4">
        <f t="shared" si="53"/>
        <v>2600</v>
      </c>
      <c r="K248" s="12">
        <v>0.25</v>
      </c>
      <c r="L248" s="5">
        <f t="shared" si="51"/>
        <v>650</v>
      </c>
      <c r="M248" s="5">
        <f t="shared" si="52"/>
        <v>3250</v>
      </c>
      <c r="N248" s="13"/>
      <c r="O248" s="13"/>
      <c r="P248" s="13"/>
      <c r="Q248" s="13"/>
      <c r="R248" s="13"/>
      <c r="S248" s="13"/>
      <c r="T248" s="13"/>
      <c r="U248" s="13"/>
      <c r="V248" s="13"/>
      <c r="W248" s="13"/>
      <c r="X248" s="13"/>
      <c r="Y248" s="13"/>
      <c r="Z248" s="13"/>
      <c r="AA248" s="13"/>
      <c r="AB248" s="13"/>
      <c r="AC248" s="13"/>
      <c r="AD248" s="13"/>
    </row>
    <row r="249">
      <c r="A249" s="10" t="s">
        <v>29</v>
      </c>
      <c r="B249" s="10" t="s">
        <v>10</v>
      </c>
      <c r="C249" s="10" t="s">
        <v>11</v>
      </c>
      <c r="D249" s="10" t="s">
        <v>40</v>
      </c>
      <c r="E249" s="10" t="s">
        <v>41</v>
      </c>
      <c r="F249" s="10" t="s">
        <v>42</v>
      </c>
      <c r="G249" s="11" t="s">
        <v>433</v>
      </c>
      <c r="H249" s="11" t="s">
        <v>431</v>
      </c>
      <c r="I249" s="11"/>
      <c r="J249" s="4">
        <f t="shared" si="53"/>
        <v>2600</v>
      </c>
      <c r="K249" s="12">
        <v>0.25</v>
      </c>
      <c r="L249" s="5">
        <f t="shared" si="51"/>
        <v>650</v>
      </c>
      <c r="M249" s="5">
        <f t="shared" si="52"/>
        <v>3250</v>
      </c>
      <c r="N249" s="13"/>
      <c r="O249" s="13"/>
      <c r="P249" s="13"/>
      <c r="Q249" s="13"/>
      <c r="R249" s="13"/>
      <c r="S249" s="13"/>
      <c r="T249" s="13"/>
      <c r="U249" s="13"/>
      <c r="V249" s="13"/>
      <c r="W249" s="13"/>
      <c r="X249" s="13"/>
      <c r="Y249" s="13"/>
      <c r="Z249" s="13"/>
      <c r="AA249" s="13"/>
      <c r="AB249" s="13"/>
      <c r="AC249" s="13"/>
      <c r="AD249" s="13"/>
    </row>
    <row r="250">
      <c r="A250" s="10" t="s">
        <v>29</v>
      </c>
      <c r="B250" s="10" t="s">
        <v>10</v>
      </c>
      <c r="C250" s="10" t="s">
        <v>11</v>
      </c>
      <c r="D250" s="10" t="s">
        <v>40</v>
      </c>
      <c r="E250" s="10" t="s">
        <v>41</v>
      </c>
      <c r="F250" s="10" t="s">
        <v>42</v>
      </c>
      <c r="G250" s="11" t="s">
        <v>434</v>
      </c>
      <c r="H250" s="11" t="s">
        <v>431</v>
      </c>
      <c r="I250" s="11"/>
      <c r="J250" s="4">
        <f t="shared" si="53"/>
        <v>2700</v>
      </c>
      <c r="K250" s="12">
        <v>0.25</v>
      </c>
      <c r="L250" s="5">
        <f t="shared" si="51"/>
        <v>675</v>
      </c>
      <c r="M250" s="5">
        <f t="shared" si="52"/>
        <v>3375</v>
      </c>
      <c r="N250" s="13"/>
      <c r="O250" s="13"/>
      <c r="P250" s="13"/>
      <c r="Q250" s="13"/>
      <c r="R250" s="13"/>
      <c r="S250" s="13"/>
      <c r="T250" s="13"/>
      <c r="U250" s="13"/>
      <c r="V250" s="13"/>
      <c r="W250" s="13"/>
      <c r="X250" s="13"/>
      <c r="Y250" s="13"/>
      <c r="Z250" s="13"/>
      <c r="AA250" s="13"/>
      <c r="AB250" s="13"/>
      <c r="AC250" s="13"/>
      <c r="AD250" s="13"/>
    </row>
    <row r="251">
      <c r="A251" s="10" t="s">
        <v>29</v>
      </c>
      <c r="B251" s="10" t="s">
        <v>10</v>
      </c>
      <c r="C251" s="10" t="s">
        <v>11</v>
      </c>
      <c r="D251" s="10" t="s">
        <v>170</v>
      </c>
      <c r="E251" s="10" t="s">
        <v>87</v>
      </c>
      <c r="F251" s="10" t="s">
        <v>83</v>
      </c>
      <c r="G251" s="11" t="s">
        <v>435</v>
      </c>
      <c r="H251" s="11" t="s">
        <v>436</v>
      </c>
      <c r="I251" s="11"/>
      <c r="J251" s="4">
        <f>J157</f>
        <v>1475</v>
      </c>
      <c r="K251" s="12">
        <v>0.25</v>
      </c>
      <c r="L251" s="5">
        <f t="shared" si="51"/>
        <v>368.75</v>
      </c>
      <c r="M251" s="5">
        <f t="shared" si="52"/>
        <v>1843.75</v>
      </c>
      <c r="N251" s="13"/>
      <c r="O251" s="13"/>
      <c r="P251" s="13"/>
      <c r="Q251" s="13"/>
      <c r="R251" s="13"/>
      <c r="S251" s="13"/>
      <c r="T251" s="13"/>
      <c r="U251" s="13"/>
      <c r="V251" s="13"/>
      <c r="W251" s="13"/>
      <c r="X251" s="13"/>
      <c r="Y251" s="13"/>
      <c r="Z251" s="13"/>
      <c r="AA251" s="13"/>
      <c r="AB251" s="13"/>
      <c r="AC251" s="13"/>
      <c r="AD251" s="13"/>
    </row>
    <row r="252">
      <c r="A252" s="10" t="s">
        <v>29</v>
      </c>
      <c r="B252" s="10" t="s">
        <v>10</v>
      </c>
      <c r="C252" s="10" t="s">
        <v>11</v>
      </c>
      <c r="D252" s="10" t="s">
        <v>91</v>
      </c>
      <c r="E252" s="10" t="s">
        <v>87</v>
      </c>
      <c r="F252" s="10" t="s">
        <v>83</v>
      </c>
      <c r="G252" s="10" t="s">
        <v>435</v>
      </c>
      <c r="H252" s="11" t="s">
        <v>436</v>
      </c>
      <c r="I252" s="11"/>
      <c r="J252" s="4">
        <f t="shared" ref="J252:J259" si="54">J211+75</f>
        <v>1825</v>
      </c>
      <c r="K252" s="12">
        <v>0.25</v>
      </c>
      <c r="L252" s="5">
        <f t="shared" si="51"/>
        <v>456.25</v>
      </c>
      <c r="M252" s="5">
        <f t="shared" si="52"/>
        <v>2281.25</v>
      </c>
      <c r="N252" s="13"/>
      <c r="O252" s="13"/>
      <c r="P252" s="13"/>
      <c r="Q252" s="13"/>
      <c r="R252" s="13"/>
      <c r="S252" s="13"/>
      <c r="T252" s="13"/>
      <c r="U252" s="13"/>
      <c r="V252" s="13"/>
      <c r="W252" s="13"/>
      <c r="X252" s="13"/>
      <c r="Y252" s="13"/>
      <c r="Z252" s="13"/>
      <c r="AA252" s="13"/>
      <c r="AB252" s="13"/>
      <c r="AC252" s="13"/>
      <c r="AD252" s="13"/>
    </row>
    <row r="253">
      <c r="A253" s="10" t="s">
        <v>29</v>
      </c>
      <c r="B253" s="10" t="s">
        <v>10</v>
      </c>
      <c r="C253" s="10" t="s">
        <v>11</v>
      </c>
      <c r="D253" s="10" t="s">
        <v>93</v>
      </c>
      <c r="E253" s="10" t="s">
        <v>94</v>
      </c>
      <c r="F253" s="10" t="s">
        <v>42</v>
      </c>
      <c r="G253" s="10" t="s">
        <v>437</v>
      </c>
      <c r="H253" s="10" t="s">
        <v>438</v>
      </c>
      <c r="I253" s="10"/>
      <c r="J253" s="4">
        <f t="shared" si="54"/>
        <v>1222</v>
      </c>
      <c r="K253" s="12">
        <v>0.25</v>
      </c>
      <c r="L253" s="5">
        <f t="shared" si="51"/>
        <v>305.5</v>
      </c>
      <c r="M253" s="5">
        <f t="shared" si="52"/>
        <v>1527.5</v>
      </c>
      <c r="N253" s="13"/>
      <c r="O253" s="13"/>
      <c r="P253" s="13"/>
      <c r="Q253" s="13"/>
      <c r="R253" s="13"/>
      <c r="S253" s="13"/>
      <c r="T253" s="13"/>
      <c r="U253" s="13"/>
      <c r="V253" s="13"/>
      <c r="W253" s="13"/>
      <c r="X253" s="13"/>
      <c r="Y253" s="13"/>
      <c r="Z253" s="13"/>
      <c r="AA253" s="13"/>
      <c r="AB253" s="13"/>
      <c r="AC253" s="13"/>
      <c r="AD253" s="13"/>
    </row>
    <row r="254">
      <c r="A254" s="10" t="s">
        <v>29</v>
      </c>
      <c r="B254" s="10" t="s">
        <v>10</v>
      </c>
      <c r="C254" s="10" t="s">
        <v>11</v>
      </c>
      <c r="D254" s="10" t="s">
        <v>97</v>
      </c>
      <c r="E254" s="10" t="s">
        <v>98</v>
      </c>
      <c r="F254" s="10" t="s">
        <v>99</v>
      </c>
      <c r="G254" s="10" t="s">
        <v>439</v>
      </c>
      <c r="H254" s="10" t="s">
        <v>440</v>
      </c>
      <c r="I254" s="10"/>
      <c r="J254" s="4">
        <f t="shared" si="54"/>
        <v>1108</v>
      </c>
      <c r="K254" s="12">
        <v>0.25</v>
      </c>
      <c r="L254" s="5">
        <f t="shared" si="51"/>
        <v>277</v>
      </c>
      <c r="M254" s="5">
        <f t="shared" si="52"/>
        <v>1385</v>
      </c>
      <c r="N254" s="13"/>
      <c r="O254" s="13"/>
      <c r="P254" s="13"/>
      <c r="Q254" s="13"/>
      <c r="R254" s="13"/>
      <c r="S254" s="13"/>
      <c r="T254" s="13"/>
      <c r="U254" s="13"/>
      <c r="V254" s="13"/>
      <c r="W254" s="13"/>
      <c r="X254" s="13"/>
      <c r="Y254" s="13"/>
      <c r="Z254" s="13"/>
      <c r="AA254" s="13"/>
      <c r="AB254" s="13"/>
      <c r="AC254" s="13"/>
      <c r="AD254" s="13"/>
    </row>
    <row r="255">
      <c r="A255" s="10" t="s">
        <v>29</v>
      </c>
      <c r="B255" s="10" t="s">
        <v>10</v>
      </c>
      <c r="C255" s="10" t="s">
        <v>11</v>
      </c>
      <c r="D255" s="10" t="s">
        <v>97</v>
      </c>
      <c r="E255" s="10" t="s">
        <v>102</v>
      </c>
      <c r="F255" s="10" t="s">
        <v>99</v>
      </c>
      <c r="G255" s="10" t="s">
        <v>439</v>
      </c>
      <c r="H255" s="10" t="s">
        <v>440</v>
      </c>
      <c r="I255" s="10"/>
      <c r="J255" s="4">
        <f t="shared" si="54"/>
        <v>1108</v>
      </c>
      <c r="K255" s="12">
        <v>0.25</v>
      </c>
      <c r="L255" s="5">
        <f t="shared" si="51"/>
        <v>277</v>
      </c>
      <c r="M255" s="5">
        <f t="shared" si="52"/>
        <v>1385</v>
      </c>
      <c r="N255" s="13"/>
      <c r="O255" s="13"/>
      <c r="P255" s="13"/>
      <c r="Q255" s="13"/>
      <c r="R255" s="13"/>
      <c r="S255" s="13"/>
      <c r="T255" s="13"/>
      <c r="U255" s="13"/>
      <c r="V255" s="13"/>
      <c r="W255" s="13"/>
      <c r="X255" s="13"/>
      <c r="Y255" s="13"/>
      <c r="Z255" s="13"/>
      <c r="AA255" s="13"/>
      <c r="AB255" s="13"/>
      <c r="AC255" s="13"/>
      <c r="AD255" s="13"/>
    </row>
    <row r="256">
      <c r="A256" s="10" t="s">
        <v>29</v>
      </c>
      <c r="B256" s="10" t="s">
        <v>10</v>
      </c>
      <c r="C256" s="10" t="s">
        <v>11</v>
      </c>
      <c r="D256" s="10" t="s">
        <v>97</v>
      </c>
      <c r="E256" s="10" t="s">
        <v>103</v>
      </c>
      <c r="F256" s="10" t="s">
        <v>99</v>
      </c>
      <c r="G256" s="10" t="s">
        <v>439</v>
      </c>
      <c r="H256" s="10" t="s">
        <v>440</v>
      </c>
      <c r="I256" s="10"/>
      <c r="J256" s="4">
        <f t="shared" si="54"/>
        <v>1308</v>
      </c>
      <c r="K256" s="12">
        <v>0.25</v>
      </c>
      <c r="L256" s="5">
        <f t="shared" si="51"/>
        <v>327</v>
      </c>
      <c r="M256" s="5">
        <f t="shared" si="52"/>
        <v>1635</v>
      </c>
      <c r="N256" s="13"/>
      <c r="O256" s="13"/>
      <c r="P256" s="13"/>
      <c r="Q256" s="13"/>
      <c r="R256" s="13"/>
      <c r="S256" s="13"/>
      <c r="T256" s="13"/>
      <c r="U256" s="13"/>
      <c r="V256" s="13"/>
      <c r="W256" s="13"/>
      <c r="X256" s="13"/>
      <c r="Y256" s="13"/>
      <c r="Z256" s="13"/>
      <c r="AA256" s="13"/>
      <c r="AB256" s="13"/>
      <c r="AC256" s="13"/>
      <c r="AD256" s="13"/>
    </row>
    <row r="257">
      <c r="A257" s="10" t="s">
        <v>29</v>
      </c>
      <c r="B257" s="10" t="s">
        <v>10</v>
      </c>
      <c r="C257" s="10" t="s">
        <v>11</v>
      </c>
      <c r="D257" s="10" t="s">
        <v>104</v>
      </c>
      <c r="E257" s="10" t="s">
        <v>105</v>
      </c>
      <c r="F257" s="10" t="s">
        <v>99</v>
      </c>
      <c r="G257" s="10" t="s">
        <v>439</v>
      </c>
      <c r="H257" s="10" t="s">
        <v>441</v>
      </c>
      <c r="I257" s="10"/>
      <c r="J257" s="4">
        <f t="shared" si="54"/>
        <v>1925</v>
      </c>
      <c r="K257" s="12">
        <v>0.25</v>
      </c>
      <c r="L257" s="5">
        <f t="shared" si="51"/>
        <v>481.25</v>
      </c>
      <c r="M257" s="5">
        <f t="shared" si="52"/>
        <v>2406.25</v>
      </c>
      <c r="N257" s="13"/>
      <c r="O257" s="13"/>
      <c r="P257" s="13"/>
      <c r="Q257" s="13"/>
      <c r="R257" s="13"/>
      <c r="S257" s="13"/>
      <c r="T257" s="13"/>
      <c r="U257" s="13"/>
      <c r="V257" s="13"/>
      <c r="W257" s="13"/>
      <c r="X257" s="13"/>
      <c r="Y257" s="13"/>
      <c r="Z257" s="13"/>
      <c r="AA257" s="13"/>
      <c r="AB257" s="13"/>
      <c r="AC257" s="13"/>
      <c r="AD257" s="13"/>
    </row>
    <row r="258">
      <c r="A258" s="10" t="s">
        <v>29</v>
      </c>
      <c r="B258" s="10" t="s">
        <v>10</v>
      </c>
      <c r="C258" s="10" t="s">
        <v>11</v>
      </c>
      <c r="D258" s="10" t="s">
        <v>107</v>
      </c>
      <c r="E258" s="10" t="s">
        <v>243</v>
      </c>
      <c r="F258" s="10" t="s">
        <v>99</v>
      </c>
      <c r="G258" s="10" t="s">
        <v>439</v>
      </c>
      <c r="H258" s="10" t="s">
        <v>442</v>
      </c>
      <c r="I258" s="10"/>
      <c r="J258" s="4">
        <f t="shared" si="54"/>
        <v>1225</v>
      </c>
      <c r="K258" s="12">
        <v>0.25</v>
      </c>
      <c r="L258" s="5">
        <f t="shared" si="51"/>
        <v>306.25</v>
      </c>
      <c r="M258" s="5">
        <f t="shared" si="52"/>
        <v>1531.25</v>
      </c>
      <c r="N258" s="13"/>
      <c r="O258" s="13"/>
      <c r="P258" s="13"/>
      <c r="Q258" s="13"/>
      <c r="R258" s="13"/>
      <c r="S258" s="13"/>
      <c r="T258" s="13"/>
      <c r="U258" s="13"/>
      <c r="V258" s="13"/>
      <c r="W258" s="13"/>
      <c r="X258" s="13"/>
      <c r="Y258" s="13"/>
      <c r="Z258" s="13"/>
      <c r="AA258" s="13"/>
      <c r="AB258" s="13"/>
      <c r="AC258" s="13"/>
      <c r="AD258" s="13"/>
    </row>
    <row r="259">
      <c r="A259" s="10" t="s">
        <v>29</v>
      </c>
      <c r="B259" s="13"/>
      <c r="C259" s="13"/>
      <c r="D259" s="10" t="s">
        <v>107</v>
      </c>
      <c r="E259" s="11" t="s">
        <v>244</v>
      </c>
      <c r="F259" s="10"/>
      <c r="G259" s="10" t="s">
        <v>439</v>
      </c>
      <c r="H259" s="10"/>
      <c r="I259" s="10"/>
      <c r="J259" s="4">
        <f t="shared" si="54"/>
        <v>1392</v>
      </c>
      <c r="K259" s="12">
        <v>0.25</v>
      </c>
      <c r="L259" s="5">
        <f t="shared" si="51"/>
        <v>348</v>
      </c>
      <c r="M259" s="5">
        <f t="shared" si="52"/>
        <v>1740</v>
      </c>
      <c r="Z259" s="13"/>
      <c r="AA259" s="13"/>
      <c r="AB259" s="13"/>
      <c r="AC259" s="13"/>
      <c r="AD259" s="13"/>
    </row>
    <row r="260">
      <c r="A260" s="10" t="s">
        <v>29</v>
      </c>
      <c r="B260" s="13"/>
      <c r="C260" s="13"/>
      <c r="D260" s="13"/>
      <c r="E260" s="13"/>
      <c r="F260" s="13"/>
      <c r="G260" s="13"/>
      <c r="H260" s="13"/>
      <c r="I260" s="13"/>
      <c r="J260" s="6"/>
      <c r="K260" s="12"/>
      <c r="L260" s="5"/>
      <c r="M260" s="5"/>
      <c r="N260" s="13"/>
      <c r="O260" s="13"/>
      <c r="P260" s="13"/>
      <c r="Q260" s="13"/>
      <c r="R260" s="13"/>
      <c r="S260" s="13"/>
      <c r="T260" s="13"/>
      <c r="U260" s="13"/>
      <c r="V260" s="13"/>
      <c r="W260" s="13"/>
      <c r="X260" s="13"/>
      <c r="Y260" s="13"/>
      <c r="Z260" s="13"/>
      <c r="AA260" s="13"/>
      <c r="AB260" s="13"/>
      <c r="AC260" s="13"/>
      <c r="AD260" s="13"/>
    </row>
    <row r="261" ht="37.5" customHeight="1">
      <c r="A261" s="10" t="s">
        <v>29</v>
      </c>
      <c r="B261" s="10" t="s">
        <v>10</v>
      </c>
      <c r="C261" s="10" t="s">
        <v>17</v>
      </c>
      <c r="D261" s="10" t="s">
        <v>40</v>
      </c>
      <c r="E261" s="10" t="s">
        <v>41</v>
      </c>
      <c r="F261" s="10" t="s">
        <v>42</v>
      </c>
      <c r="G261" s="10" t="s">
        <v>443</v>
      </c>
      <c r="H261" s="11" t="s">
        <v>444</v>
      </c>
      <c r="I261" s="11"/>
      <c r="J261" s="4">
        <f>J241-100</f>
        <v>1725</v>
      </c>
      <c r="K261" s="12">
        <v>0.25</v>
      </c>
      <c r="L261" s="5">
        <f t="shared" ref="L261:L276" si="55">J261*K261</f>
        <v>431.25</v>
      </c>
      <c r="M261" s="5">
        <f t="shared" ref="M261:M276" si="56">J261+L261</f>
        <v>2156.25</v>
      </c>
      <c r="N261" s="10"/>
      <c r="O261" s="13"/>
      <c r="P261" s="13"/>
      <c r="Q261" s="13"/>
      <c r="R261" s="13"/>
      <c r="S261" s="13"/>
      <c r="T261" s="13"/>
      <c r="U261" s="13"/>
      <c r="V261" s="13"/>
      <c r="W261" s="13"/>
      <c r="X261" s="13"/>
      <c r="Y261" s="13"/>
      <c r="Z261" s="13"/>
      <c r="AA261" s="13"/>
      <c r="AB261" s="13"/>
      <c r="AC261" s="13"/>
      <c r="AD261" s="13"/>
    </row>
    <row r="262">
      <c r="A262" s="10" t="s">
        <v>29</v>
      </c>
      <c r="B262" s="10" t="s">
        <v>10</v>
      </c>
      <c r="C262" s="10" t="s">
        <v>17</v>
      </c>
      <c r="D262" s="10" t="s">
        <v>40</v>
      </c>
      <c r="E262" s="10" t="s">
        <v>41</v>
      </c>
      <c r="F262" s="10" t="s">
        <v>42</v>
      </c>
      <c r="G262" s="11" t="s">
        <v>445</v>
      </c>
      <c r="H262" s="11" t="s">
        <v>444</v>
      </c>
      <c r="I262" s="11"/>
      <c r="J262" s="4">
        <f t="shared" ref="J262:J276" si="57">J245-100</f>
        <v>2130</v>
      </c>
      <c r="K262" s="12">
        <v>0.25</v>
      </c>
      <c r="L262" s="5">
        <f t="shared" si="55"/>
        <v>532.5</v>
      </c>
      <c r="M262" s="5">
        <f t="shared" si="56"/>
        <v>2662.5</v>
      </c>
      <c r="N262" s="13"/>
      <c r="O262" s="13"/>
      <c r="P262" s="13"/>
      <c r="Q262" s="13"/>
      <c r="R262" s="13"/>
      <c r="S262" s="13"/>
      <c r="T262" s="13"/>
      <c r="U262" s="13"/>
      <c r="V262" s="13"/>
      <c r="W262" s="13"/>
      <c r="X262" s="13"/>
      <c r="Y262" s="13"/>
      <c r="Z262" s="13"/>
      <c r="AA262" s="13"/>
      <c r="AB262" s="13"/>
      <c r="AC262" s="13"/>
      <c r="AD262" s="13"/>
    </row>
    <row r="263">
      <c r="A263" s="10" t="s">
        <v>29</v>
      </c>
      <c r="B263" s="10" t="s">
        <v>10</v>
      </c>
      <c r="C263" s="10" t="s">
        <v>17</v>
      </c>
      <c r="D263" s="10" t="s">
        <v>40</v>
      </c>
      <c r="E263" s="10" t="s">
        <v>41</v>
      </c>
      <c r="F263" s="10" t="s">
        <v>42</v>
      </c>
      <c r="G263" s="11" t="s">
        <v>446</v>
      </c>
      <c r="H263" s="11" t="s">
        <v>447</v>
      </c>
      <c r="I263" s="11"/>
      <c r="J263" s="4">
        <f t="shared" si="57"/>
        <v>2250</v>
      </c>
      <c r="K263" s="12">
        <v>0.25</v>
      </c>
      <c r="L263" s="5">
        <f t="shared" si="55"/>
        <v>562.5</v>
      </c>
      <c r="M263" s="5">
        <f t="shared" si="56"/>
        <v>2812.5</v>
      </c>
      <c r="N263" s="13"/>
      <c r="O263" s="13"/>
      <c r="P263" s="13"/>
      <c r="Q263" s="13"/>
      <c r="R263" s="13"/>
      <c r="S263" s="13"/>
      <c r="T263" s="13"/>
      <c r="U263" s="13"/>
      <c r="V263" s="13"/>
      <c r="W263" s="13"/>
      <c r="X263" s="13"/>
      <c r="Y263" s="13"/>
      <c r="Z263" s="13"/>
      <c r="AA263" s="13"/>
      <c r="AB263" s="13"/>
      <c r="AC263" s="13"/>
      <c r="AD263" s="13"/>
    </row>
    <row r="264">
      <c r="A264" s="10" t="s">
        <v>29</v>
      </c>
      <c r="B264" s="10" t="s">
        <v>10</v>
      </c>
      <c r="C264" s="10" t="s">
        <v>17</v>
      </c>
      <c r="D264" s="10" t="s">
        <v>40</v>
      </c>
      <c r="E264" s="10" t="s">
        <v>41</v>
      </c>
      <c r="F264" s="10" t="s">
        <v>42</v>
      </c>
      <c r="G264" s="11" t="s">
        <v>448</v>
      </c>
      <c r="H264" s="21" t="s">
        <v>449</v>
      </c>
      <c r="I264" s="21"/>
      <c r="J264" s="4">
        <f t="shared" si="57"/>
        <v>2400</v>
      </c>
      <c r="K264" s="12">
        <v>0.25</v>
      </c>
      <c r="L264" s="5">
        <f t="shared" si="55"/>
        <v>600</v>
      </c>
      <c r="M264" s="5">
        <f t="shared" si="56"/>
        <v>3000</v>
      </c>
      <c r="N264" s="13"/>
      <c r="O264" s="13"/>
      <c r="P264" s="13"/>
      <c r="Q264" s="13"/>
      <c r="R264" s="13"/>
      <c r="S264" s="13"/>
      <c r="T264" s="13"/>
      <c r="U264" s="13"/>
      <c r="V264" s="13"/>
      <c r="W264" s="13"/>
      <c r="X264" s="13"/>
      <c r="Y264" s="13"/>
      <c r="Z264" s="13"/>
      <c r="AA264" s="13"/>
      <c r="AB264" s="13"/>
      <c r="AC264" s="13"/>
      <c r="AD264" s="13"/>
    </row>
    <row r="265">
      <c r="A265" s="10" t="s">
        <v>29</v>
      </c>
      <c r="B265" s="10" t="s">
        <v>10</v>
      </c>
      <c r="C265" s="10" t="s">
        <v>17</v>
      </c>
      <c r="D265" s="10" t="s">
        <v>40</v>
      </c>
      <c r="E265" s="10" t="s">
        <v>41</v>
      </c>
      <c r="F265" s="10" t="s">
        <v>42</v>
      </c>
      <c r="G265" s="11" t="s">
        <v>450</v>
      </c>
      <c r="H265" s="11" t="s">
        <v>449</v>
      </c>
      <c r="I265" s="11"/>
      <c r="J265" s="4">
        <f t="shared" si="57"/>
        <v>2500</v>
      </c>
      <c r="K265" s="12">
        <v>0.25</v>
      </c>
      <c r="L265" s="5">
        <f t="shared" si="55"/>
        <v>625</v>
      </c>
      <c r="M265" s="5">
        <f t="shared" si="56"/>
        <v>3125</v>
      </c>
      <c r="N265" s="13"/>
      <c r="O265" s="13"/>
      <c r="P265" s="13"/>
      <c r="Q265" s="13"/>
      <c r="R265" s="13"/>
      <c r="S265" s="13"/>
      <c r="T265" s="13"/>
      <c r="U265" s="13"/>
      <c r="V265" s="13"/>
      <c r="W265" s="13"/>
      <c r="X265" s="13"/>
      <c r="Y265" s="13"/>
      <c r="Z265" s="13"/>
      <c r="AA265" s="13"/>
      <c r="AB265" s="13"/>
      <c r="AC265" s="13"/>
      <c r="AD265" s="13"/>
    </row>
    <row r="266">
      <c r="A266" s="10" t="s">
        <v>29</v>
      </c>
      <c r="B266" s="10" t="s">
        <v>10</v>
      </c>
      <c r="C266" s="10" t="s">
        <v>17</v>
      </c>
      <c r="D266" s="10" t="s">
        <v>40</v>
      </c>
      <c r="E266" s="10" t="s">
        <v>41</v>
      </c>
      <c r="F266" s="10" t="s">
        <v>42</v>
      </c>
      <c r="G266" s="11" t="s">
        <v>451</v>
      </c>
      <c r="H266" s="11" t="s">
        <v>449</v>
      </c>
      <c r="I266" s="11"/>
      <c r="J266" s="4">
        <f t="shared" si="57"/>
        <v>2500</v>
      </c>
      <c r="K266" s="12">
        <v>0.25</v>
      </c>
      <c r="L266" s="5">
        <f t="shared" si="55"/>
        <v>625</v>
      </c>
      <c r="M266" s="5">
        <f t="shared" si="56"/>
        <v>3125</v>
      </c>
      <c r="N266" s="13"/>
      <c r="O266" s="13"/>
      <c r="P266" s="13"/>
      <c r="Q266" s="13"/>
      <c r="R266" s="13"/>
      <c r="S266" s="13"/>
      <c r="T266" s="13"/>
      <c r="U266" s="13"/>
      <c r="V266" s="13"/>
      <c r="W266" s="13"/>
      <c r="X266" s="13"/>
      <c r="Y266" s="13"/>
      <c r="Z266" s="13"/>
      <c r="AA266" s="13"/>
      <c r="AB266" s="13"/>
      <c r="AC266" s="13"/>
      <c r="AD266" s="13"/>
    </row>
    <row r="267">
      <c r="A267" s="10" t="s">
        <v>29</v>
      </c>
      <c r="B267" s="10" t="s">
        <v>10</v>
      </c>
      <c r="C267" s="10" t="s">
        <v>17</v>
      </c>
      <c r="D267" s="10" t="s">
        <v>40</v>
      </c>
      <c r="E267" s="10" t="s">
        <v>41</v>
      </c>
      <c r="F267" s="10" t="s">
        <v>42</v>
      </c>
      <c r="G267" s="11" t="s">
        <v>452</v>
      </c>
      <c r="H267" s="11" t="s">
        <v>449</v>
      </c>
      <c r="I267" s="11"/>
      <c r="J267" s="4">
        <f t="shared" si="57"/>
        <v>2600</v>
      </c>
      <c r="K267" s="12">
        <v>0.25</v>
      </c>
      <c r="L267" s="5">
        <f t="shared" si="55"/>
        <v>650</v>
      </c>
      <c r="M267" s="5">
        <f t="shared" si="56"/>
        <v>3250</v>
      </c>
      <c r="N267" s="13"/>
      <c r="O267" s="13"/>
      <c r="P267" s="13"/>
      <c r="Q267" s="13"/>
      <c r="R267" s="13"/>
      <c r="S267" s="13"/>
      <c r="T267" s="13"/>
      <c r="U267" s="13"/>
      <c r="V267" s="13"/>
      <c r="W267" s="13"/>
      <c r="X267" s="13"/>
      <c r="Y267" s="13"/>
      <c r="Z267" s="13"/>
      <c r="AA267" s="13"/>
      <c r="AB267" s="13"/>
      <c r="AC267" s="13"/>
      <c r="AD267" s="13"/>
    </row>
    <row r="268">
      <c r="A268" s="10" t="s">
        <v>29</v>
      </c>
      <c r="B268" s="10" t="s">
        <v>10</v>
      </c>
      <c r="C268" s="10" t="s">
        <v>17</v>
      </c>
      <c r="D268" s="10" t="s">
        <v>170</v>
      </c>
      <c r="E268" s="10" t="s">
        <v>87</v>
      </c>
      <c r="F268" s="10" t="s">
        <v>83</v>
      </c>
      <c r="G268" s="11" t="s">
        <v>453</v>
      </c>
      <c r="H268" s="11" t="s">
        <v>277</v>
      </c>
      <c r="I268" s="11"/>
      <c r="J268" s="4">
        <f t="shared" si="57"/>
        <v>1375</v>
      </c>
      <c r="K268" s="12">
        <v>0.25</v>
      </c>
      <c r="L268" s="5">
        <f t="shared" si="55"/>
        <v>343.75</v>
      </c>
      <c r="M268" s="5">
        <f t="shared" si="56"/>
        <v>1718.75</v>
      </c>
      <c r="N268" s="13"/>
      <c r="O268" s="13"/>
      <c r="P268" s="13"/>
      <c r="Q268" s="13"/>
      <c r="R268" s="13"/>
      <c r="S268" s="13"/>
      <c r="T268" s="13"/>
      <c r="U268" s="13"/>
      <c r="V268" s="13"/>
      <c r="W268" s="13"/>
      <c r="X268" s="13"/>
      <c r="Y268" s="13"/>
      <c r="Z268" s="13"/>
      <c r="AA268" s="13"/>
      <c r="AB268" s="13"/>
      <c r="AC268" s="13"/>
      <c r="AD268" s="13"/>
    </row>
    <row r="269">
      <c r="A269" s="10" t="s">
        <v>29</v>
      </c>
      <c r="B269" s="10" t="s">
        <v>10</v>
      </c>
      <c r="C269" s="10" t="s">
        <v>17</v>
      </c>
      <c r="D269" s="10" t="s">
        <v>91</v>
      </c>
      <c r="E269" s="10" t="s">
        <v>87</v>
      </c>
      <c r="F269" s="10" t="s">
        <v>83</v>
      </c>
      <c r="G269" s="10" t="s">
        <v>453</v>
      </c>
      <c r="H269" s="11" t="s">
        <v>454</v>
      </c>
      <c r="I269" s="11"/>
      <c r="J269" s="4">
        <f t="shared" si="57"/>
        <v>1725</v>
      </c>
      <c r="K269" s="12">
        <v>0.25</v>
      </c>
      <c r="L269" s="5">
        <f t="shared" si="55"/>
        <v>431.25</v>
      </c>
      <c r="M269" s="5">
        <f t="shared" si="56"/>
        <v>2156.25</v>
      </c>
      <c r="N269" s="13"/>
      <c r="O269" s="13"/>
      <c r="P269" s="13"/>
      <c r="Q269" s="13"/>
      <c r="R269" s="13"/>
      <c r="S269" s="13"/>
      <c r="T269" s="13"/>
      <c r="U269" s="13"/>
      <c r="V269" s="13"/>
      <c r="W269" s="13"/>
      <c r="X269" s="13"/>
      <c r="Y269" s="13"/>
      <c r="Z269" s="13"/>
      <c r="AA269" s="13"/>
      <c r="AB269" s="13"/>
      <c r="AC269" s="13"/>
      <c r="AD269" s="13"/>
    </row>
    <row r="270">
      <c r="A270" s="10" t="s">
        <v>29</v>
      </c>
      <c r="B270" s="10" t="s">
        <v>10</v>
      </c>
      <c r="C270" s="10" t="s">
        <v>17</v>
      </c>
      <c r="D270" s="10" t="s">
        <v>93</v>
      </c>
      <c r="E270" s="10" t="s">
        <v>94</v>
      </c>
      <c r="F270" s="10" t="s">
        <v>42</v>
      </c>
      <c r="G270" s="11" t="s">
        <v>455</v>
      </c>
      <c r="H270" s="10" t="s">
        <v>456</v>
      </c>
      <c r="I270" s="10"/>
      <c r="J270" s="4">
        <f t="shared" si="57"/>
        <v>1122</v>
      </c>
      <c r="K270" s="12">
        <v>0.25</v>
      </c>
      <c r="L270" s="5">
        <f t="shared" si="55"/>
        <v>280.5</v>
      </c>
      <c r="M270" s="5">
        <f t="shared" si="56"/>
        <v>1402.5</v>
      </c>
      <c r="N270" s="13"/>
      <c r="O270" s="13"/>
      <c r="P270" s="13"/>
      <c r="Q270" s="13"/>
      <c r="R270" s="13"/>
      <c r="S270" s="13"/>
      <c r="T270" s="13"/>
      <c r="U270" s="13"/>
      <c r="V270" s="13"/>
      <c r="W270" s="13"/>
      <c r="X270" s="13"/>
      <c r="Y270" s="13"/>
      <c r="Z270" s="13"/>
      <c r="AA270" s="13"/>
      <c r="AB270" s="13"/>
      <c r="AC270" s="13"/>
      <c r="AD270" s="13"/>
    </row>
    <row r="271">
      <c r="A271" s="10" t="s">
        <v>29</v>
      </c>
      <c r="B271" s="10" t="s">
        <v>10</v>
      </c>
      <c r="C271" s="10" t="s">
        <v>17</v>
      </c>
      <c r="D271" s="10" t="s">
        <v>97</v>
      </c>
      <c r="E271" s="10" t="s">
        <v>98</v>
      </c>
      <c r="F271" s="10" t="s">
        <v>99</v>
      </c>
      <c r="G271" s="11" t="s">
        <v>453</v>
      </c>
      <c r="H271" s="10" t="s">
        <v>457</v>
      </c>
      <c r="I271" s="10"/>
      <c r="J271" s="4">
        <f t="shared" si="57"/>
        <v>1008</v>
      </c>
      <c r="K271" s="12">
        <v>0.25</v>
      </c>
      <c r="L271" s="5">
        <f t="shared" si="55"/>
        <v>252</v>
      </c>
      <c r="M271" s="5">
        <f t="shared" si="56"/>
        <v>1260</v>
      </c>
      <c r="N271" s="13"/>
      <c r="O271" s="13"/>
      <c r="P271" s="13"/>
      <c r="Q271" s="13"/>
      <c r="R271" s="13"/>
      <c r="S271" s="13"/>
      <c r="T271" s="13"/>
      <c r="U271" s="13"/>
      <c r="V271" s="13"/>
      <c r="W271" s="13"/>
      <c r="X271" s="13"/>
      <c r="Y271" s="13"/>
      <c r="Z271" s="13"/>
      <c r="AA271" s="13"/>
      <c r="AB271" s="13"/>
      <c r="AC271" s="13"/>
      <c r="AD271" s="13"/>
    </row>
    <row r="272">
      <c r="A272" s="10" t="s">
        <v>29</v>
      </c>
      <c r="B272" s="10" t="s">
        <v>10</v>
      </c>
      <c r="C272" s="10" t="s">
        <v>17</v>
      </c>
      <c r="D272" s="10" t="s">
        <v>97</v>
      </c>
      <c r="E272" s="10" t="s">
        <v>102</v>
      </c>
      <c r="F272" s="10" t="s">
        <v>99</v>
      </c>
      <c r="G272" s="11" t="s">
        <v>453</v>
      </c>
      <c r="H272" s="10" t="s">
        <v>457</v>
      </c>
      <c r="I272" s="10"/>
      <c r="J272" s="4">
        <f t="shared" si="57"/>
        <v>1008</v>
      </c>
      <c r="K272" s="12">
        <v>0.25</v>
      </c>
      <c r="L272" s="5">
        <f t="shared" si="55"/>
        <v>252</v>
      </c>
      <c r="M272" s="5">
        <f t="shared" si="56"/>
        <v>1260</v>
      </c>
      <c r="N272" s="13"/>
      <c r="O272" s="13"/>
      <c r="P272" s="13"/>
      <c r="Q272" s="13"/>
      <c r="R272" s="13"/>
      <c r="S272" s="13"/>
      <c r="T272" s="13"/>
      <c r="U272" s="13"/>
      <c r="V272" s="13"/>
      <c r="W272" s="13"/>
      <c r="X272" s="13"/>
      <c r="Y272" s="13"/>
      <c r="Z272" s="13"/>
      <c r="AA272" s="13"/>
      <c r="AB272" s="13"/>
      <c r="AC272" s="13"/>
      <c r="AD272" s="13"/>
    </row>
    <row r="273">
      <c r="A273" s="10" t="s">
        <v>29</v>
      </c>
      <c r="B273" s="10" t="s">
        <v>10</v>
      </c>
      <c r="C273" s="10" t="s">
        <v>17</v>
      </c>
      <c r="D273" s="10" t="s">
        <v>97</v>
      </c>
      <c r="E273" s="10" t="s">
        <v>103</v>
      </c>
      <c r="F273" s="10" t="s">
        <v>99</v>
      </c>
      <c r="G273" s="11" t="s">
        <v>453</v>
      </c>
      <c r="H273" s="10" t="s">
        <v>457</v>
      </c>
      <c r="I273" s="10"/>
      <c r="J273" s="4">
        <f t="shared" si="57"/>
        <v>1208</v>
      </c>
      <c r="K273" s="12">
        <v>0.25</v>
      </c>
      <c r="L273" s="5">
        <f t="shared" si="55"/>
        <v>302</v>
      </c>
      <c r="M273" s="5">
        <f t="shared" si="56"/>
        <v>1510</v>
      </c>
      <c r="N273" s="13"/>
      <c r="O273" s="13"/>
      <c r="P273" s="13"/>
      <c r="Q273" s="13"/>
      <c r="R273" s="13"/>
      <c r="S273" s="13"/>
      <c r="T273" s="13"/>
      <c r="U273" s="13"/>
      <c r="V273" s="13"/>
      <c r="W273" s="13"/>
      <c r="X273" s="13"/>
      <c r="Y273" s="13"/>
      <c r="Z273" s="13"/>
      <c r="AA273" s="13"/>
      <c r="AB273" s="13"/>
      <c r="AC273" s="13"/>
      <c r="AD273" s="13"/>
    </row>
    <row r="274">
      <c r="A274" s="10" t="s">
        <v>29</v>
      </c>
      <c r="B274" s="10" t="s">
        <v>10</v>
      </c>
      <c r="C274" s="10" t="s">
        <v>17</v>
      </c>
      <c r="D274" s="10" t="s">
        <v>104</v>
      </c>
      <c r="E274" s="10" t="s">
        <v>105</v>
      </c>
      <c r="F274" s="10" t="s">
        <v>99</v>
      </c>
      <c r="G274" s="11" t="s">
        <v>453</v>
      </c>
      <c r="H274" s="10" t="s">
        <v>457</v>
      </c>
      <c r="I274" s="10"/>
      <c r="J274" s="4">
        <f t="shared" si="57"/>
        <v>1825</v>
      </c>
      <c r="K274" s="12">
        <v>0.25</v>
      </c>
      <c r="L274" s="5">
        <f t="shared" si="55"/>
        <v>456.25</v>
      </c>
      <c r="M274" s="5">
        <f t="shared" si="56"/>
        <v>2281.25</v>
      </c>
      <c r="N274" s="13"/>
      <c r="O274" s="13"/>
      <c r="P274" s="13"/>
      <c r="Q274" s="13"/>
      <c r="R274" s="13"/>
      <c r="S274" s="13"/>
      <c r="T274" s="13"/>
      <c r="U274" s="13"/>
      <c r="V274" s="13"/>
      <c r="W274" s="13"/>
      <c r="X274" s="13"/>
      <c r="Y274" s="13"/>
      <c r="Z274" s="13"/>
      <c r="AA274" s="13"/>
      <c r="AB274" s="13"/>
      <c r="AC274" s="13"/>
      <c r="AD274" s="13"/>
    </row>
    <row r="275">
      <c r="A275" s="10" t="s">
        <v>29</v>
      </c>
      <c r="B275" s="10" t="s">
        <v>10</v>
      </c>
      <c r="C275" s="10" t="s">
        <v>17</v>
      </c>
      <c r="D275" s="10" t="s">
        <v>107</v>
      </c>
      <c r="E275" s="10" t="s">
        <v>243</v>
      </c>
      <c r="F275" s="10" t="s">
        <v>99</v>
      </c>
      <c r="G275" s="11" t="s">
        <v>453</v>
      </c>
      <c r="H275" s="10" t="s">
        <v>457</v>
      </c>
      <c r="I275" s="10"/>
      <c r="J275" s="4">
        <f t="shared" si="57"/>
        <v>1125</v>
      </c>
      <c r="K275" s="12">
        <v>0.25</v>
      </c>
      <c r="L275" s="5">
        <f t="shared" si="55"/>
        <v>281.25</v>
      </c>
      <c r="M275" s="5">
        <f t="shared" si="56"/>
        <v>1406.25</v>
      </c>
      <c r="N275" s="13"/>
      <c r="O275" s="13"/>
      <c r="P275" s="13"/>
      <c r="Q275" s="13"/>
      <c r="R275" s="13"/>
      <c r="S275" s="13"/>
      <c r="T275" s="13"/>
      <c r="U275" s="13"/>
      <c r="V275" s="13"/>
      <c r="W275" s="13"/>
      <c r="X275" s="13"/>
      <c r="Y275" s="13"/>
      <c r="Z275" s="13"/>
      <c r="AA275" s="13"/>
      <c r="AB275" s="13"/>
      <c r="AC275" s="13"/>
      <c r="AD275" s="13"/>
    </row>
    <row r="276">
      <c r="A276" s="10" t="s">
        <v>29</v>
      </c>
      <c r="B276" s="13"/>
      <c r="C276" s="13"/>
      <c r="D276" s="10" t="s">
        <v>107</v>
      </c>
      <c r="E276" s="11" t="s">
        <v>244</v>
      </c>
      <c r="F276" s="10"/>
      <c r="G276" s="11" t="s">
        <v>453</v>
      </c>
      <c r="H276" s="10"/>
      <c r="I276" s="10"/>
      <c r="J276" s="4">
        <f t="shared" si="57"/>
        <v>1292</v>
      </c>
      <c r="K276" s="12">
        <v>0.25</v>
      </c>
      <c r="L276" s="5">
        <f t="shared" si="55"/>
        <v>323</v>
      </c>
      <c r="M276" s="5">
        <f t="shared" si="56"/>
        <v>1615</v>
      </c>
      <c r="Z276" s="13"/>
      <c r="AA276" s="13"/>
      <c r="AB276" s="13"/>
      <c r="AC276" s="13"/>
      <c r="AD276" s="13"/>
    </row>
    <row r="277">
      <c r="A277" s="10"/>
      <c r="B277" s="4"/>
      <c r="C277" s="4"/>
      <c r="D277" s="4"/>
      <c r="E277" s="6"/>
      <c r="F277" s="4"/>
      <c r="G277" s="4"/>
      <c r="H277" s="4"/>
      <c r="I277" s="4"/>
      <c r="J277" s="4"/>
      <c r="K277" s="9"/>
      <c r="L277" s="32"/>
      <c r="M277" s="32"/>
      <c r="Z277" s="13"/>
      <c r="AA277" s="13"/>
      <c r="AB277" s="13"/>
      <c r="AC277" s="13"/>
      <c r="AD277" s="13"/>
    </row>
    <row r="278">
      <c r="A278" s="10"/>
      <c r="B278" s="10"/>
      <c r="C278" s="10"/>
      <c r="D278" s="10"/>
      <c r="E278" s="13"/>
      <c r="F278" s="10"/>
      <c r="G278" s="10"/>
      <c r="H278" s="11"/>
      <c r="I278" s="11"/>
      <c r="J278" s="4"/>
      <c r="K278" s="9"/>
      <c r="L278" s="32"/>
      <c r="M278" s="32"/>
      <c r="Z278" s="13"/>
      <c r="AA278" s="13"/>
      <c r="AB278" s="13"/>
      <c r="AC278" s="13"/>
      <c r="AD278" s="13"/>
    </row>
    <row r="279">
      <c r="A279" s="10"/>
      <c r="B279" s="10"/>
      <c r="C279" s="10"/>
      <c r="D279" s="10"/>
      <c r="E279" s="13"/>
      <c r="F279" s="10"/>
      <c r="G279" s="11"/>
      <c r="H279" s="11"/>
      <c r="I279" s="11"/>
      <c r="J279" s="4"/>
      <c r="K279" s="9"/>
      <c r="L279" s="32"/>
      <c r="M279" s="32"/>
      <c r="Z279" s="13"/>
      <c r="AA279" s="13"/>
      <c r="AB279" s="13"/>
      <c r="AC279" s="13"/>
      <c r="AD279" s="13"/>
    </row>
    <row r="280">
      <c r="A280" s="10"/>
      <c r="B280" s="10"/>
      <c r="C280" s="10"/>
      <c r="D280" s="10"/>
      <c r="E280" s="10"/>
      <c r="F280" s="10"/>
      <c r="G280" s="11"/>
      <c r="H280" s="11"/>
      <c r="I280" s="11"/>
      <c r="J280" s="4"/>
      <c r="K280" s="9"/>
      <c r="L280" s="32"/>
      <c r="M280" s="32"/>
      <c r="Z280" s="13"/>
      <c r="AA280" s="13"/>
      <c r="AB280" s="13"/>
      <c r="AC280" s="13"/>
      <c r="AD280" s="13"/>
    </row>
    <row r="281">
      <c r="A281" s="10"/>
      <c r="B281" s="10"/>
      <c r="C281" s="10"/>
      <c r="D281" s="10"/>
      <c r="E281" s="10"/>
      <c r="F281" s="10"/>
      <c r="G281" s="11"/>
      <c r="H281" s="11"/>
      <c r="I281" s="11"/>
      <c r="J281" s="4"/>
      <c r="K281" s="9"/>
      <c r="L281" s="32"/>
      <c r="M281" s="32"/>
      <c r="Z281" s="13"/>
      <c r="AA281" s="13"/>
      <c r="AB281" s="13"/>
      <c r="AC281" s="13"/>
      <c r="AD281" s="13"/>
    </row>
    <row r="282">
      <c r="A282" s="10"/>
      <c r="B282" s="10"/>
      <c r="C282" s="10"/>
      <c r="D282" s="10"/>
      <c r="E282" s="10"/>
      <c r="F282" s="10"/>
      <c r="G282" s="11"/>
      <c r="H282" s="11"/>
      <c r="I282" s="11"/>
      <c r="J282" s="4"/>
      <c r="K282" s="9"/>
      <c r="L282" s="32"/>
      <c r="M282" s="32"/>
      <c r="Z282" s="13"/>
      <c r="AA282" s="13"/>
      <c r="AB282" s="13"/>
      <c r="AC282" s="13"/>
      <c r="AD282" s="13"/>
    </row>
    <row r="283">
      <c r="A283" s="10"/>
      <c r="B283" s="10"/>
      <c r="C283" s="10"/>
      <c r="D283" s="10"/>
      <c r="E283" s="10"/>
      <c r="F283" s="10"/>
      <c r="G283" s="11"/>
      <c r="H283" s="11"/>
      <c r="I283" s="11"/>
      <c r="J283" s="4"/>
      <c r="K283" s="9"/>
      <c r="L283" s="32"/>
      <c r="M283" s="32"/>
      <c r="Z283" s="13"/>
      <c r="AA283" s="13"/>
      <c r="AB283" s="13"/>
      <c r="AC283" s="13"/>
      <c r="AD283" s="13"/>
    </row>
    <row r="284">
      <c r="A284" s="10"/>
      <c r="B284" s="10"/>
      <c r="C284" s="10"/>
      <c r="D284" s="10"/>
      <c r="E284" s="10"/>
      <c r="F284" s="10"/>
      <c r="G284" s="11"/>
      <c r="H284" s="11"/>
      <c r="I284" s="11"/>
      <c r="J284" s="4"/>
      <c r="K284" s="9"/>
      <c r="L284" s="32"/>
      <c r="M284" s="32"/>
      <c r="Z284" s="13"/>
      <c r="AA284" s="13"/>
      <c r="AB284" s="13"/>
      <c r="AC284" s="13"/>
      <c r="AD284" s="13"/>
    </row>
    <row r="285">
      <c r="A285" s="10"/>
      <c r="B285" s="10"/>
      <c r="C285" s="10"/>
      <c r="D285" s="10"/>
      <c r="E285" s="10"/>
      <c r="F285" s="10"/>
      <c r="G285" s="11"/>
      <c r="H285" s="11"/>
      <c r="I285" s="11"/>
      <c r="J285" s="4"/>
      <c r="K285" s="9"/>
      <c r="L285" s="32"/>
      <c r="M285" s="32"/>
      <c r="Z285" s="13"/>
      <c r="AA285" s="13"/>
      <c r="AB285" s="13"/>
      <c r="AC285" s="13"/>
      <c r="AD285" s="13"/>
    </row>
    <row r="286">
      <c r="A286" s="10"/>
      <c r="B286" s="10"/>
      <c r="C286" s="10"/>
      <c r="D286" s="10"/>
      <c r="E286" s="10"/>
      <c r="F286" s="10"/>
      <c r="G286" s="11"/>
      <c r="H286" s="11"/>
      <c r="I286" s="11"/>
      <c r="J286" s="4"/>
      <c r="K286" s="9"/>
      <c r="L286" s="32"/>
      <c r="M286" s="32"/>
      <c r="Z286" s="13"/>
      <c r="AA286" s="13"/>
      <c r="AB286" s="13"/>
      <c r="AC286" s="13"/>
      <c r="AD286" s="13"/>
    </row>
    <row r="287">
      <c r="A287" s="10"/>
      <c r="B287" s="10"/>
      <c r="C287" s="10"/>
      <c r="D287" s="10"/>
      <c r="E287" s="10"/>
      <c r="F287" s="10"/>
      <c r="G287" s="11"/>
      <c r="H287" s="11"/>
      <c r="I287" s="11"/>
      <c r="J287" s="4"/>
      <c r="K287" s="9"/>
      <c r="L287" s="32"/>
      <c r="M287" s="32"/>
      <c r="Z287" s="13"/>
      <c r="AA287" s="13"/>
      <c r="AB287" s="13"/>
      <c r="AC287" s="13"/>
      <c r="AD287" s="13"/>
    </row>
    <row r="288">
      <c r="A288" s="10"/>
      <c r="B288" s="10"/>
      <c r="C288" s="10"/>
      <c r="D288" s="10"/>
      <c r="E288" s="10"/>
      <c r="F288" s="10"/>
      <c r="G288" s="11"/>
      <c r="H288" s="11"/>
      <c r="I288" s="11"/>
      <c r="J288" s="4"/>
      <c r="K288" s="9"/>
      <c r="L288" s="32"/>
      <c r="M288" s="32"/>
      <c r="Z288" s="13"/>
      <c r="AA288" s="13"/>
      <c r="AB288" s="13"/>
      <c r="AC288" s="13"/>
      <c r="AD288" s="13"/>
    </row>
    <row r="289">
      <c r="A289" s="10"/>
      <c r="B289" s="10"/>
      <c r="C289" s="10"/>
      <c r="D289" s="10"/>
      <c r="E289" s="10"/>
      <c r="F289" s="10"/>
      <c r="G289" s="11"/>
      <c r="H289" s="11"/>
      <c r="I289" s="11"/>
      <c r="J289" s="4"/>
      <c r="K289" s="9"/>
      <c r="L289" s="32"/>
      <c r="M289" s="32"/>
      <c r="Z289" s="13"/>
      <c r="AA289" s="13"/>
      <c r="AB289" s="13"/>
      <c r="AC289" s="13"/>
      <c r="AD289" s="13"/>
    </row>
    <row r="290">
      <c r="A290" s="10"/>
      <c r="B290" s="10"/>
      <c r="C290" s="10"/>
      <c r="D290" s="10"/>
      <c r="E290" s="10"/>
      <c r="F290" s="10"/>
      <c r="G290" s="11"/>
      <c r="H290" s="11"/>
      <c r="I290" s="11"/>
      <c r="J290" s="4"/>
      <c r="K290" s="9"/>
      <c r="L290" s="32"/>
      <c r="M290" s="32"/>
      <c r="Z290" s="13"/>
      <c r="AA290" s="13"/>
      <c r="AB290" s="13"/>
      <c r="AC290" s="13"/>
      <c r="AD290" s="13"/>
    </row>
    <row r="291">
      <c r="A291" s="10"/>
      <c r="B291" s="10"/>
      <c r="C291" s="10"/>
      <c r="D291" s="10"/>
      <c r="E291" s="10"/>
      <c r="F291" s="10"/>
      <c r="G291" s="11"/>
      <c r="H291" s="11"/>
      <c r="I291" s="11"/>
      <c r="J291" s="4"/>
      <c r="K291" s="9"/>
      <c r="L291" s="32"/>
      <c r="M291" s="32"/>
      <c r="Z291" s="13"/>
      <c r="AA291" s="13"/>
      <c r="AB291" s="13"/>
      <c r="AC291" s="13"/>
      <c r="AD291" s="13"/>
    </row>
    <row r="292">
      <c r="A292" s="10"/>
      <c r="B292" s="10"/>
      <c r="C292" s="10"/>
      <c r="D292" s="10"/>
      <c r="E292" s="10"/>
      <c r="F292" s="10"/>
      <c r="G292" s="11"/>
      <c r="H292" s="11"/>
      <c r="I292" s="11"/>
      <c r="J292" s="4"/>
      <c r="K292" s="9"/>
      <c r="L292" s="32"/>
      <c r="M292" s="32"/>
      <c r="Z292" s="13"/>
      <c r="AA292" s="13"/>
      <c r="AB292" s="13"/>
      <c r="AC292" s="13"/>
      <c r="AD292" s="13"/>
    </row>
    <row r="293">
      <c r="A293" s="10"/>
      <c r="B293" s="10"/>
      <c r="C293" s="10"/>
      <c r="D293" s="10"/>
      <c r="E293" s="10"/>
      <c r="F293" s="10"/>
      <c r="G293" s="11"/>
      <c r="H293" s="11"/>
      <c r="I293" s="11"/>
      <c r="J293" s="4"/>
      <c r="K293" s="9"/>
      <c r="L293" s="32"/>
      <c r="M293" s="32"/>
      <c r="Z293" s="13"/>
      <c r="AA293" s="13"/>
      <c r="AB293" s="13"/>
      <c r="AC293" s="13"/>
      <c r="AD293" s="13"/>
    </row>
    <row r="294">
      <c r="A294" s="10"/>
      <c r="B294" s="10"/>
      <c r="C294" s="10"/>
      <c r="D294" s="10"/>
      <c r="E294" s="10"/>
      <c r="F294" s="10"/>
      <c r="G294" s="10"/>
      <c r="H294" s="11"/>
      <c r="I294" s="11"/>
      <c r="J294" s="4"/>
      <c r="K294" s="9"/>
      <c r="L294" s="32"/>
      <c r="M294" s="32"/>
      <c r="Z294" s="13"/>
      <c r="AA294" s="13"/>
      <c r="AB294" s="13"/>
      <c r="AC294" s="13"/>
      <c r="AD294" s="13"/>
    </row>
    <row r="295">
      <c r="A295" s="10"/>
      <c r="B295" s="10"/>
      <c r="C295" s="10"/>
      <c r="D295" s="10"/>
      <c r="E295" s="10"/>
      <c r="F295" s="10"/>
      <c r="G295" s="10"/>
      <c r="H295" s="10"/>
      <c r="I295" s="10"/>
      <c r="J295" s="4"/>
      <c r="K295" s="9"/>
      <c r="L295" s="32"/>
      <c r="M295" s="32"/>
      <c r="Z295" s="13"/>
      <c r="AA295" s="13"/>
      <c r="AB295" s="13"/>
      <c r="AC295" s="13"/>
      <c r="AD295" s="13"/>
    </row>
    <row r="296">
      <c r="A296" s="10"/>
      <c r="B296" s="10"/>
      <c r="C296" s="10"/>
      <c r="D296" s="10"/>
      <c r="E296" s="10"/>
      <c r="F296" s="10"/>
      <c r="G296" s="10"/>
      <c r="H296" s="10"/>
      <c r="I296" s="10"/>
      <c r="J296" s="4"/>
      <c r="K296" s="9"/>
      <c r="L296" s="32"/>
      <c r="M296" s="32"/>
      <c r="Z296" s="13"/>
      <c r="AA296" s="13"/>
      <c r="AB296" s="13"/>
      <c r="AC296" s="13"/>
      <c r="AD296" s="13"/>
    </row>
    <row r="297">
      <c r="A297" s="10"/>
      <c r="B297" s="10"/>
      <c r="C297" s="10"/>
      <c r="D297" s="10"/>
      <c r="E297" s="10"/>
      <c r="F297" s="10"/>
      <c r="G297" s="10"/>
      <c r="H297" s="10"/>
      <c r="I297" s="10"/>
      <c r="J297" s="4"/>
      <c r="K297" s="9"/>
      <c r="L297" s="32"/>
      <c r="M297" s="32"/>
      <c r="Z297" s="13"/>
      <c r="AA297" s="13"/>
      <c r="AB297" s="13"/>
      <c r="AC297" s="13"/>
      <c r="AD297" s="13"/>
    </row>
    <row r="298">
      <c r="A298" s="10"/>
      <c r="B298" s="10"/>
      <c r="C298" s="10"/>
      <c r="D298" s="10"/>
      <c r="E298" s="10"/>
      <c r="F298" s="10"/>
      <c r="G298" s="10"/>
      <c r="H298" s="10"/>
      <c r="I298" s="10"/>
      <c r="J298" s="4"/>
      <c r="K298" s="9"/>
      <c r="L298" s="32"/>
      <c r="M298" s="32"/>
      <c r="Z298" s="13"/>
      <c r="AA298" s="13"/>
      <c r="AB298" s="13"/>
      <c r="AC298" s="13"/>
      <c r="AD298" s="13"/>
    </row>
    <row r="299">
      <c r="A299" s="10"/>
      <c r="B299" s="10"/>
      <c r="C299" s="10"/>
      <c r="D299" s="10"/>
      <c r="E299" s="10"/>
      <c r="F299" s="10"/>
      <c r="G299" s="10"/>
      <c r="H299" s="10"/>
      <c r="I299" s="10"/>
      <c r="J299" s="6"/>
      <c r="K299" s="9"/>
      <c r="L299" s="32"/>
      <c r="M299" s="32"/>
      <c r="Z299" s="13"/>
      <c r="AA299" s="13"/>
      <c r="AB299" s="13"/>
      <c r="AC299" s="13"/>
      <c r="AD299" s="13"/>
    </row>
    <row r="300">
      <c r="A300" s="10"/>
      <c r="B300" s="10"/>
      <c r="C300" s="10"/>
      <c r="D300" s="10"/>
      <c r="E300" s="10"/>
      <c r="F300" s="10"/>
      <c r="G300" s="10"/>
      <c r="H300" s="10"/>
      <c r="I300" s="10"/>
      <c r="J300" s="6"/>
      <c r="K300" s="9"/>
      <c r="L300" s="32"/>
      <c r="M300" s="32"/>
      <c r="Z300" s="13"/>
      <c r="AA300" s="13"/>
      <c r="AB300" s="13"/>
      <c r="AC300" s="13"/>
      <c r="AD300" s="13"/>
    </row>
    <row r="301">
      <c r="A301" s="10"/>
      <c r="B301" s="10"/>
      <c r="C301" s="10"/>
      <c r="D301" s="10"/>
      <c r="E301" s="10"/>
      <c r="F301" s="10"/>
      <c r="G301" s="10"/>
      <c r="H301" s="10"/>
      <c r="I301" s="10"/>
      <c r="J301" s="6"/>
      <c r="K301" s="9"/>
      <c r="L301" s="32"/>
      <c r="M301" s="32"/>
      <c r="Z301" s="13"/>
      <c r="AA301" s="13"/>
      <c r="AB301" s="13"/>
      <c r="AC301" s="13"/>
      <c r="AD301" s="13"/>
    </row>
    <row r="302">
      <c r="A302" s="10"/>
      <c r="B302" s="13"/>
      <c r="C302" s="13"/>
      <c r="D302" s="13"/>
      <c r="E302" s="13"/>
      <c r="F302" s="13"/>
      <c r="G302" s="13"/>
      <c r="H302" s="13"/>
      <c r="I302" s="13"/>
      <c r="J302" s="6"/>
      <c r="K302" s="9"/>
      <c r="L302" s="32"/>
      <c r="M302" s="32"/>
      <c r="Z302" s="13"/>
      <c r="AA302" s="13"/>
      <c r="AB302" s="13"/>
      <c r="AC302" s="13"/>
      <c r="AD302" s="13"/>
    </row>
    <row r="303">
      <c r="A303" s="10"/>
      <c r="B303" s="10"/>
      <c r="C303" s="10"/>
      <c r="D303" s="10"/>
      <c r="E303" s="10"/>
      <c r="F303" s="10"/>
      <c r="G303" s="10"/>
      <c r="H303" s="11"/>
      <c r="I303" s="11"/>
      <c r="J303" s="4"/>
      <c r="K303" s="9"/>
      <c r="L303" s="32"/>
      <c r="M303" s="32"/>
      <c r="Z303" s="13"/>
      <c r="AA303" s="13"/>
      <c r="AB303" s="13"/>
      <c r="AC303" s="13"/>
      <c r="AD303" s="13"/>
    </row>
    <row r="304">
      <c r="A304" s="10"/>
      <c r="B304" s="10"/>
      <c r="C304" s="10"/>
      <c r="D304" s="10"/>
      <c r="E304" s="10"/>
      <c r="F304" s="10"/>
      <c r="G304" s="11"/>
      <c r="H304" s="11"/>
      <c r="I304" s="11"/>
      <c r="J304" s="4"/>
      <c r="K304" s="9"/>
      <c r="L304" s="32"/>
      <c r="M304" s="32"/>
      <c r="Z304" s="13"/>
      <c r="AA304" s="13"/>
      <c r="AB304" s="13"/>
      <c r="AC304" s="13"/>
      <c r="AD304" s="13"/>
    </row>
    <row r="305">
      <c r="A305" s="10"/>
      <c r="B305" s="10"/>
      <c r="C305" s="10"/>
      <c r="D305" s="10"/>
      <c r="E305" s="10"/>
      <c r="F305" s="10"/>
      <c r="G305" s="11"/>
      <c r="H305" s="11"/>
      <c r="I305" s="11"/>
      <c r="J305" s="4"/>
      <c r="K305" s="9"/>
      <c r="L305" s="32"/>
      <c r="M305" s="32"/>
      <c r="Z305" s="13"/>
      <c r="AA305" s="13"/>
      <c r="AB305" s="13"/>
      <c r="AC305" s="13"/>
      <c r="AD305" s="13"/>
    </row>
    <row r="306">
      <c r="A306" s="10"/>
      <c r="B306" s="10"/>
      <c r="C306" s="10"/>
      <c r="D306" s="10"/>
      <c r="E306" s="10"/>
      <c r="F306" s="10"/>
      <c r="G306" s="11"/>
      <c r="H306" s="21"/>
      <c r="I306" s="21"/>
      <c r="J306" s="4"/>
      <c r="K306" s="9"/>
      <c r="L306" s="32"/>
      <c r="M306" s="32"/>
      <c r="Z306" s="13"/>
      <c r="AA306" s="13"/>
      <c r="AB306" s="13"/>
      <c r="AC306" s="13"/>
      <c r="AD306" s="13"/>
    </row>
    <row r="307">
      <c r="A307" s="10"/>
      <c r="B307" s="10"/>
      <c r="C307" s="10"/>
      <c r="D307" s="10"/>
      <c r="E307" s="10"/>
      <c r="F307" s="10"/>
      <c r="G307" s="11"/>
      <c r="H307" s="11"/>
      <c r="I307" s="11"/>
      <c r="J307" s="4"/>
      <c r="K307" s="9"/>
      <c r="L307" s="32"/>
      <c r="M307" s="32"/>
      <c r="Z307" s="13"/>
      <c r="AA307" s="13"/>
      <c r="AB307" s="13"/>
      <c r="AC307" s="13"/>
      <c r="AD307" s="13"/>
    </row>
    <row r="308">
      <c r="A308" s="10"/>
      <c r="B308" s="10"/>
      <c r="C308" s="10"/>
      <c r="D308" s="10"/>
      <c r="E308" s="10"/>
      <c r="F308" s="10"/>
      <c r="G308" s="11"/>
      <c r="H308" s="11"/>
      <c r="I308" s="11"/>
      <c r="J308" s="4"/>
      <c r="K308" s="9"/>
      <c r="L308" s="32"/>
      <c r="M308" s="32"/>
      <c r="Z308" s="13"/>
      <c r="AA308" s="13"/>
      <c r="AB308" s="13"/>
      <c r="AC308" s="13"/>
      <c r="AD308" s="13"/>
    </row>
    <row r="309">
      <c r="A309" s="10"/>
      <c r="B309" s="10"/>
      <c r="C309" s="10"/>
      <c r="D309" s="10"/>
      <c r="E309" s="10"/>
      <c r="F309" s="10"/>
      <c r="G309" s="11"/>
      <c r="H309" s="11"/>
      <c r="I309" s="11"/>
      <c r="J309" s="4"/>
      <c r="K309" s="9"/>
      <c r="L309" s="32"/>
      <c r="M309" s="32"/>
      <c r="Z309" s="13"/>
      <c r="AA309" s="13"/>
      <c r="AB309" s="13"/>
      <c r="AC309" s="13"/>
      <c r="AD309" s="13"/>
    </row>
    <row r="310">
      <c r="A310" s="10"/>
      <c r="B310" s="10"/>
      <c r="C310" s="10"/>
      <c r="D310" s="10"/>
      <c r="E310" s="10"/>
      <c r="F310" s="10"/>
      <c r="G310" s="11"/>
      <c r="H310" s="11"/>
      <c r="I310" s="11"/>
      <c r="J310" s="4"/>
      <c r="K310" s="9"/>
      <c r="L310" s="32"/>
      <c r="M310" s="32"/>
      <c r="Z310" s="13"/>
      <c r="AA310" s="13"/>
      <c r="AB310" s="13"/>
      <c r="AC310" s="13"/>
      <c r="AD310" s="13"/>
    </row>
    <row r="311">
      <c r="A311" s="10"/>
      <c r="B311" s="10"/>
      <c r="C311" s="10"/>
      <c r="D311" s="10"/>
      <c r="E311" s="10"/>
      <c r="F311" s="10"/>
      <c r="G311" s="11"/>
      <c r="H311" s="11"/>
      <c r="I311" s="11"/>
      <c r="J311" s="4"/>
      <c r="K311" s="9"/>
      <c r="L311" s="32"/>
      <c r="M311" s="32"/>
      <c r="Z311" s="13"/>
      <c r="AA311" s="13"/>
      <c r="AB311" s="13"/>
      <c r="AC311" s="13"/>
      <c r="AD311" s="13"/>
    </row>
    <row r="312">
      <c r="A312" s="10"/>
      <c r="B312" s="10"/>
      <c r="C312" s="10"/>
      <c r="D312" s="10"/>
      <c r="E312" s="10"/>
      <c r="F312" s="10"/>
      <c r="G312" s="11"/>
      <c r="H312" s="11"/>
      <c r="I312" s="11"/>
      <c r="J312" s="4"/>
      <c r="K312" s="9"/>
      <c r="L312" s="32"/>
      <c r="M312" s="32"/>
      <c r="Z312" s="13"/>
      <c r="AA312" s="13"/>
      <c r="AB312" s="13"/>
      <c r="AC312" s="13"/>
      <c r="AD312" s="13"/>
    </row>
    <row r="313">
      <c r="A313" s="10"/>
      <c r="B313" s="10"/>
      <c r="C313" s="10"/>
      <c r="D313" s="10"/>
      <c r="E313" s="10"/>
      <c r="F313" s="10"/>
      <c r="G313" s="11"/>
      <c r="H313" s="11"/>
      <c r="I313" s="11"/>
      <c r="J313" s="4"/>
      <c r="K313" s="9"/>
      <c r="L313" s="32"/>
      <c r="M313" s="32"/>
      <c r="Z313" s="13"/>
      <c r="AA313" s="13"/>
      <c r="AB313" s="13"/>
      <c r="AC313" s="13"/>
      <c r="AD313" s="13"/>
    </row>
    <row r="314">
      <c r="A314" s="10"/>
      <c r="B314" s="10"/>
      <c r="C314" s="10"/>
      <c r="D314" s="10"/>
      <c r="E314" s="10"/>
      <c r="F314" s="10"/>
      <c r="G314" s="11"/>
      <c r="H314" s="11"/>
      <c r="I314" s="11"/>
      <c r="J314" s="4"/>
      <c r="K314" s="9"/>
      <c r="L314" s="32"/>
      <c r="M314" s="32"/>
      <c r="Z314" s="13"/>
      <c r="AA314" s="13"/>
      <c r="AB314" s="13"/>
      <c r="AC314" s="13"/>
      <c r="AD314" s="13"/>
    </row>
    <row r="315">
      <c r="A315" s="10"/>
      <c r="B315" s="10"/>
      <c r="C315" s="10"/>
      <c r="D315" s="10"/>
      <c r="E315" s="10"/>
      <c r="F315" s="10"/>
      <c r="G315" s="11"/>
      <c r="H315" s="11"/>
      <c r="I315" s="11"/>
      <c r="J315" s="4"/>
      <c r="K315" s="9"/>
      <c r="L315" s="32"/>
      <c r="M315" s="32"/>
      <c r="Z315" s="13"/>
      <c r="AA315" s="13"/>
      <c r="AB315" s="13"/>
      <c r="AC315" s="13"/>
      <c r="AD315" s="13"/>
    </row>
    <row r="316">
      <c r="A316" s="10"/>
      <c r="B316" s="10"/>
      <c r="C316" s="10"/>
      <c r="D316" s="10"/>
      <c r="E316" s="10"/>
      <c r="F316" s="10"/>
      <c r="G316" s="11"/>
      <c r="H316" s="11"/>
      <c r="I316" s="11"/>
      <c r="J316" s="4"/>
      <c r="K316" s="9"/>
      <c r="L316" s="32"/>
      <c r="M316" s="32"/>
      <c r="Z316" s="13"/>
      <c r="AA316" s="13"/>
      <c r="AB316" s="13"/>
      <c r="AC316" s="13"/>
      <c r="AD316" s="13"/>
    </row>
    <row r="317">
      <c r="A317" s="10"/>
      <c r="B317" s="10"/>
      <c r="C317" s="10"/>
      <c r="D317" s="10"/>
      <c r="E317" s="10"/>
      <c r="F317" s="10"/>
      <c r="G317" s="11"/>
      <c r="H317" s="11"/>
      <c r="I317" s="11"/>
      <c r="J317" s="4"/>
      <c r="K317" s="9"/>
      <c r="L317" s="32"/>
      <c r="M317" s="32"/>
      <c r="Z317" s="13"/>
      <c r="AA317" s="13"/>
      <c r="AB317" s="13"/>
      <c r="AC317" s="13"/>
      <c r="AD317" s="13"/>
    </row>
    <row r="318">
      <c r="A318" s="10"/>
      <c r="B318" s="10"/>
      <c r="C318" s="10"/>
      <c r="D318" s="10"/>
      <c r="E318" s="10"/>
      <c r="F318" s="10"/>
      <c r="G318" s="11"/>
      <c r="H318" s="11"/>
      <c r="I318" s="11"/>
      <c r="J318" s="4"/>
      <c r="K318" s="9"/>
      <c r="L318" s="32"/>
      <c r="M318" s="32"/>
      <c r="Z318" s="13"/>
      <c r="AA318" s="13"/>
      <c r="AB318" s="13"/>
      <c r="AC318" s="13"/>
      <c r="AD318" s="13"/>
    </row>
    <row r="319">
      <c r="A319" s="10"/>
      <c r="B319" s="10"/>
      <c r="C319" s="10"/>
      <c r="D319" s="10"/>
      <c r="E319" s="10"/>
      <c r="F319" s="10"/>
      <c r="G319" s="10"/>
      <c r="H319" s="11"/>
      <c r="I319" s="11"/>
      <c r="J319" s="4"/>
      <c r="K319" s="9"/>
      <c r="L319" s="32"/>
      <c r="M319" s="32"/>
      <c r="Z319" s="13"/>
      <c r="AA319" s="13"/>
      <c r="AB319" s="13"/>
      <c r="AC319" s="13"/>
      <c r="AD319" s="13"/>
    </row>
    <row r="320">
      <c r="A320" s="10"/>
      <c r="B320" s="10"/>
      <c r="C320" s="10"/>
      <c r="D320" s="10"/>
      <c r="E320" s="10"/>
      <c r="F320" s="10"/>
      <c r="G320" s="11"/>
      <c r="H320" s="10"/>
      <c r="I320" s="10"/>
      <c r="J320" s="4"/>
      <c r="K320" s="9"/>
      <c r="L320" s="32"/>
      <c r="M320" s="32"/>
      <c r="Z320" s="13"/>
      <c r="AA320" s="13"/>
      <c r="AB320" s="13"/>
      <c r="AC320" s="13"/>
      <c r="AD320" s="13"/>
    </row>
    <row r="321">
      <c r="A321" s="10"/>
      <c r="B321" s="10"/>
      <c r="C321" s="10"/>
      <c r="D321" s="10"/>
      <c r="E321" s="10"/>
      <c r="F321" s="10"/>
      <c r="G321" s="11"/>
      <c r="H321" s="10"/>
      <c r="I321" s="10"/>
      <c r="J321" s="4"/>
      <c r="K321" s="9"/>
      <c r="L321" s="32"/>
      <c r="M321" s="32"/>
      <c r="Z321" s="13"/>
      <c r="AA321" s="13"/>
      <c r="AB321" s="13"/>
      <c r="AC321" s="13"/>
      <c r="AD321" s="13"/>
    </row>
    <row r="322">
      <c r="A322" s="10"/>
      <c r="B322" s="10"/>
      <c r="C322" s="10"/>
      <c r="D322" s="10"/>
      <c r="E322" s="10"/>
      <c r="F322" s="10"/>
      <c r="G322" s="11"/>
      <c r="H322" s="10"/>
      <c r="I322" s="10"/>
      <c r="J322" s="4"/>
      <c r="K322" s="9"/>
      <c r="L322" s="32"/>
      <c r="M322" s="32"/>
      <c r="Z322" s="13"/>
      <c r="AA322" s="13"/>
      <c r="AB322" s="13"/>
      <c r="AC322" s="13"/>
      <c r="AD322" s="13"/>
    </row>
    <row r="323">
      <c r="A323" s="10"/>
      <c r="B323" s="10"/>
      <c r="C323" s="10"/>
      <c r="D323" s="10"/>
      <c r="E323" s="10"/>
      <c r="F323" s="10"/>
      <c r="G323" s="11"/>
      <c r="H323" s="10"/>
      <c r="I323" s="10"/>
      <c r="J323" s="4"/>
      <c r="K323" s="9"/>
      <c r="L323" s="32"/>
      <c r="M323" s="32"/>
      <c r="Z323" s="13"/>
      <c r="AA323" s="13"/>
      <c r="AB323" s="13"/>
      <c r="AC323" s="13"/>
      <c r="AD323" s="13"/>
    </row>
    <row r="324">
      <c r="A324" s="10"/>
      <c r="B324" s="10"/>
      <c r="C324" s="10"/>
      <c r="D324" s="10"/>
      <c r="E324" s="10"/>
      <c r="F324" s="10"/>
      <c r="G324" s="11"/>
      <c r="H324" s="10"/>
      <c r="I324" s="10"/>
      <c r="J324" s="6"/>
      <c r="K324" s="9"/>
      <c r="L324" s="32"/>
      <c r="M324" s="32"/>
      <c r="Z324" s="13"/>
      <c r="AA324" s="13"/>
      <c r="AB324" s="13"/>
      <c r="AC324" s="13"/>
      <c r="AD324" s="13"/>
    </row>
    <row r="325">
      <c r="A325" s="10"/>
      <c r="B325" s="10"/>
      <c r="C325" s="10"/>
      <c r="D325" s="10"/>
      <c r="E325" s="10"/>
      <c r="F325" s="10"/>
      <c r="G325" s="11"/>
      <c r="H325" s="10"/>
      <c r="I325" s="10"/>
      <c r="J325" s="6"/>
      <c r="K325" s="9"/>
      <c r="L325" s="32"/>
      <c r="M325" s="32"/>
      <c r="Z325" s="13"/>
      <c r="AA325" s="13"/>
      <c r="AB325" s="13"/>
      <c r="AC325" s="13"/>
      <c r="AD325" s="13"/>
    </row>
    <row r="326">
      <c r="A326" s="10"/>
      <c r="B326" s="10"/>
      <c r="C326" s="10"/>
      <c r="D326" s="10"/>
      <c r="E326" s="10"/>
      <c r="F326" s="10"/>
      <c r="G326" s="11"/>
      <c r="H326" s="10"/>
      <c r="I326" s="10"/>
      <c r="J326" s="6"/>
      <c r="K326" s="9"/>
      <c r="L326" s="32"/>
      <c r="M326" s="32"/>
      <c r="Z326" s="13"/>
      <c r="AA326" s="13"/>
      <c r="AB326" s="13"/>
      <c r="AC326" s="13"/>
      <c r="AD326" s="13"/>
    </row>
    <row r="327">
      <c r="J327" s="9"/>
      <c r="K327" s="9"/>
      <c r="L327" s="32"/>
      <c r="M327" s="32"/>
      <c r="Z327" s="13"/>
      <c r="AA327" s="13"/>
      <c r="AB327" s="13"/>
      <c r="AC327" s="13"/>
      <c r="AD327" s="13"/>
    </row>
    <row r="328">
      <c r="J328" s="9"/>
      <c r="K328" s="9"/>
      <c r="L328" s="32"/>
      <c r="M328" s="32"/>
      <c r="Z328" s="13"/>
      <c r="AA328" s="13"/>
      <c r="AB328" s="13"/>
      <c r="AC328" s="13"/>
      <c r="AD328" s="13"/>
    </row>
    <row r="329">
      <c r="J329" s="9"/>
      <c r="K329" s="9"/>
      <c r="L329" s="32"/>
      <c r="M329" s="32"/>
      <c r="Z329" s="13"/>
      <c r="AA329" s="13"/>
      <c r="AB329" s="13"/>
      <c r="AC329" s="13"/>
      <c r="AD329" s="13"/>
    </row>
    <row r="330">
      <c r="J330" s="9"/>
      <c r="K330" s="9"/>
      <c r="L330" s="32"/>
      <c r="M330" s="32"/>
      <c r="Z330" s="13"/>
      <c r="AA330" s="13"/>
      <c r="AB330" s="13"/>
      <c r="AC330" s="13"/>
      <c r="AD330" s="13"/>
    </row>
    <row r="331">
      <c r="J331" s="9"/>
      <c r="K331" s="9"/>
      <c r="L331" s="32"/>
      <c r="M331" s="32"/>
      <c r="Z331" s="13"/>
      <c r="AA331" s="13"/>
      <c r="AB331" s="13"/>
      <c r="AC331" s="13"/>
      <c r="AD331" s="13"/>
    </row>
    <row r="332">
      <c r="J332" s="9"/>
      <c r="K332" s="9"/>
      <c r="L332" s="32"/>
      <c r="M332" s="32"/>
      <c r="Z332" s="13"/>
      <c r="AA332" s="13"/>
      <c r="AB332" s="13"/>
      <c r="AC332" s="13"/>
      <c r="AD332" s="13"/>
    </row>
    <row r="333">
      <c r="J333" s="9"/>
      <c r="K333" s="9"/>
      <c r="L333" s="32"/>
      <c r="M333" s="32"/>
      <c r="Z333" s="13"/>
      <c r="AA333" s="13"/>
      <c r="AB333" s="13"/>
      <c r="AC333" s="13"/>
      <c r="AD333" s="13"/>
    </row>
    <row r="334">
      <c r="J334" s="9"/>
      <c r="K334" s="9"/>
      <c r="L334" s="32"/>
      <c r="M334" s="32"/>
      <c r="Z334" s="13"/>
      <c r="AA334" s="13"/>
      <c r="AB334" s="13"/>
      <c r="AC334" s="13"/>
      <c r="AD334" s="13"/>
    </row>
    <row r="335">
      <c r="J335" s="9"/>
      <c r="K335" s="9"/>
      <c r="L335" s="32"/>
      <c r="M335" s="32"/>
      <c r="Z335" s="13"/>
      <c r="AA335" s="13"/>
      <c r="AB335" s="13"/>
      <c r="AC335" s="13"/>
      <c r="AD335" s="13"/>
    </row>
    <row r="336">
      <c r="J336" s="9"/>
      <c r="K336" s="9"/>
      <c r="L336" s="32"/>
      <c r="M336" s="32"/>
      <c r="Z336" s="13"/>
      <c r="AA336" s="13"/>
      <c r="AB336" s="13"/>
      <c r="AC336" s="13"/>
      <c r="AD336" s="13"/>
    </row>
    <row r="337">
      <c r="J337" s="9"/>
      <c r="K337" s="9"/>
      <c r="L337" s="32"/>
      <c r="M337" s="32"/>
      <c r="Z337" s="13"/>
      <c r="AA337" s="13"/>
      <c r="AB337" s="13"/>
      <c r="AC337" s="13"/>
      <c r="AD337" s="13"/>
    </row>
    <row r="338">
      <c r="J338" s="9"/>
      <c r="K338" s="9"/>
      <c r="L338" s="32"/>
      <c r="M338" s="32"/>
      <c r="Z338" s="13"/>
      <c r="AA338" s="13"/>
      <c r="AB338" s="13"/>
      <c r="AC338" s="13"/>
      <c r="AD338" s="13"/>
    </row>
    <row r="339">
      <c r="J339" s="9"/>
      <c r="K339" s="9"/>
      <c r="L339" s="32"/>
      <c r="M339" s="32"/>
      <c r="Z339" s="13"/>
      <c r="AA339" s="13"/>
      <c r="AB339" s="13"/>
      <c r="AC339" s="13"/>
      <c r="AD339" s="13"/>
    </row>
    <row r="340">
      <c r="J340" s="9"/>
      <c r="K340" s="9"/>
      <c r="L340" s="32"/>
      <c r="M340" s="32"/>
      <c r="Z340" s="13"/>
      <c r="AA340" s="13"/>
      <c r="AB340" s="13"/>
      <c r="AC340" s="13"/>
      <c r="AD340" s="13"/>
    </row>
    <row r="341">
      <c r="J341" s="9"/>
      <c r="K341" s="9"/>
      <c r="L341" s="32"/>
      <c r="M341" s="32"/>
      <c r="Z341" s="13"/>
      <c r="AA341" s="13"/>
      <c r="AB341" s="13"/>
      <c r="AC341" s="13"/>
      <c r="AD341" s="13"/>
    </row>
    <row r="342">
      <c r="J342" s="9"/>
      <c r="K342" s="9"/>
      <c r="L342" s="32"/>
      <c r="M342" s="32"/>
      <c r="Z342" s="13"/>
      <c r="AA342" s="13"/>
      <c r="AB342" s="13"/>
      <c r="AC342" s="13"/>
      <c r="AD342" s="13"/>
    </row>
    <row r="343">
      <c r="J343" s="9"/>
      <c r="K343" s="9"/>
      <c r="L343" s="32"/>
      <c r="M343" s="32"/>
      <c r="Z343" s="13"/>
      <c r="AA343" s="13"/>
      <c r="AB343" s="13"/>
      <c r="AC343" s="13"/>
      <c r="AD343" s="13"/>
    </row>
    <row r="344">
      <c r="J344" s="9"/>
      <c r="K344" s="9"/>
      <c r="L344" s="32"/>
      <c r="M344" s="32"/>
      <c r="Z344" s="13"/>
      <c r="AA344" s="13"/>
      <c r="AB344" s="13"/>
      <c r="AC344" s="13"/>
      <c r="AD344" s="13"/>
    </row>
    <row r="345">
      <c r="J345" s="9"/>
      <c r="K345" s="9"/>
      <c r="L345" s="32"/>
      <c r="M345" s="32"/>
      <c r="Z345" s="13"/>
      <c r="AA345" s="13"/>
      <c r="AB345" s="13"/>
      <c r="AC345" s="13"/>
      <c r="AD345" s="13"/>
    </row>
    <row r="346">
      <c r="J346" s="9"/>
      <c r="K346" s="9"/>
      <c r="L346" s="32"/>
      <c r="M346" s="32"/>
      <c r="Z346" s="13"/>
      <c r="AA346" s="13"/>
      <c r="AB346" s="13"/>
      <c r="AC346" s="13"/>
      <c r="AD346" s="13"/>
    </row>
    <row r="347">
      <c r="J347" s="9"/>
      <c r="K347" s="9"/>
      <c r="L347" s="32"/>
      <c r="M347" s="32"/>
      <c r="Z347" s="13"/>
      <c r="AA347" s="13"/>
      <c r="AB347" s="13"/>
      <c r="AC347" s="13"/>
      <c r="AD347" s="13"/>
    </row>
    <row r="348">
      <c r="J348" s="9"/>
      <c r="K348" s="9"/>
      <c r="L348" s="32"/>
      <c r="M348" s="32"/>
      <c r="Z348" s="13"/>
      <c r="AA348" s="13"/>
      <c r="AB348" s="13"/>
      <c r="AC348" s="13"/>
      <c r="AD348" s="13"/>
    </row>
    <row r="349">
      <c r="J349" s="9"/>
      <c r="K349" s="9"/>
      <c r="L349" s="32"/>
      <c r="M349" s="32"/>
      <c r="Z349" s="13"/>
      <c r="AA349" s="13"/>
      <c r="AB349" s="13"/>
      <c r="AC349" s="13"/>
      <c r="AD349" s="13"/>
    </row>
    <row r="350">
      <c r="J350" s="9"/>
      <c r="K350" s="9"/>
      <c r="L350" s="32"/>
      <c r="M350" s="32"/>
      <c r="Z350" s="13"/>
      <c r="AA350" s="13"/>
      <c r="AB350" s="13"/>
      <c r="AC350" s="13"/>
      <c r="AD350" s="13"/>
    </row>
    <row r="351">
      <c r="J351" s="9"/>
      <c r="K351" s="9"/>
      <c r="L351" s="32"/>
      <c r="M351" s="32"/>
      <c r="Z351" s="13"/>
      <c r="AA351" s="13"/>
      <c r="AB351" s="13"/>
      <c r="AC351" s="13"/>
      <c r="AD351" s="13"/>
    </row>
    <row r="352">
      <c r="J352" s="9"/>
      <c r="K352" s="9"/>
      <c r="L352" s="32"/>
      <c r="M352" s="32"/>
      <c r="Z352" s="13"/>
      <c r="AA352" s="13"/>
      <c r="AB352" s="13"/>
      <c r="AC352" s="13"/>
      <c r="AD352" s="13"/>
    </row>
    <row r="353">
      <c r="J353" s="9"/>
      <c r="K353" s="9"/>
      <c r="L353" s="32"/>
      <c r="M353" s="32"/>
      <c r="Z353" s="13"/>
      <c r="AA353" s="13"/>
      <c r="AB353" s="13"/>
      <c r="AC353" s="13"/>
      <c r="AD353" s="13"/>
    </row>
    <row r="354">
      <c r="J354" s="9"/>
      <c r="K354" s="9"/>
      <c r="L354" s="32"/>
      <c r="M354" s="32"/>
      <c r="Z354" s="13"/>
      <c r="AA354" s="13"/>
      <c r="AB354" s="13"/>
      <c r="AC354" s="13"/>
      <c r="AD354" s="13"/>
    </row>
    <row r="355">
      <c r="J355" s="9"/>
      <c r="K355" s="9"/>
      <c r="L355" s="32"/>
      <c r="M355" s="32"/>
      <c r="Z355" s="13"/>
      <c r="AA355" s="13"/>
      <c r="AB355" s="13"/>
      <c r="AC355" s="13"/>
      <c r="AD355" s="13"/>
    </row>
    <row r="356">
      <c r="J356" s="9"/>
      <c r="K356" s="9"/>
      <c r="L356" s="32"/>
      <c r="M356" s="32"/>
      <c r="Z356" s="13"/>
      <c r="AA356" s="13"/>
      <c r="AB356" s="13"/>
      <c r="AC356" s="13"/>
      <c r="AD356" s="13"/>
    </row>
    <row r="357">
      <c r="J357" s="9"/>
      <c r="K357" s="9"/>
      <c r="L357" s="32"/>
      <c r="M357" s="32"/>
      <c r="Z357" s="13"/>
      <c r="AA357" s="13"/>
      <c r="AB357" s="13"/>
      <c r="AC357" s="13"/>
      <c r="AD357" s="13"/>
    </row>
    <row r="358">
      <c r="J358" s="9"/>
      <c r="K358" s="9"/>
      <c r="L358" s="32"/>
      <c r="M358" s="32"/>
      <c r="Z358" s="13"/>
      <c r="AA358" s="13"/>
      <c r="AB358" s="13"/>
      <c r="AC358" s="13"/>
      <c r="AD358" s="13"/>
    </row>
    <row r="359">
      <c r="J359" s="9"/>
      <c r="K359" s="9"/>
      <c r="L359" s="32"/>
      <c r="M359" s="32"/>
      <c r="Z359" s="13"/>
      <c r="AA359" s="13"/>
      <c r="AB359" s="13"/>
      <c r="AC359" s="13"/>
      <c r="AD359" s="13"/>
    </row>
    <row r="360">
      <c r="J360" s="9"/>
      <c r="K360" s="9"/>
      <c r="L360" s="32"/>
      <c r="M360" s="32"/>
      <c r="Z360" s="13"/>
      <c r="AA360" s="13"/>
      <c r="AB360" s="13"/>
      <c r="AC360" s="13"/>
      <c r="AD360" s="13"/>
    </row>
    <row r="361">
      <c r="J361" s="9"/>
      <c r="K361" s="9"/>
      <c r="L361" s="32"/>
      <c r="M361" s="32"/>
      <c r="Z361" s="13"/>
      <c r="AA361" s="13"/>
      <c r="AB361" s="13"/>
      <c r="AC361" s="13"/>
      <c r="AD361" s="13"/>
    </row>
    <row r="362">
      <c r="J362" s="9"/>
      <c r="K362" s="9"/>
      <c r="L362" s="32"/>
      <c r="M362" s="32"/>
      <c r="Z362" s="13"/>
      <c r="AA362" s="13"/>
      <c r="AB362" s="13"/>
      <c r="AC362" s="13"/>
      <c r="AD362" s="13"/>
    </row>
    <row r="363">
      <c r="J363" s="9"/>
      <c r="K363" s="9"/>
      <c r="L363" s="32"/>
      <c r="M363" s="32"/>
      <c r="Z363" s="13"/>
      <c r="AA363" s="13"/>
      <c r="AB363" s="13"/>
      <c r="AC363" s="13"/>
      <c r="AD363" s="13"/>
    </row>
    <row r="364">
      <c r="J364" s="9"/>
      <c r="K364" s="9"/>
      <c r="L364" s="32"/>
      <c r="M364" s="32"/>
      <c r="Z364" s="13"/>
      <c r="AA364" s="13"/>
      <c r="AB364" s="13"/>
      <c r="AC364" s="13"/>
      <c r="AD364" s="13"/>
    </row>
    <row r="365">
      <c r="J365" s="9"/>
      <c r="K365" s="9"/>
      <c r="L365" s="32"/>
      <c r="M365" s="32"/>
      <c r="Z365" s="13"/>
      <c r="AA365" s="13"/>
      <c r="AB365" s="13"/>
      <c r="AC365" s="13"/>
      <c r="AD365" s="13"/>
    </row>
    <row r="366">
      <c r="J366" s="9"/>
      <c r="K366" s="9"/>
      <c r="L366" s="32"/>
      <c r="M366" s="32"/>
      <c r="Z366" s="13"/>
      <c r="AA366" s="13"/>
      <c r="AB366" s="13"/>
      <c r="AC366" s="13"/>
      <c r="AD366" s="13"/>
    </row>
    <row r="367">
      <c r="J367" s="9"/>
      <c r="K367" s="9"/>
      <c r="L367" s="32"/>
      <c r="M367" s="32"/>
      <c r="Z367" s="13"/>
      <c r="AA367" s="13"/>
      <c r="AB367" s="13"/>
      <c r="AC367" s="13"/>
      <c r="AD367" s="13"/>
    </row>
    <row r="368">
      <c r="J368" s="9"/>
      <c r="K368" s="9"/>
      <c r="L368" s="32"/>
      <c r="M368" s="32"/>
      <c r="Z368" s="13"/>
      <c r="AA368" s="13"/>
      <c r="AB368" s="13"/>
      <c r="AC368" s="13"/>
      <c r="AD368" s="13"/>
    </row>
    <row r="369">
      <c r="J369" s="9"/>
      <c r="K369" s="9"/>
      <c r="L369" s="32"/>
      <c r="M369" s="32"/>
      <c r="Z369" s="13"/>
      <c r="AA369" s="13"/>
      <c r="AB369" s="13"/>
      <c r="AC369" s="13"/>
      <c r="AD369" s="13"/>
    </row>
    <row r="370">
      <c r="J370" s="9"/>
      <c r="K370" s="9"/>
      <c r="L370" s="32"/>
      <c r="M370" s="32"/>
      <c r="Z370" s="13"/>
      <c r="AA370" s="13"/>
      <c r="AB370" s="13"/>
      <c r="AC370" s="13"/>
      <c r="AD370" s="13"/>
    </row>
    <row r="371">
      <c r="J371" s="9"/>
      <c r="K371" s="9"/>
      <c r="L371" s="32"/>
      <c r="M371" s="32"/>
      <c r="Z371" s="13"/>
      <c r="AA371" s="13"/>
      <c r="AB371" s="13"/>
      <c r="AC371" s="13"/>
      <c r="AD371" s="13"/>
    </row>
    <row r="372">
      <c r="J372" s="9"/>
      <c r="K372" s="9"/>
      <c r="L372" s="32"/>
      <c r="M372" s="32"/>
      <c r="Z372" s="13"/>
      <c r="AA372" s="13"/>
      <c r="AB372" s="13"/>
      <c r="AC372" s="13"/>
      <c r="AD372" s="13"/>
    </row>
    <row r="373">
      <c r="J373" s="9"/>
      <c r="K373" s="9"/>
      <c r="L373" s="32"/>
      <c r="M373" s="32"/>
      <c r="Z373" s="13"/>
      <c r="AA373" s="13"/>
      <c r="AB373" s="13"/>
      <c r="AC373" s="13"/>
      <c r="AD373" s="13"/>
    </row>
    <row r="374">
      <c r="J374" s="9"/>
      <c r="K374" s="9"/>
      <c r="L374" s="32"/>
      <c r="M374" s="32"/>
      <c r="Z374" s="13"/>
      <c r="AA374" s="13"/>
      <c r="AB374" s="13"/>
      <c r="AC374" s="13"/>
      <c r="AD374" s="13"/>
    </row>
    <row r="375">
      <c r="J375" s="9"/>
      <c r="K375" s="9"/>
      <c r="L375" s="32"/>
      <c r="M375" s="32"/>
      <c r="Z375" s="13"/>
      <c r="AA375" s="13"/>
      <c r="AB375" s="13"/>
      <c r="AC375" s="13"/>
      <c r="AD375" s="13"/>
    </row>
    <row r="376">
      <c r="J376" s="9"/>
      <c r="K376" s="9"/>
      <c r="L376" s="32"/>
      <c r="M376" s="32"/>
      <c r="Z376" s="13"/>
      <c r="AA376" s="13"/>
      <c r="AB376" s="13"/>
      <c r="AC376" s="13"/>
      <c r="AD376" s="13"/>
    </row>
    <row r="377">
      <c r="J377" s="9"/>
      <c r="K377" s="9"/>
      <c r="L377" s="32"/>
      <c r="M377" s="32"/>
      <c r="Z377" s="13"/>
      <c r="AA377" s="13"/>
      <c r="AB377" s="13"/>
      <c r="AC377" s="13"/>
      <c r="AD377" s="13"/>
    </row>
    <row r="378">
      <c r="J378" s="9"/>
      <c r="K378" s="9"/>
      <c r="L378" s="32"/>
      <c r="M378" s="32"/>
      <c r="Z378" s="13"/>
      <c r="AA378" s="13"/>
      <c r="AB378" s="13"/>
      <c r="AC378" s="13"/>
      <c r="AD378" s="13"/>
    </row>
    <row r="379">
      <c r="J379" s="9"/>
      <c r="K379" s="9"/>
      <c r="L379" s="32"/>
      <c r="M379" s="32"/>
      <c r="Z379" s="13"/>
      <c r="AA379" s="13"/>
      <c r="AB379" s="13"/>
      <c r="AC379" s="13"/>
      <c r="AD379" s="13"/>
    </row>
    <row r="380">
      <c r="J380" s="9"/>
      <c r="K380" s="9"/>
      <c r="L380" s="32"/>
      <c r="M380" s="32"/>
      <c r="Z380" s="13"/>
      <c r="AA380" s="13"/>
      <c r="AB380" s="13"/>
      <c r="AC380" s="13"/>
      <c r="AD380" s="13"/>
    </row>
    <row r="381">
      <c r="J381" s="9"/>
      <c r="K381" s="9"/>
      <c r="L381" s="32"/>
      <c r="M381" s="32"/>
      <c r="Z381" s="13"/>
      <c r="AA381" s="13"/>
      <c r="AB381" s="13"/>
      <c r="AC381" s="13"/>
      <c r="AD381" s="13"/>
    </row>
    <row r="382">
      <c r="J382" s="9"/>
      <c r="K382" s="9"/>
      <c r="L382" s="32"/>
      <c r="M382" s="32"/>
      <c r="Z382" s="13"/>
      <c r="AA382" s="13"/>
      <c r="AB382" s="13"/>
      <c r="AC382" s="13"/>
      <c r="AD382" s="13"/>
    </row>
    <row r="383">
      <c r="J383" s="9"/>
      <c r="K383" s="9"/>
      <c r="L383" s="32"/>
      <c r="M383" s="32"/>
      <c r="Z383" s="13"/>
      <c r="AA383" s="13"/>
      <c r="AB383" s="13"/>
      <c r="AC383" s="13"/>
      <c r="AD383" s="13"/>
    </row>
    <row r="384">
      <c r="J384" s="9"/>
      <c r="K384" s="9"/>
      <c r="L384" s="32"/>
      <c r="M384" s="32"/>
      <c r="Z384" s="13"/>
      <c r="AA384" s="13"/>
      <c r="AB384" s="13"/>
      <c r="AC384" s="13"/>
      <c r="AD384" s="13"/>
    </row>
    <row r="385">
      <c r="J385" s="9"/>
      <c r="K385" s="9"/>
      <c r="L385" s="32"/>
      <c r="M385" s="32"/>
      <c r="Z385" s="13"/>
      <c r="AA385" s="13"/>
      <c r="AB385" s="13"/>
      <c r="AC385" s="13"/>
      <c r="AD385" s="13"/>
    </row>
    <row r="386">
      <c r="J386" s="9"/>
      <c r="K386" s="9"/>
      <c r="L386" s="32"/>
      <c r="M386" s="32"/>
      <c r="Z386" s="13"/>
      <c r="AA386" s="13"/>
      <c r="AB386" s="13"/>
      <c r="AC386" s="13"/>
      <c r="AD386" s="13"/>
    </row>
    <row r="387">
      <c r="J387" s="9"/>
      <c r="K387" s="9"/>
      <c r="L387" s="32"/>
      <c r="M387" s="32"/>
      <c r="Z387" s="13"/>
      <c r="AA387" s="13"/>
      <c r="AB387" s="13"/>
      <c r="AC387" s="13"/>
      <c r="AD387" s="13"/>
    </row>
    <row r="388">
      <c r="J388" s="9"/>
      <c r="K388" s="9"/>
      <c r="L388" s="32"/>
      <c r="M388" s="32"/>
      <c r="Z388" s="13"/>
      <c r="AA388" s="13"/>
      <c r="AB388" s="13"/>
      <c r="AC388" s="13"/>
      <c r="AD388" s="13"/>
    </row>
    <row r="389">
      <c r="J389" s="9"/>
      <c r="K389" s="9"/>
      <c r="L389" s="32"/>
      <c r="M389" s="32"/>
      <c r="Z389" s="13"/>
      <c r="AA389" s="13"/>
      <c r="AB389" s="13"/>
      <c r="AC389" s="13"/>
      <c r="AD389" s="13"/>
    </row>
    <row r="390">
      <c r="J390" s="9"/>
      <c r="K390" s="9"/>
      <c r="L390" s="32"/>
      <c r="M390" s="32"/>
      <c r="Z390" s="13"/>
      <c r="AA390" s="13"/>
      <c r="AB390" s="13"/>
      <c r="AC390" s="13"/>
      <c r="AD390" s="13"/>
    </row>
    <row r="391">
      <c r="J391" s="9"/>
      <c r="K391" s="9"/>
      <c r="L391" s="32"/>
      <c r="M391" s="32"/>
      <c r="Z391" s="13"/>
      <c r="AA391" s="13"/>
      <c r="AB391" s="13"/>
      <c r="AC391" s="13"/>
      <c r="AD391" s="13"/>
    </row>
    <row r="392">
      <c r="J392" s="9"/>
      <c r="K392" s="9"/>
      <c r="L392" s="32"/>
      <c r="M392" s="32"/>
      <c r="Z392" s="13"/>
      <c r="AA392" s="13"/>
      <c r="AB392" s="13"/>
      <c r="AC392" s="13"/>
      <c r="AD392" s="13"/>
    </row>
    <row r="393">
      <c r="J393" s="9"/>
      <c r="K393" s="9"/>
      <c r="L393" s="32"/>
      <c r="M393" s="32"/>
      <c r="Z393" s="13"/>
      <c r="AA393" s="13"/>
      <c r="AB393" s="13"/>
      <c r="AC393" s="13"/>
      <c r="AD393" s="13"/>
    </row>
    <row r="394">
      <c r="J394" s="9"/>
      <c r="K394" s="9"/>
      <c r="L394" s="32"/>
      <c r="M394" s="32"/>
      <c r="Z394" s="13"/>
      <c r="AA394" s="13"/>
      <c r="AB394" s="13"/>
      <c r="AC394" s="13"/>
      <c r="AD394" s="13"/>
    </row>
    <row r="395">
      <c r="J395" s="9"/>
      <c r="K395" s="9"/>
      <c r="L395" s="32"/>
      <c r="M395" s="32"/>
      <c r="Z395" s="13"/>
      <c r="AA395" s="13"/>
      <c r="AB395" s="13"/>
      <c r="AC395" s="13"/>
      <c r="AD395" s="13"/>
    </row>
    <row r="396">
      <c r="J396" s="9"/>
      <c r="K396" s="9"/>
      <c r="L396" s="32"/>
      <c r="M396" s="32"/>
      <c r="Z396" s="13"/>
      <c r="AA396" s="13"/>
      <c r="AB396" s="13"/>
      <c r="AC396" s="13"/>
      <c r="AD396" s="13"/>
    </row>
    <row r="397">
      <c r="J397" s="9"/>
      <c r="K397" s="9"/>
      <c r="L397" s="32"/>
      <c r="M397" s="32"/>
      <c r="Z397" s="13"/>
      <c r="AA397" s="13"/>
      <c r="AB397" s="13"/>
      <c r="AC397" s="13"/>
      <c r="AD397" s="13"/>
    </row>
    <row r="398">
      <c r="J398" s="9"/>
      <c r="K398" s="9"/>
      <c r="L398" s="32"/>
      <c r="M398" s="32"/>
      <c r="Z398" s="13"/>
      <c r="AA398" s="13"/>
      <c r="AB398" s="13"/>
      <c r="AC398" s="13"/>
      <c r="AD398" s="13"/>
    </row>
    <row r="399">
      <c r="J399" s="9"/>
      <c r="K399" s="9"/>
      <c r="L399" s="32"/>
      <c r="M399" s="32"/>
      <c r="Z399" s="13"/>
      <c r="AA399" s="13"/>
      <c r="AB399" s="13"/>
      <c r="AC399" s="13"/>
      <c r="AD399" s="13"/>
    </row>
    <row r="400">
      <c r="J400" s="9"/>
      <c r="K400" s="9"/>
      <c r="L400" s="32"/>
      <c r="M400" s="32"/>
      <c r="Z400" s="13"/>
      <c r="AA400" s="13"/>
      <c r="AB400" s="13"/>
      <c r="AC400" s="13"/>
      <c r="AD400" s="13"/>
    </row>
    <row r="401">
      <c r="J401" s="9"/>
      <c r="K401" s="9"/>
      <c r="L401" s="32"/>
      <c r="M401" s="32"/>
      <c r="Z401" s="13"/>
      <c r="AA401" s="13"/>
      <c r="AB401" s="13"/>
      <c r="AC401" s="13"/>
      <c r="AD401" s="13"/>
    </row>
    <row r="402">
      <c r="J402" s="9"/>
      <c r="K402" s="9"/>
      <c r="L402" s="32"/>
      <c r="M402" s="32"/>
      <c r="Z402" s="13"/>
      <c r="AA402" s="13"/>
      <c r="AB402" s="13"/>
      <c r="AC402" s="13"/>
      <c r="AD402" s="13"/>
    </row>
    <row r="403">
      <c r="J403" s="9"/>
      <c r="K403" s="9"/>
      <c r="L403" s="32"/>
      <c r="M403" s="32"/>
      <c r="Z403" s="13"/>
      <c r="AA403" s="13"/>
      <c r="AB403" s="13"/>
      <c r="AC403" s="13"/>
      <c r="AD403" s="13"/>
    </row>
    <row r="404">
      <c r="J404" s="9"/>
      <c r="K404" s="9"/>
      <c r="L404" s="32"/>
      <c r="M404" s="32"/>
      <c r="Z404" s="13"/>
      <c r="AA404" s="13"/>
      <c r="AB404" s="13"/>
      <c r="AC404" s="13"/>
      <c r="AD404" s="13"/>
    </row>
    <row r="405">
      <c r="J405" s="9"/>
      <c r="K405" s="9"/>
      <c r="L405" s="32"/>
      <c r="M405" s="32"/>
      <c r="Z405" s="13"/>
      <c r="AA405" s="13"/>
      <c r="AB405" s="13"/>
      <c r="AC405" s="13"/>
      <c r="AD405" s="13"/>
    </row>
    <row r="406">
      <c r="J406" s="9"/>
      <c r="K406" s="9"/>
      <c r="L406" s="32"/>
      <c r="M406" s="32"/>
      <c r="Z406" s="13"/>
      <c r="AA406" s="13"/>
      <c r="AB406" s="13"/>
      <c r="AC406" s="13"/>
      <c r="AD406" s="13"/>
    </row>
    <row r="407">
      <c r="J407" s="9"/>
      <c r="K407" s="9"/>
      <c r="L407" s="32"/>
      <c r="M407" s="32"/>
      <c r="Z407" s="13"/>
      <c r="AA407" s="13"/>
      <c r="AB407" s="13"/>
      <c r="AC407" s="13"/>
      <c r="AD407" s="13"/>
    </row>
    <row r="408">
      <c r="J408" s="9"/>
      <c r="K408" s="9"/>
      <c r="L408" s="32"/>
      <c r="M408" s="32"/>
      <c r="Z408" s="13"/>
      <c r="AA408" s="13"/>
      <c r="AB408" s="13"/>
      <c r="AC408" s="13"/>
      <c r="AD408" s="13"/>
    </row>
    <row r="409">
      <c r="J409" s="9"/>
      <c r="K409" s="9"/>
      <c r="L409" s="32"/>
      <c r="M409" s="32"/>
      <c r="Z409" s="13"/>
      <c r="AA409" s="13"/>
      <c r="AB409" s="13"/>
      <c r="AC409" s="13"/>
      <c r="AD409" s="13"/>
    </row>
    <row r="410">
      <c r="J410" s="9"/>
      <c r="K410" s="9"/>
      <c r="L410" s="32"/>
      <c r="M410" s="32"/>
      <c r="Z410" s="13"/>
      <c r="AA410" s="13"/>
      <c r="AB410" s="13"/>
      <c r="AC410" s="13"/>
      <c r="AD410" s="13"/>
    </row>
    <row r="411">
      <c r="J411" s="9"/>
      <c r="K411" s="9"/>
      <c r="L411" s="32"/>
      <c r="M411" s="32"/>
      <c r="Z411" s="13"/>
      <c r="AA411" s="13"/>
      <c r="AB411" s="13"/>
      <c r="AC411" s="13"/>
      <c r="AD411" s="13"/>
    </row>
    <row r="412">
      <c r="J412" s="9"/>
      <c r="K412" s="9"/>
      <c r="L412" s="32"/>
      <c r="M412" s="32"/>
      <c r="Z412" s="13"/>
      <c r="AA412" s="13"/>
      <c r="AB412" s="13"/>
      <c r="AC412" s="13"/>
      <c r="AD412" s="13"/>
    </row>
    <row r="413">
      <c r="J413" s="9"/>
      <c r="K413" s="9"/>
      <c r="L413" s="32"/>
      <c r="M413" s="32"/>
      <c r="Z413" s="13"/>
      <c r="AA413" s="13"/>
      <c r="AB413" s="13"/>
      <c r="AC413" s="13"/>
      <c r="AD413" s="13"/>
    </row>
    <row r="414">
      <c r="J414" s="9"/>
      <c r="K414" s="9"/>
      <c r="L414" s="32"/>
      <c r="M414" s="32"/>
      <c r="Z414" s="13"/>
      <c r="AA414" s="13"/>
      <c r="AB414" s="13"/>
      <c r="AC414" s="13"/>
      <c r="AD414" s="13"/>
    </row>
    <row r="415">
      <c r="J415" s="9"/>
      <c r="K415" s="9"/>
      <c r="L415" s="32"/>
      <c r="M415" s="32"/>
      <c r="Z415" s="13"/>
      <c r="AA415" s="13"/>
      <c r="AB415" s="13"/>
      <c r="AC415" s="13"/>
      <c r="AD415" s="13"/>
    </row>
    <row r="416">
      <c r="J416" s="9"/>
      <c r="K416" s="9"/>
      <c r="L416" s="32"/>
      <c r="M416" s="32"/>
      <c r="Z416" s="13"/>
      <c r="AA416" s="13"/>
      <c r="AB416" s="13"/>
      <c r="AC416" s="13"/>
      <c r="AD416" s="13"/>
    </row>
    <row r="417">
      <c r="J417" s="9"/>
      <c r="K417" s="9"/>
      <c r="L417" s="32"/>
      <c r="M417" s="32"/>
      <c r="Z417" s="13"/>
      <c r="AA417" s="13"/>
      <c r="AB417" s="13"/>
      <c r="AC417" s="13"/>
      <c r="AD417" s="13"/>
    </row>
    <row r="418">
      <c r="J418" s="9"/>
      <c r="K418" s="9"/>
      <c r="L418" s="32"/>
      <c r="M418" s="32"/>
      <c r="Z418" s="13"/>
      <c r="AA418" s="13"/>
      <c r="AB418" s="13"/>
      <c r="AC418" s="13"/>
      <c r="AD418" s="13"/>
    </row>
    <row r="419">
      <c r="J419" s="9"/>
      <c r="K419" s="9"/>
      <c r="L419" s="32"/>
      <c r="M419" s="32"/>
      <c r="Z419" s="13"/>
      <c r="AA419" s="13"/>
      <c r="AB419" s="13"/>
      <c r="AC419" s="13"/>
      <c r="AD419" s="13"/>
    </row>
    <row r="420">
      <c r="J420" s="9"/>
      <c r="K420" s="9"/>
      <c r="L420" s="32"/>
      <c r="M420" s="32"/>
      <c r="Z420" s="13"/>
      <c r="AA420" s="13"/>
      <c r="AB420" s="13"/>
      <c r="AC420" s="13"/>
      <c r="AD420" s="13"/>
    </row>
    <row r="421">
      <c r="J421" s="9"/>
      <c r="K421" s="9"/>
      <c r="L421" s="32"/>
      <c r="M421" s="32"/>
      <c r="Z421" s="13"/>
      <c r="AA421" s="13"/>
      <c r="AB421" s="13"/>
      <c r="AC421" s="13"/>
      <c r="AD421" s="13"/>
    </row>
    <row r="422">
      <c r="J422" s="9"/>
      <c r="K422" s="9"/>
      <c r="L422" s="32"/>
      <c r="M422" s="32"/>
      <c r="Z422" s="13"/>
      <c r="AA422" s="13"/>
      <c r="AB422" s="13"/>
      <c r="AC422" s="13"/>
      <c r="AD422" s="13"/>
    </row>
    <row r="423">
      <c r="J423" s="9"/>
      <c r="K423" s="9"/>
      <c r="L423" s="32"/>
      <c r="M423" s="32"/>
      <c r="Z423" s="13"/>
      <c r="AA423" s="13"/>
      <c r="AB423" s="13"/>
      <c r="AC423" s="13"/>
      <c r="AD423" s="13"/>
    </row>
    <row r="424">
      <c r="J424" s="9"/>
      <c r="K424" s="9"/>
      <c r="L424" s="32"/>
      <c r="M424" s="32"/>
      <c r="Z424" s="13"/>
      <c r="AA424" s="13"/>
      <c r="AB424" s="13"/>
      <c r="AC424" s="13"/>
      <c r="AD424" s="13"/>
    </row>
    <row r="425">
      <c r="J425" s="9"/>
      <c r="K425" s="9"/>
      <c r="L425" s="32"/>
      <c r="M425" s="32"/>
      <c r="Z425" s="13"/>
      <c r="AA425" s="13"/>
      <c r="AB425" s="13"/>
      <c r="AC425" s="13"/>
      <c r="AD425" s="13"/>
    </row>
    <row r="426">
      <c r="J426" s="9"/>
      <c r="K426" s="9"/>
      <c r="L426" s="32"/>
      <c r="M426" s="32"/>
      <c r="Z426" s="13"/>
      <c r="AA426" s="13"/>
      <c r="AB426" s="13"/>
      <c r="AC426" s="13"/>
      <c r="AD426" s="13"/>
    </row>
    <row r="427">
      <c r="J427" s="9"/>
      <c r="K427" s="9"/>
      <c r="L427" s="32"/>
      <c r="M427" s="32"/>
      <c r="Z427" s="13"/>
      <c r="AA427" s="13"/>
      <c r="AB427" s="13"/>
      <c r="AC427" s="13"/>
      <c r="AD427" s="13"/>
    </row>
    <row r="428">
      <c r="J428" s="9"/>
      <c r="K428" s="9"/>
      <c r="L428" s="32"/>
      <c r="M428" s="32"/>
      <c r="Z428" s="13"/>
      <c r="AA428" s="13"/>
      <c r="AB428" s="13"/>
      <c r="AC428" s="13"/>
      <c r="AD428" s="13"/>
    </row>
    <row r="429">
      <c r="J429" s="9"/>
      <c r="K429" s="9"/>
      <c r="L429" s="32"/>
      <c r="M429" s="32"/>
      <c r="Z429" s="13"/>
      <c r="AA429" s="13"/>
      <c r="AB429" s="13"/>
      <c r="AC429" s="13"/>
      <c r="AD429" s="13"/>
    </row>
    <row r="430">
      <c r="J430" s="9"/>
      <c r="K430" s="9"/>
      <c r="L430" s="32"/>
      <c r="M430" s="32"/>
      <c r="Z430" s="13"/>
      <c r="AA430" s="13"/>
      <c r="AB430" s="13"/>
      <c r="AC430" s="13"/>
      <c r="AD430" s="13"/>
    </row>
    <row r="431">
      <c r="J431" s="9"/>
      <c r="K431" s="9"/>
      <c r="L431" s="32"/>
      <c r="M431" s="32"/>
      <c r="Z431" s="13"/>
      <c r="AA431" s="13"/>
      <c r="AB431" s="13"/>
      <c r="AC431" s="13"/>
      <c r="AD431" s="13"/>
    </row>
    <row r="432">
      <c r="J432" s="9"/>
      <c r="K432" s="9"/>
      <c r="L432" s="32"/>
      <c r="M432" s="32"/>
      <c r="Z432" s="13"/>
      <c r="AA432" s="13"/>
      <c r="AB432" s="13"/>
      <c r="AC432" s="13"/>
      <c r="AD432" s="13"/>
    </row>
    <row r="433">
      <c r="J433" s="9"/>
      <c r="K433" s="9"/>
      <c r="L433" s="32"/>
      <c r="M433" s="32"/>
      <c r="Z433" s="13"/>
      <c r="AA433" s="13"/>
      <c r="AB433" s="13"/>
      <c r="AC433" s="13"/>
      <c r="AD433" s="13"/>
    </row>
    <row r="434">
      <c r="J434" s="9"/>
      <c r="K434" s="9"/>
      <c r="L434" s="32"/>
      <c r="M434" s="32"/>
      <c r="Z434" s="13"/>
      <c r="AA434" s="13"/>
      <c r="AB434" s="13"/>
      <c r="AC434" s="13"/>
      <c r="AD434" s="13"/>
    </row>
    <row r="435">
      <c r="J435" s="9"/>
      <c r="K435" s="9"/>
      <c r="L435" s="32"/>
      <c r="M435" s="32"/>
      <c r="Z435" s="13"/>
      <c r="AA435" s="13"/>
      <c r="AB435" s="13"/>
      <c r="AC435" s="13"/>
      <c r="AD435" s="13"/>
    </row>
    <row r="436">
      <c r="J436" s="9"/>
      <c r="K436" s="9"/>
      <c r="L436" s="32"/>
      <c r="M436" s="32"/>
      <c r="Z436" s="13"/>
      <c r="AA436" s="13"/>
      <c r="AB436" s="13"/>
      <c r="AC436" s="13"/>
      <c r="AD436" s="13"/>
    </row>
    <row r="437">
      <c r="J437" s="9"/>
      <c r="K437" s="9"/>
      <c r="L437" s="32"/>
      <c r="M437" s="32"/>
      <c r="Z437" s="13"/>
      <c r="AA437" s="13"/>
      <c r="AB437" s="13"/>
      <c r="AC437" s="13"/>
      <c r="AD437" s="13"/>
    </row>
    <row r="438">
      <c r="J438" s="9"/>
      <c r="K438" s="9"/>
      <c r="L438" s="32"/>
      <c r="M438" s="32"/>
      <c r="Z438" s="13"/>
      <c r="AA438" s="13"/>
      <c r="AB438" s="13"/>
      <c r="AC438" s="13"/>
      <c r="AD438" s="13"/>
    </row>
    <row r="439">
      <c r="J439" s="9"/>
      <c r="K439" s="9"/>
      <c r="L439" s="32"/>
      <c r="M439" s="32"/>
      <c r="Z439" s="13"/>
      <c r="AA439" s="13"/>
      <c r="AB439" s="13"/>
      <c r="AC439" s="13"/>
      <c r="AD439" s="13"/>
    </row>
    <row r="440">
      <c r="J440" s="9"/>
      <c r="K440" s="9"/>
      <c r="L440" s="32"/>
      <c r="M440" s="32"/>
      <c r="Z440" s="13"/>
      <c r="AA440" s="13"/>
      <c r="AB440" s="13"/>
      <c r="AC440" s="13"/>
      <c r="AD440" s="13"/>
    </row>
    <row r="441">
      <c r="J441" s="9"/>
      <c r="K441" s="9"/>
      <c r="L441" s="32"/>
      <c r="M441" s="32"/>
      <c r="Z441" s="13"/>
      <c r="AA441" s="13"/>
      <c r="AB441" s="13"/>
      <c r="AC441" s="13"/>
      <c r="AD441" s="13"/>
    </row>
    <row r="442">
      <c r="J442" s="9"/>
      <c r="K442" s="9"/>
      <c r="L442" s="32"/>
      <c r="M442" s="32"/>
      <c r="Z442" s="13"/>
      <c r="AA442" s="13"/>
      <c r="AB442" s="13"/>
      <c r="AC442" s="13"/>
      <c r="AD442" s="13"/>
    </row>
    <row r="443">
      <c r="J443" s="9"/>
      <c r="K443" s="9"/>
      <c r="L443" s="32"/>
      <c r="M443" s="32"/>
      <c r="Z443" s="13"/>
      <c r="AA443" s="13"/>
      <c r="AB443" s="13"/>
      <c r="AC443" s="13"/>
      <c r="AD443" s="13"/>
    </row>
    <row r="444">
      <c r="J444" s="9"/>
      <c r="K444" s="9"/>
      <c r="L444" s="32"/>
      <c r="M444" s="32"/>
      <c r="Z444" s="13"/>
      <c r="AA444" s="13"/>
      <c r="AB444" s="13"/>
      <c r="AC444" s="13"/>
      <c r="AD444" s="13"/>
    </row>
    <row r="445">
      <c r="J445" s="9"/>
      <c r="K445" s="9"/>
      <c r="L445" s="32"/>
      <c r="M445" s="32"/>
      <c r="Z445" s="13"/>
      <c r="AA445" s="13"/>
      <c r="AB445" s="13"/>
      <c r="AC445" s="13"/>
      <c r="AD445" s="13"/>
    </row>
    <row r="446">
      <c r="J446" s="9"/>
      <c r="K446" s="9"/>
      <c r="L446" s="32"/>
      <c r="M446" s="32"/>
      <c r="Z446" s="13"/>
      <c r="AA446" s="13"/>
      <c r="AB446" s="13"/>
      <c r="AC446" s="13"/>
      <c r="AD446" s="13"/>
    </row>
    <row r="447">
      <c r="J447" s="9"/>
      <c r="K447" s="9"/>
      <c r="L447" s="32"/>
      <c r="M447" s="32"/>
      <c r="Z447" s="13"/>
      <c r="AA447" s="13"/>
      <c r="AB447" s="13"/>
      <c r="AC447" s="13"/>
      <c r="AD447" s="13"/>
    </row>
    <row r="448">
      <c r="J448" s="9"/>
      <c r="K448" s="9"/>
      <c r="L448" s="32"/>
      <c r="M448" s="32"/>
      <c r="Z448" s="13"/>
      <c r="AA448" s="13"/>
      <c r="AB448" s="13"/>
      <c r="AC448" s="13"/>
      <c r="AD448" s="13"/>
    </row>
    <row r="449">
      <c r="J449" s="9"/>
      <c r="K449" s="9"/>
      <c r="L449" s="32"/>
      <c r="M449" s="32"/>
      <c r="Z449" s="13"/>
      <c r="AA449" s="13"/>
      <c r="AB449" s="13"/>
      <c r="AC449" s="13"/>
      <c r="AD449" s="13"/>
    </row>
    <row r="450">
      <c r="J450" s="9"/>
      <c r="K450" s="9"/>
      <c r="L450" s="32"/>
      <c r="M450" s="32"/>
      <c r="Z450" s="13"/>
      <c r="AA450" s="13"/>
      <c r="AB450" s="13"/>
      <c r="AC450" s="13"/>
      <c r="AD450" s="13"/>
    </row>
    <row r="451">
      <c r="J451" s="9"/>
      <c r="K451" s="9"/>
      <c r="L451" s="32"/>
      <c r="M451" s="32"/>
      <c r="Z451" s="13"/>
      <c r="AA451" s="13"/>
      <c r="AB451" s="13"/>
      <c r="AC451" s="13"/>
      <c r="AD451" s="13"/>
    </row>
    <row r="452">
      <c r="J452" s="9"/>
      <c r="K452" s="9"/>
      <c r="L452" s="32"/>
      <c r="M452" s="32"/>
      <c r="Z452" s="13"/>
      <c r="AA452" s="13"/>
      <c r="AB452" s="13"/>
      <c r="AC452" s="13"/>
      <c r="AD452" s="13"/>
    </row>
    <row r="453">
      <c r="J453" s="9"/>
      <c r="K453" s="9"/>
      <c r="L453" s="32"/>
      <c r="M453" s="32"/>
      <c r="Z453" s="13"/>
      <c r="AA453" s="13"/>
      <c r="AB453" s="13"/>
      <c r="AC453" s="13"/>
      <c r="AD453" s="13"/>
    </row>
    <row r="454">
      <c r="J454" s="9"/>
      <c r="K454" s="9"/>
      <c r="L454" s="32"/>
      <c r="M454" s="32"/>
      <c r="Z454" s="13"/>
      <c r="AA454" s="13"/>
      <c r="AB454" s="13"/>
      <c r="AC454" s="13"/>
      <c r="AD454" s="13"/>
    </row>
    <row r="455">
      <c r="J455" s="9"/>
      <c r="K455" s="9"/>
      <c r="L455" s="32"/>
      <c r="M455" s="32"/>
      <c r="Z455" s="13"/>
      <c r="AA455" s="13"/>
      <c r="AB455" s="13"/>
      <c r="AC455" s="13"/>
      <c r="AD455" s="13"/>
    </row>
    <row r="456">
      <c r="J456" s="9"/>
      <c r="K456" s="9"/>
      <c r="L456" s="32"/>
      <c r="M456" s="32"/>
      <c r="Z456" s="13"/>
      <c r="AA456" s="13"/>
      <c r="AB456" s="13"/>
      <c r="AC456" s="13"/>
      <c r="AD456" s="13"/>
    </row>
    <row r="457">
      <c r="J457" s="9"/>
      <c r="K457" s="9"/>
      <c r="L457" s="32"/>
      <c r="M457" s="32"/>
      <c r="Z457" s="13"/>
      <c r="AA457" s="13"/>
      <c r="AB457" s="13"/>
      <c r="AC457" s="13"/>
      <c r="AD457" s="13"/>
    </row>
    <row r="458">
      <c r="J458" s="9"/>
      <c r="K458" s="9"/>
      <c r="L458" s="32"/>
      <c r="M458" s="32"/>
      <c r="Z458" s="13"/>
      <c r="AA458" s="13"/>
      <c r="AB458" s="13"/>
      <c r="AC458" s="13"/>
      <c r="AD458" s="13"/>
    </row>
    <row r="459">
      <c r="J459" s="9"/>
      <c r="K459" s="9"/>
      <c r="L459" s="32"/>
      <c r="M459" s="32"/>
      <c r="Z459" s="13"/>
      <c r="AA459" s="13"/>
      <c r="AB459" s="13"/>
      <c r="AC459" s="13"/>
      <c r="AD459" s="13"/>
    </row>
    <row r="460">
      <c r="J460" s="9"/>
      <c r="K460" s="9"/>
      <c r="L460" s="32"/>
      <c r="M460" s="32"/>
      <c r="Z460" s="13"/>
      <c r="AA460" s="13"/>
      <c r="AB460" s="13"/>
      <c r="AC460" s="13"/>
      <c r="AD460" s="13"/>
    </row>
    <row r="461">
      <c r="J461" s="9"/>
      <c r="K461" s="9"/>
      <c r="L461" s="32"/>
      <c r="M461" s="32"/>
      <c r="Z461" s="13"/>
      <c r="AA461" s="13"/>
      <c r="AB461" s="13"/>
      <c r="AC461" s="13"/>
      <c r="AD461" s="13"/>
    </row>
    <row r="462">
      <c r="J462" s="9"/>
      <c r="K462" s="9"/>
      <c r="L462" s="32"/>
      <c r="M462" s="32"/>
      <c r="Z462" s="13"/>
      <c r="AA462" s="13"/>
      <c r="AB462" s="13"/>
      <c r="AC462" s="13"/>
      <c r="AD462" s="13"/>
    </row>
    <row r="463">
      <c r="J463" s="9"/>
      <c r="K463" s="9"/>
      <c r="L463" s="32"/>
      <c r="M463" s="32"/>
      <c r="Z463" s="13"/>
      <c r="AA463" s="13"/>
      <c r="AB463" s="13"/>
      <c r="AC463" s="13"/>
      <c r="AD463" s="13"/>
    </row>
    <row r="464">
      <c r="J464" s="9"/>
      <c r="K464" s="9"/>
      <c r="L464" s="32"/>
      <c r="M464" s="32"/>
      <c r="Z464" s="13"/>
      <c r="AA464" s="13"/>
      <c r="AB464" s="13"/>
      <c r="AC464" s="13"/>
      <c r="AD464" s="13"/>
    </row>
    <row r="465">
      <c r="J465" s="9"/>
      <c r="K465" s="9"/>
      <c r="L465" s="32"/>
      <c r="M465" s="32"/>
      <c r="Z465" s="13"/>
      <c r="AA465" s="13"/>
      <c r="AB465" s="13"/>
      <c r="AC465" s="13"/>
      <c r="AD465" s="13"/>
    </row>
    <row r="466">
      <c r="J466" s="9"/>
      <c r="K466" s="9"/>
      <c r="L466" s="32"/>
      <c r="M466" s="32"/>
      <c r="Z466" s="13"/>
      <c r="AA466" s="13"/>
      <c r="AB466" s="13"/>
      <c r="AC466" s="13"/>
      <c r="AD466" s="13"/>
    </row>
    <row r="467">
      <c r="J467" s="9"/>
      <c r="K467" s="9"/>
      <c r="L467" s="32"/>
      <c r="M467" s="32"/>
      <c r="Z467" s="13"/>
      <c r="AA467" s="13"/>
      <c r="AB467" s="13"/>
      <c r="AC467" s="13"/>
      <c r="AD467" s="13"/>
    </row>
    <row r="468">
      <c r="J468" s="9"/>
      <c r="K468" s="9"/>
      <c r="L468" s="32"/>
      <c r="M468" s="32"/>
      <c r="Z468" s="13"/>
      <c r="AA468" s="13"/>
      <c r="AB468" s="13"/>
      <c r="AC468" s="13"/>
      <c r="AD468" s="13"/>
    </row>
    <row r="469">
      <c r="J469" s="9"/>
      <c r="K469" s="9"/>
      <c r="L469" s="32"/>
      <c r="M469" s="32"/>
      <c r="Z469" s="13"/>
      <c r="AA469" s="13"/>
      <c r="AB469" s="13"/>
      <c r="AC469" s="13"/>
      <c r="AD469" s="13"/>
    </row>
    <row r="470">
      <c r="J470" s="9"/>
      <c r="K470" s="9"/>
      <c r="L470" s="32"/>
      <c r="M470" s="32"/>
      <c r="Z470" s="13"/>
      <c r="AA470" s="13"/>
      <c r="AB470" s="13"/>
      <c r="AC470" s="13"/>
      <c r="AD470" s="13"/>
    </row>
    <row r="471">
      <c r="J471" s="9"/>
      <c r="K471" s="9"/>
      <c r="L471" s="32"/>
      <c r="M471" s="32"/>
      <c r="Z471" s="13"/>
      <c r="AA471" s="13"/>
      <c r="AB471" s="13"/>
      <c r="AC471" s="13"/>
      <c r="AD471" s="13"/>
    </row>
    <row r="472">
      <c r="J472" s="9"/>
      <c r="K472" s="9"/>
      <c r="L472" s="32"/>
      <c r="M472" s="32"/>
      <c r="Z472" s="13"/>
      <c r="AA472" s="13"/>
      <c r="AB472" s="13"/>
      <c r="AC472" s="13"/>
      <c r="AD472" s="13"/>
    </row>
    <row r="473">
      <c r="J473" s="9"/>
      <c r="K473" s="9"/>
      <c r="L473" s="32"/>
      <c r="M473" s="32"/>
      <c r="Z473" s="13"/>
      <c r="AA473" s="13"/>
      <c r="AB473" s="13"/>
      <c r="AC473" s="13"/>
      <c r="AD473" s="13"/>
    </row>
    <row r="474">
      <c r="J474" s="9"/>
      <c r="K474" s="9"/>
      <c r="L474" s="32"/>
      <c r="M474" s="32"/>
      <c r="Z474" s="13"/>
      <c r="AA474" s="13"/>
      <c r="AB474" s="13"/>
      <c r="AC474" s="13"/>
      <c r="AD474" s="13"/>
    </row>
    <row r="475">
      <c r="J475" s="9"/>
      <c r="K475" s="9"/>
      <c r="L475" s="32"/>
      <c r="M475" s="32"/>
      <c r="Z475" s="13"/>
      <c r="AA475" s="13"/>
      <c r="AB475" s="13"/>
      <c r="AC475" s="13"/>
      <c r="AD475" s="13"/>
    </row>
    <row r="476">
      <c r="J476" s="9"/>
      <c r="K476" s="9"/>
      <c r="L476" s="32"/>
      <c r="M476" s="32"/>
      <c r="Z476" s="13"/>
      <c r="AA476" s="13"/>
      <c r="AB476" s="13"/>
      <c r="AC476" s="13"/>
      <c r="AD476" s="13"/>
    </row>
    <row r="477">
      <c r="J477" s="9"/>
      <c r="K477" s="9"/>
      <c r="L477" s="32"/>
      <c r="M477" s="32"/>
      <c r="Z477" s="13"/>
      <c r="AA477" s="13"/>
      <c r="AB477" s="13"/>
      <c r="AC477" s="13"/>
      <c r="AD477" s="13"/>
    </row>
    <row r="478">
      <c r="J478" s="9"/>
      <c r="K478" s="9"/>
      <c r="L478" s="32"/>
      <c r="M478" s="32"/>
      <c r="Z478" s="13"/>
      <c r="AA478" s="13"/>
      <c r="AB478" s="13"/>
      <c r="AC478" s="13"/>
      <c r="AD478" s="13"/>
    </row>
    <row r="479">
      <c r="J479" s="9"/>
      <c r="K479" s="9"/>
      <c r="L479" s="32"/>
      <c r="M479" s="32"/>
      <c r="Z479" s="13"/>
      <c r="AA479" s="13"/>
      <c r="AB479" s="13"/>
      <c r="AC479" s="13"/>
      <c r="AD479" s="13"/>
    </row>
    <row r="480">
      <c r="J480" s="9"/>
      <c r="K480" s="9"/>
      <c r="L480" s="32"/>
      <c r="M480" s="32"/>
      <c r="Z480" s="13"/>
      <c r="AA480" s="13"/>
      <c r="AB480" s="13"/>
      <c r="AC480" s="13"/>
      <c r="AD480" s="13"/>
    </row>
    <row r="481">
      <c r="J481" s="9"/>
      <c r="K481" s="9"/>
      <c r="L481" s="32"/>
      <c r="M481" s="32"/>
      <c r="Z481" s="13"/>
      <c r="AA481" s="13"/>
      <c r="AB481" s="13"/>
      <c r="AC481" s="13"/>
      <c r="AD481" s="13"/>
    </row>
    <row r="482">
      <c r="J482" s="9"/>
      <c r="K482" s="9"/>
      <c r="L482" s="32"/>
      <c r="M482" s="32"/>
      <c r="Z482" s="13"/>
      <c r="AA482" s="13"/>
      <c r="AB482" s="13"/>
      <c r="AC482" s="13"/>
      <c r="AD482" s="13"/>
    </row>
    <row r="483">
      <c r="J483" s="9"/>
      <c r="K483" s="9"/>
      <c r="L483" s="32"/>
      <c r="M483" s="32"/>
      <c r="Z483" s="13"/>
      <c r="AA483" s="13"/>
      <c r="AB483" s="13"/>
      <c r="AC483" s="13"/>
      <c r="AD483" s="13"/>
    </row>
    <row r="484">
      <c r="J484" s="9"/>
      <c r="K484" s="9"/>
      <c r="L484" s="32"/>
      <c r="M484" s="32"/>
      <c r="Z484" s="13"/>
      <c r="AA484" s="13"/>
      <c r="AB484" s="13"/>
      <c r="AC484" s="13"/>
      <c r="AD484" s="13"/>
    </row>
    <row r="485">
      <c r="J485" s="9"/>
      <c r="K485" s="9"/>
      <c r="L485" s="32"/>
      <c r="M485" s="32"/>
      <c r="Z485" s="13"/>
      <c r="AA485" s="13"/>
      <c r="AB485" s="13"/>
      <c r="AC485" s="13"/>
      <c r="AD485" s="13"/>
    </row>
    <row r="486">
      <c r="J486" s="9"/>
      <c r="K486" s="9"/>
      <c r="L486" s="32"/>
      <c r="M486" s="32"/>
      <c r="Z486" s="13"/>
      <c r="AA486" s="13"/>
      <c r="AB486" s="13"/>
      <c r="AC486" s="13"/>
      <c r="AD486" s="13"/>
    </row>
    <row r="487">
      <c r="J487" s="9"/>
      <c r="K487" s="9"/>
      <c r="L487" s="32"/>
      <c r="M487" s="32"/>
      <c r="Z487" s="13"/>
      <c r="AA487" s="13"/>
      <c r="AB487" s="13"/>
      <c r="AC487" s="13"/>
      <c r="AD487" s="13"/>
    </row>
    <row r="488">
      <c r="J488" s="9"/>
      <c r="K488" s="9"/>
      <c r="L488" s="32"/>
      <c r="M488" s="32"/>
      <c r="Z488" s="13"/>
      <c r="AA488" s="13"/>
      <c r="AB488" s="13"/>
      <c r="AC488" s="13"/>
      <c r="AD488" s="13"/>
    </row>
    <row r="489">
      <c r="J489" s="9"/>
      <c r="K489" s="9"/>
      <c r="L489" s="32"/>
      <c r="M489" s="32"/>
      <c r="Z489" s="13"/>
      <c r="AA489" s="13"/>
      <c r="AB489" s="13"/>
      <c r="AC489" s="13"/>
      <c r="AD489" s="13"/>
    </row>
    <row r="490">
      <c r="J490" s="9"/>
      <c r="K490" s="9"/>
      <c r="L490" s="32"/>
      <c r="M490" s="32"/>
      <c r="Z490" s="13"/>
      <c r="AA490" s="13"/>
      <c r="AB490" s="13"/>
      <c r="AC490" s="13"/>
      <c r="AD490" s="13"/>
    </row>
    <row r="491">
      <c r="J491" s="9"/>
      <c r="K491" s="9"/>
      <c r="L491" s="32"/>
      <c r="M491" s="32"/>
      <c r="Z491" s="13"/>
      <c r="AA491" s="13"/>
      <c r="AB491" s="13"/>
      <c r="AC491" s="13"/>
      <c r="AD491" s="13"/>
    </row>
    <row r="492">
      <c r="J492" s="9"/>
      <c r="K492" s="9"/>
      <c r="L492" s="32"/>
      <c r="M492" s="32"/>
      <c r="Z492" s="13"/>
      <c r="AA492" s="13"/>
      <c r="AB492" s="13"/>
      <c r="AC492" s="13"/>
      <c r="AD492" s="13"/>
    </row>
    <row r="493">
      <c r="J493" s="9"/>
      <c r="K493" s="9"/>
      <c r="L493" s="32"/>
      <c r="M493" s="32"/>
      <c r="Z493" s="13"/>
      <c r="AA493" s="13"/>
      <c r="AB493" s="13"/>
      <c r="AC493" s="13"/>
      <c r="AD493" s="13"/>
    </row>
    <row r="494">
      <c r="J494" s="9"/>
      <c r="K494" s="9"/>
      <c r="L494" s="32"/>
      <c r="M494" s="32"/>
      <c r="Z494" s="13"/>
      <c r="AA494" s="13"/>
      <c r="AB494" s="13"/>
      <c r="AC494" s="13"/>
      <c r="AD494" s="13"/>
    </row>
    <row r="495">
      <c r="J495" s="9"/>
      <c r="K495" s="9"/>
      <c r="L495" s="32"/>
      <c r="M495" s="32"/>
      <c r="Z495" s="13"/>
      <c r="AA495" s="13"/>
      <c r="AB495" s="13"/>
      <c r="AC495" s="13"/>
      <c r="AD495" s="13"/>
    </row>
    <row r="496">
      <c r="J496" s="9"/>
      <c r="K496" s="9"/>
      <c r="L496" s="32"/>
      <c r="M496" s="32"/>
      <c r="Z496" s="13"/>
      <c r="AA496" s="13"/>
      <c r="AB496" s="13"/>
      <c r="AC496" s="13"/>
      <c r="AD496" s="13"/>
    </row>
    <row r="497">
      <c r="J497" s="9"/>
      <c r="K497" s="9"/>
      <c r="L497" s="32"/>
      <c r="M497" s="32"/>
      <c r="Z497" s="13"/>
      <c r="AA497" s="13"/>
      <c r="AB497" s="13"/>
      <c r="AC497" s="13"/>
      <c r="AD497" s="13"/>
    </row>
    <row r="498">
      <c r="J498" s="9"/>
      <c r="K498" s="9"/>
      <c r="L498" s="32"/>
      <c r="M498" s="32"/>
      <c r="Z498" s="13"/>
      <c r="AA498" s="13"/>
      <c r="AB498" s="13"/>
      <c r="AC498" s="13"/>
      <c r="AD498" s="13"/>
    </row>
    <row r="499">
      <c r="J499" s="9"/>
      <c r="K499" s="9"/>
      <c r="L499" s="32"/>
      <c r="M499" s="32"/>
      <c r="Z499" s="13"/>
      <c r="AA499" s="13"/>
      <c r="AB499" s="13"/>
      <c r="AC499" s="13"/>
      <c r="AD499" s="13"/>
    </row>
    <row r="500">
      <c r="J500" s="9"/>
      <c r="K500" s="9"/>
      <c r="L500" s="32"/>
      <c r="M500" s="32"/>
      <c r="Z500" s="13"/>
      <c r="AA500" s="13"/>
      <c r="AB500" s="13"/>
      <c r="AC500" s="13"/>
      <c r="AD500" s="13"/>
    </row>
    <row r="501">
      <c r="J501" s="9"/>
      <c r="K501" s="9"/>
      <c r="L501" s="32"/>
      <c r="M501" s="32"/>
      <c r="Z501" s="13"/>
      <c r="AA501" s="13"/>
      <c r="AB501" s="13"/>
      <c r="AC501" s="13"/>
      <c r="AD501" s="13"/>
    </row>
    <row r="502">
      <c r="J502" s="9"/>
      <c r="K502" s="9"/>
      <c r="L502" s="32"/>
      <c r="M502" s="32"/>
      <c r="Z502" s="13"/>
      <c r="AA502" s="13"/>
      <c r="AB502" s="13"/>
      <c r="AC502" s="13"/>
      <c r="AD502" s="13"/>
    </row>
    <row r="503">
      <c r="J503" s="9"/>
      <c r="K503" s="9"/>
      <c r="L503" s="32"/>
      <c r="M503" s="32"/>
      <c r="Z503" s="13"/>
      <c r="AA503" s="13"/>
      <c r="AB503" s="13"/>
      <c r="AC503" s="13"/>
      <c r="AD503" s="13"/>
    </row>
    <row r="504">
      <c r="J504" s="9"/>
      <c r="K504" s="9"/>
      <c r="L504" s="32"/>
      <c r="M504" s="32"/>
      <c r="Z504" s="13"/>
      <c r="AA504" s="13"/>
      <c r="AB504" s="13"/>
      <c r="AC504" s="13"/>
      <c r="AD504" s="13"/>
    </row>
    <row r="505">
      <c r="J505" s="9"/>
      <c r="K505" s="9"/>
      <c r="L505" s="32"/>
      <c r="M505" s="32"/>
      <c r="Z505" s="13"/>
      <c r="AA505" s="13"/>
      <c r="AB505" s="13"/>
      <c r="AC505" s="13"/>
      <c r="AD505" s="13"/>
    </row>
    <row r="506">
      <c r="J506" s="9"/>
      <c r="K506" s="9"/>
      <c r="L506" s="32"/>
      <c r="M506" s="32"/>
      <c r="Z506" s="13"/>
      <c r="AA506" s="13"/>
      <c r="AB506" s="13"/>
      <c r="AC506" s="13"/>
      <c r="AD506" s="13"/>
    </row>
    <row r="507">
      <c r="J507" s="9"/>
      <c r="K507" s="9"/>
      <c r="L507" s="32"/>
      <c r="M507" s="32"/>
      <c r="Z507" s="13"/>
      <c r="AA507" s="13"/>
      <c r="AB507" s="13"/>
      <c r="AC507" s="13"/>
      <c r="AD507" s="13"/>
    </row>
    <row r="508">
      <c r="J508" s="9"/>
      <c r="K508" s="9"/>
      <c r="L508" s="32"/>
      <c r="M508" s="32"/>
      <c r="Z508" s="13"/>
      <c r="AA508" s="13"/>
      <c r="AB508" s="13"/>
      <c r="AC508" s="13"/>
      <c r="AD508" s="13"/>
    </row>
    <row r="509">
      <c r="J509" s="9"/>
      <c r="K509" s="9"/>
      <c r="L509" s="32"/>
      <c r="M509" s="32"/>
      <c r="Z509" s="13"/>
      <c r="AA509" s="13"/>
      <c r="AB509" s="13"/>
      <c r="AC509" s="13"/>
      <c r="AD509" s="13"/>
    </row>
    <row r="510">
      <c r="J510" s="9"/>
      <c r="K510" s="9"/>
      <c r="L510" s="32"/>
      <c r="M510" s="32"/>
      <c r="Z510" s="13"/>
      <c r="AA510" s="13"/>
      <c r="AB510" s="13"/>
      <c r="AC510" s="13"/>
      <c r="AD510" s="13"/>
    </row>
    <row r="511">
      <c r="J511" s="9"/>
      <c r="K511" s="9"/>
      <c r="L511" s="32"/>
      <c r="M511" s="32"/>
      <c r="Z511" s="13"/>
      <c r="AA511" s="13"/>
      <c r="AB511" s="13"/>
      <c r="AC511" s="13"/>
      <c r="AD511" s="13"/>
    </row>
    <row r="512">
      <c r="J512" s="9"/>
      <c r="K512" s="9"/>
      <c r="L512" s="32"/>
      <c r="M512" s="32"/>
      <c r="Z512" s="13"/>
      <c r="AA512" s="13"/>
      <c r="AB512" s="13"/>
      <c r="AC512" s="13"/>
      <c r="AD512" s="13"/>
    </row>
    <row r="513">
      <c r="J513" s="9"/>
      <c r="K513" s="9"/>
      <c r="L513" s="32"/>
      <c r="M513" s="32"/>
      <c r="Z513" s="13"/>
      <c r="AA513" s="13"/>
      <c r="AB513" s="13"/>
      <c r="AC513" s="13"/>
      <c r="AD513" s="13"/>
    </row>
    <row r="514">
      <c r="J514" s="9"/>
      <c r="K514" s="9"/>
      <c r="L514" s="32"/>
      <c r="M514" s="32"/>
      <c r="Z514" s="13"/>
      <c r="AA514" s="13"/>
      <c r="AB514" s="13"/>
      <c r="AC514" s="13"/>
      <c r="AD514" s="13"/>
    </row>
    <row r="515">
      <c r="J515" s="9"/>
      <c r="K515" s="9"/>
      <c r="L515" s="32"/>
      <c r="M515" s="32"/>
      <c r="Z515" s="13"/>
      <c r="AA515" s="13"/>
      <c r="AB515" s="13"/>
      <c r="AC515" s="13"/>
      <c r="AD515" s="13"/>
    </row>
    <row r="516">
      <c r="J516" s="9"/>
      <c r="K516" s="9"/>
      <c r="L516" s="32"/>
      <c r="M516" s="32"/>
      <c r="Z516" s="13"/>
      <c r="AA516" s="13"/>
      <c r="AB516" s="13"/>
      <c r="AC516" s="13"/>
      <c r="AD516" s="13"/>
    </row>
    <row r="517">
      <c r="J517" s="9"/>
      <c r="K517" s="9"/>
      <c r="L517" s="32"/>
      <c r="M517" s="32"/>
      <c r="Z517" s="13"/>
      <c r="AA517" s="13"/>
      <c r="AB517" s="13"/>
      <c r="AC517" s="13"/>
      <c r="AD517" s="13"/>
    </row>
    <row r="518">
      <c r="J518" s="9"/>
      <c r="K518" s="9"/>
      <c r="L518" s="32"/>
      <c r="M518" s="32"/>
      <c r="Z518" s="13"/>
      <c r="AA518" s="13"/>
      <c r="AB518" s="13"/>
      <c r="AC518" s="13"/>
      <c r="AD518" s="13"/>
    </row>
    <row r="519">
      <c r="J519" s="9"/>
      <c r="K519" s="9"/>
      <c r="L519" s="32"/>
      <c r="M519" s="32"/>
      <c r="Z519" s="13"/>
      <c r="AA519" s="13"/>
      <c r="AB519" s="13"/>
      <c r="AC519" s="13"/>
      <c r="AD519" s="13"/>
    </row>
    <row r="520">
      <c r="J520" s="9"/>
      <c r="K520" s="9"/>
      <c r="L520" s="32"/>
      <c r="M520" s="32"/>
      <c r="Z520" s="13"/>
      <c r="AA520" s="13"/>
      <c r="AB520" s="13"/>
      <c r="AC520" s="13"/>
      <c r="AD520" s="13"/>
    </row>
    <row r="521">
      <c r="J521" s="9"/>
      <c r="K521" s="9"/>
      <c r="L521" s="32"/>
      <c r="M521" s="32"/>
      <c r="Z521" s="13"/>
      <c r="AA521" s="13"/>
      <c r="AB521" s="13"/>
      <c r="AC521" s="13"/>
      <c r="AD521" s="13"/>
    </row>
    <row r="522">
      <c r="J522" s="9"/>
      <c r="K522" s="9"/>
      <c r="L522" s="32"/>
      <c r="M522" s="32"/>
      <c r="Z522" s="13"/>
      <c r="AA522" s="13"/>
      <c r="AB522" s="13"/>
      <c r="AC522" s="13"/>
      <c r="AD522" s="13"/>
    </row>
    <row r="523">
      <c r="J523" s="9"/>
      <c r="K523" s="9"/>
      <c r="L523" s="32"/>
      <c r="M523" s="32"/>
      <c r="Z523" s="13"/>
      <c r="AA523" s="13"/>
      <c r="AB523" s="13"/>
      <c r="AC523" s="13"/>
      <c r="AD523" s="13"/>
    </row>
    <row r="524">
      <c r="J524" s="9"/>
      <c r="K524" s="9"/>
      <c r="L524" s="32"/>
      <c r="M524" s="32"/>
      <c r="Z524" s="13"/>
      <c r="AA524" s="13"/>
      <c r="AB524" s="13"/>
      <c r="AC524" s="13"/>
      <c r="AD524" s="13"/>
    </row>
    <row r="525">
      <c r="J525" s="9"/>
      <c r="K525" s="9"/>
      <c r="L525" s="32"/>
      <c r="M525" s="32"/>
      <c r="Z525" s="13"/>
      <c r="AA525" s="13"/>
      <c r="AB525" s="13"/>
      <c r="AC525" s="13"/>
      <c r="AD525" s="13"/>
    </row>
    <row r="526">
      <c r="J526" s="9"/>
      <c r="K526" s="9"/>
      <c r="L526" s="32"/>
      <c r="M526" s="32"/>
      <c r="Z526" s="13"/>
      <c r="AA526" s="13"/>
      <c r="AB526" s="13"/>
      <c r="AC526" s="13"/>
      <c r="AD526" s="13"/>
    </row>
    <row r="527">
      <c r="J527" s="9"/>
      <c r="K527" s="9"/>
      <c r="L527" s="32"/>
      <c r="M527" s="32"/>
      <c r="Z527" s="13"/>
      <c r="AA527" s="13"/>
      <c r="AB527" s="13"/>
      <c r="AC527" s="13"/>
      <c r="AD527" s="13"/>
    </row>
    <row r="528">
      <c r="J528" s="9"/>
      <c r="K528" s="9"/>
      <c r="L528" s="32"/>
      <c r="M528" s="32"/>
      <c r="Z528" s="13"/>
      <c r="AA528" s="13"/>
      <c r="AB528" s="13"/>
      <c r="AC528" s="13"/>
      <c r="AD528" s="13"/>
    </row>
    <row r="529">
      <c r="J529" s="9"/>
      <c r="K529" s="9"/>
      <c r="L529" s="32"/>
      <c r="M529" s="32"/>
      <c r="Z529" s="13"/>
      <c r="AA529" s="13"/>
      <c r="AB529" s="13"/>
      <c r="AC529" s="13"/>
      <c r="AD529" s="13"/>
    </row>
    <row r="530">
      <c r="J530" s="9"/>
      <c r="K530" s="9"/>
      <c r="L530" s="32"/>
      <c r="M530" s="32"/>
      <c r="Z530" s="13"/>
      <c r="AA530" s="13"/>
      <c r="AB530" s="13"/>
      <c r="AC530" s="13"/>
      <c r="AD530" s="13"/>
    </row>
    <row r="531">
      <c r="J531" s="9"/>
      <c r="K531" s="9"/>
      <c r="L531" s="32"/>
      <c r="M531" s="32"/>
      <c r="Z531" s="13"/>
      <c r="AA531" s="13"/>
      <c r="AB531" s="13"/>
      <c r="AC531" s="13"/>
      <c r="AD531" s="13"/>
    </row>
    <row r="532">
      <c r="J532" s="9"/>
      <c r="K532" s="9"/>
      <c r="L532" s="32"/>
      <c r="M532" s="32"/>
      <c r="Z532" s="13"/>
      <c r="AA532" s="13"/>
      <c r="AB532" s="13"/>
      <c r="AC532" s="13"/>
      <c r="AD532" s="13"/>
    </row>
    <row r="533">
      <c r="J533" s="9"/>
      <c r="K533" s="9"/>
      <c r="L533" s="32"/>
      <c r="M533" s="32"/>
      <c r="Z533" s="13"/>
      <c r="AA533" s="13"/>
      <c r="AB533" s="13"/>
      <c r="AC533" s="13"/>
      <c r="AD533" s="13"/>
    </row>
    <row r="534">
      <c r="J534" s="9"/>
      <c r="K534" s="9"/>
      <c r="L534" s="32"/>
      <c r="M534" s="32"/>
      <c r="Z534" s="13"/>
      <c r="AA534" s="13"/>
      <c r="AB534" s="13"/>
      <c r="AC534" s="13"/>
      <c r="AD534" s="13"/>
    </row>
    <row r="535">
      <c r="J535" s="9"/>
      <c r="K535" s="9"/>
      <c r="L535" s="32"/>
      <c r="M535" s="32"/>
      <c r="Z535" s="13"/>
      <c r="AA535" s="13"/>
      <c r="AB535" s="13"/>
      <c r="AC535" s="13"/>
      <c r="AD535" s="13"/>
    </row>
    <row r="536">
      <c r="J536" s="9"/>
      <c r="K536" s="9"/>
      <c r="L536" s="32"/>
      <c r="M536" s="32"/>
      <c r="Z536" s="13"/>
      <c r="AA536" s="13"/>
      <c r="AB536" s="13"/>
      <c r="AC536" s="13"/>
      <c r="AD536" s="13"/>
    </row>
    <row r="537">
      <c r="J537" s="9"/>
      <c r="K537" s="9"/>
      <c r="L537" s="32"/>
      <c r="M537" s="32"/>
      <c r="Z537" s="13"/>
      <c r="AA537" s="13"/>
      <c r="AB537" s="13"/>
      <c r="AC537" s="13"/>
      <c r="AD537" s="13"/>
    </row>
    <row r="538">
      <c r="J538" s="9"/>
      <c r="K538" s="9"/>
      <c r="L538" s="32"/>
      <c r="M538" s="32"/>
      <c r="Z538" s="13"/>
      <c r="AA538" s="13"/>
      <c r="AB538" s="13"/>
      <c r="AC538" s="13"/>
      <c r="AD538" s="13"/>
    </row>
    <row r="539">
      <c r="J539" s="9"/>
      <c r="K539" s="9"/>
      <c r="L539" s="32"/>
      <c r="M539" s="32"/>
      <c r="Z539" s="13"/>
      <c r="AA539" s="13"/>
      <c r="AB539" s="13"/>
      <c r="AC539" s="13"/>
      <c r="AD539" s="13"/>
    </row>
    <row r="540">
      <c r="J540" s="9"/>
      <c r="K540" s="9"/>
      <c r="L540" s="32"/>
      <c r="M540" s="32"/>
      <c r="Z540" s="13"/>
      <c r="AA540" s="13"/>
      <c r="AB540" s="13"/>
      <c r="AC540" s="13"/>
      <c r="AD540" s="13"/>
    </row>
    <row r="541">
      <c r="J541" s="9"/>
      <c r="K541" s="9"/>
      <c r="L541" s="32"/>
      <c r="M541" s="32"/>
      <c r="Z541" s="13"/>
      <c r="AA541" s="13"/>
      <c r="AB541" s="13"/>
      <c r="AC541" s="13"/>
      <c r="AD541" s="13"/>
    </row>
    <row r="542">
      <c r="J542" s="9"/>
      <c r="K542" s="9"/>
      <c r="L542" s="32"/>
      <c r="M542" s="32"/>
      <c r="Z542" s="13"/>
      <c r="AA542" s="13"/>
      <c r="AB542" s="13"/>
      <c r="AC542" s="13"/>
      <c r="AD542" s="13"/>
    </row>
    <row r="543">
      <c r="J543" s="9"/>
      <c r="K543" s="9"/>
      <c r="L543" s="32"/>
      <c r="M543" s="32"/>
      <c r="Z543" s="13"/>
      <c r="AA543" s="13"/>
      <c r="AB543" s="13"/>
      <c r="AC543" s="13"/>
      <c r="AD543" s="13"/>
    </row>
    <row r="544">
      <c r="J544" s="9"/>
      <c r="K544" s="9"/>
      <c r="L544" s="32"/>
      <c r="M544" s="32"/>
      <c r="Z544" s="13"/>
      <c r="AA544" s="13"/>
      <c r="AB544" s="13"/>
      <c r="AC544" s="13"/>
      <c r="AD544" s="13"/>
    </row>
    <row r="545">
      <c r="J545" s="9"/>
      <c r="K545" s="9"/>
      <c r="L545" s="32"/>
      <c r="M545" s="32"/>
      <c r="Z545" s="13"/>
      <c r="AA545" s="13"/>
      <c r="AB545" s="13"/>
      <c r="AC545" s="13"/>
      <c r="AD545" s="13"/>
    </row>
    <row r="546">
      <c r="J546" s="9"/>
      <c r="K546" s="9"/>
      <c r="L546" s="32"/>
      <c r="M546" s="32"/>
      <c r="Z546" s="13"/>
      <c r="AA546" s="13"/>
      <c r="AB546" s="13"/>
      <c r="AC546" s="13"/>
      <c r="AD546" s="13"/>
    </row>
    <row r="547">
      <c r="J547" s="9"/>
      <c r="K547" s="9"/>
      <c r="L547" s="32"/>
      <c r="M547" s="32"/>
      <c r="Z547" s="13"/>
      <c r="AA547" s="13"/>
      <c r="AB547" s="13"/>
      <c r="AC547" s="13"/>
      <c r="AD547" s="13"/>
    </row>
    <row r="548">
      <c r="J548" s="9"/>
      <c r="K548" s="9"/>
      <c r="L548" s="32"/>
      <c r="M548" s="32"/>
      <c r="Z548" s="13"/>
      <c r="AA548" s="13"/>
      <c r="AB548" s="13"/>
      <c r="AC548" s="13"/>
      <c r="AD548" s="13"/>
    </row>
    <row r="549">
      <c r="J549" s="9"/>
      <c r="K549" s="9"/>
      <c r="L549" s="32"/>
      <c r="M549" s="32"/>
      <c r="Z549" s="13"/>
      <c r="AA549" s="13"/>
      <c r="AB549" s="13"/>
      <c r="AC549" s="13"/>
      <c r="AD549" s="13"/>
    </row>
    <row r="550">
      <c r="J550" s="9"/>
      <c r="K550" s="9"/>
      <c r="L550" s="32"/>
      <c r="M550" s="32"/>
      <c r="Z550" s="13"/>
      <c r="AA550" s="13"/>
      <c r="AB550" s="13"/>
      <c r="AC550" s="13"/>
      <c r="AD550" s="13"/>
    </row>
    <row r="551">
      <c r="J551" s="9"/>
      <c r="K551" s="9"/>
      <c r="L551" s="32"/>
      <c r="M551" s="32"/>
      <c r="Z551" s="13"/>
      <c r="AA551" s="13"/>
      <c r="AB551" s="13"/>
      <c r="AC551" s="13"/>
      <c r="AD551" s="13"/>
    </row>
    <row r="552">
      <c r="J552" s="9"/>
      <c r="K552" s="9"/>
      <c r="L552" s="32"/>
      <c r="M552" s="32"/>
      <c r="Z552" s="13"/>
      <c r="AA552" s="13"/>
      <c r="AB552" s="13"/>
      <c r="AC552" s="13"/>
      <c r="AD552" s="13"/>
    </row>
    <row r="553">
      <c r="J553" s="9"/>
      <c r="K553" s="9"/>
      <c r="L553" s="32"/>
      <c r="M553" s="32"/>
      <c r="Z553" s="13"/>
      <c r="AA553" s="13"/>
      <c r="AB553" s="13"/>
      <c r="AC553" s="13"/>
      <c r="AD553" s="13"/>
    </row>
    <row r="554">
      <c r="J554" s="9"/>
      <c r="K554" s="9"/>
      <c r="L554" s="32"/>
      <c r="M554" s="32"/>
      <c r="Z554" s="13"/>
      <c r="AA554" s="13"/>
      <c r="AB554" s="13"/>
      <c r="AC554" s="13"/>
      <c r="AD554" s="13"/>
    </row>
    <row r="555">
      <c r="J555" s="9"/>
      <c r="K555" s="9"/>
      <c r="L555" s="32"/>
      <c r="M555" s="32"/>
      <c r="Z555" s="13"/>
      <c r="AA555" s="13"/>
      <c r="AB555" s="13"/>
      <c r="AC555" s="13"/>
      <c r="AD555" s="13"/>
    </row>
    <row r="556">
      <c r="J556" s="9"/>
      <c r="K556" s="9"/>
      <c r="L556" s="32"/>
      <c r="M556" s="32"/>
      <c r="Z556" s="13"/>
      <c r="AA556" s="13"/>
      <c r="AB556" s="13"/>
      <c r="AC556" s="13"/>
      <c r="AD556" s="13"/>
    </row>
    <row r="557">
      <c r="J557" s="9"/>
      <c r="K557" s="9"/>
      <c r="L557" s="32"/>
      <c r="M557" s="32"/>
      <c r="Z557" s="13"/>
      <c r="AA557" s="13"/>
      <c r="AB557" s="13"/>
      <c r="AC557" s="13"/>
      <c r="AD557" s="13"/>
    </row>
    <row r="558">
      <c r="J558" s="9"/>
      <c r="K558" s="9"/>
      <c r="L558" s="32"/>
      <c r="M558" s="32"/>
      <c r="Z558" s="13"/>
      <c r="AA558" s="13"/>
      <c r="AB558" s="13"/>
      <c r="AC558" s="13"/>
      <c r="AD558" s="13"/>
    </row>
    <row r="559">
      <c r="J559" s="9"/>
      <c r="K559" s="9"/>
      <c r="L559" s="32"/>
      <c r="M559" s="32"/>
      <c r="Z559" s="13"/>
      <c r="AA559" s="13"/>
      <c r="AB559" s="13"/>
      <c r="AC559" s="13"/>
      <c r="AD559" s="13"/>
    </row>
    <row r="560">
      <c r="J560" s="9"/>
      <c r="K560" s="9"/>
      <c r="L560" s="32"/>
      <c r="M560" s="32"/>
      <c r="Z560" s="13"/>
      <c r="AA560" s="13"/>
      <c r="AB560" s="13"/>
      <c r="AC560" s="13"/>
      <c r="AD560" s="13"/>
    </row>
    <row r="561">
      <c r="J561" s="9"/>
      <c r="K561" s="9"/>
      <c r="L561" s="32"/>
      <c r="M561" s="32"/>
      <c r="Z561" s="13"/>
      <c r="AA561" s="13"/>
      <c r="AB561" s="13"/>
      <c r="AC561" s="13"/>
      <c r="AD561" s="13"/>
    </row>
    <row r="562">
      <c r="J562" s="9"/>
      <c r="K562" s="9"/>
      <c r="L562" s="32"/>
      <c r="M562" s="32"/>
      <c r="Z562" s="13"/>
      <c r="AA562" s="13"/>
      <c r="AB562" s="13"/>
      <c r="AC562" s="13"/>
      <c r="AD562" s="13"/>
    </row>
    <row r="563">
      <c r="J563" s="9"/>
      <c r="K563" s="9"/>
      <c r="L563" s="32"/>
      <c r="M563" s="32"/>
      <c r="Z563" s="13"/>
      <c r="AA563" s="13"/>
      <c r="AB563" s="13"/>
      <c r="AC563" s="13"/>
      <c r="AD563" s="13"/>
    </row>
    <row r="564">
      <c r="J564" s="9"/>
      <c r="K564" s="9"/>
      <c r="L564" s="32"/>
      <c r="M564" s="32"/>
      <c r="Z564" s="13"/>
      <c r="AA564" s="13"/>
      <c r="AB564" s="13"/>
      <c r="AC564" s="13"/>
      <c r="AD564" s="13"/>
    </row>
    <row r="565">
      <c r="J565" s="9"/>
      <c r="K565" s="9"/>
      <c r="L565" s="32"/>
      <c r="M565" s="32"/>
      <c r="Z565" s="13"/>
      <c r="AA565" s="13"/>
      <c r="AB565" s="13"/>
      <c r="AC565" s="13"/>
      <c r="AD565" s="13"/>
    </row>
    <row r="566">
      <c r="J566" s="9"/>
      <c r="K566" s="9"/>
      <c r="L566" s="32"/>
      <c r="M566" s="32"/>
      <c r="Z566" s="13"/>
      <c r="AA566" s="13"/>
      <c r="AB566" s="13"/>
      <c r="AC566" s="13"/>
      <c r="AD566" s="13"/>
    </row>
    <row r="567">
      <c r="J567" s="9"/>
      <c r="K567" s="9"/>
      <c r="L567" s="32"/>
      <c r="M567" s="32"/>
      <c r="Z567" s="13"/>
      <c r="AA567" s="13"/>
      <c r="AB567" s="13"/>
      <c r="AC567" s="13"/>
      <c r="AD567" s="13"/>
    </row>
    <row r="568">
      <c r="J568" s="9"/>
      <c r="K568" s="9"/>
      <c r="L568" s="32"/>
      <c r="M568" s="32"/>
      <c r="Z568" s="13"/>
      <c r="AA568" s="13"/>
      <c r="AB568" s="13"/>
      <c r="AC568" s="13"/>
      <c r="AD568" s="13"/>
    </row>
    <row r="569">
      <c r="J569" s="9"/>
      <c r="K569" s="9"/>
      <c r="L569" s="32"/>
      <c r="M569" s="32"/>
      <c r="Z569" s="13"/>
      <c r="AA569" s="13"/>
      <c r="AB569" s="13"/>
      <c r="AC569" s="13"/>
      <c r="AD569" s="13"/>
    </row>
    <row r="570">
      <c r="J570" s="9"/>
      <c r="K570" s="9"/>
      <c r="L570" s="32"/>
      <c r="M570" s="32"/>
      <c r="Z570" s="13"/>
      <c r="AA570" s="13"/>
      <c r="AB570" s="13"/>
      <c r="AC570" s="13"/>
      <c r="AD570" s="13"/>
    </row>
    <row r="571">
      <c r="J571" s="9"/>
      <c r="K571" s="9"/>
      <c r="L571" s="32"/>
      <c r="M571" s="32"/>
      <c r="Z571" s="13"/>
      <c r="AA571" s="13"/>
      <c r="AB571" s="13"/>
      <c r="AC571" s="13"/>
      <c r="AD571" s="13"/>
    </row>
    <row r="572">
      <c r="J572" s="9"/>
      <c r="K572" s="9"/>
      <c r="L572" s="32"/>
      <c r="M572" s="32"/>
      <c r="Z572" s="13"/>
      <c r="AA572" s="13"/>
      <c r="AB572" s="13"/>
      <c r="AC572" s="13"/>
      <c r="AD572" s="13"/>
    </row>
    <row r="573">
      <c r="J573" s="9"/>
      <c r="K573" s="9"/>
      <c r="L573" s="32"/>
      <c r="M573" s="32"/>
      <c r="Z573" s="13"/>
      <c r="AA573" s="13"/>
      <c r="AB573" s="13"/>
      <c r="AC573" s="13"/>
      <c r="AD573" s="13"/>
    </row>
    <row r="574">
      <c r="J574" s="9"/>
      <c r="K574" s="9"/>
      <c r="L574" s="32"/>
      <c r="M574" s="32"/>
      <c r="Z574" s="13"/>
      <c r="AA574" s="13"/>
      <c r="AB574" s="13"/>
      <c r="AC574" s="13"/>
      <c r="AD574" s="13"/>
    </row>
    <row r="575">
      <c r="J575" s="9"/>
      <c r="K575" s="9"/>
      <c r="L575" s="32"/>
      <c r="M575" s="32"/>
      <c r="Z575" s="13"/>
      <c r="AA575" s="13"/>
      <c r="AB575" s="13"/>
      <c r="AC575" s="13"/>
      <c r="AD575" s="13"/>
    </row>
    <row r="576">
      <c r="J576" s="9"/>
      <c r="K576" s="9"/>
      <c r="L576" s="32"/>
      <c r="M576" s="32"/>
      <c r="Z576" s="13"/>
      <c r="AA576" s="13"/>
      <c r="AB576" s="13"/>
      <c r="AC576" s="13"/>
      <c r="AD576" s="13"/>
    </row>
    <row r="577">
      <c r="J577" s="9"/>
      <c r="K577" s="9"/>
      <c r="L577" s="32"/>
      <c r="M577" s="32"/>
      <c r="Z577" s="13"/>
      <c r="AA577" s="13"/>
      <c r="AB577" s="13"/>
      <c r="AC577" s="13"/>
      <c r="AD577" s="13"/>
    </row>
    <row r="578">
      <c r="J578" s="9"/>
      <c r="K578" s="9"/>
      <c r="L578" s="32"/>
      <c r="M578" s="32"/>
      <c r="Z578" s="13"/>
      <c r="AA578" s="13"/>
      <c r="AB578" s="13"/>
      <c r="AC578" s="13"/>
      <c r="AD578" s="13"/>
    </row>
    <row r="579">
      <c r="J579" s="9"/>
      <c r="K579" s="9"/>
      <c r="L579" s="32"/>
      <c r="M579" s="32"/>
      <c r="Z579" s="13"/>
      <c r="AA579" s="13"/>
      <c r="AB579" s="13"/>
      <c r="AC579" s="13"/>
      <c r="AD579" s="13"/>
    </row>
    <row r="580">
      <c r="J580" s="9"/>
      <c r="K580" s="9"/>
      <c r="L580" s="32"/>
      <c r="M580" s="32"/>
      <c r="Z580" s="13"/>
      <c r="AA580" s="13"/>
      <c r="AB580" s="13"/>
      <c r="AC580" s="13"/>
      <c r="AD580" s="13"/>
    </row>
    <row r="581">
      <c r="J581" s="9"/>
      <c r="K581" s="9"/>
      <c r="L581" s="32"/>
      <c r="M581" s="32"/>
      <c r="Z581" s="13"/>
      <c r="AA581" s="13"/>
      <c r="AB581" s="13"/>
      <c r="AC581" s="13"/>
      <c r="AD581" s="13"/>
    </row>
    <row r="582">
      <c r="J582" s="9"/>
      <c r="K582" s="9"/>
      <c r="L582" s="32"/>
      <c r="M582" s="32"/>
      <c r="Z582" s="13"/>
      <c r="AA582" s="13"/>
      <c r="AB582" s="13"/>
      <c r="AC582" s="13"/>
      <c r="AD582" s="13"/>
    </row>
    <row r="583">
      <c r="J583" s="9"/>
      <c r="K583" s="9"/>
      <c r="L583" s="32"/>
      <c r="M583" s="32"/>
      <c r="Z583" s="13"/>
      <c r="AA583" s="13"/>
      <c r="AB583" s="13"/>
      <c r="AC583" s="13"/>
      <c r="AD583" s="13"/>
    </row>
    <row r="584">
      <c r="J584" s="9"/>
      <c r="K584" s="9"/>
      <c r="L584" s="32"/>
      <c r="M584" s="32"/>
      <c r="Z584" s="13"/>
      <c r="AA584" s="13"/>
      <c r="AB584" s="13"/>
      <c r="AC584" s="13"/>
      <c r="AD584" s="13"/>
    </row>
    <row r="585">
      <c r="J585" s="9"/>
      <c r="K585" s="9"/>
      <c r="L585" s="32"/>
      <c r="M585" s="32"/>
      <c r="Z585" s="13"/>
      <c r="AA585" s="13"/>
      <c r="AB585" s="13"/>
      <c r="AC585" s="13"/>
      <c r="AD585" s="13"/>
    </row>
    <row r="586">
      <c r="J586" s="9"/>
      <c r="K586" s="9"/>
      <c r="L586" s="32"/>
      <c r="M586" s="32"/>
      <c r="Z586" s="13"/>
      <c r="AA586" s="13"/>
      <c r="AB586" s="13"/>
      <c r="AC586" s="13"/>
      <c r="AD586" s="13"/>
    </row>
    <row r="587">
      <c r="J587" s="9"/>
      <c r="K587" s="9"/>
      <c r="L587" s="32"/>
      <c r="M587" s="32"/>
      <c r="Z587" s="13"/>
      <c r="AA587" s="13"/>
      <c r="AB587" s="13"/>
      <c r="AC587" s="13"/>
      <c r="AD587" s="13"/>
    </row>
    <row r="588">
      <c r="J588" s="9"/>
      <c r="K588" s="9"/>
      <c r="L588" s="32"/>
      <c r="M588" s="32"/>
      <c r="Z588" s="13"/>
      <c r="AA588" s="13"/>
      <c r="AB588" s="13"/>
      <c r="AC588" s="13"/>
      <c r="AD588" s="13"/>
    </row>
    <row r="589">
      <c r="J589" s="9"/>
      <c r="K589" s="9"/>
      <c r="L589" s="32"/>
      <c r="M589" s="32"/>
      <c r="Z589" s="13"/>
      <c r="AA589" s="13"/>
      <c r="AB589" s="13"/>
      <c r="AC589" s="13"/>
      <c r="AD589" s="13"/>
    </row>
    <row r="590">
      <c r="J590" s="9"/>
      <c r="K590" s="9"/>
      <c r="L590" s="32"/>
      <c r="M590" s="32"/>
      <c r="Z590" s="13"/>
      <c r="AA590" s="13"/>
      <c r="AB590" s="13"/>
      <c r="AC590" s="13"/>
      <c r="AD590" s="13"/>
    </row>
    <row r="591">
      <c r="J591" s="9"/>
      <c r="K591" s="9"/>
      <c r="L591" s="32"/>
      <c r="M591" s="32"/>
      <c r="Z591" s="13"/>
      <c r="AA591" s="13"/>
      <c r="AB591" s="13"/>
      <c r="AC591" s="13"/>
      <c r="AD591" s="13"/>
    </row>
    <row r="592">
      <c r="J592" s="9"/>
      <c r="K592" s="9"/>
      <c r="L592" s="32"/>
      <c r="M592" s="32"/>
      <c r="Z592" s="13"/>
      <c r="AA592" s="13"/>
      <c r="AB592" s="13"/>
      <c r="AC592" s="13"/>
      <c r="AD592" s="13"/>
    </row>
    <row r="593">
      <c r="J593" s="9"/>
      <c r="K593" s="9"/>
      <c r="L593" s="32"/>
      <c r="M593" s="32"/>
      <c r="Z593" s="13"/>
      <c r="AA593" s="13"/>
      <c r="AB593" s="13"/>
      <c r="AC593" s="13"/>
      <c r="AD593" s="13"/>
    </row>
    <row r="594">
      <c r="J594" s="9"/>
      <c r="K594" s="9"/>
      <c r="L594" s="32"/>
      <c r="M594" s="32"/>
      <c r="Z594" s="13"/>
      <c r="AA594" s="13"/>
      <c r="AB594" s="13"/>
      <c r="AC594" s="13"/>
      <c r="AD594" s="13"/>
    </row>
    <row r="595">
      <c r="J595" s="9"/>
      <c r="K595" s="9"/>
      <c r="L595" s="32"/>
      <c r="M595" s="32"/>
      <c r="Z595" s="13"/>
      <c r="AA595" s="13"/>
      <c r="AB595" s="13"/>
      <c r="AC595" s="13"/>
      <c r="AD595" s="13"/>
    </row>
    <row r="596">
      <c r="J596" s="9"/>
      <c r="K596" s="9"/>
      <c r="L596" s="32"/>
      <c r="M596" s="32"/>
      <c r="Z596" s="13"/>
      <c r="AA596" s="13"/>
      <c r="AB596" s="13"/>
      <c r="AC596" s="13"/>
      <c r="AD596" s="13"/>
    </row>
    <row r="597">
      <c r="J597" s="9"/>
      <c r="K597" s="9"/>
      <c r="L597" s="32"/>
      <c r="M597" s="32"/>
      <c r="Z597" s="13"/>
      <c r="AA597" s="13"/>
      <c r="AB597" s="13"/>
      <c r="AC597" s="13"/>
      <c r="AD597" s="13"/>
    </row>
    <row r="598">
      <c r="J598" s="9"/>
      <c r="K598" s="9"/>
      <c r="L598" s="32"/>
      <c r="M598" s="32"/>
      <c r="Z598" s="13"/>
      <c r="AA598" s="13"/>
      <c r="AB598" s="13"/>
      <c r="AC598" s="13"/>
      <c r="AD598" s="13"/>
    </row>
    <row r="599">
      <c r="J599" s="9"/>
      <c r="K599" s="9"/>
      <c r="L599" s="32"/>
      <c r="M599" s="32"/>
      <c r="Z599" s="13"/>
      <c r="AA599" s="13"/>
      <c r="AB599" s="13"/>
      <c r="AC599" s="13"/>
      <c r="AD599" s="13"/>
    </row>
    <row r="600">
      <c r="J600" s="9"/>
      <c r="K600" s="9"/>
      <c r="L600" s="32"/>
      <c r="M600" s="32"/>
      <c r="Z600" s="13"/>
      <c r="AA600" s="13"/>
      <c r="AB600" s="13"/>
      <c r="AC600" s="13"/>
      <c r="AD600" s="13"/>
    </row>
    <row r="601">
      <c r="J601" s="9"/>
      <c r="K601" s="9"/>
      <c r="L601" s="32"/>
      <c r="M601" s="32"/>
      <c r="Z601" s="13"/>
      <c r="AA601" s="13"/>
      <c r="AB601" s="13"/>
      <c r="AC601" s="13"/>
      <c r="AD601" s="13"/>
    </row>
    <row r="602">
      <c r="J602" s="9"/>
      <c r="K602" s="9"/>
      <c r="L602" s="32"/>
      <c r="M602" s="32"/>
      <c r="Z602" s="13"/>
      <c r="AA602" s="13"/>
      <c r="AB602" s="13"/>
      <c r="AC602" s="13"/>
      <c r="AD602" s="13"/>
    </row>
    <row r="603">
      <c r="J603" s="9"/>
      <c r="K603" s="9"/>
      <c r="L603" s="32"/>
      <c r="M603" s="32"/>
      <c r="Z603" s="13"/>
      <c r="AA603" s="13"/>
      <c r="AB603" s="13"/>
      <c r="AC603" s="13"/>
      <c r="AD603" s="13"/>
    </row>
    <row r="604">
      <c r="J604" s="9"/>
      <c r="K604" s="9"/>
      <c r="L604" s="32"/>
      <c r="M604" s="32"/>
      <c r="Z604" s="13"/>
      <c r="AA604" s="13"/>
      <c r="AB604" s="13"/>
      <c r="AC604" s="13"/>
      <c r="AD604" s="13"/>
    </row>
    <row r="605">
      <c r="J605" s="9"/>
      <c r="K605" s="9"/>
      <c r="L605" s="32"/>
      <c r="M605" s="32"/>
      <c r="Z605" s="13"/>
      <c r="AA605" s="13"/>
      <c r="AB605" s="13"/>
      <c r="AC605" s="13"/>
      <c r="AD605" s="13"/>
    </row>
    <row r="606">
      <c r="J606" s="9"/>
      <c r="K606" s="9"/>
      <c r="L606" s="32"/>
      <c r="M606" s="32"/>
      <c r="Z606" s="13"/>
      <c r="AA606" s="13"/>
      <c r="AB606" s="13"/>
      <c r="AC606" s="13"/>
      <c r="AD606" s="13"/>
    </row>
    <row r="607">
      <c r="J607" s="9"/>
      <c r="K607" s="9"/>
      <c r="L607" s="32"/>
      <c r="M607" s="32"/>
      <c r="Z607" s="13"/>
      <c r="AA607" s="13"/>
      <c r="AB607" s="13"/>
      <c r="AC607" s="13"/>
      <c r="AD607" s="13"/>
    </row>
    <row r="608">
      <c r="J608" s="9"/>
      <c r="K608" s="9"/>
      <c r="L608" s="32"/>
      <c r="M608" s="32"/>
      <c r="Z608" s="13"/>
      <c r="AA608" s="13"/>
      <c r="AB608" s="13"/>
      <c r="AC608" s="13"/>
      <c r="AD608" s="13"/>
    </row>
    <row r="609">
      <c r="J609" s="9"/>
      <c r="K609" s="9"/>
      <c r="L609" s="32"/>
      <c r="M609" s="32"/>
      <c r="Z609" s="13"/>
      <c r="AA609" s="13"/>
      <c r="AB609" s="13"/>
      <c r="AC609" s="13"/>
      <c r="AD609" s="13"/>
    </row>
    <row r="610">
      <c r="J610" s="9"/>
      <c r="K610" s="9"/>
      <c r="L610" s="32"/>
      <c r="M610" s="32"/>
      <c r="Z610" s="13"/>
      <c r="AA610" s="13"/>
      <c r="AB610" s="13"/>
      <c r="AC610" s="13"/>
      <c r="AD610" s="13"/>
    </row>
    <row r="611">
      <c r="J611" s="9"/>
      <c r="K611" s="9"/>
      <c r="L611" s="32"/>
      <c r="M611" s="32"/>
      <c r="Z611" s="13"/>
      <c r="AA611" s="13"/>
      <c r="AB611" s="13"/>
      <c r="AC611" s="13"/>
      <c r="AD611" s="13"/>
    </row>
    <row r="612">
      <c r="J612" s="9"/>
      <c r="K612" s="9"/>
      <c r="L612" s="32"/>
      <c r="M612" s="32"/>
      <c r="Z612" s="13"/>
      <c r="AA612" s="13"/>
      <c r="AB612" s="13"/>
      <c r="AC612" s="13"/>
      <c r="AD612" s="13"/>
    </row>
    <row r="613">
      <c r="J613" s="9"/>
      <c r="K613" s="9"/>
      <c r="L613" s="32"/>
      <c r="M613" s="32"/>
      <c r="Z613" s="13"/>
      <c r="AA613" s="13"/>
      <c r="AB613" s="13"/>
      <c r="AC613" s="13"/>
      <c r="AD613" s="13"/>
    </row>
    <row r="614">
      <c r="J614" s="9"/>
      <c r="K614" s="9"/>
      <c r="L614" s="32"/>
      <c r="M614" s="32"/>
      <c r="Z614" s="13"/>
      <c r="AA614" s="13"/>
      <c r="AB614" s="13"/>
      <c r="AC614" s="13"/>
      <c r="AD614" s="13"/>
    </row>
    <row r="615">
      <c r="J615" s="9"/>
      <c r="K615" s="9"/>
      <c r="L615" s="32"/>
      <c r="M615" s="32"/>
      <c r="Z615" s="13"/>
      <c r="AA615" s="13"/>
      <c r="AB615" s="13"/>
      <c r="AC615" s="13"/>
      <c r="AD615" s="13"/>
    </row>
    <row r="616">
      <c r="J616" s="9"/>
      <c r="K616" s="9"/>
      <c r="L616" s="32"/>
      <c r="M616" s="32"/>
      <c r="Z616" s="13"/>
      <c r="AA616" s="13"/>
      <c r="AB616" s="13"/>
      <c r="AC616" s="13"/>
      <c r="AD616" s="13"/>
    </row>
    <row r="617">
      <c r="J617" s="9"/>
      <c r="K617" s="9"/>
      <c r="L617" s="32"/>
      <c r="M617" s="32"/>
      <c r="Z617" s="13"/>
      <c r="AA617" s="13"/>
      <c r="AB617" s="13"/>
      <c r="AC617" s="13"/>
      <c r="AD617" s="13"/>
    </row>
    <row r="618">
      <c r="J618" s="9"/>
      <c r="K618" s="9"/>
      <c r="L618" s="32"/>
      <c r="M618" s="32"/>
      <c r="Z618" s="13"/>
      <c r="AA618" s="13"/>
      <c r="AB618" s="13"/>
      <c r="AC618" s="13"/>
      <c r="AD618" s="13"/>
    </row>
    <row r="619">
      <c r="J619" s="9"/>
      <c r="K619" s="9"/>
      <c r="L619" s="32"/>
      <c r="M619" s="32"/>
      <c r="Z619" s="13"/>
      <c r="AA619" s="13"/>
      <c r="AB619" s="13"/>
      <c r="AC619" s="13"/>
      <c r="AD619" s="13"/>
    </row>
    <row r="620">
      <c r="J620" s="9"/>
      <c r="K620" s="9"/>
      <c r="L620" s="32"/>
      <c r="M620" s="32"/>
      <c r="Z620" s="13"/>
      <c r="AA620" s="13"/>
      <c r="AB620" s="13"/>
      <c r="AC620" s="13"/>
      <c r="AD620" s="13"/>
    </row>
    <row r="621">
      <c r="J621" s="9"/>
      <c r="K621" s="9"/>
      <c r="L621" s="32"/>
      <c r="M621" s="32"/>
      <c r="Z621" s="13"/>
      <c r="AA621" s="13"/>
      <c r="AB621" s="13"/>
      <c r="AC621" s="13"/>
      <c r="AD621" s="13"/>
    </row>
    <row r="622">
      <c r="J622" s="9"/>
      <c r="K622" s="9"/>
      <c r="L622" s="32"/>
      <c r="M622" s="32"/>
      <c r="Z622" s="13"/>
      <c r="AA622" s="13"/>
      <c r="AB622" s="13"/>
      <c r="AC622" s="13"/>
      <c r="AD622" s="13"/>
    </row>
    <row r="623">
      <c r="J623" s="9"/>
      <c r="K623" s="9"/>
      <c r="L623" s="32"/>
      <c r="M623" s="32"/>
      <c r="Z623" s="13"/>
      <c r="AA623" s="13"/>
      <c r="AB623" s="13"/>
      <c r="AC623" s="13"/>
      <c r="AD623" s="13"/>
    </row>
    <row r="624">
      <c r="J624" s="9"/>
      <c r="K624" s="9"/>
      <c r="L624" s="32"/>
      <c r="M624" s="32"/>
      <c r="Z624" s="13"/>
      <c r="AA624" s="13"/>
      <c r="AB624" s="13"/>
      <c r="AC624" s="13"/>
      <c r="AD624" s="13"/>
    </row>
    <row r="625">
      <c r="J625" s="9"/>
      <c r="K625" s="9"/>
      <c r="L625" s="32"/>
      <c r="M625" s="32"/>
      <c r="Z625" s="13"/>
      <c r="AA625" s="13"/>
      <c r="AB625" s="13"/>
      <c r="AC625" s="13"/>
      <c r="AD625" s="13"/>
    </row>
    <row r="626">
      <c r="J626" s="9"/>
      <c r="K626" s="9"/>
      <c r="L626" s="32"/>
      <c r="M626" s="32"/>
      <c r="Z626" s="13"/>
      <c r="AA626" s="13"/>
      <c r="AB626" s="13"/>
      <c r="AC626" s="13"/>
      <c r="AD626" s="13"/>
    </row>
    <row r="627">
      <c r="J627" s="9"/>
      <c r="K627" s="9"/>
      <c r="L627" s="32"/>
      <c r="M627" s="32"/>
      <c r="Z627" s="13"/>
      <c r="AA627" s="13"/>
      <c r="AB627" s="13"/>
      <c r="AC627" s="13"/>
      <c r="AD627" s="13"/>
    </row>
    <row r="628">
      <c r="J628" s="9"/>
      <c r="K628" s="9"/>
      <c r="L628" s="32"/>
      <c r="M628" s="32"/>
      <c r="Z628" s="13"/>
      <c r="AA628" s="13"/>
      <c r="AB628" s="13"/>
      <c r="AC628" s="13"/>
      <c r="AD628" s="13"/>
    </row>
    <row r="629">
      <c r="J629" s="9"/>
      <c r="K629" s="9"/>
      <c r="L629" s="32"/>
      <c r="M629" s="32"/>
      <c r="Z629" s="13"/>
      <c r="AA629" s="13"/>
      <c r="AB629" s="13"/>
      <c r="AC629" s="13"/>
      <c r="AD629" s="13"/>
    </row>
    <row r="630">
      <c r="J630" s="9"/>
      <c r="K630" s="9"/>
      <c r="L630" s="32"/>
      <c r="M630" s="32"/>
      <c r="Z630" s="13"/>
      <c r="AA630" s="13"/>
      <c r="AB630" s="13"/>
      <c r="AC630" s="13"/>
      <c r="AD630" s="13"/>
    </row>
    <row r="631">
      <c r="J631" s="9"/>
      <c r="K631" s="9"/>
      <c r="L631" s="32"/>
      <c r="M631" s="32"/>
      <c r="Z631" s="13"/>
      <c r="AA631" s="13"/>
      <c r="AB631" s="13"/>
      <c r="AC631" s="13"/>
      <c r="AD631" s="13"/>
    </row>
    <row r="632">
      <c r="J632" s="9"/>
      <c r="K632" s="9"/>
      <c r="L632" s="32"/>
      <c r="M632" s="32"/>
      <c r="Z632" s="13"/>
      <c r="AA632" s="13"/>
      <c r="AB632" s="13"/>
      <c r="AC632" s="13"/>
      <c r="AD632" s="13"/>
    </row>
    <row r="633">
      <c r="J633" s="9"/>
      <c r="K633" s="9"/>
      <c r="L633" s="32"/>
      <c r="M633" s="32"/>
      <c r="Z633" s="13"/>
      <c r="AA633" s="13"/>
      <c r="AB633" s="13"/>
      <c r="AC633" s="13"/>
      <c r="AD633" s="13"/>
    </row>
    <row r="634">
      <c r="J634" s="9"/>
      <c r="K634" s="9"/>
      <c r="L634" s="32"/>
      <c r="M634" s="32"/>
      <c r="Z634" s="13"/>
      <c r="AA634" s="13"/>
      <c r="AB634" s="13"/>
      <c r="AC634" s="13"/>
      <c r="AD634" s="13"/>
    </row>
    <row r="635">
      <c r="J635" s="9"/>
      <c r="K635" s="9"/>
      <c r="L635" s="32"/>
      <c r="M635" s="32"/>
      <c r="Z635" s="13"/>
      <c r="AA635" s="13"/>
      <c r="AB635" s="13"/>
      <c r="AC635" s="13"/>
      <c r="AD635" s="13"/>
    </row>
    <row r="636">
      <c r="J636" s="9"/>
      <c r="K636" s="9"/>
      <c r="L636" s="32"/>
      <c r="M636" s="32"/>
      <c r="Z636" s="13"/>
      <c r="AA636" s="13"/>
      <c r="AB636" s="13"/>
      <c r="AC636" s="13"/>
      <c r="AD636" s="13"/>
    </row>
    <row r="637">
      <c r="J637" s="9"/>
      <c r="K637" s="9"/>
      <c r="L637" s="32"/>
      <c r="M637" s="32"/>
      <c r="Z637" s="13"/>
      <c r="AA637" s="13"/>
      <c r="AB637" s="13"/>
      <c r="AC637" s="13"/>
      <c r="AD637" s="13"/>
    </row>
    <row r="638">
      <c r="J638" s="9"/>
      <c r="K638" s="9"/>
      <c r="L638" s="32"/>
      <c r="M638" s="32"/>
      <c r="Z638" s="13"/>
      <c r="AA638" s="13"/>
      <c r="AB638" s="13"/>
      <c r="AC638" s="13"/>
      <c r="AD638" s="13"/>
    </row>
    <row r="639">
      <c r="J639" s="9"/>
      <c r="K639" s="9"/>
      <c r="L639" s="32"/>
      <c r="M639" s="32"/>
      <c r="Z639" s="13"/>
      <c r="AA639" s="13"/>
      <c r="AB639" s="13"/>
      <c r="AC639" s="13"/>
      <c r="AD639" s="13"/>
    </row>
    <row r="640">
      <c r="J640" s="9"/>
      <c r="K640" s="9"/>
      <c r="L640" s="32"/>
      <c r="M640" s="32"/>
      <c r="Z640" s="13"/>
      <c r="AA640" s="13"/>
      <c r="AB640" s="13"/>
      <c r="AC640" s="13"/>
      <c r="AD640" s="13"/>
    </row>
    <row r="641">
      <c r="J641" s="9"/>
      <c r="K641" s="9"/>
      <c r="L641" s="32"/>
      <c r="M641" s="32"/>
      <c r="Z641" s="13"/>
      <c r="AA641" s="13"/>
      <c r="AB641" s="13"/>
      <c r="AC641" s="13"/>
      <c r="AD641" s="13"/>
    </row>
    <row r="642">
      <c r="J642" s="9"/>
      <c r="K642" s="9"/>
      <c r="L642" s="32"/>
      <c r="M642" s="32"/>
      <c r="Z642" s="13"/>
      <c r="AA642" s="13"/>
      <c r="AB642" s="13"/>
      <c r="AC642" s="13"/>
      <c r="AD642" s="13"/>
    </row>
    <row r="643">
      <c r="J643" s="9"/>
      <c r="K643" s="9"/>
      <c r="L643" s="32"/>
      <c r="M643" s="32"/>
      <c r="Z643" s="13"/>
      <c r="AA643" s="13"/>
      <c r="AB643" s="13"/>
      <c r="AC643" s="13"/>
      <c r="AD643" s="13"/>
    </row>
    <row r="644">
      <c r="J644" s="9"/>
      <c r="K644" s="9"/>
      <c r="L644" s="32"/>
      <c r="M644" s="32"/>
      <c r="Z644" s="13"/>
      <c r="AA644" s="13"/>
      <c r="AB644" s="13"/>
      <c r="AC644" s="13"/>
      <c r="AD644" s="13"/>
    </row>
    <row r="645">
      <c r="J645" s="9"/>
      <c r="K645" s="9"/>
      <c r="L645" s="32"/>
      <c r="M645" s="32"/>
      <c r="Z645" s="13"/>
      <c r="AA645" s="13"/>
      <c r="AB645" s="13"/>
      <c r="AC645" s="13"/>
      <c r="AD645" s="13"/>
    </row>
    <row r="646">
      <c r="J646" s="9"/>
      <c r="K646" s="9"/>
      <c r="L646" s="32"/>
      <c r="M646" s="32"/>
      <c r="Z646" s="13"/>
      <c r="AA646" s="13"/>
      <c r="AB646" s="13"/>
      <c r="AC646" s="13"/>
      <c r="AD646" s="13"/>
    </row>
    <row r="647">
      <c r="J647" s="9"/>
      <c r="K647" s="9"/>
      <c r="L647" s="32"/>
      <c r="M647" s="32"/>
      <c r="Z647" s="13"/>
      <c r="AA647" s="13"/>
      <c r="AB647" s="13"/>
      <c r="AC647" s="13"/>
      <c r="AD647" s="13"/>
    </row>
    <row r="648">
      <c r="J648" s="9"/>
      <c r="K648" s="9"/>
      <c r="L648" s="32"/>
      <c r="M648" s="32"/>
      <c r="Z648" s="13"/>
      <c r="AA648" s="13"/>
      <c r="AB648" s="13"/>
      <c r="AC648" s="13"/>
      <c r="AD648" s="13"/>
    </row>
    <row r="649">
      <c r="J649" s="9"/>
      <c r="K649" s="9"/>
      <c r="L649" s="32"/>
      <c r="M649" s="32"/>
      <c r="Z649" s="13"/>
      <c r="AA649" s="13"/>
      <c r="AB649" s="13"/>
      <c r="AC649" s="13"/>
      <c r="AD649" s="13"/>
    </row>
    <row r="650">
      <c r="J650" s="9"/>
      <c r="K650" s="9"/>
      <c r="L650" s="32"/>
      <c r="M650" s="32"/>
      <c r="Z650" s="13"/>
      <c r="AA650" s="13"/>
      <c r="AB650" s="13"/>
      <c r="AC650" s="13"/>
      <c r="AD650" s="13"/>
    </row>
    <row r="651">
      <c r="J651" s="9"/>
      <c r="K651" s="9"/>
      <c r="L651" s="32"/>
      <c r="M651" s="32"/>
      <c r="Z651" s="13"/>
      <c r="AA651" s="13"/>
      <c r="AB651" s="13"/>
      <c r="AC651" s="13"/>
      <c r="AD651" s="13"/>
    </row>
    <row r="652">
      <c r="J652" s="9"/>
      <c r="K652" s="9"/>
      <c r="L652" s="32"/>
      <c r="M652" s="32"/>
      <c r="Z652" s="13"/>
      <c r="AA652" s="13"/>
      <c r="AB652" s="13"/>
      <c r="AC652" s="13"/>
      <c r="AD652" s="13"/>
    </row>
    <row r="653">
      <c r="J653" s="9"/>
      <c r="K653" s="9"/>
      <c r="L653" s="32"/>
      <c r="M653" s="32"/>
      <c r="Z653" s="13"/>
      <c r="AA653" s="13"/>
      <c r="AB653" s="13"/>
      <c r="AC653" s="13"/>
      <c r="AD653" s="13"/>
    </row>
    <row r="654">
      <c r="J654" s="9"/>
      <c r="K654" s="9"/>
      <c r="L654" s="32"/>
      <c r="M654" s="32"/>
      <c r="Z654" s="13"/>
      <c r="AA654" s="13"/>
      <c r="AB654" s="13"/>
      <c r="AC654" s="13"/>
      <c r="AD654" s="13"/>
    </row>
    <row r="655">
      <c r="J655" s="9"/>
      <c r="K655" s="9"/>
      <c r="L655" s="32"/>
      <c r="M655" s="32"/>
      <c r="Z655" s="13"/>
      <c r="AA655" s="13"/>
      <c r="AB655" s="13"/>
      <c r="AC655" s="13"/>
      <c r="AD655" s="13"/>
    </row>
    <row r="656">
      <c r="J656" s="9"/>
      <c r="K656" s="9"/>
      <c r="L656" s="32"/>
      <c r="M656" s="32"/>
      <c r="Z656" s="13"/>
      <c r="AA656" s="13"/>
      <c r="AB656" s="13"/>
      <c r="AC656" s="13"/>
      <c r="AD656" s="13"/>
    </row>
    <row r="657">
      <c r="J657" s="9"/>
      <c r="K657" s="9"/>
      <c r="L657" s="32"/>
      <c r="M657" s="32"/>
      <c r="Z657" s="13"/>
      <c r="AA657" s="13"/>
      <c r="AB657" s="13"/>
      <c r="AC657" s="13"/>
      <c r="AD657" s="13"/>
    </row>
    <row r="658">
      <c r="J658" s="9"/>
      <c r="K658" s="9"/>
      <c r="L658" s="32"/>
      <c r="M658" s="32"/>
      <c r="Z658" s="13"/>
      <c r="AA658" s="13"/>
      <c r="AB658" s="13"/>
      <c r="AC658" s="13"/>
      <c r="AD658" s="13"/>
    </row>
    <row r="659">
      <c r="J659" s="9"/>
      <c r="K659" s="9"/>
      <c r="L659" s="32"/>
      <c r="M659" s="32"/>
      <c r="Z659" s="13"/>
      <c r="AA659" s="13"/>
      <c r="AB659" s="13"/>
      <c r="AC659" s="13"/>
      <c r="AD659" s="13"/>
    </row>
    <row r="660">
      <c r="J660" s="9"/>
      <c r="K660" s="9"/>
      <c r="L660" s="32"/>
      <c r="M660" s="32"/>
      <c r="Z660" s="13"/>
      <c r="AA660" s="13"/>
      <c r="AB660" s="13"/>
      <c r="AC660" s="13"/>
      <c r="AD660" s="13"/>
    </row>
    <row r="661">
      <c r="J661" s="9"/>
      <c r="K661" s="9"/>
      <c r="L661" s="32"/>
      <c r="M661" s="32"/>
      <c r="Z661" s="13"/>
      <c r="AA661" s="13"/>
      <c r="AB661" s="13"/>
      <c r="AC661" s="13"/>
      <c r="AD661" s="13"/>
    </row>
    <row r="662">
      <c r="J662" s="9"/>
      <c r="K662" s="9"/>
      <c r="L662" s="32"/>
      <c r="M662" s="32"/>
      <c r="Z662" s="13"/>
      <c r="AA662" s="13"/>
      <c r="AB662" s="13"/>
      <c r="AC662" s="13"/>
      <c r="AD662" s="13"/>
    </row>
    <row r="663">
      <c r="J663" s="9"/>
      <c r="K663" s="9"/>
      <c r="L663" s="32"/>
      <c r="M663" s="32"/>
      <c r="Z663" s="13"/>
      <c r="AA663" s="13"/>
      <c r="AB663" s="13"/>
      <c r="AC663" s="13"/>
      <c r="AD663" s="13"/>
    </row>
    <row r="664">
      <c r="J664" s="9"/>
      <c r="K664" s="9"/>
      <c r="L664" s="32"/>
      <c r="M664" s="32"/>
      <c r="Z664" s="13"/>
      <c r="AA664" s="13"/>
      <c r="AB664" s="13"/>
      <c r="AC664" s="13"/>
      <c r="AD664" s="13"/>
    </row>
    <row r="665">
      <c r="J665" s="9"/>
      <c r="K665" s="9"/>
      <c r="L665" s="32"/>
      <c r="M665" s="32"/>
      <c r="Z665" s="13"/>
      <c r="AA665" s="13"/>
      <c r="AB665" s="13"/>
      <c r="AC665" s="13"/>
      <c r="AD665" s="13"/>
    </row>
    <row r="666">
      <c r="J666" s="9"/>
      <c r="K666" s="9"/>
      <c r="L666" s="32"/>
      <c r="M666" s="32"/>
      <c r="Z666" s="13"/>
      <c r="AA666" s="13"/>
      <c r="AB666" s="13"/>
      <c r="AC666" s="13"/>
      <c r="AD666" s="13"/>
    </row>
    <row r="667">
      <c r="J667" s="9"/>
      <c r="K667" s="9"/>
      <c r="L667" s="32"/>
      <c r="M667" s="32"/>
      <c r="Z667" s="13"/>
      <c r="AA667" s="13"/>
      <c r="AB667" s="13"/>
      <c r="AC667" s="13"/>
      <c r="AD667" s="13"/>
    </row>
    <row r="668">
      <c r="J668" s="9"/>
      <c r="K668" s="9"/>
      <c r="L668" s="32"/>
      <c r="M668" s="32"/>
      <c r="Z668" s="13"/>
      <c r="AA668" s="13"/>
      <c r="AB668" s="13"/>
      <c r="AC668" s="13"/>
      <c r="AD668" s="13"/>
    </row>
    <row r="669">
      <c r="J669" s="9"/>
      <c r="K669" s="9"/>
      <c r="L669" s="32"/>
      <c r="M669" s="32"/>
      <c r="Z669" s="13"/>
      <c r="AA669" s="13"/>
      <c r="AB669" s="13"/>
      <c r="AC669" s="13"/>
      <c r="AD669" s="13"/>
    </row>
    <row r="670">
      <c r="J670" s="9"/>
      <c r="K670" s="9"/>
      <c r="L670" s="32"/>
      <c r="M670" s="32"/>
      <c r="Z670" s="13"/>
      <c r="AA670" s="13"/>
      <c r="AB670" s="13"/>
      <c r="AC670" s="13"/>
      <c r="AD670" s="13"/>
    </row>
    <row r="671">
      <c r="J671" s="9"/>
      <c r="K671" s="9"/>
      <c r="L671" s="32"/>
      <c r="M671" s="32"/>
      <c r="Z671" s="13"/>
      <c r="AA671" s="13"/>
      <c r="AB671" s="13"/>
      <c r="AC671" s="13"/>
      <c r="AD671" s="13"/>
    </row>
    <row r="672">
      <c r="J672" s="9"/>
      <c r="K672" s="9"/>
      <c r="L672" s="32"/>
      <c r="M672" s="32"/>
      <c r="Z672" s="13"/>
      <c r="AA672" s="13"/>
      <c r="AB672" s="13"/>
      <c r="AC672" s="13"/>
      <c r="AD672" s="13"/>
    </row>
    <row r="673">
      <c r="J673" s="9"/>
      <c r="K673" s="9"/>
      <c r="L673" s="32"/>
      <c r="M673" s="32"/>
      <c r="Z673" s="13"/>
      <c r="AA673" s="13"/>
      <c r="AB673" s="13"/>
      <c r="AC673" s="13"/>
      <c r="AD673" s="13"/>
    </row>
    <row r="674">
      <c r="J674" s="9"/>
      <c r="K674" s="9"/>
      <c r="L674" s="32"/>
      <c r="M674" s="32"/>
      <c r="Z674" s="13"/>
      <c r="AA674" s="13"/>
      <c r="AB674" s="13"/>
      <c r="AC674" s="13"/>
      <c r="AD674" s="13"/>
    </row>
    <row r="675">
      <c r="J675" s="9"/>
      <c r="K675" s="9"/>
      <c r="L675" s="32"/>
      <c r="M675" s="32"/>
      <c r="Z675" s="13"/>
      <c r="AA675" s="13"/>
      <c r="AB675" s="13"/>
      <c r="AC675" s="13"/>
      <c r="AD675" s="13"/>
    </row>
    <row r="676">
      <c r="J676" s="9"/>
      <c r="K676" s="9"/>
      <c r="L676" s="32"/>
      <c r="M676" s="32"/>
      <c r="Z676" s="13"/>
      <c r="AA676" s="13"/>
      <c r="AB676" s="13"/>
      <c r="AC676" s="13"/>
      <c r="AD676" s="13"/>
    </row>
    <row r="677">
      <c r="J677" s="9"/>
      <c r="K677" s="9"/>
      <c r="L677" s="32"/>
      <c r="M677" s="32"/>
      <c r="Z677" s="13"/>
      <c r="AA677" s="13"/>
      <c r="AB677" s="13"/>
      <c r="AC677" s="13"/>
      <c r="AD677" s="13"/>
    </row>
    <row r="678">
      <c r="J678" s="9"/>
      <c r="K678" s="9"/>
      <c r="L678" s="32"/>
      <c r="M678" s="32"/>
      <c r="Z678" s="13"/>
      <c r="AA678" s="13"/>
      <c r="AB678" s="13"/>
      <c r="AC678" s="13"/>
      <c r="AD678" s="13"/>
    </row>
    <row r="679">
      <c r="J679" s="9"/>
      <c r="K679" s="9"/>
      <c r="L679" s="32"/>
      <c r="M679" s="32"/>
      <c r="Z679" s="13"/>
      <c r="AA679" s="13"/>
      <c r="AB679" s="13"/>
      <c r="AC679" s="13"/>
      <c r="AD679" s="13"/>
    </row>
    <row r="680">
      <c r="J680" s="9"/>
      <c r="K680" s="9"/>
      <c r="L680" s="32"/>
      <c r="M680" s="32"/>
      <c r="Z680" s="13"/>
      <c r="AA680" s="13"/>
      <c r="AB680" s="13"/>
      <c r="AC680" s="13"/>
      <c r="AD680" s="13"/>
    </row>
    <row r="681">
      <c r="J681" s="9"/>
      <c r="K681" s="9"/>
      <c r="L681" s="32"/>
      <c r="M681" s="32"/>
      <c r="Z681" s="13"/>
      <c r="AA681" s="13"/>
      <c r="AB681" s="13"/>
      <c r="AC681" s="13"/>
      <c r="AD681" s="13"/>
    </row>
    <row r="682">
      <c r="J682" s="9"/>
      <c r="K682" s="9"/>
      <c r="L682" s="32"/>
      <c r="M682" s="32"/>
      <c r="Z682" s="13"/>
      <c r="AA682" s="13"/>
      <c r="AB682" s="13"/>
      <c r="AC682" s="13"/>
      <c r="AD682" s="13"/>
    </row>
    <row r="683">
      <c r="J683" s="9"/>
      <c r="K683" s="9"/>
      <c r="L683" s="32"/>
      <c r="M683" s="32"/>
      <c r="Z683" s="13"/>
      <c r="AA683" s="13"/>
      <c r="AB683" s="13"/>
      <c r="AC683" s="13"/>
      <c r="AD683" s="13"/>
    </row>
    <row r="684">
      <c r="J684" s="9"/>
      <c r="K684" s="9"/>
      <c r="L684" s="32"/>
      <c r="M684" s="32"/>
      <c r="Z684" s="13"/>
      <c r="AA684" s="13"/>
      <c r="AB684" s="13"/>
      <c r="AC684" s="13"/>
      <c r="AD684" s="13"/>
    </row>
    <row r="685">
      <c r="J685" s="9"/>
      <c r="K685" s="9"/>
      <c r="L685" s="32"/>
      <c r="M685" s="32"/>
      <c r="Z685" s="13"/>
      <c r="AA685" s="13"/>
      <c r="AB685" s="13"/>
      <c r="AC685" s="13"/>
      <c r="AD685" s="13"/>
    </row>
    <row r="686">
      <c r="J686" s="9"/>
      <c r="K686" s="9"/>
      <c r="L686" s="32"/>
      <c r="M686" s="32"/>
      <c r="Z686" s="13"/>
      <c r="AA686" s="13"/>
      <c r="AB686" s="13"/>
      <c r="AC686" s="13"/>
      <c r="AD686" s="13"/>
    </row>
    <row r="687">
      <c r="J687" s="9"/>
      <c r="K687" s="9"/>
      <c r="L687" s="32"/>
      <c r="M687" s="32"/>
      <c r="Z687" s="13"/>
      <c r="AA687" s="13"/>
      <c r="AB687" s="13"/>
      <c r="AC687" s="13"/>
      <c r="AD687" s="13"/>
    </row>
    <row r="688">
      <c r="J688" s="9"/>
      <c r="K688" s="9"/>
      <c r="L688" s="32"/>
      <c r="M688" s="32"/>
      <c r="Z688" s="13"/>
      <c r="AA688" s="13"/>
      <c r="AB688" s="13"/>
      <c r="AC688" s="13"/>
      <c r="AD688" s="13"/>
    </row>
    <row r="689">
      <c r="J689" s="9"/>
      <c r="K689" s="9"/>
      <c r="L689" s="32"/>
      <c r="M689" s="32"/>
      <c r="Z689" s="13"/>
      <c r="AA689" s="13"/>
      <c r="AB689" s="13"/>
      <c r="AC689" s="13"/>
      <c r="AD689" s="13"/>
    </row>
    <row r="690">
      <c r="J690" s="9"/>
      <c r="K690" s="9"/>
      <c r="L690" s="32"/>
      <c r="M690" s="32"/>
      <c r="Z690" s="13"/>
      <c r="AA690" s="13"/>
      <c r="AB690" s="13"/>
      <c r="AC690" s="13"/>
      <c r="AD690" s="13"/>
    </row>
    <row r="691">
      <c r="J691" s="9"/>
      <c r="K691" s="9"/>
      <c r="L691" s="32"/>
      <c r="M691" s="32"/>
      <c r="Z691" s="13"/>
      <c r="AA691" s="13"/>
      <c r="AB691" s="13"/>
      <c r="AC691" s="13"/>
      <c r="AD691" s="13"/>
    </row>
    <row r="692">
      <c r="J692" s="9"/>
      <c r="K692" s="9"/>
      <c r="L692" s="32"/>
      <c r="M692" s="32"/>
      <c r="Z692" s="13"/>
      <c r="AA692" s="13"/>
      <c r="AB692" s="13"/>
      <c r="AC692" s="13"/>
      <c r="AD692" s="13"/>
    </row>
    <row r="693">
      <c r="J693" s="9"/>
      <c r="K693" s="9"/>
      <c r="L693" s="32"/>
      <c r="M693" s="32"/>
      <c r="Z693" s="13"/>
      <c r="AA693" s="13"/>
      <c r="AB693" s="13"/>
      <c r="AC693" s="13"/>
      <c r="AD693" s="13"/>
    </row>
    <row r="694">
      <c r="J694" s="9"/>
      <c r="K694" s="9"/>
      <c r="L694" s="32"/>
      <c r="M694" s="32"/>
      <c r="Z694" s="13"/>
      <c r="AA694" s="13"/>
      <c r="AB694" s="13"/>
      <c r="AC694" s="13"/>
      <c r="AD694" s="13"/>
    </row>
    <row r="695">
      <c r="J695" s="9"/>
      <c r="K695" s="9"/>
      <c r="L695" s="32"/>
      <c r="M695" s="32"/>
      <c r="Z695" s="13"/>
      <c r="AA695" s="13"/>
      <c r="AB695" s="13"/>
      <c r="AC695" s="13"/>
      <c r="AD695" s="13"/>
    </row>
    <row r="696">
      <c r="J696" s="9"/>
      <c r="K696" s="9"/>
      <c r="L696" s="32"/>
      <c r="M696" s="32"/>
      <c r="Z696" s="13"/>
      <c r="AA696" s="13"/>
      <c r="AB696" s="13"/>
      <c r="AC696" s="13"/>
      <c r="AD696" s="13"/>
    </row>
    <row r="697">
      <c r="J697" s="9"/>
      <c r="K697" s="9"/>
      <c r="L697" s="32"/>
      <c r="M697" s="32"/>
      <c r="Z697" s="13"/>
      <c r="AA697" s="13"/>
      <c r="AB697" s="13"/>
      <c r="AC697" s="13"/>
      <c r="AD697" s="13"/>
    </row>
    <row r="698">
      <c r="J698" s="9"/>
      <c r="K698" s="9"/>
      <c r="L698" s="32"/>
      <c r="M698" s="32"/>
      <c r="Z698" s="13"/>
      <c r="AA698" s="13"/>
      <c r="AB698" s="13"/>
      <c r="AC698" s="13"/>
      <c r="AD698" s="13"/>
    </row>
    <row r="699">
      <c r="J699" s="9"/>
      <c r="K699" s="9"/>
      <c r="L699" s="32"/>
      <c r="M699" s="32"/>
      <c r="Z699" s="13"/>
      <c r="AA699" s="13"/>
      <c r="AB699" s="13"/>
      <c r="AC699" s="13"/>
      <c r="AD699" s="13"/>
    </row>
    <row r="700">
      <c r="J700" s="9"/>
      <c r="K700" s="9"/>
      <c r="L700" s="32"/>
      <c r="M700" s="32"/>
      <c r="Z700" s="13"/>
      <c r="AA700" s="13"/>
      <c r="AB700" s="13"/>
      <c r="AC700" s="13"/>
      <c r="AD700" s="13"/>
    </row>
    <row r="701">
      <c r="J701" s="9"/>
      <c r="K701" s="9"/>
      <c r="L701" s="32"/>
      <c r="M701" s="32"/>
      <c r="Z701" s="13"/>
      <c r="AA701" s="13"/>
      <c r="AB701" s="13"/>
      <c r="AC701" s="13"/>
      <c r="AD701" s="13"/>
    </row>
    <row r="702">
      <c r="J702" s="9"/>
      <c r="K702" s="9"/>
      <c r="L702" s="32"/>
      <c r="M702" s="32"/>
      <c r="Z702" s="13"/>
      <c r="AA702" s="13"/>
      <c r="AB702" s="13"/>
      <c r="AC702" s="13"/>
      <c r="AD702" s="13"/>
    </row>
    <row r="703">
      <c r="J703" s="9"/>
      <c r="K703" s="9"/>
      <c r="L703" s="32"/>
      <c r="M703" s="32"/>
      <c r="Z703" s="13"/>
      <c r="AA703" s="13"/>
      <c r="AB703" s="13"/>
      <c r="AC703" s="13"/>
      <c r="AD703" s="13"/>
    </row>
    <row r="704">
      <c r="J704" s="9"/>
      <c r="K704" s="9"/>
      <c r="L704" s="32"/>
      <c r="M704" s="32"/>
      <c r="Z704" s="13"/>
      <c r="AA704" s="13"/>
      <c r="AB704" s="13"/>
      <c r="AC704" s="13"/>
      <c r="AD704" s="13"/>
    </row>
    <row r="705">
      <c r="J705" s="9"/>
      <c r="K705" s="9"/>
      <c r="L705" s="32"/>
      <c r="M705" s="32"/>
      <c r="Z705" s="13"/>
      <c r="AA705" s="13"/>
      <c r="AB705" s="13"/>
      <c r="AC705" s="13"/>
      <c r="AD705" s="13"/>
    </row>
    <row r="706">
      <c r="J706" s="9"/>
      <c r="K706" s="9"/>
      <c r="L706" s="32"/>
      <c r="M706" s="32"/>
      <c r="Z706" s="13"/>
      <c r="AA706" s="13"/>
      <c r="AB706" s="13"/>
      <c r="AC706" s="13"/>
      <c r="AD706" s="13"/>
    </row>
    <row r="707">
      <c r="J707" s="9"/>
      <c r="K707" s="9"/>
      <c r="L707" s="32"/>
      <c r="M707" s="32"/>
      <c r="Z707" s="13"/>
      <c r="AA707" s="13"/>
      <c r="AB707" s="13"/>
      <c r="AC707" s="13"/>
      <c r="AD707" s="13"/>
    </row>
    <row r="708">
      <c r="J708" s="9"/>
      <c r="K708" s="9"/>
      <c r="L708" s="32"/>
      <c r="M708" s="32"/>
      <c r="Z708" s="13"/>
      <c r="AA708" s="13"/>
      <c r="AB708" s="13"/>
      <c r="AC708" s="13"/>
      <c r="AD708" s="13"/>
    </row>
    <row r="709">
      <c r="J709" s="9"/>
      <c r="K709" s="9"/>
      <c r="L709" s="32"/>
      <c r="M709" s="32"/>
      <c r="Z709" s="13"/>
      <c r="AA709" s="13"/>
      <c r="AB709" s="13"/>
      <c r="AC709" s="13"/>
      <c r="AD709" s="13"/>
    </row>
    <row r="710">
      <c r="J710" s="9"/>
      <c r="K710" s="9"/>
      <c r="L710" s="32"/>
      <c r="M710" s="32"/>
      <c r="Z710" s="13"/>
      <c r="AA710" s="13"/>
      <c r="AB710" s="13"/>
      <c r="AC710" s="13"/>
      <c r="AD710" s="13"/>
    </row>
    <row r="711">
      <c r="J711" s="9"/>
      <c r="K711" s="9"/>
      <c r="L711" s="32"/>
      <c r="M711" s="32"/>
      <c r="Z711" s="13"/>
      <c r="AA711" s="13"/>
      <c r="AB711" s="13"/>
      <c r="AC711" s="13"/>
      <c r="AD711" s="13"/>
    </row>
    <row r="712">
      <c r="J712" s="9"/>
      <c r="K712" s="9"/>
      <c r="L712" s="32"/>
      <c r="M712" s="32"/>
      <c r="Z712" s="13"/>
      <c r="AA712" s="13"/>
      <c r="AB712" s="13"/>
      <c r="AC712" s="13"/>
      <c r="AD712" s="13"/>
    </row>
    <row r="713">
      <c r="J713" s="9"/>
      <c r="K713" s="9"/>
      <c r="L713" s="32"/>
      <c r="M713" s="32"/>
      <c r="Z713" s="13"/>
      <c r="AA713" s="13"/>
      <c r="AB713" s="13"/>
      <c r="AC713" s="13"/>
      <c r="AD713" s="13"/>
    </row>
    <row r="714">
      <c r="J714" s="9"/>
      <c r="K714" s="9"/>
      <c r="L714" s="32"/>
      <c r="M714" s="32"/>
      <c r="Z714" s="13"/>
      <c r="AA714" s="13"/>
      <c r="AB714" s="13"/>
      <c r="AC714" s="13"/>
      <c r="AD714" s="13"/>
    </row>
    <row r="715">
      <c r="J715" s="9"/>
      <c r="K715" s="9"/>
      <c r="L715" s="32"/>
      <c r="M715" s="32"/>
      <c r="Z715" s="13"/>
      <c r="AA715" s="13"/>
      <c r="AB715" s="13"/>
      <c r="AC715" s="13"/>
      <c r="AD715" s="13"/>
    </row>
    <row r="716">
      <c r="J716" s="9"/>
      <c r="K716" s="9"/>
      <c r="L716" s="32"/>
      <c r="M716" s="32"/>
      <c r="Z716" s="13"/>
      <c r="AA716" s="13"/>
      <c r="AB716" s="13"/>
      <c r="AC716" s="13"/>
      <c r="AD716" s="13"/>
    </row>
    <row r="717">
      <c r="J717" s="9"/>
      <c r="K717" s="9"/>
      <c r="L717" s="32"/>
      <c r="M717" s="32"/>
      <c r="Z717" s="13"/>
      <c r="AA717" s="13"/>
      <c r="AB717" s="13"/>
      <c r="AC717" s="13"/>
      <c r="AD717" s="13"/>
    </row>
    <row r="718">
      <c r="J718" s="9"/>
      <c r="K718" s="9"/>
      <c r="L718" s="32"/>
      <c r="M718" s="32"/>
      <c r="Z718" s="13"/>
      <c r="AA718" s="13"/>
      <c r="AB718" s="13"/>
      <c r="AC718" s="13"/>
      <c r="AD718" s="13"/>
    </row>
    <row r="719">
      <c r="J719" s="9"/>
      <c r="K719" s="9"/>
      <c r="L719" s="32"/>
      <c r="M719" s="32"/>
      <c r="Z719" s="13"/>
      <c r="AA719" s="13"/>
      <c r="AB719" s="13"/>
      <c r="AC719" s="13"/>
      <c r="AD719" s="13"/>
    </row>
    <row r="720">
      <c r="J720" s="9"/>
      <c r="K720" s="9"/>
      <c r="L720" s="32"/>
      <c r="M720" s="32"/>
      <c r="Z720" s="13"/>
      <c r="AA720" s="13"/>
      <c r="AB720" s="13"/>
      <c r="AC720" s="13"/>
      <c r="AD720" s="13"/>
    </row>
    <row r="721">
      <c r="J721" s="9"/>
      <c r="K721" s="9"/>
      <c r="L721" s="32"/>
      <c r="M721" s="32"/>
      <c r="Z721" s="13"/>
      <c r="AA721" s="13"/>
      <c r="AB721" s="13"/>
      <c r="AC721" s="13"/>
      <c r="AD721" s="13"/>
    </row>
    <row r="722">
      <c r="J722" s="9"/>
      <c r="K722" s="9"/>
      <c r="L722" s="32"/>
      <c r="M722" s="32"/>
      <c r="Z722" s="13"/>
      <c r="AA722" s="13"/>
      <c r="AB722" s="13"/>
      <c r="AC722" s="13"/>
      <c r="AD722" s="13"/>
    </row>
    <row r="723">
      <c r="J723" s="9"/>
      <c r="K723" s="9"/>
      <c r="L723" s="32"/>
      <c r="M723" s="32"/>
      <c r="Z723" s="13"/>
      <c r="AA723" s="13"/>
      <c r="AB723" s="13"/>
      <c r="AC723" s="13"/>
      <c r="AD723" s="13"/>
    </row>
    <row r="724">
      <c r="J724" s="9"/>
      <c r="K724" s="9"/>
      <c r="L724" s="32"/>
      <c r="M724" s="32"/>
      <c r="Z724" s="13"/>
      <c r="AA724" s="13"/>
      <c r="AB724" s="13"/>
      <c r="AC724" s="13"/>
      <c r="AD724" s="13"/>
    </row>
    <row r="725">
      <c r="J725" s="9"/>
      <c r="K725" s="9"/>
      <c r="L725" s="32"/>
      <c r="M725" s="32"/>
      <c r="Z725" s="13"/>
      <c r="AA725" s="13"/>
      <c r="AB725" s="13"/>
      <c r="AC725" s="13"/>
      <c r="AD725" s="13"/>
    </row>
    <row r="726">
      <c r="J726" s="9"/>
      <c r="K726" s="9"/>
      <c r="L726" s="32"/>
      <c r="M726" s="32"/>
      <c r="Z726" s="13"/>
      <c r="AA726" s="13"/>
      <c r="AB726" s="13"/>
      <c r="AC726" s="13"/>
      <c r="AD726" s="13"/>
    </row>
    <row r="727">
      <c r="J727" s="9"/>
      <c r="K727" s="9"/>
      <c r="L727" s="32"/>
      <c r="M727" s="32"/>
      <c r="Z727" s="13"/>
      <c r="AA727" s="13"/>
      <c r="AB727" s="13"/>
      <c r="AC727" s="13"/>
      <c r="AD727" s="13"/>
    </row>
    <row r="728">
      <c r="J728" s="9"/>
      <c r="K728" s="9"/>
      <c r="L728" s="32"/>
      <c r="M728" s="32"/>
      <c r="Z728" s="13"/>
      <c r="AA728" s="13"/>
      <c r="AB728" s="13"/>
      <c r="AC728" s="13"/>
      <c r="AD728" s="13"/>
    </row>
    <row r="729">
      <c r="J729" s="9"/>
      <c r="K729" s="9"/>
      <c r="L729" s="32"/>
      <c r="M729" s="32"/>
      <c r="Z729" s="13"/>
      <c r="AA729" s="13"/>
      <c r="AB729" s="13"/>
      <c r="AC729" s="13"/>
      <c r="AD729" s="13"/>
    </row>
    <row r="730">
      <c r="J730" s="9"/>
      <c r="K730" s="9"/>
      <c r="L730" s="32"/>
      <c r="M730" s="32"/>
      <c r="Z730" s="13"/>
      <c r="AA730" s="13"/>
      <c r="AB730" s="13"/>
      <c r="AC730" s="13"/>
      <c r="AD730" s="13"/>
    </row>
    <row r="731">
      <c r="J731" s="9"/>
      <c r="K731" s="9"/>
      <c r="L731" s="32"/>
      <c r="M731" s="32"/>
      <c r="Z731" s="13"/>
      <c r="AA731" s="13"/>
      <c r="AB731" s="13"/>
      <c r="AC731" s="13"/>
      <c r="AD731" s="13"/>
    </row>
    <row r="732">
      <c r="J732" s="9"/>
      <c r="K732" s="9"/>
      <c r="L732" s="32"/>
      <c r="M732" s="32"/>
      <c r="Z732" s="13"/>
      <c r="AA732" s="13"/>
      <c r="AB732" s="13"/>
      <c r="AC732" s="13"/>
      <c r="AD732" s="13"/>
    </row>
    <row r="733">
      <c r="J733" s="9"/>
      <c r="K733" s="9"/>
      <c r="L733" s="32"/>
      <c r="M733" s="32"/>
      <c r="Z733" s="13"/>
      <c r="AA733" s="13"/>
      <c r="AB733" s="13"/>
      <c r="AC733" s="13"/>
      <c r="AD733" s="13"/>
    </row>
    <row r="734">
      <c r="J734" s="9"/>
      <c r="K734" s="9"/>
      <c r="L734" s="32"/>
      <c r="M734" s="32"/>
      <c r="Z734" s="13"/>
      <c r="AA734" s="13"/>
      <c r="AB734" s="13"/>
      <c r="AC734" s="13"/>
      <c r="AD734" s="13"/>
    </row>
    <row r="735">
      <c r="J735" s="9"/>
      <c r="K735" s="9"/>
      <c r="L735" s="32"/>
      <c r="M735" s="32"/>
      <c r="Z735" s="13"/>
      <c r="AA735" s="13"/>
      <c r="AB735" s="13"/>
      <c r="AC735" s="13"/>
      <c r="AD735" s="13"/>
    </row>
    <row r="736">
      <c r="J736" s="9"/>
      <c r="K736" s="9"/>
      <c r="L736" s="32"/>
      <c r="M736" s="32"/>
      <c r="Z736" s="13"/>
      <c r="AA736" s="13"/>
      <c r="AB736" s="13"/>
      <c r="AC736" s="13"/>
      <c r="AD736" s="13"/>
    </row>
    <row r="737">
      <c r="J737" s="9"/>
      <c r="K737" s="9"/>
      <c r="L737" s="32"/>
      <c r="M737" s="32"/>
      <c r="Z737" s="13"/>
      <c r="AA737" s="13"/>
      <c r="AB737" s="13"/>
      <c r="AC737" s="13"/>
      <c r="AD737" s="13"/>
    </row>
    <row r="738">
      <c r="J738" s="9"/>
      <c r="K738" s="9"/>
      <c r="L738" s="32"/>
      <c r="M738" s="32"/>
      <c r="Z738" s="13"/>
      <c r="AA738" s="13"/>
      <c r="AB738" s="13"/>
      <c r="AC738" s="13"/>
      <c r="AD738" s="13"/>
    </row>
    <row r="739">
      <c r="J739" s="9"/>
      <c r="K739" s="9"/>
      <c r="L739" s="32"/>
      <c r="M739" s="32"/>
      <c r="Z739" s="13"/>
      <c r="AA739" s="13"/>
      <c r="AB739" s="13"/>
      <c r="AC739" s="13"/>
      <c r="AD739" s="13"/>
    </row>
    <row r="740">
      <c r="J740" s="9"/>
      <c r="K740" s="9"/>
      <c r="L740" s="32"/>
      <c r="M740" s="32"/>
      <c r="Z740" s="13"/>
      <c r="AA740" s="13"/>
      <c r="AB740" s="13"/>
      <c r="AC740" s="13"/>
      <c r="AD740" s="13"/>
    </row>
    <row r="741">
      <c r="J741" s="9"/>
      <c r="K741" s="9"/>
      <c r="L741" s="32"/>
      <c r="M741" s="32"/>
      <c r="Z741" s="13"/>
      <c r="AA741" s="13"/>
      <c r="AB741" s="13"/>
      <c r="AC741" s="13"/>
      <c r="AD741" s="13"/>
    </row>
    <row r="742">
      <c r="J742" s="9"/>
      <c r="K742" s="9"/>
      <c r="L742" s="32"/>
      <c r="M742" s="32"/>
      <c r="Z742" s="13"/>
      <c r="AA742" s="13"/>
      <c r="AB742" s="13"/>
      <c r="AC742" s="13"/>
      <c r="AD742" s="13"/>
    </row>
    <row r="743">
      <c r="J743" s="9"/>
      <c r="K743" s="9"/>
      <c r="L743" s="32"/>
      <c r="M743" s="32"/>
      <c r="Z743" s="13"/>
      <c r="AA743" s="13"/>
      <c r="AB743" s="13"/>
      <c r="AC743" s="13"/>
      <c r="AD743" s="13"/>
    </row>
    <row r="744">
      <c r="J744" s="9"/>
      <c r="K744" s="9"/>
      <c r="L744" s="32"/>
      <c r="M744" s="32"/>
      <c r="Z744" s="13"/>
      <c r="AA744" s="13"/>
      <c r="AB744" s="13"/>
      <c r="AC744" s="13"/>
      <c r="AD744" s="13"/>
    </row>
    <row r="745">
      <c r="J745" s="9"/>
      <c r="K745" s="9"/>
      <c r="L745" s="32"/>
      <c r="M745" s="32"/>
      <c r="Z745" s="13"/>
      <c r="AA745" s="13"/>
      <c r="AB745" s="13"/>
      <c r="AC745" s="13"/>
      <c r="AD745" s="13"/>
    </row>
    <row r="746">
      <c r="J746" s="9"/>
      <c r="K746" s="9"/>
      <c r="L746" s="32"/>
      <c r="M746" s="32"/>
      <c r="Z746" s="13"/>
      <c r="AA746" s="13"/>
      <c r="AB746" s="13"/>
      <c r="AC746" s="13"/>
      <c r="AD746" s="13"/>
    </row>
    <row r="747">
      <c r="J747" s="9"/>
      <c r="K747" s="9"/>
      <c r="L747" s="32"/>
      <c r="M747" s="32"/>
      <c r="Z747" s="13"/>
      <c r="AA747" s="13"/>
      <c r="AB747" s="13"/>
      <c r="AC747" s="13"/>
      <c r="AD747" s="13"/>
    </row>
    <row r="748">
      <c r="J748" s="9"/>
      <c r="K748" s="9"/>
      <c r="L748" s="32"/>
      <c r="M748" s="32"/>
      <c r="Z748" s="13"/>
      <c r="AA748" s="13"/>
      <c r="AB748" s="13"/>
      <c r="AC748" s="13"/>
      <c r="AD748" s="13"/>
    </row>
    <row r="749">
      <c r="J749" s="9"/>
      <c r="K749" s="9"/>
      <c r="L749" s="32"/>
      <c r="M749" s="32"/>
      <c r="Z749" s="13"/>
      <c r="AA749" s="13"/>
      <c r="AB749" s="13"/>
      <c r="AC749" s="13"/>
      <c r="AD749" s="13"/>
    </row>
    <row r="750">
      <c r="J750" s="9"/>
      <c r="K750" s="9"/>
      <c r="L750" s="32"/>
      <c r="M750" s="32"/>
      <c r="Z750" s="13"/>
      <c r="AA750" s="13"/>
      <c r="AB750" s="13"/>
      <c r="AC750" s="13"/>
      <c r="AD750" s="13"/>
    </row>
    <row r="751">
      <c r="J751" s="9"/>
      <c r="K751" s="9"/>
      <c r="L751" s="32"/>
      <c r="M751" s="32"/>
      <c r="Z751" s="13"/>
      <c r="AA751" s="13"/>
      <c r="AB751" s="13"/>
      <c r="AC751" s="13"/>
      <c r="AD751" s="13"/>
    </row>
    <row r="752">
      <c r="J752" s="9"/>
      <c r="K752" s="9"/>
      <c r="L752" s="32"/>
      <c r="M752" s="32"/>
      <c r="Z752" s="13"/>
      <c r="AA752" s="13"/>
      <c r="AB752" s="13"/>
      <c r="AC752" s="13"/>
      <c r="AD752" s="13"/>
    </row>
    <row r="753">
      <c r="J753" s="9"/>
      <c r="K753" s="9"/>
      <c r="L753" s="32"/>
      <c r="M753" s="32"/>
      <c r="Z753" s="13"/>
      <c r="AA753" s="13"/>
      <c r="AB753" s="13"/>
      <c r="AC753" s="13"/>
      <c r="AD753" s="13"/>
    </row>
    <row r="754">
      <c r="J754" s="9"/>
      <c r="K754" s="9"/>
      <c r="L754" s="32"/>
      <c r="M754" s="32"/>
      <c r="Z754" s="13"/>
      <c r="AA754" s="13"/>
      <c r="AB754" s="13"/>
      <c r="AC754" s="13"/>
      <c r="AD754" s="13"/>
    </row>
    <row r="755">
      <c r="J755" s="9"/>
      <c r="K755" s="9"/>
      <c r="L755" s="32"/>
      <c r="M755" s="32"/>
      <c r="Z755" s="13"/>
      <c r="AA755" s="13"/>
      <c r="AB755" s="13"/>
      <c r="AC755" s="13"/>
      <c r="AD755" s="13"/>
    </row>
    <row r="756">
      <c r="J756" s="9"/>
      <c r="K756" s="9"/>
      <c r="L756" s="32"/>
      <c r="M756" s="32"/>
      <c r="Z756" s="13"/>
      <c r="AA756" s="13"/>
      <c r="AB756" s="13"/>
      <c r="AC756" s="13"/>
      <c r="AD756" s="13"/>
    </row>
    <row r="757">
      <c r="J757" s="9"/>
      <c r="K757" s="9"/>
      <c r="L757" s="32"/>
      <c r="M757" s="32"/>
      <c r="Z757" s="13"/>
      <c r="AA757" s="13"/>
      <c r="AB757" s="13"/>
      <c r="AC757" s="13"/>
      <c r="AD757" s="13"/>
    </row>
    <row r="758">
      <c r="J758" s="9"/>
      <c r="K758" s="9"/>
      <c r="L758" s="32"/>
      <c r="M758" s="32"/>
      <c r="Z758" s="13"/>
      <c r="AA758" s="13"/>
      <c r="AB758" s="13"/>
      <c r="AC758" s="13"/>
      <c r="AD758" s="13"/>
    </row>
    <row r="759">
      <c r="J759" s="9"/>
      <c r="K759" s="9"/>
      <c r="L759" s="32"/>
      <c r="M759" s="32"/>
      <c r="Z759" s="13"/>
      <c r="AA759" s="13"/>
      <c r="AB759" s="13"/>
      <c r="AC759" s="13"/>
      <c r="AD759" s="13"/>
    </row>
    <row r="760">
      <c r="J760" s="9"/>
      <c r="K760" s="9"/>
      <c r="L760" s="32"/>
      <c r="M760" s="32"/>
      <c r="Z760" s="13"/>
      <c r="AA760" s="13"/>
      <c r="AB760" s="13"/>
      <c r="AC760" s="13"/>
      <c r="AD760" s="13"/>
    </row>
    <row r="761">
      <c r="J761" s="9"/>
      <c r="K761" s="9"/>
      <c r="L761" s="32"/>
      <c r="M761" s="32"/>
      <c r="Z761" s="13"/>
      <c r="AA761" s="13"/>
      <c r="AB761" s="13"/>
      <c r="AC761" s="13"/>
      <c r="AD761" s="13"/>
    </row>
    <row r="762">
      <c r="J762" s="9"/>
      <c r="K762" s="9"/>
      <c r="L762" s="32"/>
      <c r="M762" s="32"/>
      <c r="Z762" s="13"/>
      <c r="AA762" s="13"/>
      <c r="AB762" s="13"/>
      <c r="AC762" s="13"/>
      <c r="AD762" s="13"/>
    </row>
    <row r="763">
      <c r="J763" s="9"/>
      <c r="K763" s="9"/>
      <c r="L763" s="32"/>
      <c r="M763" s="32"/>
      <c r="Z763" s="13"/>
      <c r="AA763" s="13"/>
      <c r="AB763" s="13"/>
      <c r="AC763" s="13"/>
      <c r="AD763" s="13"/>
    </row>
    <row r="764">
      <c r="J764" s="9"/>
      <c r="K764" s="9"/>
      <c r="L764" s="32"/>
      <c r="M764" s="32"/>
      <c r="Z764" s="13"/>
      <c r="AA764" s="13"/>
      <c r="AB764" s="13"/>
      <c r="AC764" s="13"/>
      <c r="AD764" s="13"/>
    </row>
    <row r="765">
      <c r="J765" s="9"/>
      <c r="K765" s="9"/>
      <c r="L765" s="32"/>
      <c r="M765" s="32"/>
      <c r="Z765" s="13"/>
      <c r="AA765" s="13"/>
      <c r="AB765" s="13"/>
      <c r="AC765" s="13"/>
      <c r="AD765" s="13"/>
    </row>
    <row r="766">
      <c r="J766" s="9"/>
      <c r="K766" s="9"/>
      <c r="L766" s="32"/>
      <c r="M766" s="32"/>
      <c r="Z766" s="13"/>
      <c r="AA766" s="13"/>
      <c r="AB766" s="13"/>
      <c r="AC766" s="13"/>
      <c r="AD766" s="13"/>
    </row>
    <row r="767">
      <c r="J767" s="9"/>
      <c r="K767" s="9"/>
      <c r="L767" s="32"/>
      <c r="M767" s="32"/>
      <c r="Z767" s="13"/>
      <c r="AA767" s="13"/>
      <c r="AB767" s="13"/>
      <c r="AC767" s="13"/>
      <c r="AD767" s="13"/>
    </row>
    <row r="768">
      <c r="J768" s="9"/>
      <c r="K768" s="9"/>
      <c r="L768" s="32"/>
      <c r="M768" s="32"/>
      <c r="Z768" s="13"/>
      <c r="AA768" s="13"/>
      <c r="AB768" s="13"/>
      <c r="AC768" s="13"/>
      <c r="AD768" s="13"/>
    </row>
    <row r="769">
      <c r="J769" s="9"/>
      <c r="K769" s="9"/>
      <c r="L769" s="32"/>
      <c r="M769" s="32"/>
      <c r="Z769" s="13"/>
      <c r="AA769" s="13"/>
      <c r="AB769" s="13"/>
      <c r="AC769" s="13"/>
      <c r="AD769" s="13"/>
    </row>
    <row r="770">
      <c r="J770" s="9"/>
      <c r="K770" s="9"/>
      <c r="L770" s="32"/>
      <c r="M770" s="32"/>
      <c r="Z770" s="13"/>
      <c r="AA770" s="13"/>
      <c r="AB770" s="13"/>
      <c r="AC770" s="13"/>
      <c r="AD770" s="13"/>
    </row>
    <row r="771">
      <c r="J771" s="9"/>
      <c r="K771" s="9"/>
      <c r="L771" s="32"/>
      <c r="M771" s="32"/>
      <c r="Z771" s="13"/>
      <c r="AA771" s="13"/>
      <c r="AB771" s="13"/>
      <c r="AC771" s="13"/>
      <c r="AD771" s="13"/>
    </row>
    <row r="772">
      <c r="J772" s="9"/>
      <c r="K772" s="9"/>
      <c r="L772" s="32"/>
      <c r="M772" s="32"/>
      <c r="Z772" s="13"/>
      <c r="AA772" s="13"/>
      <c r="AB772" s="13"/>
      <c r="AC772" s="13"/>
      <c r="AD772" s="13"/>
    </row>
    <row r="773">
      <c r="J773" s="9"/>
      <c r="K773" s="9"/>
      <c r="L773" s="32"/>
      <c r="M773" s="32"/>
      <c r="Z773" s="13"/>
      <c r="AA773" s="13"/>
      <c r="AB773" s="13"/>
      <c r="AC773" s="13"/>
      <c r="AD773" s="13"/>
    </row>
    <row r="774">
      <c r="J774" s="9"/>
      <c r="K774" s="9"/>
      <c r="L774" s="32"/>
      <c r="M774" s="32"/>
      <c r="Z774" s="13"/>
      <c r="AA774" s="13"/>
      <c r="AB774" s="13"/>
      <c r="AC774" s="13"/>
      <c r="AD774" s="13"/>
    </row>
    <row r="775">
      <c r="J775" s="9"/>
      <c r="K775" s="9"/>
      <c r="L775" s="32"/>
      <c r="M775" s="32"/>
      <c r="Z775" s="13"/>
      <c r="AA775" s="13"/>
      <c r="AB775" s="13"/>
      <c r="AC775" s="13"/>
      <c r="AD775" s="13"/>
    </row>
    <row r="776">
      <c r="J776" s="9"/>
      <c r="K776" s="9"/>
      <c r="L776" s="32"/>
      <c r="M776" s="32"/>
      <c r="Z776" s="13"/>
      <c r="AA776" s="13"/>
      <c r="AB776" s="13"/>
      <c r="AC776" s="13"/>
      <c r="AD776" s="13"/>
    </row>
    <row r="777">
      <c r="J777" s="9"/>
      <c r="K777" s="9"/>
      <c r="L777" s="32"/>
      <c r="M777" s="32"/>
      <c r="Z777" s="13"/>
      <c r="AA777" s="13"/>
      <c r="AB777" s="13"/>
      <c r="AC777" s="13"/>
      <c r="AD777" s="13"/>
    </row>
    <row r="778">
      <c r="J778" s="9"/>
      <c r="K778" s="9"/>
      <c r="L778" s="32"/>
      <c r="M778" s="32"/>
      <c r="Z778" s="13"/>
      <c r="AA778" s="13"/>
      <c r="AB778" s="13"/>
      <c r="AC778" s="13"/>
      <c r="AD778" s="13"/>
    </row>
    <row r="779">
      <c r="J779" s="9"/>
      <c r="K779" s="9"/>
      <c r="L779" s="32"/>
      <c r="M779" s="32"/>
      <c r="Z779" s="13"/>
      <c r="AA779" s="13"/>
      <c r="AB779" s="13"/>
      <c r="AC779" s="13"/>
      <c r="AD779" s="13"/>
    </row>
    <row r="780">
      <c r="J780" s="9"/>
      <c r="K780" s="9"/>
      <c r="L780" s="32"/>
      <c r="M780" s="32"/>
      <c r="Z780" s="13"/>
      <c r="AA780" s="13"/>
      <c r="AB780" s="13"/>
      <c r="AC780" s="13"/>
      <c r="AD780" s="13"/>
    </row>
    <row r="781">
      <c r="J781" s="9"/>
      <c r="K781" s="9"/>
      <c r="L781" s="32"/>
      <c r="M781" s="32"/>
      <c r="Z781" s="13"/>
      <c r="AA781" s="13"/>
      <c r="AB781" s="13"/>
      <c r="AC781" s="13"/>
      <c r="AD781" s="13"/>
    </row>
    <row r="782">
      <c r="J782" s="9"/>
      <c r="K782" s="9"/>
      <c r="L782" s="32"/>
      <c r="M782" s="32"/>
      <c r="Z782" s="13"/>
      <c r="AA782" s="13"/>
      <c r="AB782" s="13"/>
      <c r="AC782" s="13"/>
      <c r="AD782" s="13"/>
    </row>
    <row r="783">
      <c r="J783" s="9"/>
      <c r="K783" s="9"/>
      <c r="L783" s="32"/>
      <c r="M783" s="32"/>
      <c r="Z783" s="13"/>
      <c r="AA783" s="13"/>
      <c r="AB783" s="13"/>
      <c r="AC783" s="13"/>
      <c r="AD783" s="13"/>
    </row>
    <row r="784">
      <c r="J784" s="9"/>
      <c r="K784" s="9"/>
      <c r="L784" s="32"/>
      <c r="M784" s="32"/>
      <c r="Z784" s="13"/>
      <c r="AA784" s="13"/>
      <c r="AB784" s="13"/>
      <c r="AC784" s="13"/>
      <c r="AD784" s="13"/>
    </row>
    <row r="785">
      <c r="J785" s="9"/>
      <c r="K785" s="9"/>
      <c r="L785" s="32"/>
      <c r="M785" s="32"/>
      <c r="Z785" s="13"/>
      <c r="AA785" s="13"/>
      <c r="AB785" s="13"/>
      <c r="AC785" s="13"/>
      <c r="AD785" s="13"/>
    </row>
    <row r="786">
      <c r="J786" s="9"/>
      <c r="K786" s="9"/>
      <c r="L786" s="32"/>
      <c r="M786" s="32"/>
      <c r="Z786" s="13"/>
      <c r="AA786" s="13"/>
      <c r="AB786" s="13"/>
      <c r="AC786" s="13"/>
      <c r="AD786" s="13"/>
    </row>
    <row r="787">
      <c r="J787" s="9"/>
      <c r="K787" s="9"/>
      <c r="L787" s="32"/>
      <c r="M787" s="32"/>
      <c r="Z787" s="13"/>
      <c r="AA787" s="13"/>
      <c r="AB787" s="13"/>
      <c r="AC787" s="13"/>
      <c r="AD787" s="13"/>
    </row>
    <row r="788">
      <c r="J788" s="9"/>
      <c r="K788" s="9"/>
      <c r="L788" s="32"/>
      <c r="M788" s="32"/>
      <c r="Z788" s="13"/>
      <c r="AA788" s="13"/>
      <c r="AB788" s="13"/>
      <c r="AC788" s="13"/>
      <c r="AD788" s="13"/>
    </row>
    <row r="789">
      <c r="J789" s="9"/>
      <c r="K789" s="9"/>
      <c r="L789" s="32"/>
      <c r="M789" s="32"/>
      <c r="Z789" s="13"/>
      <c r="AA789" s="13"/>
      <c r="AB789" s="13"/>
      <c r="AC789" s="13"/>
      <c r="AD789" s="13"/>
    </row>
    <row r="790">
      <c r="J790" s="9"/>
      <c r="K790" s="9"/>
      <c r="L790" s="32"/>
      <c r="M790" s="32"/>
      <c r="Z790" s="13"/>
      <c r="AA790" s="13"/>
      <c r="AB790" s="13"/>
      <c r="AC790" s="13"/>
      <c r="AD790" s="13"/>
    </row>
    <row r="791">
      <c r="J791" s="9"/>
      <c r="K791" s="9"/>
      <c r="L791" s="32"/>
      <c r="M791" s="32"/>
      <c r="Z791" s="13"/>
      <c r="AA791" s="13"/>
      <c r="AB791" s="13"/>
      <c r="AC791" s="13"/>
      <c r="AD791" s="13"/>
    </row>
    <row r="792">
      <c r="J792" s="9"/>
      <c r="K792" s="9"/>
      <c r="L792" s="32"/>
      <c r="M792" s="32"/>
      <c r="Z792" s="13"/>
      <c r="AA792" s="13"/>
      <c r="AB792" s="13"/>
      <c r="AC792" s="13"/>
      <c r="AD792" s="13"/>
    </row>
    <row r="793">
      <c r="J793" s="9"/>
      <c r="K793" s="9"/>
      <c r="L793" s="32"/>
      <c r="M793" s="32"/>
      <c r="Z793" s="13"/>
      <c r="AA793" s="13"/>
      <c r="AB793" s="13"/>
      <c r="AC793" s="13"/>
      <c r="AD793" s="13"/>
    </row>
    <row r="794">
      <c r="J794" s="9"/>
      <c r="K794" s="9"/>
      <c r="L794" s="32"/>
      <c r="M794" s="32"/>
      <c r="Z794" s="13"/>
      <c r="AA794" s="13"/>
      <c r="AB794" s="13"/>
      <c r="AC794" s="13"/>
      <c r="AD794" s="13"/>
    </row>
    <row r="795">
      <c r="J795" s="9"/>
      <c r="K795" s="9"/>
      <c r="L795" s="32"/>
      <c r="M795" s="32"/>
      <c r="Z795" s="13"/>
      <c r="AA795" s="13"/>
      <c r="AB795" s="13"/>
      <c r="AC795" s="13"/>
      <c r="AD795" s="13"/>
    </row>
    <row r="796">
      <c r="J796" s="9"/>
      <c r="K796" s="9"/>
      <c r="L796" s="32"/>
      <c r="M796" s="32"/>
      <c r="Z796" s="13"/>
      <c r="AA796" s="13"/>
      <c r="AB796" s="13"/>
      <c r="AC796" s="13"/>
      <c r="AD796" s="13"/>
    </row>
    <row r="797">
      <c r="J797" s="9"/>
      <c r="K797" s="9"/>
      <c r="L797" s="32"/>
      <c r="M797" s="32"/>
      <c r="Z797" s="13"/>
      <c r="AA797" s="13"/>
      <c r="AB797" s="13"/>
      <c r="AC797" s="13"/>
      <c r="AD797" s="13"/>
    </row>
    <row r="798">
      <c r="J798" s="9"/>
      <c r="K798" s="9"/>
      <c r="L798" s="32"/>
      <c r="M798" s="32"/>
      <c r="Z798" s="13"/>
      <c r="AA798" s="13"/>
      <c r="AB798" s="13"/>
      <c r="AC798" s="13"/>
      <c r="AD798" s="13"/>
    </row>
    <row r="799">
      <c r="J799" s="9"/>
      <c r="K799" s="9"/>
      <c r="L799" s="32"/>
      <c r="M799" s="32"/>
      <c r="Z799" s="13"/>
      <c r="AA799" s="13"/>
      <c r="AB799" s="13"/>
      <c r="AC799" s="13"/>
      <c r="AD799" s="13"/>
    </row>
    <row r="800">
      <c r="J800" s="9"/>
      <c r="K800" s="9"/>
      <c r="L800" s="32"/>
      <c r="M800" s="32"/>
      <c r="Z800" s="13"/>
      <c r="AA800" s="13"/>
      <c r="AB800" s="13"/>
      <c r="AC800" s="13"/>
      <c r="AD800" s="13"/>
    </row>
    <row r="801">
      <c r="J801" s="9"/>
      <c r="K801" s="9"/>
      <c r="L801" s="32"/>
      <c r="M801" s="32"/>
      <c r="Z801" s="13"/>
      <c r="AA801" s="13"/>
      <c r="AB801" s="13"/>
      <c r="AC801" s="13"/>
      <c r="AD801" s="13"/>
    </row>
    <row r="802">
      <c r="J802" s="9"/>
      <c r="K802" s="9"/>
      <c r="L802" s="32"/>
      <c r="M802" s="32"/>
      <c r="Z802" s="13"/>
      <c r="AA802" s="13"/>
      <c r="AB802" s="13"/>
      <c r="AC802" s="13"/>
      <c r="AD802" s="13"/>
    </row>
    <row r="803">
      <c r="J803" s="9"/>
      <c r="K803" s="9"/>
      <c r="L803" s="32"/>
      <c r="M803" s="32"/>
      <c r="Z803" s="13"/>
      <c r="AA803" s="13"/>
      <c r="AB803" s="13"/>
      <c r="AC803" s="13"/>
      <c r="AD803" s="13"/>
    </row>
    <row r="804">
      <c r="J804" s="9"/>
      <c r="K804" s="9"/>
      <c r="L804" s="32"/>
      <c r="M804" s="32"/>
      <c r="Z804" s="13"/>
      <c r="AA804" s="13"/>
      <c r="AB804" s="13"/>
      <c r="AC804" s="13"/>
      <c r="AD804" s="13"/>
    </row>
    <row r="805">
      <c r="J805" s="9"/>
      <c r="K805" s="9"/>
      <c r="L805" s="32"/>
      <c r="M805" s="32"/>
      <c r="Z805" s="13"/>
      <c r="AA805" s="13"/>
      <c r="AB805" s="13"/>
      <c r="AC805" s="13"/>
      <c r="AD805" s="13"/>
    </row>
    <row r="806">
      <c r="J806" s="9"/>
      <c r="K806" s="9"/>
      <c r="L806" s="32"/>
      <c r="M806" s="32"/>
      <c r="Z806" s="13"/>
      <c r="AA806" s="13"/>
      <c r="AB806" s="13"/>
      <c r="AC806" s="13"/>
      <c r="AD806" s="13"/>
    </row>
    <row r="807">
      <c r="J807" s="9"/>
      <c r="K807" s="9"/>
      <c r="L807" s="32"/>
      <c r="M807" s="32"/>
      <c r="Z807" s="13"/>
      <c r="AA807" s="13"/>
      <c r="AB807" s="13"/>
      <c r="AC807" s="13"/>
      <c r="AD807" s="13"/>
    </row>
    <row r="808">
      <c r="J808" s="9"/>
      <c r="K808" s="9"/>
      <c r="L808" s="32"/>
      <c r="M808" s="32"/>
      <c r="Z808" s="13"/>
      <c r="AA808" s="13"/>
      <c r="AB808" s="13"/>
      <c r="AC808" s="13"/>
      <c r="AD808" s="13"/>
    </row>
    <row r="809">
      <c r="J809" s="9"/>
      <c r="K809" s="9"/>
      <c r="L809" s="32"/>
      <c r="M809" s="32"/>
      <c r="Z809" s="13"/>
      <c r="AA809" s="13"/>
      <c r="AB809" s="13"/>
      <c r="AC809" s="13"/>
      <c r="AD809" s="13"/>
    </row>
    <row r="810">
      <c r="J810" s="9"/>
      <c r="K810" s="9"/>
      <c r="L810" s="32"/>
      <c r="M810" s="32"/>
      <c r="Z810" s="13"/>
      <c r="AA810" s="13"/>
      <c r="AB810" s="13"/>
      <c r="AC810" s="13"/>
      <c r="AD810" s="13"/>
    </row>
    <row r="811">
      <c r="J811" s="9"/>
      <c r="K811" s="9"/>
      <c r="L811" s="32"/>
      <c r="M811" s="32"/>
      <c r="Z811" s="13"/>
      <c r="AA811" s="13"/>
      <c r="AB811" s="13"/>
      <c r="AC811" s="13"/>
      <c r="AD811" s="13"/>
    </row>
    <row r="812">
      <c r="J812" s="9"/>
      <c r="K812" s="9"/>
      <c r="L812" s="32"/>
      <c r="M812" s="32"/>
      <c r="Z812" s="13"/>
      <c r="AA812" s="13"/>
      <c r="AB812" s="13"/>
      <c r="AC812" s="13"/>
      <c r="AD812" s="13"/>
    </row>
    <row r="813">
      <c r="J813" s="9"/>
      <c r="K813" s="9"/>
      <c r="L813" s="32"/>
      <c r="M813" s="32"/>
      <c r="Z813" s="13"/>
      <c r="AA813" s="13"/>
      <c r="AB813" s="13"/>
      <c r="AC813" s="13"/>
      <c r="AD813" s="13"/>
    </row>
    <row r="814">
      <c r="J814" s="9"/>
      <c r="K814" s="9"/>
      <c r="L814" s="32"/>
      <c r="M814" s="32"/>
      <c r="Z814" s="13"/>
      <c r="AA814" s="13"/>
      <c r="AB814" s="13"/>
      <c r="AC814" s="13"/>
      <c r="AD814" s="13"/>
    </row>
    <row r="815">
      <c r="J815" s="9"/>
      <c r="K815" s="9"/>
      <c r="L815" s="32"/>
      <c r="M815" s="32"/>
      <c r="Z815" s="13"/>
      <c r="AA815" s="13"/>
      <c r="AB815" s="13"/>
      <c r="AC815" s="13"/>
      <c r="AD815" s="13"/>
    </row>
    <row r="816">
      <c r="J816" s="9"/>
      <c r="K816" s="9"/>
      <c r="L816" s="32"/>
      <c r="M816" s="32"/>
      <c r="Z816" s="13"/>
      <c r="AA816" s="13"/>
      <c r="AB816" s="13"/>
      <c r="AC816" s="13"/>
      <c r="AD816" s="13"/>
    </row>
    <row r="817">
      <c r="J817" s="9"/>
      <c r="K817" s="9"/>
      <c r="L817" s="32"/>
      <c r="M817" s="32"/>
      <c r="Z817" s="13"/>
      <c r="AA817" s="13"/>
      <c r="AB817" s="13"/>
      <c r="AC817" s="13"/>
      <c r="AD817" s="13"/>
    </row>
    <row r="818">
      <c r="J818" s="9"/>
      <c r="K818" s="9"/>
      <c r="L818" s="32"/>
      <c r="M818" s="32"/>
      <c r="Z818" s="13"/>
      <c r="AA818" s="13"/>
      <c r="AB818" s="13"/>
      <c r="AC818" s="13"/>
      <c r="AD818" s="13"/>
    </row>
    <row r="819">
      <c r="J819" s="9"/>
      <c r="K819" s="9"/>
      <c r="L819" s="32"/>
      <c r="M819" s="32"/>
      <c r="Z819" s="13"/>
      <c r="AA819" s="13"/>
      <c r="AB819" s="13"/>
      <c r="AC819" s="13"/>
      <c r="AD819" s="13"/>
    </row>
    <row r="820">
      <c r="J820" s="9"/>
      <c r="K820" s="9"/>
      <c r="L820" s="32"/>
      <c r="M820" s="32"/>
      <c r="Z820" s="13"/>
      <c r="AA820" s="13"/>
      <c r="AB820" s="13"/>
      <c r="AC820" s="13"/>
      <c r="AD820" s="13"/>
    </row>
    <row r="821">
      <c r="J821" s="9"/>
      <c r="K821" s="9"/>
      <c r="L821" s="32"/>
      <c r="M821" s="32"/>
      <c r="Z821" s="13"/>
      <c r="AA821" s="13"/>
      <c r="AB821" s="13"/>
      <c r="AC821" s="13"/>
      <c r="AD821" s="13"/>
    </row>
    <row r="822">
      <c r="J822" s="9"/>
      <c r="K822" s="9"/>
      <c r="L822" s="32"/>
      <c r="M822" s="32"/>
      <c r="Z822" s="13"/>
      <c r="AA822" s="13"/>
      <c r="AB822" s="13"/>
      <c r="AC822" s="13"/>
      <c r="AD822" s="13"/>
    </row>
    <row r="823">
      <c r="J823" s="9"/>
      <c r="K823" s="9"/>
      <c r="L823" s="32"/>
      <c r="M823" s="32"/>
      <c r="Z823" s="13"/>
      <c r="AA823" s="13"/>
      <c r="AB823" s="13"/>
      <c r="AC823" s="13"/>
      <c r="AD823" s="13"/>
    </row>
    <row r="824">
      <c r="J824" s="9"/>
      <c r="K824" s="9"/>
      <c r="L824" s="32"/>
      <c r="M824" s="32"/>
      <c r="Z824" s="13"/>
      <c r="AA824" s="13"/>
      <c r="AB824" s="13"/>
      <c r="AC824" s="13"/>
      <c r="AD824" s="13"/>
    </row>
    <row r="825">
      <c r="J825" s="9"/>
      <c r="K825" s="9"/>
      <c r="L825" s="32"/>
      <c r="M825" s="32"/>
      <c r="Z825" s="13"/>
      <c r="AA825" s="13"/>
      <c r="AB825" s="13"/>
      <c r="AC825" s="13"/>
      <c r="AD825" s="13"/>
    </row>
    <row r="826">
      <c r="J826" s="9"/>
      <c r="K826" s="9"/>
      <c r="L826" s="32"/>
      <c r="M826" s="32"/>
      <c r="Z826" s="13"/>
      <c r="AA826" s="13"/>
      <c r="AB826" s="13"/>
      <c r="AC826" s="13"/>
      <c r="AD826" s="13"/>
    </row>
    <row r="827">
      <c r="J827" s="9"/>
      <c r="K827" s="9"/>
      <c r="L827" s="32"/>
      <c r="M827" s="32"/>
      <c r="Z827" s="13"/>
      <c r="AA827" s="13"/>
      <c r="AB827" s="13"/>
      <c r="AC827" s="13"/>
      <c r="AD827" s="13"/>
    </row>
    <row r="828">
      <c r="J828" s="9"/>
      <c r="K828" s="9"/>
      <c r="L828" s="32"/>
      <c r="M828" s="32"/>
      <c r="Z828" s="13"/>
      <c r="AA828" s="13"/>
      <c r="AB828" s="13"/>
      <c r="AC828" s="13"/>
      <c r="AD828" s="13"/>
    </row>
    <row r="829">
      <c r="J829" s="9"/>
      <c r="K829" s="9"/>
      <c r="L829" s="32"/>
      <c r="M829" s="32"/>
      <c r="Z829" s="13"/>
      <c r="AA829" s="13"/>
      <c r="AB829" s="13"/>
      <c r="AC829" s="13"/>
      <c r="AD829" s="13"/>
    </row>
    <row r="830">
      <c r="J830" s="9"/>
      <c r="K830" s="9"/>
      <c r="L830" s="32"/>
      <c r="M830" s="32"/>
      <c r="Z830" s="13"/>
      <c r="AA830" s="13"/>
      <c r="AB830" s="13"/>
      <c r="AC830" s="13"/>
      <c r="AD830" s="13"/>
    </row>
    <row r="831">
      <c r="J831" s="9"/>
      <c r="K831" s="9"/>
      <c r="L831" s="32"/>
      <c r="M831" s="32"/>
      <c r="Z831" s="13"/>
      <c r="AA831" s="13"/>
      <c r="AB831" s="13"/>
      <c r="AC831" s="13"/>
      <c r="AD831" s="13"/>
    </row>
    <row r="832">
      <c r="J832" s="9"/>
      <c r="K832" s="9"/>
      <c r="L832" s="32"/>
      <c r="M832" s="32"/>
      <c r="Z832" s="13"/>
      <c r="AA832" s="13"/>
      <c r="AB832" s="13"/>
      <c r="AC832" s="13"/>
      <c r="AD832" s="13"/>
    </row>
    <row r="833">
      <c r="J833" s="9"/>
      <c r="K833" s="9"/>
      <c r="L833" s="32"/>
      <c r="M833" s="32"/>
      <c r="Z833" s="13"/>
      <c r="AA833" s="13"/>
      <c r="AB833" s="13"/>
      <c r="AC833" s="13"/>
      <c r="AD833" s="13"/>
    </row>
    <row r="834">
      <c r="J834" s="9"/>
      <c r="K834" s="9"/>
      <c r="L834" s="32"/>
      <c r="M834" s="32"/>
      <c r="Z834" s="13"/>
      <c r="AA834" s="13"/>
      <c r="AB834" s="13"/>
      <c r="AC834" s="13"/>
      <c r="AD834" s="13"/>
    </row>
    <row r="835">
      <c r="J835" s="9"/>
      <c r="K835" s="9"/>
      <c r="L835" s="32"/>
      <c r="M835" s="32"/>
      <c r="Z835" s="13"/>
      <c r="AA835" s="13"/>
      <c r="AB835" s="13"/>
      <c r="AC835" s="13"/>
      <c r="AD835" s="13"/>
    </row>
    <row r="836">
      <c r="J836" s="9"/>
      <c r="K836" s="9"/>
      <c r="L836" s="32"/>
      <c r="M836" s="32"/>
      <c r="Z836" s="13"/>
      <c r="AA836" s="13"/>
      <c r="AB836" s="13"/>
      <c r="AC836" s="13"/>
      <c r="AD836" s="13"/>
    </row>
    <row r="837">
      <c r="J837" s="9"/>
      <c r="K837" s="9"/>
      <c r="L837" s="32"/>
      <c r="M837" s="32"/>
      <c r="Z837" s="13"/>
      <c r="AA837" s="13"/>
      <c r="AB837" s="13"/>
      <c r="AC837" s="13"/>
      <c r="AD837" s="13"/>
    </row>
    <row r="838">
      <c r="J838" s="9"/>
      <c r="K838" s="9"/>
      <c r="L838" s="32"/>
      <c r="M838" s="32"/>
      <c r="Z838" s="13"/>
      <c r="AA838" s="13"/>
      <c r="AB838" s="13"/>
      <c r="AC838" s="13"/>
      <c r="AD838" s="13"/>
    </row>
    <row r="839">
      <c r="J839" s="9"/>
      <c r="K839" s="9"/>
      <c r="L839" s="32"/>
      <c r="M839" s="32"/>
      <c r="Z839" s="13"/>
      <c r="AA839" s="13"/>
      <c r="AB839" s="13"/>
      <c r="AC839" s="13"/>
      <c r="AD839" s="13"/>
    </row>
    <row r="840">
      <c r="J840" s="9"/>
      <c r="K840" s="9"/>
      <c r="L840" s="32"/>
      <c r="M840" s="32"/>
      <c r="Z840" s="13"/>
      <c r="AA840" s="13"/>
      <c r="AB840" s="13"/>
      <c r="AC840" s="13"/>
      <c r="AD840" s="13"/>
    </row>
    <row r="841">
      <c r="J841" s="9"/>
      <c r="K841" s="9"/>
      <c r="L841" s="32"/>
      <c r="M841" s="32"/>
      <c r="Z841" s="13"/>
      <c r="AA841" s="13"/>
      <c r="AB841" s="13"/>
      <c r="AC841" s="13"/>
      <c r="AD841" s="13"/>
    </row>
    <row r="842">
      <c r="J842" s="9"/>
      <c r="K842" s="9"/>
      <c r="L842" s="32"/>
      <c r="M842" s="32"/>
      <c r="Z842" s="13"/>
      <c r="AA842" s="13"/>
      <c r="AB842" s="13"/>
      <c r="AC842" s="13"/>
      <c r="AD842" s="13"/>
    </row>
    <row r="843">
      <c r="J843" s="9"/>
      <c r="K843" s="9"/>
      <c r="L843" s="32"/>
      <c r="M843" s="32"/>
      <c r="Z843" s="13"/>
      <c r="AA843" s="13"/>
      <c r="AB843" s="13"/>
      <c r="AC843" s="13"/>
      <c r="AD843" s="13"/>
    </row>
    <row r="844">
      <c r="J844" s="9"/>
      <c r="K844" s="9"/>
      <c r="L844" s="32"/>
      <c r="M844" s="32"/>
      <c r="Z844" s="13"/>
      <c r="AA844" s="13"/>
      <c r="AB844" s="13"/>
      <c r="AC844" s="13"/>
      <c r="AD844" s="13"/>
    </row>
    <row r="845">
      <c r="J845" s="9"/>
      <c r="K845" s="9"/>
      <c r="L845" s="32"/>
      <c r="M845" s="32"/>
      <c r="Z845" s="13"/>
      <c r="AA845" s="13"/>
      <c r="AB845" s="13"/>
      <c r="AC845" s="13"/>
      <c r="AD845" s="13"/>
    </row>
    <row r="846">
      <c r="J846" s="9"/>
      <c r="K846" s="9"/>
      <c r="L846" s="32"/>
      <c r="M846" s="32"/>
      <c r="Z846" s="13"/>
      <c r="AA846" s="13"/>
      <c r="AB846" s="13"/>
      <c r="AC846" s="13"/>
      <c r="AD846" s="13"/>
    </row>
    <row r="847">
      <c r="J847" s="9"/>
      <c r="K847" s="9"/>
      <c r="L847" s="32"/>
      <c r="M847" s="32"/>
      <c r="Z847" s="13"/>
      <c r="AA847" s="13"/>
      <c r="AB847" s="13"/>
      <c r="AC847" s="13"/>
      <c r="AD847" s="13"/>
    </row>
    <row r="848">
      <c r="J848" s="9"/>
      <c r="K848" s="9"/>
      <c r="L848" s="32"/>
      <c r="M848" s="32"/>
      <c r="Z848" s="13"/>
      <c r="AA848" s="13"/>
      <c r="AB848" s="13"/>
      <c r="AC848" s="13"/>
      <c r="AD848" s="13"/>
    </row>
    <row r="849">
      <c r="J849" s="9"/>
      <c r="K849" s="9"/>
      <c r="L849" s="32"/>
      <c r="M849" s="32"/>
      <c r="Z849" s="13"/>
      <c r="AA849" s="13"/>
      <c r="AB849" s="13"/>
      <c r="AC849" s="13"/>
      <c r="AD849" s="13"/>
    </row>
    <row r="850">
      <c r="J850" s="9"/>
      <c r="K850" s="9"/>
      <c r="L850" s="32"/>
      <c r="M850" s="32"/>
      <c r="Z850" s="13"/>
      <c r="AA850" s="13"/>
      <c r="AB850" s="13"/>
      <c r="AC850" s="13"/>
      <c r="AD850" s="13"/>
    </row>
    <row r="851">
      <c r="J851" s="9"/>
      <c r="K851" s="9"/>
      <c r="L851" s="32"/>
      <c r="M851" s="32"/>
      <c r="Z851" s="13"/>
      <c r="AA851" s="13"/>
      <c r="AB851" s="13"/>
      <c r="AC851" s="13"/>
      <c r="AD851" s="13"/>
    </row>
    <row r="852">
      <c r="J852" s="9"/>
      <c r="K852" s="9"/>
      <c r="L852" s="32"/>
      <c r="M852" s="32"/>
      <c r="Z852" s="13"/>
      <c r="AA852" s="13"/>
      <c r="AB852" s="13"/>
      <c r="AC852" s="13"/>
      <c r="AD852" s="13"/>
    </row>
    <row r="853">
      <c r="J853" s="9"/>
      <c r="K853" s="9"/>
      <c r="L853" s="32"/>
      <c r="M853" s="32"/>
      <c r="Z853" s="13"/>
      <c r="AA853" s="13"/>
      <c r="AB853" s="13"/>
      <c r="AC853" s="13"/>
      <c r="AD853" s="13"/>
    </row>
    <row r="854">
      <c r="J854" s="9"/>
      <c r="K854" s="9"/>
      <c r="L854" s="32"/>
      <c r="M854" s="32"/>
      <c r="Z854" s="13"/>
      <c r="AA854" s="13"/>
      <c r="AB854" s="13"/>
      <c r="AC854" s="13"/>
      <c r="AD854" s="13"/>
    </row>
    <row r="855">
      <c r="J855" s="9"/>
      <c r="K855" s="9"/>
      <c r="L855" s="32"/>
      <c r="M855" s="32"/>
      <c r="Z855" s="13"/>
      <c r="AA855" s="13"/>
      <c r="AB855" s="13"/>
      <c r="AC855" s="13"/>
      <c r="AD855" s="13"/>
    </row>
    <row r="856">
      <c r="J856" s="9"/>
      <c r="K856" s="9"/>
      <c r="L856" s="32"/>
      <c r="M856" s="32"/>
      <c r="Z856" s="13"/>
      <c r="AA856" s="13"/>
      <c r="AB856" s="13"/>
      <c r="AC856" s="13"/>
      <c r="AD856" s="13"/>
    </row>
    <row r="857">
      <c r="J857" s="9"/>
      <c r="K857" s="9"/>
      <c r="L857" s="32"/>
      <c r="M857" s="32"/>
      <c r="Z857" s="13"/>
      <c r="AA857" s="13"/>
      <c r="AB857" s="13"/>
      <c r="AC857" s="13"/>
      <c r="AD857" s="13"/>
    </row>
    <row r="858">
      <c r="J858" s="9"/>
      <c r="K858" s="9"/>
      <c r="L858" s="32"/>
      <c r="M858" s="32"/>
      <c r="Z858" s="13"/>
      <c r="AA858" s="13"/>
      <c r="AB858" s="13"/>
      <c r="AC858" s="13"/>
      <c r="AD858" s="13"/>
    </row>
    <row r="859">
      <c r="J859" s="9"/>
      <c r="K859" s="9"/>
      <c r="L859" s="32"/>
      <c r="M859" s="32"/>
      <c r="Z859" s="13"/>
      <c r="AA859" s="13"/>
      <c r="AB859" s="13"/>
      <c r="AC859" s="13"/>
      <c r="AD859" s="13"/>
    </row>
    <row r="860">
      <c r="J860" s="9"/>
      <c r="K860" s="9"/>
      <c r="L860" s="32"/>
      <c r="M860" s="32"/>
      <c r="Z860" s="13"/>
      <c r="AA860" s="13"/>
      <c r="AB860" s="13"/>
      <c r="AC860" s="13"/>
      <c r="AD860" s="13"/>
    </row>
    <row r="861">
      <c r="J861" s="9"/>
      <c r="K861" s="9"/>
      <c r="L861" s="32"/>
      <c r="M861" s="32"/>
      <c r="Z861" s="13"/>
      <c r="AA861" s="13"/>
      <c r="AB861" s="13"/>
      <c r="AC861" s="13"/>
      <c r="AD861" s="13"/>
    </row>
    <row r="862">
      <c r="J862" s="9"/>
      <c r="K862" s="9"/>
      <c r="L862" s="32"/>
      <c r="M862" s="32"/>
      <c r="Z862" s="13"/>
      <c r="AA862" s="13"/>
      <c r="AB862" s="13"/>
      <c r="AC862" s="13"/>
      <c r="AD862" s="13"/>
    </row>
    <row r="863">
      <c r="J863" s="9"/>
      <c r="K863" s="9"/>
      <c r="L863" s="32"/>
      <c r="M863" s="32"/>
      <c r="Z863" s="13"/>
      <c r="AA863" s="13"/>
      <c r="AB863" s="13"/>
      <c r="AC863" s="13"/>
      <c r="AD863" s="13"/>
    </row>
    <row r="864">
      <c r="J864" s="9"/>
      <c r="K864" s="9"/>
      <c r="L864" s="32"/>
      <c r="M864" s="32"/>
      <c r="Z864" s="13"/>
      <c r="AA864" s="13"/>
      <c r="AB864" s="13"/>
      <c r="AC864" s="13"/>
      <c r="AD864" s="13"/>
    </row>
    <row r="865">
      <c r="J865" s="9"/>
      <c r="K865" s="9"/>
      <c r="L865" s="32"/>
      <c r="M865" s="32"/>
      <c r="Z865" s="13"/>
      <c r="AA865" s="13"/>
      <c r="AB865" s="13"/>
      <c r="AC865" s="13"/>
      <c r="AD865" s="13"/>
    </row>
    <row r="866">
      <c r="J866" s="9"/>
      <c r="K866" s="9"/>
      <c r="L866" s="32"/>
      <c r="M866" s="32"/>
      <c r="Z866" s="13"/>
      <c r="AA866" s="13"/>
      <c r="AB866" s="13"/>
      <c r="AC866" s="13"/>
      <c r="AD866" s="13"/>
    </row>
    <row r="867">
      <c r="J867" s="9"/>
      <c r="K867" s="9"/>
      <c r="L867" s="32"/>
      <c r="M867" s="32"/>
      <c r="Z867" s="13"/>
      <c r="AA867" s="13"/>
      <c r="AB867" s="13"/>
      <c r="AC867" s="13"/>
      <c r="AD867" s="13"/>
    </row>
    <row r="868">
      <c r="J868" s="9"/>
      <c r="K868" s="9"/>
      <c r="L868" s="32"/>
      <c r="M868" s="32"/>
      <c r="Z868" s="13"/>
      <c r="AA868" s="13"/>
      <c r="AB868" s="13"/>
      <c r="AC868" s="13"/>
      <c r="AD868" s="13"/>
    </row>
    <row r="869">
      <c r="J869" s="9"/>
      <c r="K869" s="9"/>
      <c r="L869" s="32"/>
      <c r="M869" s="32"/>
      <c r="Z869" s="13"/>
      <c r="AA869" s="13"/>
      <c r="AB869" s="13"/>
      <c r="AC869" s="13"/>
      <c r="AD869" s="13"/>
    </row>
    <row r="870">
      <c r="J870" s="9"/>
      <c r="K870" s="9"/>
      <c r="L870" s="32"/>
      <c r="M870" s="32"/>
      <c r="Z870" s="13"/>
      <c r="AA870" s="13"/>
      <c r="AB870" s="13"/>
      <c r="AC870" s="13"/>
      <c r="AD870" s="13"/>
    </row>
    <row r="871">
      <c r="J871" s="9"/>
      <c r="K871" s="9"/>
      <c r="L871" s="32"/>
      <c r="M871" s="32"/>
      <c r="Z871" s="13"/>
      <c r="AA871" s="13"/>
      <c r="AB871" s="13"/>
      <c r="AC871" s="13"/>
      <c r="AD871" s="13"/>
    </row>
    <row r="872">
      <c r="J872" s="9"/>
      <c r="K872" s="9"/>
      <c r="L872" s="32"/>
      <c r="M872" s="32"/>
      <c r="Z872" s="13"/>
      <c r="AA872" s="13"/>
      <c r="AB872" s="13"/>
      <c r="AC872" s="13"/>
      <c r="AD872" s="13"/>
    </row>
    <row r="873">
      <c r="J873" s="9"/>
      <c r="K873" s="9"/>
      <c r="L873" s="32"/>
      <c r="M873" s="32"/>
      <c r="Z873" s="13"/>
      <c r="AA873" s="13"/>
      <c r="AB873" s="13"/>
      <c r="AC873" s="13"/>
      <c r="AD873" s="13"/>
    </row>
    <row r="874">
      <c r="J874" s="9"/>
      <c r="K874" s="9"/>
      <c r="L874" s="32"/>
      <c r="M874" s="32"/>
      <c r="Z874" s="13"/>
      <c r="AA874" s="13"/>
      <c r="AB874" s="13"/>
      <c r="AC874" s="13"/>
      <c r="AD874" s="13"/>
    </row>
    <row r="875">
      <c r="J875" s="9"/>
      <c r="K875" s="9"/>
      <c r="L875" s="32"/>
      <c r="M875" s="32"/>
      <c r="Z875" s="13"/>
      <c r="AA875" s="13"/>
      <c r="AB875" s="13"/>
      <c r="AC875" s="13"/>
      <c r="AD875" s="13"/>
    </row>
    <row r="876">
      <c r="J876" s="9"/>
      <c r="K876" s="9"/>
      <c r="L876" s="32"/>
      <c r="M876" s="32"/>
      <c r="Z876" s="13"/>
      <c r="AA876" s="13"/>
      <c r="AB876" s="13"/>
      <c r="AC876" s="13"/>
      <c r="AD876" s="13"/>
    </row>
    <row r="877">
      <c r="J877" s="9"/>
      <c r="K877" s="9"/>
      <c r="L877" s="32"/>
      <c r="M877" s="32"/>
      <c r="Z877" s="13"/>
      <c r="AA877" s="13"/>
      <c r="AB877" s="13"/>
      <c r="AC877" s="13"/>
      <c r="AD877" s="13"/>
    </row>
    <row r="878">
      <c r="J878" s="9"/>
      <c r="K878" s="9"/>
      <c r="L878" s="32"/>
      <c r="M878" s="32"/>
      <c r="Z878" s="13"/>
      <c r="AA878" s="13"/>
      <c r="AB878" s="13"/>
      <c r="AC878" s="13"/>
      <c r="AD878" s="13"/>
    </row>
    <row r="879">
      <c r="J879" s="9"/>
      <c r="K879" s="9"/>
      <c r="L879" s="32"/>
      <c r="M879" s="32"/>
      <c r="Z879" s="13"/>
      <c r="AA879" s="13"/>
      <c r="AB879" s="13"/>
      <c r="AC879" s="13"/>
      <c r="AD879" s="13"/>
    </row>
    <row r="880">
      <c r="J880" s="9"/>
      <c r="K880" s="9"/>
      <c r="L880" s="32"/>
      <c r="M880" s="32"/>
      <c r="Z880" s="13"/>
      <c r="AA880" s="13"/>
      <c r="AB880" s="13"/>
      <c r="AC880" s="13"/>
      <c r="AD880" s="13"/>
    </row>
    <row r="881">
      <c r="J881" s="9"/>
      <c r="K881" s="9"/>
      <c r="L881" s="32"/>
      <c r="M881" s="32"/>
      <c r="Z881" s="13"/>
      <c r="AA881" s="13"/>
      <c r="AB881" s="13"/>
      <c r="AC881" s="13"/>
      <c r="AD881" s="13"/>
    </row>
    <row r="882">
      <c r="J882" s="9"/>
      <c r="K882" s="9"/>
      <c r="L882" s="32"/>
      <c r="M882" s="32"/>
      <c r="Z882" s="13"/>
      <c r="AA882" s="13"/>
      <c r="AB882" s="13"/>
      <c r="AC882" s="13"/>
      <c r="AD882" s="13"/>
    </row>
    <row r="883">
      <c r="J883" s="9"/>
      <c r="K883" s="9"/>
      <c r="L883" s="32"/>
      <c r="M883" s="32"/>
      <c r="Z883" s="13"/>
      <c r="AA883" s="13"/>
      <c r="AB883" s="13"/>
      <c r="AC883" s="13"/>
      <c r="AD883" s="13"/>
    </row>
    <row r="884">
      <c r="J884" s="9"/>
      <c r="K884" s="9"/>
      <c r="L884" s="32"/>
      <c r="M884" s="32"/>
      <c r="Z884" s="13"/>
      <c r="AA884" s="13"/>
      <c r="AB884" s="13"/>
      <c r="AC884" s="13"/>
      <c r="AD884" s="13"/>
    </row>
    <row r="885">
      <c r="J885" s="9"/>
      <c r="K885" s="9"/>
      <c r="L885" s="32"/>
      <c r="M885" s="32"/>
      <c r="Z885" s="13"/>
      <c r="AA885" s="13"/>
      <c r="AB885" s="13"/>
      <c r="AC885" s="13"/>
      <c r="AD885" s="13"/>
    </row>
    <row r="886">
      <c r="J886" s="9"/>
      <c r="K886" s="9"/>
      <c r="L886" s="32"/>
      <c r="M886" s="32"/>
      <c r="Z886" s="13"/>
      <c r="AA886" s="13"/>
      <c r="AB886" s="13"/>
      <c r="AC886" s="13"/>
      <c r="AD886" s="13"/>
    </row>
    <row r="887">
      <c r="J887" s="9"/>
      <c r="K887" s="9"/>
      <c r="L887" s="32"/>
      <c r="M887" s="32"/>
      <c r="Z887" s="13"/>
      <c r="AA887" s="13"/>
      <c r="AB887" s="13"/>
      <c r="AC887" s="13"/>
      <c r="AD887" s="13"/>
    </row>
    <row r="888">
      <c r="J888" s="9"/>
      <c r="K888" s="9"/>
      <c r="L888" s="32"/>
      <c r="M888" s="32"/>
      <c r="Z888" s="13"/>
      <c r="AA888" s="13"/>
      <c r="AB888" s="13"/>
      <c r="AC888" s="13"/>
      <c r="AD888" s="13"/>
    </row>
    <row r="889">
      <c r="J889" s="9"/>
      <c r="K889" s="9"/>
      <c r="L889" s="32"/>
      <c r="M889" s="32"/>
      <c r="Z889" s="13"/>
      <c r="AA889" s="13"/>
      <c r="AB889" s="13"/>
      <c r="AC889" s="13"/>
      <c r="AD889" s="13"/>
    </row>
    <row r="890">
      <c r="J890" s="9"/>
      <c r="K890" s="9"/>
      <c r="L890" s="32"/>
      <c r="M890" s="32"/>
      <c r="Z890" s="13"/>
      <c r="AA890" s="13"/>
      <c r="AB890" s="13"/>
      <c r="AC890" s="13"/>
      <c r="AD890" s="13"/>
    </row>
    <row r="891">
      <c r="J891" s="9"/>
      <c r="K891" s="9"/>
      <c r="L891" s="32"/>
      <c r="M891" s="32"/>
      <c r="Z891" s="13"/>
      <c r="AA891" s="13"/>
      <c r="AB891" s="13"/>
      <c r="AC891" s="13"/>
      <c r="AD891" s="13"/>
    </row>
    <row r="892">
      <c r="J892" s="9"/>
      <c r="K892" s="9"/>
      <c r="L892" s="32"/>
      <c r="M892" s="32"/>
      <c r="Z892" s="13"/>
      <c r="AA892" s="13"/>
      <c r="AB892" s="13"/>
      <c r="AC892" s="13"/>
      <c r="AD892" s="13"/>
    </row>
    <row r="893">
      <c r="J893" s="9"/>
      <c r="K893" s="9"/>
      <c r="L893" s="32"/>
      <c r="M893" s="32"/>
      <c r="Z893" s="13"/>
      <c r="AA893" s="13"/>
      <c r="AB893" s="13"/>
      <c r="AC893" s="13"/>
      <c r="AD893" s="13"/>
    </row>
    <row r="894">
      <c r="J894" s="9"/>
      <c r="K894" s="9"/>
      <c r="L894" s="32"/>
      <c r="M894" s="32"/>
      <c r="Z894" s="13"/>
      <c r="AA894" s="13"/>
      <c r="AB894" s="13"/>
      <c r="AC894" s="13"/>
      <c r="AD894" s="13"/>
    </row>
    <row r="895">
      <c r="J895" s="9"/>
      <c r="K895" s="9"/>
      <c r="L895" s="32"/>
      <c r="M895" s="32"/>
      <c r="Z895" s="13"/>
      <c r="AA895" s="13"/>
      <c r="AB895" s="13"/>
      <c r="AC895" s="13"/>
      <c r="AD895" s="13"/>
    </row>
    <row r="896">
      <c r="J896" s="9"/>
      <c r="K896" s="9"/>
      <c r="L896" s="32"/>
      <c r="M896" s="32"/>
      <c r="Z896" s="13"/>
      <c r="AA896" s="13"/>
      <c r="AB896" s="13"/>
      <c r="AC896" s="13"/>
      <c r="AD896" s="13"/>
    </row>
    <row r="897">
      <c r="J897" s="9"/>
      <c r="K897" s="9"/>
      <c r="L897" s="32"/>
      <c r="M897" s="32"/>
      <c r="Z897" s="13"/>
      <c r="AA897" s="13"/>
      <c r="AB897" s="13"/>
      <c r="AC897" s="13"/>
      <c r="AD897" s="13"/>
    </row>
    <row r="898">
      <c r="J898" s="9"/>
      <c r="K898" s="9"/>
      <c r="L898" s="32"/>
      <c r="M898" s="32"/>
      <c r="Z898" s="13"/>
      <c r="AA898" s="13"/>
      <c r="AB898" s="13"/>
      <c r="AC898" s="13"/>
      <c r="AD898" s="13"/>
    </row>
    <row r="899">
      <c r="J899" s="9"/>
      <c r="K899" s="9"/>
      <c r="L899" s="32"/>
      <c r="M899" s="32"/>
      <c r="Z899" s="13"/>
      <c r="AA899" s="13"/>
      <c r="AB899" s="13"/>
      <c r="AC899" s="13"/>
      <c r="AD899" s="13"/>
    </row>
    <row r="900">
      <c r="J900" s="9"/>
      <c r="K900" s="9"/>
      <c r="L900" s="32"/>
      <c r="M900" s="32"/>
      <c r="Z900" s="13"/>
      <c r="AA900" s="13"/>
      <c r="AB900" s="13"/>
      <c r="AC900" s="13"/>
      <c r="AD900" s="13"/>
    </row>
    <row r="901">
      <c r="J901" s="9"/>
      <c r="K901" s="9"/>
      <c r="L901" s="32"/>
      <c r="M901" s="32"/>
      <c r="Z901" s="13"/>
      <c r="AA901" s="13"/>
      <c r="AB901" s="13"/>
      <c r="AC901" s="13"/>
      <c r="AD901" s="13"/>
    </row>
    <row r="902">
      <c r="J902" s="9"/>
      <c r="K902" s="9"/>
      <c r="L902" s="32"/>
      <c r="M902" s="32"/>
      <c r="Z902" s="13"/>
      <c r="AA902" s="13"/>
      <c r="AB902" s="13"/>
      <c r="AC902" s="13"/>
      <c r="AD902" s="13"/>
    </row>
    <row r="903">
      <c r="J903" s="9"/>
      <c r="K903" s="9"/>
      <c r="L903" s="32"/>
      <c r="M903" s="32"/>
      <c r="Z903" s="13"/>
      <c r="AA903" s="13"/>
      <c r="AB903" s="13"/>
      <c r="AC903" s="13"/>
      <c r="AD903" s="13"/>
    </row>
    <row r="904">
      <c r="J904" s="9"/>
      <c r="K904" s="9"/>
      <c r="L904" s="32"/>
      <c r="M904" s="32"/>
      <c r="Z904" s="13"/>
      <c r="AA904" s="13"/>
      <c r="AB904" s="13"/>
      <c r="AC904" s="13"/>
      <c r="AD904" s="13"/>
    </row>
    <row r="905">
      <c r="J905" s="9"/>
      <c r="K905" s="9"/>
      <c r="L905" s="32"/>
      <c r="M905" s="32"/>
      <c r="Z905" s="13"/>
      <c r="AA905" s="13"/>
      <c r="AB905" s="13"/>
      <c r="AC905" s="13"/>
      <c r="AD905" s="13"/>
    </row>
    <row r="906">
      <c r="J906" s="9"/>
      <c r="K906" s="9"/>
      <c r="L906" s="32"/>
      <c r="M906" s="32"/>
      <c r="Z906" s="13"/>
      <c r="AA906" s="13"/>
      <c r="AB906" s="13"/>
      <c r="AC906" s="13"/>
      <c r="AD906" s="13"/>
    </row>
    <row r="907">
      <c r="J907" s="9"/>
      <c r="K907" s="9"/>
      <c r="L907" s="32"/>
      <c r="M907" s="32"/>
      <c r="Z907" s="13"/>
      <c r="AA907" s="13"/>
      <c r="AB907" s="13"/>
      <c r="AC907" s="13"/>
      <c r="AD907" s="13"/>
    </row>
    <row r="908">
      <c r="J908" s="9"/>
      <c r="K908" s="9"/>
      <c r="L908" s="32"/>
      <c r="M908" s="32"/>
      <c r="Z908" s="13"/>
      <c r="AA908" s="13"/>
      <c r="AB908" s="13"/>
      <c r="AC908" s="13"/>
      <c r="AD908" s="13"/>
    </row>
    <row r="909">
      <c r="J909" s="9"/>
      <c r="K909" s="9"/>
      <c r="L909" s="32"/>
      <c r="M909" s="32"/>
      <c r="Z909" s="13"/>
      <c r="AA909" s="13"/>
      <c r="AB909" s="13"/>
      <c r="AC909" s="13"/>
      <c r="AD909" s="13"/>
    </row>
    <row r="910">
      <c r="J910" s="9"/>
      <c r="K910" s="9"/>
      <c r="L910" s="32"/>
      <c r="M910" s="32"/>
      <c r="Z910" s="13"/>
      <c r="AA910" s="13"/>
      <c r="AB910" s="13"/>
      <c r="AC910" s="13"/>
      <c r="AD910" s="13"/>
    </row>
    <row r="911">
      <c r="J911" s="9"/>
      <c r="K911" s="9"/>
      <c r="L911" s="32"/>
      <c r="M911" s="32"/>
      <c r="Z911" s="13"/>
      <c r="AA911" s="13"/>
      <c r="AB911" s="13"/>
      <c r="AC911" s="13"/>
      <c r="AD911" s="13"/>
    </row>
    <row r="912">
      <c r="J912" s="9"/>
      <c r="K912" s="9"/>
      <c r="L912" s="32"/>
      <c r="M912" s="32"/>
      <c r="Z912" s="13"/>
      <c r="AA912" s="13"/>
      <c r="AB912" s="13"/>
      <c r="AC912" s="13"/>
      <c r="AD912" s="13"/>
    </row>
    <row r="913">
      <c r="J913" s="9"/>
      <c r="K913" s="9"/>
      <c r="L913" s="32"/>
      <c r="M913" s="32"/>
      <c r="Z913" s="13"/>
      <c r="AA913" s="13"/>
      <c r="AB913" s="13"/>
      <c r="AC913" s="13"/>
      <c r="AD913" s="13"/>
    </row>
    <row r="914">
      <c r="J914" s="9"/>
      <c r="K914" s="9"/>
      <c r="L914" s="32"/>
      <c r="M914" s="32"/>
      <c r="Z914" s="13"/>
      <c r="AA914" s="13"/>
      <c r="AB914" s="13"/>
      <c r="AC914" s="13"/>
      <c r="AD914" s="13"/>
    </row>
    <row r="915">
      <c r="J915" s="9"/>
      <c r="K915" s="9"/>
      <c r="L915" s="32"/>
      <c r="M915" s="32"/>
      <c r="Z915" s="13"/>
      <c r="AA915" s="13"/>
      <c r="AB915" s="13"/>
      <c r="AC915" s="13"/>
      <c r="AD915" s="13"/>
    </row>
    <row r="916">
      <c r="J916" s="9"/>
      <c r="K916" s="9"/>
      <c r="L916" s="32"/>
      <c r="M916" s="32"/>
      <c r="Z916" s="13"/>
      <c r="AA916" s="13"/>
      <c r="AB916" s="13"/>
      <c r="AC916" s="13"/>
      <c r="AD916" s="13"/>
    </row>
    <row r="917">
      <c r="J917" s="9"/>
      <c r="K917" s="9"/>
      <c r="L917" s="32"/>
      <c r="M917" s="32"/>
      <c r="Z917" s="13"/>
      <c r="AA917" s="13"/>
      <c r="AB917" s="13"/>
      <c r="AC917" s="13"/>
      <c r="AD917" s="13"/>
    </row>
    <row r="918">
      <c r="J918" s="9"/>
      <c r="K918" s="9"/>
      <c r="L918" s="32"/>
      <c r="M918" s="32"/>
      <c r="Z918" s="13"/>
      <c r="AA918" s="13"/>
      <c r="AB918" s="13"/>
      <c r="AC918" s="13"/>
      <c r="AD918" s="13"/>
    </row>
    <row r="919">
      <c r="J919" s="9"/>
      <c r="K919" s="9"/>
      <c r="L919" s="32"/>
      <c r="M919" s="32"/>
      <c r="Z919" s="13"/>
      <c r="AA919" s="13"/>
      <c r="AB919" s="13"/>
      <c r="AC919" s="13"/>
      <c r="AD919" s="13"/>
    </row>
    <row r="920">
      <c r="J920" s="9"/>
      <c r="K920" s="9"/>
      <c r="L920" s="32"/>
      <c r="M920" s="32"/>
      <c r="Z920" s="13"/>
      <c r="AA920" s="13"/>
      <c r="AB920" s="13"/>
      <c r="AC920" s="13"/>
      <c r="AD920" s="13"/>
    </row>
    <row r="921">
      <c r="J921" s="9"/>
      <c r="K921" s="9"/>
      <c r="L921" s="32"/>
      <c r="M921" s="32"/>
      <c r="Z921" s="13"/>
      <c r="AA921" s="13"/>
      <c r="AB921" s="13"/>
      <c r="AC921" s="13"/>
      <c r="AD921" s="13"/>
    </row>
    <row r="922">
      <c r="J922" s="9"/>
      <c r="K922" s="9"/>
      <c r="L922" s="32"/>
      <c r="M922" s="32"/>
      <c r="Z922" s="13"/>
      <c r="AA922" s="13"/>
      <c r="AB922" s="13"/>
      <c r="AC922" s="13"/>
      <c r="AD922" s="13"/>
    </row>
    <row r="923">
      <c r="J923" s="9"/>
      <c r="K923" s="9"/>
      <c r="L923" s="32"/>
      <c r="M923" s="32"/>
      <c r="Z923" s="13"/>
      <c r="AA923" s="13"/>
      <c r="AB923" s="13"/>
      <c r="AC923" s="13"/>
      <c r="AD923" s="13"/>
    </row>
    <row r="924">
      <c r="J924" s="9"/>
      <c r="K924" s="9"/>
      <c r="L924" s="32"/>
      <c r="M924" s="32"/>
      <c r="Z924" s="13"/>
      <c r="AA924" s="13"/>
      <c r="AB924" s="13"/>
      <c r="AC924" s="13"/>
      <c r="AD924" s="13"/>
    </row>
    <row r="925">
      <c r="J925" s="9"/>
      <c r="K925" s="9"/>
      <c r="L925" s="32"/>
      <c r="M925" s="32"/>
      <c r="Z925" s="13"/>
      <c r="AA925" s="13"/>
      <c r="AB925" s="13"/>
      <c r="AC925" s="13"/>
      <c r="AD925" s="13"/>
    </row>
    <row r="926">
      <c r="J926" s="9"/>
      <c r="K926" s="9"/>
      <c r="L926" s="32"/>
      <c r="M926" s="32"/>
      <c r="Z926" s="13"/>
      <c r="AA926" s="13"/>
      <c r="AB926" s="13"/>
      <c r="AC926" s="13"/>
      <c r="AD926" s="13"/>
    </row>
    <row r="927">
      <c r="J927" s="9"/>
      <c r="K927" s="9"/>
      <c r="L927" s="32"/>
      <c r="M927" s="32"/>
      <c r="Z927" s="13"/>
      <c r="AA927" s="13"/>
      <c r="AB927" s="13"/>
      <c r="AC927" s="13"/>
      <c r="AD927" s="13"/>
    </row>
    <row r="928">
      <c r="J928" s="9"/>
      <c r="K928" s="9"/>
      <c r="L928" s="32"/>
      <c r="M928" s="32"/>
      <c r="Z928" s="13"/>
      <c r="AA928" s="13"/>
      <c r="AB928" s="13"/>
      <c r="AC928" s="13"/>
      <c r="AD928" s="13"/>
    </row>
    <row r="929">
      <c r="J929" s="9"/>
      <c r="K929" s="9"/>
      <c r="L929" s="32"/>
      <c r="M929" s="32"/>
      <c r="Z929" s="13"/>
      <c r="AA929" s="13"/>
      <c r="AB929" s="13"/>
      <c r="AC929" s="13"/>
      <c r="AD929" s="13"/>
    </row>
    <row r="930">
      <c r="J930" s="9"/>
      <c r="K930" s="9"/>
      <c r="L930" s="32"/>
      <c r="M930" s="32"/>
      <c r="Z930" s="13"/>
      <c r="AA930" s="13"/>
      <c r="AB930" s="13"/>
      <c r="AC930" s="13"/>
      <c r="AD930" s="13"/>
    </row>
    <row r="931">
      <c r="J931" s="9"/>
      <c r="K931" s="9"/>
      <c r="L931" s="32"/>
      <c r="M931" s="32"/>
      <c r="Z931" s="13"/>
      <c r="AA931" s="13"/>
      <c r="AB931" s="13"/>
      <c r="AC931" s="13"/>
      <c r="AD931" s="13"/>
    </row>
    <row r="932">
      <c r="J932" s="9"/>
      <c r="K932" s="9"/>
      <c r="L932" s="32"/>
      <c r="M932" s="32"/>
      <c r="Z932" s="13"/>
      <c r="AA932" s="13"/>
      <c r="AB932" s="13"/>
      <c r="AC932" s="13"/>
      <c r="AD932" s="13"/>
    </row>
    <row r="933">
      <c r="J933" s="9"/>
      <c r="K933" s="9"/>
      <c r="L933" s="32"/>
      <c r="M933" s="32"/>
      <c r="Z933" s="13"/>
      <c r="AA933" s="13"/>
      <c r="AB933" s="13"/>
      <c r="AC933" s="13"/>
      <c r="AD933" s="13"/>
    </row>
    <row r="934">
      <c r="J934" s="9"/>
      <c r="K934" s="9"/>
      <c r="L934" s="32"/>
      <c r="M934" s="32"/>
      <c r="Z934" s="13"/>
      <c r="AA934" s="13"/>
      <c r="AB934" s="13"/>
      <c r="AC934" s="13"/>
      <c r="AD934" s="13"/>
    </row>
    <row r="935">
      <c r="J935" s="9"/>
      <c r="K935" s="9"/>
      <c r="L935" s="32"/>
      <c r="M935" s="32"/>
      <c r="Z935" s="13"/>
      <c r="AA935" s="13"/>
      <c r="AB935" s="13"/>
      <c r="AC935" s="13"/>
      <c r="AD935" s="13"/>
    </row>
    <row r="936">
      <c r="J936" s="9"/>
      <c r="K936" s="9"/>
      <c r="L936" s="32"/>
      <c r="M936" s="32"/>
      <c r="Z936" s="13"/>
      <c r="AA936" s="13"/>
      <c r="AB936" s="13"/>
      <c r="AC936" s="13"/>
      <c r="AD936" s="13"/>
    </row>
    <row r="937">
      <c r="J937" s="9"/>
      <c r="K937" s="9"/>
      <c r="L937" s="32"/>
      <c r="M937" s="32"/>
      <c r="Z937" s="13"/>
      <c r="AA937" s="13"/>
      <c r="AB937" s="13"/>
      <c r="AC937" s="13"/>
      <c r="AD937" s="13"/>
    </row>
    <row r="938">
      <c r="J938" s="9"/>
      <c r="K938" s="9"/>
      <c r="L938" s="32"/>
      <c r="M938" s="32"/>
      <c r="Z938" s="13"/>
      <c r="AA938" s="13"/>
      <c r="AB938" s="13"/>
      <c r="AC938" s="13"/>
      <c r="AD938" s="13"/>
    </row>
    <row r="939">
      <c r="J939" s="9"/>
      <c r="K939" s="9"/>
      <c r="L939" s="32"/>
      <c r="M939" s="32"/>
      <c r="Z939" s="13"/>
      <c r="AA939" s="13"/>
      <c r="AB939" s="13"/>
      <c r="AC939" s="13"/>
      <c r="AD939" s="13"/>
    </row>
    <row r="940">
      <c r="J940" s="9"/>
      <c r="K940" s="9"/>
      <c r="L940" s="32"/>
      <c r="M940" s="32"/>
      <c r="Z940" s="13"/>
      <c r="AA940" s="13"/>
      <c r="AB940" s="13"/>
      <c r="AC940" s="13"/>
      <c r="AD940" s="13"/>
    </row>
    <row r="941">
      <c r="J941" s="9"/>
      <c r="K941" s="9"/>
      <c r="L941" s="32"/>
      <c r="M941" s="32"/>
      <c r="Z941" s="13"/>
      <c r="AA941" s="13"/>
      <c r="AB941" s="13"/>
      <c r="AC941" s="13"/>
      <c r="AD941" s="13"/>
    </row>
    <row r="942">
      <c r="J942" s="9"/>
      <c r="K942" s="9"/>
      <c r="L942" s="32"/>
      <c r="M942" s="32"/>
      <c r="Z942" s="13"/>
      <c r="AA942" s="13"/>
      <c r="AB942" s="13"/>
      <c r="AC942" s="13"/>
      <c r="AD942" s="13"/>
    </row>
    <row r="943">
      <c r="J943" s="9"/>
      <c r="K943" s="9"/>
      <c r="L943" s="32"/>
      <c r="M943" s="32"/>
      <c r="Z943" s="13"/>
      <c r="AA943" s="13"/>
      <c r="AB943" s="13"/>
      <c r="AC943" s="13"/>
      <c r="AD943" s="13"/>
    </row>
    <row r="944">
      <c r="J944" s="9"/>
      <c r="K944" s="9"/>
      <c r="L944" s="32"/>
      <c r="M944" s="32"/>
      <c r="Z944" s="13"/>
      <c r="AA944" s="13"/>
      <c r="AB944" s="13"/>
      <c r="AC944" s="13"/>
      <c r="AD944" s="13"/>
    </row>
    <row r="945">
      <c r="J945" s="9"/>
      <c r="K945" s="9"/>
      <c r="L945" s="32"/>
      <c r="M945" s="32"/>
      <c r="Z945" s="13"/>
      <c r="AA945" s="13"/>
      <c r="AB945" s="13"/>
      <c r="AC945" s="13"/>
      <c r="AD945" s="13"/>
    </row>
    <row r="946">
      <c r="J946" s="9"/>
      <c r="K946" s="9"/>
      <c r="L946" s="32"/>
      <c r="M946" s="32"/>
      <c r="Z946" s="13"/>
      <c r="AA946" s="13"/>
      <c r="AB946" s="13"/>
      <c r="AC946" s="13"/>
      <c r="AD946" s="13"/>
    </row>
    <row r="947">
      <c r="J947" s="9"/>
      <c r="K947" s="9"/>
      <c r="L947" s="32"/>
      <c r="M947" s="32"/>
      <c r="Z947" s="13"/>
      <c r="AA947" s="13"/>
      <c r="AB947" s="13"/>
      <c r="AC947" s="13"/>
      <c r="AD947" s="13"/>
    </row>
    <row r="948">
      <c r="J948" s="9"/>
      <c r="K948" s="9"/>
      <c r="L948" s="32"/>
      <c r="M948" s="32"/>
      <c r="Z948" s="13"/>
      <c r="AA948" s="13"/>
      <c r="AB948" s="13"/>
      <c r="AC948" s="13"/>
      <c r="AD948" s="13"/>
    </row>
    <row r="949">
      <c r="J949" s="9"/>
      <c r="K949" s="9"/>
      <c r="L949" s="32"/>
      <c r="M949" s="32"/>
      <c r="Z949" s="13"/>
      <c r="AA949" s="13"/>
      <c r="AB949" s="13"/>
      <c r="AC949" s="13"/>
      <c r="AD949" s="13"/>
    </row>
    <row r="950">
      <c r="J950" s="9"/>
      <c r="K950" s="9"/>
      <c r="L950" s="32"/>
      <c r="M950" s="32"/>
      <c r="Z950" s="13"/>
      <c r="AA950" s="13"/>
      <c r="AB950" s="13"/>
      <c r="AC950" s="13"/>
      <c r="AD950" s="13"/>
    </row>
    <row r="951">
      <c r="J951" s="9"/>
      <c r="K951" s="9"/>
      <c r="L951" s="32"/>
      <c r="M951" s="32"/>
      <c r="Z951" s="13"/>
      <c r="AA951" s="13"/>
      <c r="AB951" s="13"/>
      <c r="AC951" s="13"/>
      <c r="AD951" s="13"/>
    </row>
    <row r="952">
      <c r="J952" s="9"/>
      <c r="K952" s="9"/>
      <c r="L952" s="32"/>
      <c r="M952" s="32"/>
      <c r="Z952" s="13"/>
      <c r="AA952" s="13"/>
      <c r="AB952" s="13"/>
      <c r="AC952" s="13"/>
      <c r="AD952" s="13"/>
    </row>
    <row r="953">
      <c r="J953" s="9"/>
      <c r="K953" s="9"/>
      <c r="L953" s="32"/>
      <c r="M953" s="32"/>
      <c r="Z953" s="13"/>
      <c r="AA953" s="13"/>
      <c r="AB953" s="13"/>
      <c r="AC953" s="13"/>
      <c r="AD953" s="13"/>
    </row>
    <row r="954">
      <c r="J954" s="9"/>
      <c r="K954" s="9"/>
      <c r="L954" s="32"/>
      <c r="M954" s="32"/>
      <c r="Z954" s="13"/>
      <c r="AA954" s="13"/>
      <c r="AB954" s="13"/>
      <c r="AC954" s="13"/>
      <c r="AD954" s="13"/>
    </row>
    <row r="955">
      <c r="J955" s="9"/>
      <c r="K955" s="9"/>
      <c r="L955" s="32"/>
      <c r="M955" s="32"/>
      <c r="Z955" s="13"/>
      <c r="AA955" s="13"/>
      <c r="AB955" s="13"/>
      <c r="AC955" s="13"/>
      <c r="AD955" s="13"/>
    </row>
    <row r="956">
      <c r="J956" s="9"/>
      <c r="K956" s="9"/>
      <c r="L956" s="32"/>
      <c r="M956" s="32"/>
      <c r="Z956" s="13"/>
      <c r="AA956" s="13"/>
      <c r="AB956" s="13"/>
      <c r="AC956" s="13"/>
      <c r="AD956" s="13"/>
    </row>
    <row r="957">
      <c r="J957" s="9"/>
      <c r="K957" s="9"/>
      <c r="L957" s="32"/>
      <c r="M957" s="32"/>
      <c r="Z957" s="13"/>
      <c r="AA957" s="13"/>
      <c r="AB957" s="13"/>
      <c r="AC957" s="13"/>
      <c r="AD957" s="13"/>
    </row>
    <row r="958">
      <c r="J958" s="9"/>
      <c r="K958" s="9"/>
      <c r="L958" s="32"/>
      <c r="M958" s="32"/>
      <c r="Z958" s="13"/>
      <c r="AA958" s="13"/>
      <c r="AB958" s="13"/>
      <c r="AC958" s="13"/>
      <c r="AD958" s="13"/>
    </row>
    <row r="959">
      <c r="J959" s="9"/>
      <c r="K959" s="9"/>
      <c r="L959" s="32"/>
      <c r="M959" s="32"/>
      <c r="Z959" s="13"/>
      <c r="AA959" s="13"/>
      <c r="AB959" s="13"/>
      <c r="AC959" s="13"/>
      <c r="AD959" s="13"/>
    </row>
    <row r="960">
      <c r="J960" s="9"/>
      <c r="K960" s="9"/>
      <c r="L960" s="32"/>
      <c r="M960" s="32"/>
      <c r="Z960" s="13"/>
      <c r="AA960" s="13"/>
      <c r="AB960" s="13"/>
      <c r="AC960" s="13"/>
      <c r="AD960" s="13"/>
    </row>
    <row r="961">
      <c r="J961" s="9"/>
      <c r="K961" s="9"/>
      <c r="L961" s="32"/>
      <c r="M961" s="32"/>
      <c r="Z961" s="13"/>
      <c r="AA961" s="13"/>
      <c r="AB961" s="13"/>
      <c r="AC961" s="13"/>
      <c r="AD961" s="13"/>
    </row>
    <row r="962">
      <c r="J962" s="9"/>
      <c r="K962" s="9"/>
      <c r="L962" s="32"/>
      <c r="M962" s="32"/>
      <c r="Z962" s="13"/>
      <c r="AA962" s="13"/>
      <c r="AB962" s="13"/>
      <c r="AC962" s="13"/>
      <c r="AD962" s="13"/>
    </row>
    <row r="963">
      <c r="J963" s="9"/>
      <c r="K963" s="9"/>
      <c r="L963" s="32"/>
      <c r="M963" s="32"/>
      <c r="Z963" s="13"/>
      <c r="AA963" s="13"/>
      <c r="AB963" s="13"/>
      <c r="AC963" s="13"/>
      <c r="AD963" s="13"/>
    </row>
    <row r="964">
      <c r="J964" s="9"/>
      <c r="K964" s="9"/>
      <c r="L964" s="32"/>
      <c r="M964" s="32"/>
      <c r="Z964" s="13"/>
      <c r="AA964" s="13"/>
      <c r="AB964" s="13"/>
      <c r="AC964" s="13"/>
      <c r="AD964" s="13"/>
    </row>
    <row r="965">
      <c r="J965" s="9"/>
      <c r="K965" s="9"/>
      <c r="L965" s="32"/>
      <c r="M965" s="32"/>
      <c r="Z965" s="13"/>
      <c r="AA965" s="13"/>
      <c r="AB965" s="13"/>
      <c r="AC965" s="13"/>
      <c r="AD965" s="13"/>
    </row>
    <row r="966">
      <c r="J966" s="9"/>
      <c r="K966" s="9"/>
      <c r="L966" s="32"/>
      <c r="M966" s="32"/>
      <c r="Z966" s="13"/>
      <c r="AA966" s="13"/>
      <c r="AB966" s="13"/>
      <c r="AC966" s="13"/>
      <c r="AD966" s="13"/>
    </row>
    <row r="967">
      <c r="J967" s="9"/>
      <c r="K967" s="9"/>
      <c r="L967" s="32"/>
      <c r="M967" s="32"/>
      <c r="Z967" s="13"/>
      <c r="AA967" s="13"/>
      <c r="AB967" s="13"/>
      <c r="AC967" s="13"/>
      <c r="AD967" s="13"/>
    </row>
    <row r="968">
      <c r="J968" s="9"/>
      <c r="K968" s="9"/>
      <c r="L968" s="32"/>
      <c r="M968" s="32"/>
      <c r="Z968" s="13"/>
      <c r="AA968" s="13"/>
      <c r="AB968" s="13"/>
      <c r="AC968" s="13"/>
      <c r="AD968" s="13"/>
    </row>
    <row r="969">
      <c r="J969" s="9"/>
      <c r="K969" s="9"/>
      <c r="L969" s="32"/>
      <c r="M969" s="32"/>
      <c r="Z969" s="13"/>
      <c r="AA969" s="13"/>
      <c r="AB969" s="13"/>
      <c r="AC969" s="13"/>
      <c r="AD969" s="13"/>
    </row>
    <row r="970">
      <c r="J970" s="9"/>
      <c r="K970" s="9"/>
      <c r="L970" s="32"/>
      <c r="M970" s="32"/>
      <c r="Z970" s="13"/>
      <c r="AA970" s="13"/>
      <c r="AB970" s="13"/>
      <c r="AC970" s="13"/>
      <c r="AD970" s="13"/>
    </row>
    <row r="971">
      <c r="J971" s="9"/>
      <c r="K971" s="9"/>
      <c r="L971" s="32"/>
      <c r="M971" s="32"/>
      <c r="Z971" s="13"/>
      <c r="AA971" s="13"/>
      <c r="AB971" s="13"/>
      <c r="AC971" s="13"/>
      <c r="AD971" s="13"/>
    </row>
    <row r="972">
      <c r="J972" s="9"/>
      <c r="K972" s="9"/>
      <c r="L972" s="32"/>
      <c r="M972" s="32"/>
      <c r="Z972" s="13"/>
      <c r="AA972" s="13"/>
      <c r="AB972" s="13"/>
      <c r="AC972" s="13"/>
      <c r="AD972" s="13"/>
    </row>
    <row r="973">
      <c r="J973" s="9"/>
      <c r="K973" s="9"/>
      <c r="L973" s="32"/>
      <c r="M973" s="32"/>
      <c r="Z973" s="13"/>
      <c r="AA973" s="13"/>
      <c r="AB973" s="13"/>
      <c r="AC973" s="13"/>
      <c r="AD973" s="13"/>
    </row>
    <row r="974">
      <c r="J974" s="9"/>
      <c r="K974" s="9"/>
      <c r="L974" s="32"/>
      <c r="M974" s="32"/>
      <c r="Z974" s="13"/>
      <c r="AA974" s="13"/>
      <c r="AB974" s="13"/>
      <c r="AC974" s="13"/>
      <c r="AD974" s="13"/>
    </row>
    <row r="975">
      <c r="J975" s="9"/>
      <c r="K975" s="9"/>
      <c r="L975" s="32"/>
      <c r="M975" s="32"/>
      <c r="Z975" s="13"/>
      <c r="AA975" s="13"/>
      <c r="AB975" s="13"/>
      <c r="AC975" s="13"/>
      <c r="AD975" s="13"/>
    </row>
    <row r="976">
      <c r="J976" s="9"/>
      <c r="K976" s="9"/>
      <c r="L976" s="32"/>
      <c r="M976" s="32"/>
      <c r="Z976" s="13"/>
      <c r="AA976" s="13"/>
      <c r="AB976" s="13"/>
      <c r="AC976" s="13"/>
      <c r="AD976" s="13"/>
    </row>
    <row r="977">
      <c r="J977" s="9"/>
      <c r="K977" s="9"/>
      <c r="L977" s="32"/>
      <c r="M977" s="32"/>
      <c r="Z977" s="13"/>
      <c r="AA977" s="13"/>
      <c r="AB977" s="13"/>
      <c r="AC977" s="13"/>
      <c r="AD977" s="13"/>
    </row>
    <row r="978">
      <c r="J978" s="9"/>
      <c r="K978" s="9"/>
      <c r="L978" s="32"/>
      <c r="M978" s="32"/>
      <c r="Z978" s="13"/>
      <c r="AA978" s="13"/>
      <c r="AB978" s="13"/>
      <c r="AC978" s="13"/>
      <c r="AD978" s="13"/>
    </row>
    <row r="979">
      <c r="J979" s="9"/>
      <c r="K979" s="9"/>
      <c r="L979" s="32"/>
      <c r="M979" s="32"/>
      <c r="Z979" s="13"/>
      <c r="AA979" s="13"/>
      <c r="AB979" s="13"/>
      <c r="AC979" s="13"/>
      <c r="AD979" s="13"/>
    </row>
    <row r="980">
      <c r="J980" s="9"/>
      <c r="K980" s="9"/>
      <c r="L980" s="32"/>
      <c r="M980" s="32"/>
      <c r="Z980" s="13"/>
      <c r="AA980" s="13"/>
      <c r="AB980" s="13"/>
      <c r="AC980" s="13"/>
      <c r="AD980" s="13"/>
    </row>
    <row r="981">
      <c r="J981" s="9"/>
      <c r="K981" s="9"/>
      <c r="L981" s="32"/>
      <c r="M981" s="32"/>
      <c r="Z981" s="13"/>
      <c r="AA981" s="13"/>
      <c r="AB981" s="13"/>
      <c r="AC981" s="13"/>
      <c r="AD981" s="13"/>
    </row>
    <row r="982">
      <c r="J982" s="9"/>
      <c r="K982" s="9"/>
      <c r="L982" s="32"/>
      <c r="M982" s="32"/>
      <c r="Z982" s="13"/>
      <c r="AA982" s="13"/>
      <c r="AB982" s="13"/>
      <c r="AC982" s="13"/>
      <c r="AD982" s="13"/>
    </row>
    <row r="983">
      <c r="J983" s="9"/>
      <c r="K983" s="9"/>
      <c r="L983" s="32"/>
      <c r="M983" s="32"/>
      <c r="Z983" s="13"/>
      <c r="AA983" s="13"/>
      <c r="AB983" s="13"/>
      <c r="AC983" s="13"/>
      <c r="AD983" s="13"/>
    </row>
    <row r="984">
      <c r="J984" s="9"/>
      <c r="K984" s="9"/>
      <c r="L984" s="32"/>
      <c r="M984" s="32"/>
      <c r="Z984" s="13"/>
      <c r="AA984" s="13"/>
      <c r="AB984" s="13"/>
      <c r="AC984" s="13"/>
      <c r="AD984" s="13"/>
    </row>
    <row r="985">
      <c r="J985" s="9"/>
      <c r="K985" s="9"/>
      <c r="L985" s="32"/>
      <c r="M985" s="32"/>
      <c r="Z985" s="13"/>
      <c r="AA985" s="13"/>
      <c r="AB985" s="13"/>
      <c r="AC985" s="13"/>
      <c r="AD985" s="13"/>
    </row>
    <row r="986">
      <c r="J986" s="9"/>
      <c r="K986" s="9"/>
      <c r="L986" s="32"/>
      <c r="M986" s="32"/>
      <c r="Z986" s="13"/>
      <c r="AA986" s="13"/>
      <c r="AB986" s="13"/>
      <c r="AC986" s="13"/>
      <c r="AD986" s="13"/>
    </row>
    <row r="987">
      <c r="J987" s="9"/>
      <c r="K987" s="9"/>
      <c r="L987" s="32"/>
      <c r="M987" s="32"/>
      <c r="Z987" s="13"/>
      <c r="AA987" s="13"/>
      <c r="AB987" s="13"/>
      <c r="AC987" s="13"/>
      <c r="AD987" s="13"/>
    </row>
    <row r="988">
      <c r="J988" s="9"/>
      <c r="K988" s="9"/>
      <c r="L988" s="32"/>
      <c r="M988" s="32"/>
      <c r="Z988" s="13"/>
      <c r="AA988" s="13"/>
      <c r="AB988" s="13"/>
      <c r="AC988" s="13"/>
      <c r="AD988" s="13"/>
    </row>
    <row r="989">
      <c r="J989" s="9"/>
      <c r="K989" s="9"/>
      <c r="L989" s="32"/>
      <c r="M989" s="32"/>
      <c r="Z989" s="13"/>
      <c r="AA989" s="13"/>
      <c r="AB989" s="13"/>
      <c r="AC989" s="13"/>
      <c r="AD989" s="13"/>
    </row>
    <row r="990">
      <c r="J990" s="9"/>
      <c r="K990" s="9"/>
      <c r="L990" s="32"/>
      <c r="M990" s="32"/>
      <c r="Z990" s="13"/>
      <c r="AA990" s="13"/>
      <c r="AB990" s="13"/>
      <c r="AC990" s="13"/>
      <c r="AD990" s="13"/>
    </row>
    <row r="991">
      <c r="J991" s="9"/>
      <c r="K991" s="9"/>
      <c r="L991" s="32"/>
      <c r="M991" s="32"/>
      <c r="Z991" s="13"/>
      <c r="AA991" s="13"/>
      <c r="AB991" s="13"/>
      <c r="AC991" s="13"/>
      <c r="AD991" s="13"/>
    </row>
    <row r="992">
      <c r="J992" s="9"/>
      <c r="K992" s="9"/>
      <c r="L992" s="32"/>
      <c r="M992" s="32"/>
      <c r="Z992" s="13"/>
      <c r="AA992" s="13"/>
      <c r="AB992" s="13"/>
      <c r="AC992" s="13"/>
      <c r="AD992" s="13"/>
    </row>
    <row r="993">
      <c r="J993" s="9"/>
      <c r="K993" s="9"/>
      <c r="L993" s="32"/>
      <c r="M993" s="32"/>
      <c r="Z993" s="13"/>
      <c r="AA993" s="13"/>
      <c r="AB993" s="13"/>
      <c r="AC993" s="13"/>
      <c r="AD993" s="13"/>
    </row>
    <row r="994">
      <c r="J994" s="9"/>
      <c r="K994" s="9"/>
      <c r="L994" s="32"/>
      <c r="M994" s="32"/>
      <c r="Z994" s="13"/>
      <c r="AA994" s="13"/>
      <c r="AB994" s="13"/>
      <c r="AC994" s="13"/>
      <c r="AD994" s="13"/>
    </row>
    <row r="995">
      <c r="J995" s="9"/>
      <c r="K995" s="9"/>
      <c r="L995" s="32"/>
      <c r="M995" s="32"/>
      <c r="Z995" s="13"/>
      <c r="AA995" s="13"/>
      <c r="AB995" s="13"/>
      <c r="AC995" s="13"/>
      <c r="AD995" s="13"/>
    </row>
    <row r="996">
      <c r="J996" s="9"/>
      <c r="K996" s="9"/>
      <c r="L996" s="32"/>
      <c r="M996" s="32"/>
      <c r="Z996" s="13"/>
      <c r="AA996" s="13"/>
      <c r="AB996" s="13"/>
      <c r="AC996" s="13"/>
      <c r="AD996" s="13"/>
    </row>
    <row r="997">
      <c r="J997" s="9"/>
      <c r="K997" s="9"/>
      <c r="L997" s="32"/>
      <c r="M997" s="32"/>
      <c r="Z997" s="13"/>
      <c r="AA997" s="13"/>
      <c r="AB997" s="13"/>
      <c r="AC997" s="13"/>
      <c r="AD997" s="13"/>
    </row>
    <row r="998">
      <c r="J998" s="9"/>
      <c r="K998" s="9"/>
      <c r="L998" s="32"/>
      <c r="M998" s="32"/>
      <c r="Z998" s="13"/>
      <c r="AA998" s="13"/>
      <c r="AB998" s="13"/>
      <c r="AC998" s="13"/>
      <c r="AD998" s="13"/>
    </row>
    <row r="999">
      <c r="J999" s="9"/>
      <c r="K999" s="9"/>
      <c r="L999" s="32"/>
      <c r="M999" s="32"/>
      <c r="Z999" s="13"/>
      <c r="AA999" s="13"/>
      <c r="AB999" s="13"/>
      <c r="AC999" s="13"/>
      <c r="AD999" s="13"/>
    </row>
    <row r="1000">
      <c r="J1000" s="9"/>
      <c r="K1000" s="9"/>
      <c r="L1000" s="32"/>
      <c r="M1000" s="32"/>
      <c r="Z1000" s="13"/>
      <c r="AA1000" s="13"/>
      <c r="AB1000" s="13"/>
      <c r="AC1000" s="13"/>
      <c r="AD1000" s="13"/>
    </row>
    <row r="1001">
      <c r="J1001" s="9"/>
      <c r="K1001" s="9"/>
      <c r="L1001" s="32"/>
      <c r="M1001" s="32"/>
      <c r="Z1001" s="13"/>
      <c r="AA1001" s="13"/>
      <c r="AB1001" s="13"/>
      <c r="AC1001" s="13"/>
      <c r="AD1001" s="13"/>
    </row>
    <row r="1002">
      <c r="J1002" s="9"/>
      <c r="K1002" s="9"/>
      <c r="L1002" s="32"/>
      <c r="M1002" s="32"/>
      <c r="Z1002" s="13"/>
      <c r="AA1002" s="13"/>
      <c r="AB1002" s="13"/>
      <c r="AC1002" s="13"/>
      <c r="AD1002" s="13"/>
    </row>
    <row r="1003">
      <c r="J1003" s="9"/>
      <c r="K1003" s="9"/>
      <c r="L1003" s="32"/>
      <c r="M1003" s="32"/>
      <c r="Z1003" s="13"/>
      <c r="AA1003" s="13"/>
      <c r="AB1003" s="13"/>
      <c r="AC1003" s="13"/>
      <c r="AD1003" s="13"/>
    </row>
    <row r="1004">
      <c r="J1004" s="9"/>
      <c r="K1004" s="9"/>
      <c r="L1004" s="32"/>
      <c r="M1004" s="32"/>
      <c r="Z1004" s="13"/>
      <c r="AA1004" s="13"/>
      <c r="AB1004" s="13"/>
      <c r="AC1004" s="13"/>
      <c r="AD1004" s="13"/>
    </row>
    <row r="1005">
      <c r="J1005" s="9"/>
      <c r="K1005" s="9"/>
      <c r="L1005" s="32"/>
      <c r="M1005" s="32"/>
      <c r="Z1005" s="13"/>
      <c r="AA1005" s="13"/>
      <c r="AB1005" s="13"/>
      <c r="AC1005" s="13"/>
      <c r="AD1005" s="13"/>
    </row>
    <row r="1006">
      <c r="J1006" s="9"/>
      <c r="K1006" s="9"/>
      <c r="L1006" s="32"/>
      <c r="M1006" s="32"/>
      <c r="Z1006" s="13"/>
      <c r="AA1006" s="13"/>
      <c r="AB1006" s="13"/>
      <c r="AC1006" s="13"/>
      <c r="AD1006" s="13"/>
    </row>
    <row r="1007">
      <c r="J1007" s="9"/>
      <c r="K1007" s="9"/>
      <c r="L1007" s="32"/>
      <c r="M1007" s="32"/>
      <c r="Z1007" s="13"/>
      <c r="AA1007" s="13"/>
      <c r="AB1007" s="13"/>
      <c r="AC1007" s="13"/>
      <c r="AD1007" s="13"/>
    </row>
    <row r="1008">
      <c r="J1008" s="9"/>
      <c r="K1008" s="9"/>
      <c r="L1008" s="32"/>
      <c r="M1008" s="32"/>
      <c r="Z1008" s="13"/>
      <c r="AA1008" s="13"/>
      <c r="AB1008" s="13"/>
      <c r="AC1008" s="13"/>
      <c r="AD1008" s="13"/>
    </row>
    <row r="1009">
      <c r="J1009" s="9"/>
      <c r="K1009" s="9"/>
      <c r="L1009" s="32"/>
      <c r="M1009" s="32"/>
      <c r="Z1009" s="13"/>
      <c r="AA1009" s="13"/>
      <c r="AB1009" s="13"/>
      <c r="AC1009" s="13"/>
      <c r="AD1009" s="13"/>
    </row>
    <row r="1010">
      <c r="J1010" s="9"/>
      <c r="K1010" s="9"/>
      <c r="L1010" s="32"/>
      <c r="M1010" s="32"/>
      <c r="Z1010" s="13"/>
      <c r="AA1010" s="13"/>
      <c r="AB1010" s="13"/>
      <c r="AC1010" s="13"/>
      <c r="AD1010" s="13"/>
    </row>
    <row r="1011">
      <c r="J1011" s="9"/>
      <c r="K1011" s="9"/>
      <c r="L1011" s="32"/>
      <c r="M1011" s="32"/>
      <c r="Z1011" s="13"/>
      <c r="AA1011" s="13"/>
      <c r="AB1011" s="13"/>
      <c r="AC1011" s="13"/>
      <c r="AD1011" s="13"/>
    </row>
    <row r="1012">
      <c r="J1012" s="9"/>
      <c r="K1012" s="9"/>
      <c r="L1012" s="32"/>
      <c r="M1012" s="32"/>
      <c r="Z1012" s="13"/>
      <c r="AA1012" s="13"/>
      <c r="AB1012" s="13"/>
      <c r="AC1012" s="13"/>
      <c r="AD1012" s="13"/>
    </row>
    <row r="1013">
      <c r="J1013" s="9"/>
      <c r="K1013" s="9"/>
      <c r="L1013" s="32"/>
      <c r="M1013" s="32"/>
      <c r="Z1013" s="13"/>
      <c r="AA1013" s="13"/>
      <c r="AB1013" s="13"/>
      <c r="AC1013" s="13"/>
      <c r="AD1013" s="13"/>
    </row>
    <row r="1014">
      <c r="J1014" s="9"/>
      <c r="K1014" s="9"/>
      <c r="L1014" s="32"/>
      <c r="M1014" s="32"/>
      <c r="Z1014" s="13"/>
      <c r="AA1014" s="13"/>
      <c r="AB1014" s="13"/>
      <c r="AC1014" s="13"/>
      <c r="AD1014" s="13"/>
    </row>
    <row r="1015">
      <c r="J1015" s="9"/>
      <c r="K1015" s="9"/>
      <c r="L1015" s="32"/>
      <c r="M1015" s="32"/>
      <c r="Z1015" s="13"/>
      <c r="AA1015" s="13"/>
      <c r="AB1015" s="13"/>
      <c r="AC1015" s="13"/>
      <c r="AD1015" s="13"/>
    </row>
    <row r="1016">
      <c r="J1016" s="9"/>
      <c r="K1016" s="9"/>
      <c r="L1016" s="32"/>
      <c r="M1016" s="32"/>
      <c r="Z1016" s="13"/>
      <c r="AA1016" s="13"/>
      <c r="AB1016" s="13"/>
      <c r="AC1016" s="13"/>
      <c r="AD1016" s="13"/>
    </row>
    <row r="1017">
      <c r="J1017" s="9"/>
      <c r="K1017" s="9"/>
      <c r="L1017" s="32"/>
      <c r="M1017" s="32"/>
      <c r="Z1017" s="13"/>
      <c r="AA1017" s="13"/>
      <c r="AB1017" s="13"/>
      <c r="AC1017" s="13"/>
      <c r="AD1017" s="13"/>
    </row>
    <row r="1018">
      <c r="J1018" s="9"/>
      <c r="K1018" s="9"/>
      <c r="L1018" s="32"/>
      <c r="M1018" s="32"/>
      <c r="Z1018" s="13"/>
      <c r="AA1018" s="13"/>
      <c r="AB1018" s="13"/>
      <c r="AC1018" s="13"/>
      <c r="AD1018" s="13"/>
    </row>
    <row r="1019">
      <c r="J1019" s="9"/>
      <c r="K1019" s="9"/>
      <c r="L1019" s="32"/>
      <c r="M1019" s="32"/>
      <c r="Z1019" s="13"/>
      <c r="AA1019" s="13"/>
      <c r="AB1019" s="13"/>
      <c r="AC1019" s="13"/>
      <c r="AD1019" s="13"/>
    </row>
    <row r="1020">
      <c r="J1020" s="9"/>
      <c r="K1020" s="9"/>
      <c r="L1020" s="32"/>
      <c r="M1020" s="32"/>
      <c r="Z1020" s="13"/>
      <c r="AA1020" s="13"/>
      <c r="AB1020" s="13"/>
      <c r="AC1020" s="13"/>
      <c r="AD1020" s="13"/>
    </row>
    <row r="1021">
      <c r="J1021" s="9"/>
      <c r="K1021" s="9"/>
      <c r="L1021" s="32"/>
      <c r="M1021" s="32"/>
      <c r="Z1021" s="13"/>
      <c r="AA1021" s="13"/>
      <c r="AB1021" s="13"/>
      <c r="AC1021" s="13"/>
      <c r="AD1021" s="13"/>
    </row>
    <row r="1022">
      <c r="J1022" s="9"/>
      <c r="K1022" s="9"/>
      <c r="L1022" s="32"/>
      <c r="M1022" s="32"/>
      <c r="Z1022" s="13"/>
      <c r="AA1022" s="13"/>
      <c r="AB1022" s="13"/>
      <c r="AC1022" s="13"/>
      <c r="AD1022" s="13"/>
    </row>
    <row r="1023">
      <c r="J1023" s="9"/>
      <c r="K1023" s="9"/>
      <c r="L1023" s="32"/>
      <c r="M1023" s="32"/>
      <c r="Z1023" s="13"/>
      <c r="AA1023" s="13"/>
      <c r="AB1023" s="13"/>
      <c r="AC1023" s="13"/>
      <c r="AD1023" s="13"/>
    </row>
    <row r="1024">
      <c r="J1024" s="9"/>
      <c r="K1024" s="9"/>
      <c r="L1024" s="32"/>
      <c r="M1024" s="32"/>
      <c r="Z1024" s="13"/>
      <c r="AA1024" s="13"/>
      <c r="AB1024" s="13"/>
      <c r="AC1024" s="13"/>
      <c r="AD1024" s="13"/>
    </row>
    <row r="1025">
      <c r="J1025" s="9"/>
      <c r="K1025" s="9"/>
      <c r="L1025" s="32"/>
      <c r="M1025" s="32"/>
      <c r="Z1025" s="13"/>
      <c r="AA1025" s="13"/>
      <c r="AB1025" s="13"/>
      <c r="AC1025" s="13"/>
      <c r="AD1025" s="13"/>
    </row>
    <row r="1026">
      <c r="J1026" s="9"/>
      <c r="K1026" s="9"/>
      <c r="L1026" s="32"/>
      <c r="M1026" s="32"/>
      <c r="Z1026" s="13"/>
      <c r="AA1026" s="13"/>
      <c r="AB1026" s="13"/>
      <c r="AC1026" s="13"/>
      <c r="AD1026" s="13"/>
    </row>
    <row r="1027">
      <c r="J1027" s="9"/>
      <c r="K1027" s="9"/>
      <c r="L1027" s="32"/>
      <c r="M1027" s="32"/>
      <c r="Z1027" s="13"/>
      <c r="AA1027" s="13"/>
      <c r="AB1027" s="13"/>
      <c r="AC1027" s="13"/>
      <c r="AD1027" s="13"/>
    </row>
    <row r="1028">
      <c r="J1028" s="9"/>
      <c r="K1028" s="9"/>
      <c r="L1028" s="32"/>
      <c r="M1028" s="32"/>
      <c r="Z1028" s="13"/>
      <c r="AA1028" s="13"/>
      <c r="AB1028" s="13"/>
      <c r="AC1028" s="13"/>
      <c r="AD1028" s="13"/>
    </row>
    <row r="1029">
      <c r="J1029" s="9"/>
      <c r="K1029" s="9"/>
      <c r="L1029" s="32"/>
      <c r="M1029" s="32"/>
      <c r="Z1029" s="13"/>
      <c r="AA1029" s="13"/>
      <c r="AB1029" s="13"/>
      <c r="AC1029" s="13"/>
      <c r="AD1029" s="13"/>
    </row>
    <row r="1030">
      <c r="J1030" s="9"/>
      <c r="K1030" s="9"/>
      <c r="L1030" s="32"/>
      <c r="M1030" s="32"/>
      <c r="Z1030" s="13"/>
      <c r="AA1030" s="13"/>
      <c r="AB1030" s="13"/>
      <c r="AC1030" s="13"/>
      <c r="AD1030" s="13"/>
    </row>
    <row r="1031">
      <c r="J1031" s="9"/>
      <c r="K1031" s="9"/>
      <c r="L1031" s="32"/>
      <c r="M1031" s="32"/>
      <c r="Z1031" s="13"/>
      <c r="AA1031" s="13"/>
      <c r="AB1031" s="13"/>
      <c r="AC1031" s="13"/>
      <c r="AD1031" s="13"/>
    </row>
    <row r="1032">
      <c r="J1032" s="9"/>
      <c r="K1032" s="9"/>
      <c r="L1032" s="32"/>
      <c r="M1032" s="32"/>
      <c r="Z1032" s="13"/>
      <c r="AA1032" s="13"/>
      <c r="AB1032" s="13"/>
      <c r="AC1032" s="13"/>
      <c r="AD1032" s="13"/>
    </row>
    <row r="1033">
      <c r="J1033" s="9"/>
      <c r="K1033" s="9"/>
      <c r="L1033" s="32"/>
      <c r="M1033" s="32"/>
      <c r="Z1033" s="13"/>
      <c r="AA1033" s="13"/>
      <c r="AB1033" s="13"/>
      <c r="AC1033" s="13"/>
      <c r="AD1033" s="13"/>
    </row>
    <row r="1034">
      <c r="J1034" s="9"/>
      <c r="K1034" s="9"/>
      <c r="L1034" s="32"/>
      <c r="M1034" s="32"/>
      <c r="Z1034" s="13"/>
      <c r="AA1034" s="13"/>
      <c r="AB1034" s="13"/>
      <c r="AC1034" s="13"/>
      <c r="AD1034" s="13"/>
    </row>
    <row r="1035">
      <c r="J1035" s="9"/>
      <c r="K1035" s="9"/>
      <c r="L1035" s="32"/>
      <c r="M1035" s="32"/>
      <c r="Z1035" s="13"/>
      <c r="AA1035" s="13"/>
      <c r="AB1035" s="13"/>
      <c r="AC1035" s="13"/>
      <c r="AD1035" s="13"/>
    </row>
    <row r="1036">
      <c r="J1036" s="9"/>
      <c r="K1036" s="9"/>
      <c r="L1036" s="32"/>
      <c r="M1036" s="32"/>
      <c r="Z1036" s="13"/>
      <c r="AA1036" s="13"/>
      <c r="AB1036" s="13"/>
      <c r="AC1036" s="13"/>
      <c r="AD1036" s="13"/>
    </row>
    <row r="1037">
      <c r="J1037" s="9"/>
      <c r="K1037" s="9"/>
      <c r="L1037" s="32"/>
      <c r="M1037" s="32"/>
      <c r="Z1037" s="13"/>
      <c r="AA1037" s="13"/>
      <c r="AB1037" s="13"/>
      <c r="AC1037" s="13"/>
      <c r="AD1037" s="13"/>
    </row>
    <row r="1038">
      <c r="J1038" s="9"/>
      <c r="K1038" s="9"/>
      <c r="L1038" s="32"/>
      <c r="M1038" s="32"/>
      <c r="Z1038" s="13"/>
      <c r="AA1038" s="13"/>
      <c r="AB1038" s="13"/>
      <c r="AC1038" s="13"/>
      <c r="AD1038" s="13"/>
    </row>
    <row r="1039">
      <c r="J1039" s="9"/>
      <c r="K1039" s="9"/>
      <c r="L1039" s="32"/>
      <c r="M1039" s="32"/>
      <c r="Z1039" s="13"/>
      <c r="AA1039" s="13"/>
      <c r="AB1039" s="13"/>
      <c r="AC1039" s="13"/>
      <c r="AD1039" s="13"/>
    </row>
    <row r="1040">
      <c r="J1040" s="9"/>
      <c r="K1040" s="9"/>
      <c r="L1040" s="32"/>
      <c r="M1040" s="32"/>
      <c r="Z1040" s="13"/>
      <c r="AA1040" s="13"/>
      <c r="AB1040" s="13"/>
      <c r="AC1040" s="13"/>
      <c r="AD1040" s="13"/>
    </row>
    <row r="1041">
      <c r="J1041" s="9"/>
      <c r="K1041" s="9"/>
      <c r="L1041" s="32"/>
      <c r="M1041" s="32"/>
      <c r="Z1041" s="13"/>
      <c r="AA1041" s="13"/>
      <c r="AB1041" s="13"/>
      <c r="AC1041" s="13"/>
      <c r="AD1041" s="13"/>
    </row>
    <row r="1042">
      <c r="J1042" s="9"/>
      <c r="K1042" s="9"/>
      <c r="L1042" s="32"/>
      <c r="M1042" s="32"/>
      <c r="Z1042" s="13"/>
      <c r="AA1042" s="13"/>
      <c r="AB1042" s="13"/>
      <c r="AC1042" s="13"/>
      <c r="AD1042" s="13"/>
    </row>
    <row r="1043">
      <c r="J1043" s="9"/>
      <c r="K1043" s="9"/>
      <c r="L1043" s="32"/>
      <c r="M1043" s="32"/>
      <c r="Z1043" s="13"/>
      <c r="AA1043" s="13"/>
      <c r="AB1043" s="13"/>
      <c r="AC1043" s="13"/>
      <c r="AD1043" s="13"/>
    </row>
    <row r="1044">
      <c r="J1044" s="9"/>
      <c r="K1044" s="9"/>
      <c r="L1044" s="32"/>
      <c r="M1044" s="32"/>
      <c r="Z1044" s="13"/>
      <c r="AA1044" s="13"/>
      <c r="AB1044" s="13"/>
      <c r="AC1044" s="13"/>
      <c r="AD1044" s="13"/>
    </row>
    <row r="1045">
      <c r="J1045" s="9"/>
      <c r="K1045" s="9"/>
      <c r="L1045" s="32"/>
      <c r="M1045" s="32"/>
      <c r="Z1045" s="13"/>
      <c r="AA1045" s="13"/>
      <c r="AB1045" s="13"/>
      <c r="AC1045" s="13"/>
      <c r="AD1045" s="13"/>
    </row>
    <row r="1046">
      <c r="J1046" s="9"/>
      <c r="K1046" s="9"/>
      <c r="L1046" s="32"/>
      <c r="M1046" s="32"/>
      <c r="Z1046" s="13"/>
      <c r="AA1046" s="13"/>
      <c r="AB1046" s="13"/>
      <c r="AC1046" s="13"/>
      <c r="AD1046" s="13"/>
    </row>
    <row r="1047">
      <c r="J1047" s="9"/>
      <c r="K1047" s="9"/>
      <c r="L1047" s="32"/>
      <c r="M1047" s="32"/>
      <c r="Z1047" s="13"/>
      <c r="AA1047" s="13"/>
      <c r="AB1047" s="13"/>
      <c r="AC1047" s="13"/>
      <c r="AD1047" s="13"/>
    </row>
    <row r="1048">
      <c r="J1048" s="9"/>
      <c r="K1048" s="9"/>
      <c r="L1048" s="32"/>
      <c r="M1048" s="32"/>
      <c r="Z1048" s="13"/>
      <c r="AA1048" s="13"/>
      <c r="AB1048" s="13"/>
      <c r="AC1048" s="13"/>
      <c r="AD1048" s="13"/>
    </row>
    <row r="1049">
      <c r="J1049" s="9"/>
      <c r="K1049" s="9"/>
      <c r="L1049" s="32"/>
      <c r="M1049" s="32"/>
      <c r="Z1049" s="13"/>
      <c r="AA1049" s="13"/>
      <c r="AB1049" s="13"/>
      <c r="AC1049" s="13"/>
      <c r="AD1049" s="13"/>
    </row>
    <row r="1050">
      <c r="J1050" s="9"/>
      <c r="K1050" s="9"/>
      <c r="L1050" s="32"/>
      <c r="M1050" s="32"/>
      <c r="Z1050" s="13"/>
      <c r="AA1050" s="13"/>
      <c r="AB1050" s="13"/>
      <c r="AC1050" s="13"/>
      <c r="AD1050" s="13"/>
    </row>
    <row r="1051">
      <c r="J1051" s="9"/>
      <c r="K1051" s="9"/>
      <c r="L1051" s="32"/>
      <c r="M1051" s="32"/>
      <c r="Z1051" s="13"/>
      <c r="AA1051" s="13"/>
      <c r="AB1051" s="13"/>
      <c r="AC1051" s="13"/>
      <c r="AD1051" s="13"/>
    </row>
    <row r="1052">
      <c r="J1052" s="9"/>
      <c r="K1052" s="9"/>
      <c r="L1052" s="32"/>
      <c r="M1052" s="32"/>
      <c r="Z1052" s="13"/>
      <c r="AA1052" s="13"/>
      <c r="AB1052" s="13"/>
      <c r="AC1052" s="13"/>
      <c r="AD1052" s="13"/>
    </row>
    <row r="1053">
      <c r="J1053" s="9"/>
      <c r="K1053" s="9"/>
      <c r="L1053" s="32"/>
      <c r="M1053" s="32"/>
      <c r="Z1053" s="13"/>
      <c r="AA1053" s="13"/>
      <c r="AB1053" s="13"/>
      <c r="AC1053" s="13"/>
      <c r="AD1053" s="13"/>
    </row>
    <row r="1054">
      <c r="J1054" s="9"/>
      <c r="K1054" s="9"/>
      <c r="L1054" s="32"/>
      <c r="M1054" s="32"/>
      <c r="Z1054" s="13"/>
      <c r="AA1054" s="13"/>
      <c r="AB1054" s="13"/>
      <c r="AC1054" s="13"/>
      <c r="AD1054" s="13"/>
    </row>
    <row r="1055">
      <c r="J1055" s="9"/>
      <c r="K1055" s="9"/>
      <c r="L1055" s="32"/>
      <c r="M1055" s="32"/>
      <c r="Z1055" s="13"/>
      <c r="AA1055" s="13"/>
      <c r="AB1055" s="13"/>
      <c r="AC1055" s="13"/>
      <c r="AD1055" s="13"/>
    </row>
    <row r="1056">
      <c r="J1056" s="9"/>
      <c r="K1056" s="9"/>
      <c r="L1056" s="32"/>
      <c r="M1056" s="32"/>
      <c r="Z1056" s="13"/>
      <c r="AA1056" s="13"/>
      <c r="AB1056" s="13"/>
      <c r="AC1056" s="13"/>
      <c r="AD1056" s="13"/>
    </row>
    <row r="1057">
      <c r="J1057" s="9"/>
      <c r="K1057" s="9"/>
      <c r="L1057" s="32"/>
      <c r="M1057" s="32"/>
      <c r="Z1057" s="13"/>
      <c r="AA1057" s="13"/>
      <c r="AB1057" s="13"/>
      <c r="AC1057" s="13"/>
      <c r="AD1057" s="13"/>
    </row>
    <row r="1058">
      <c r="J1058" s="9"/>
      <c r="K1058" s="9"/>
      <c r="L1058" s="32"/>
      <c r="M1058" s="32"/>
      <c r="Z1058" s="13"/>
      <c r="AA1058" s="13"/>
      <c r="AB1058" s="13"/>
      <c r="AC1058" s="13"/>
      <c r="AD1058" s="13"/>
    </row>
    <row r="1059">
      <c r="J1059" s="9"/>
      <c r="K1059" s="9"/>
      <c r="L1059" s="32"/>
      <c r="M1059" s="32"/>
      <c r="Z1059" s="13"/>
      <c r="AA1059" s="13"/>
      <c r="AB1059" s="13"/>
      <c r="AC1059" s="13"/>
      <c r="AD1059" s="13"/>
    </row>
    <row r="1060">
      <c r="J1060" s="9"/>
      <c r="K1060" s="9"/>
      <c r="L1060" s="32"/>
      <c r="M1060" s="32"/>
      <c r="Z1060" s="13"/>
      <c r="AA1060" s="13"/>
      <c r="AB1060" s="13"/>
      <c r="AC1060" s="13"/>
      <c r="AD1060" s="13"/>
    </row>
    <row r="1061">
      <c r="J1061" s="9"/>
      <c r="K1061" s="9"/>
      <c r="L1061" s="32"/>
      <c r="M1061" s="32"/>
      <c r="Z1061" s="13"/>
      <c r="AA1061" s="13"/>
      <c r="AB1061" s="13"/>
      <c r="AC1061" s="13"/>
      <c r="AD1061" s="13"/>
    </row>
    <row r="1062">
      <c r="J1062" s="9"/>
      <c r="K1062" s="9"/>
      <c r="L1062" s="32"/>
      <c r="M1062" s="32"/>
      <c r="Z1062" s="13"/>
      <c r="AA1062" s="13"/>
      <c r="AB1062" s="13"/>
      <c r="AC1062" s="13"/>
      <c r="AD1062" s="13"/>
    </row>
    <row r="1063">
      <c r="J1063" s="9"/>
      <c r="K1063" s="9"/>
      <c r="L1063" s="32"/>
      <c r="M1063" s="32"/>
      <c r="Z1063" s="13"/>
      <c r="AA1063" s="13"/>
      <c r="AB1063" s="13"/>
      <c r="AC1063" s="13"/>
      <c r="AD1063" s="13"/>
    </row>
    <row r="1064">
      <c r="J1064" s="9"/>
      <c r="K1064" s="9"/>
      <c r="L1064" s="32"/>
      <c r="M1064" s="32"/>
      <c r="Z1064" s="13"/>
      <c r="AA1064" s="13"/>
      <c r="AB1064" s="13"/>
      <c r="AC1064" s="13"/>
      <c r="AD1064" s="13"/>
    </row>
    <row r="1065">
      <c r="J1065" s="9"/>
      <c r="K1065" s="9"/>
      <c r="L1065" s="32"/>
      <c r="M1065" s="32"/>
      <c r="Z1065" s="13"/>
      <c r="AA1065" s="13"/>
      <c r="AB1065" s="13"/>
      <c r="AC1065" s="13"/>
      <c r="AD1065" s="13"/>
    </row>
    <row r="1066">
      <c r="J1066" s="9"/>
      <c r="K1066" s="9"/>
      <c r="L1066" s="32"/>
      <c r="M1066" s="32"/>
      <c r="Z1066" s="13"/>
      <c r="AA1066" s="13"/>
      <c r="AB1066" s="13"/>
      <c r="AC1066" s="13"/>
      <c r="AD1066" s="13"/>
    </row>
    <row r="1067">
      <c r="J1067" s="9"/>
      <c r="K1067" s="9"/>
      <c r="L1067" s="32"/>
      <c r="M1067" s="32"/>
      <c r="Z1067" s="13"/>
      <c r="AA1067" s="13"/>
      <c r="AB1067" s="13"/>
      <c r="AC1067" s="13"/>
      <c r="AD1067" s="13"/>
    </row>
    <row r="1068">
      <c r="J1068" s="9"/>
      <c r="K1068" s="9"/>
      <c r="L1068" s="32"/>
      <c r="M1068" s="32"/>
      <c r="Z1068" s="13"/>
      <c r="AA1068" s="13"/>
      <c r="AB1068" s="13"/>
      <c r="AC1068" s="13"/>
      <c r="AD1068" s="13"/>
    </row>
    <row r="1069">
      <c r="J1069" s="9"/>
      <c r="K1069" s="9"/>
      <c r="L1069" s="32"/>
      <c r="M1069" s="32"/>
      <c r="Z1069" s="13"/>
      <c r="AA1069" s="13"/>
      <c r="AB1069" s="13"/>
      <c r="AC1069" s="13"/>
      <c r="AD1069" s="13"/>
    </row>
    <row r="1070">
      <c r="J1070" s="9"/>
      <c r="K1070" s="9"/>
      <c r="L1070" s="32"/>
      <c r="M1070" s="32"/>
      <c r="Z1070" s="13"/>
      <c r="AA1070" s="13"/>
      <c r="AB1070" s="13"/>
      <c r="AC1070" s="13"/>
      <c r="AD1070" s="13"/>
    </row>
    <row r="1071">
      <c r="J1071" s="9"/>
      <c r="K1071" s="9"/>
      <c r="L1071" s="32"/>
      <c r="M1071" s="32"/>
      <c r="Z1071" s="13"/>
      <c r="AA1071" s="13"/>
      <c r="AB1071" s="13"/>
      <c r="AC1071" s="13"/>
      <c r="AD1071" s="13"/>
    </row>
    <row r="1072">
      <c r="J1072" s="9"/>
      <c r="K1072" s="9"/>
      <c r="L1072" s="32"/>
      <c r="M1072" s="32"/>
      <c r="Z1072" s="13"/>
      <c r="AA1072" s="13"/>
      <c r="AB1072" s="13"/>
      <c r="AC1072" s="13"/>
      <c r="AD1072" s="13"/>
    </row>
    <row r="1073">
      <c r="J1073" s="9"/>
      <c r="K1073" s="9"/>
      <c r="L1073" s="32"/>
      <c r="M1073" s="32"/>
      <c r="Z1073" s="13"/>
      <c r="AA1073" s="13"/>
      <c r="AB1073" s="13"/>
      <c r="AC1073" s="13"/>
      <c r="AD1073" s="13"/>
    </row>
    <row r="1074">
      <c r="J1074" s="9"/>
      <c r="K1074" s="9"/>
      <c r="L1074" s="32"/>
      <c r="M1074" s="32"/>
      <c r="Z1074" s="13"/>
      <c r="AA1074" s="13"/>
      <c r="AB1074" s="13"/>
      <c r="AC1074" s="13"/>
      <c r="AD1074" s="13"/>
    </row>
    <row r="1075">
      <c r="J1075" s="9"/>
      <c r="K1075" s="9"/>
      <c r="L1075" s="32"/>
      <c r="M1075" s="32"/>
      <c r="Z1075" s="13"/>
      <c r="AA1075" s="13"/>
      <c r="AB1075" s="13"/>
      <c r="AC1075" s="13"/>
      <c r="AD1075" s="13"/>
    </row>
    <row r="1076">
      <c r="J1076" s="9"/>
      <c r="K1076" s="9"/>
      <c r="L1076" s="32"/>
      <c r="M1076" s="32"/>
      <c r="Z1076" s="13"/>
      <c r="AA1076" s="13"/>
      <c r="AB1076" s="13"/>
      <c r="AC1076" s="13"/>
      <c r="AD1076" s="13"/>
    </row>
    <row r="1077">
      <c r="J1077" s="9"/>
      <c r="K1077" s="9"/>
      <c r="L1077" s="32"/>
      <c r="M1077" s="32"/>
      <c r="Z1077" s="13"/>
      <c r="AA1077" s="13"/>
      <c r="AB1077" s="13"/>
      <c r="AC1077" s="13"/>
      <c r="AD1077" s="13"/>
    </row>
    <row r="1078">
      <c r="J1078" s="9"/>
      <c r="K1078" s="9"/>
      <c r="L1078" s="32"/>
      <c r="M1078" s="32"/>
      <c r="Z1078" s="13"/>
      <c r="AA1078" s="13"/>
      <c r="AB1078" s="13"/>
      <c r="AC1078" s="13"/>
      <c r="AD1078" s="13"/>
    </row>
    <row r="1079">
      <c r="J1079" s="9"/>
      <c r="K1079" s="9"/>
      <c r="L1079" s="32"/>
      <c r="M1079" s="32"/>
      <c r="Z1079" s="13"/>
      <c r="AA1079" s="13"/>
      <c r="AB1079" s="13"/>
      <c r="AC1079" s="13"/>
      <c r="AD1079" s="13"/>
    </row>
    <row r="1080">
      <c r="J1080" s="9"/>
      <c r="K1080" s="9"/>
      <c r="L1080" s="32"/>
      <c r="M1080" s="32"/>
      <c r="Z1080" s="13"/>
      <c r="AA1080" s="13"/>
      <c r="AB1080" s="13"/>
      <c r="AC1080" s="13"/>
      <c r="AD1080" s="13"/>
    </row>
    <row r="1081">
      <c r="J1081" s="9"/>
      <c r="K1081" s="9"/>
      <c r="L1081" s="32"/>
      <c r="M1081" s="32"/>
      <c r="Z1081" s="13"/>
      <c r="AA1081" s="13"/>
      <c r="AB1081" s="13"/>
      <c r="AC1081" s="13"/>
      <c r="AD1081" s="13"/>
    </row>
    <row r="1082">
      <c r="J1082" s="9"/>
      <c r="K1082" s="9"/>
      <c r="L1082" s="32"/>
      <c r="M1082" s="32"/>
      <c r="Z1082" s="13"/>
      <c r="AA1082" s="13"/>
      <c r="AB1082" s="13"/>
      <c r="AC1082" s="13"/>
      <c r="AD1082" s="13"/>
    </row>
    <row r="1083">
      <c r="J1083" s="9"/>
      <c r="K1083" s="9"/>
      <c r="L1083" s="32"/>
      <c r="M1083" s="32"/>
      <c r="Z1083" s="13"/>
      <c r="AA1083" s="13"/>
      <c r="AB1083" s="13"/>
      <c r="AC1083" s="13"/>
      <c r="AD1083" s="13"/>
    </row>
    <row r="1084">
      <c r="J1084" s="9"/>
      <c r="K1084" s="9"/>
      <c r="L1084" s="32"/>
      <c r="M1084" s="32"/>
      <c r="Z1084" s="13"/>
      <c r="AA1084" s="13"/>
      <c r="AB1084" s="13"/>
      <c r="AC1084" s="13"/>
      <c r="AD1084" s="13"/>
    </row>
    <row r="1085">
      <c r="J1085" s="9"/>
      <c r="K1085" s="9"/>
      <c r="L1085" s="32"/>
      <c r="M1085" s="32"/>
      <c r="Z1085" s="13"/>
      <c r="AA1085" s="13"/>
      <c r="AB1085" s="13"/>
      <c r="AC1085" s="13"/>
      <c r="AD1085" s="13"/>
    </row>
    <row r="1086">
      <c r="J1086" s="9"/>
      <c r="K1086" s="9"/>
      <c r="L1086" s="32"/>
      <c r="M1086" s="32"/>
      <c r="Z1086" s="13"/>
      <c r="AA1086" s="13"/>
      <c r="AB1086" s="13"/>
      <c r="AC1086" s="13"/>
      <c r="AD1086" s="13"/>
    </row>
    <row r="1087">
      <c r="J1087" s="9"/>
      <c r="K1087" s="9"/>
      <c r="L1087" s="32"/>
      <c r="M1087" s="32"/>
      <c r="Z1087" s="13"/>
      <c r="AA1087" s="13"/>
      <c r="AB1087" s="13"/>
      <c r="AC1087" s="13"/>
      <c r="AD1087" s="13"/>
    </row>
    <row r="1088">
      <c r="J1088" s="9"/>
      <c r="K1088" s="9"/>
      <c r="L1088" s="32"/>
      <c r="M1088" s="32"/>
      <c r="Z1088" s="13"/>
      <c r="AA1088" s="13"/>
      <c r="AB1088" s="13"/>
      <c r="AC1088" s="13"/>
      <c r="AD1088" s="13"/>
    </row>
    <row r="1089">
      <c r="J1089" s="9"/>
      <c r="K1089" s="9"/>
      <c r="L1089" s="32"/>
      <c r="M1089" s="32"/>
      <c r="Z1089" s="13"/>
      <c r="AA1089" s="13"/>
      <c r="AB1089" s="13"/>
      <c r="AC1089" s="13"/>
      <c r="AD1089" s="13"/>
    </row>
    <row r="1090">
      <c r="J1090" s="9"/>
      <c r="K1090" s="9"/>
      <c r="L1090" s="32"/>
      <c r="M1090" s="32"/>
      <c r="Z1090" s="13"/>
      <c r="AA1090" s="13"/>
      <c r="AB1090" s="13"/>
      <c r="AC1090" s="13"/>
      <c r="AD1090" s="13"/>
    </row>
    <row r="1091">
      <c r="J1091" s="9"/>
      <c r="K1091" s="9"/>
      <c r="L1091" s="32"/>
      <c r="M1091" s="32"/>
      <c r="Z1091" s="13"/>
      <c r="AA1091" s="13"/>
      <c r="AB1091" s="13"/>
      <c r="AC1091" s="13"/>
      <c r="AD1091" s="13"/>
    </row>
    <row r="1092">
      <c r="J1092" s="9"/>
      <c r="K1092" s="9"/>
      <c r="L1092" s="32"/>
      <c r="M1092" s="32"/>
      <c r="Z1092" s="13"/>
      <c r="AA1092" s="13"/>
      <c r="AB1092" s="13"/>
      <c r="AC1092" s="13"/>
      <c r="AD1092" s="13"/>
    </row>
    <row r="1093">
      <c r="J1093" s="9"/>
      <c r="K1093" s="9"/>
      <c r="L1093" s="32"/>
      <c r="M1093" s="32"/>
      <c r="Z1093" s="13"/>
      <c r="AA1093" s="13"/>
      <c r="AB1093" s="13"/>
      <c r="AC1093" s="13"/>
      <c r="AD1093" s="13"/>
    </row>
    <row r="1094">
      <c r="J1094" s="9"/>
      <c r="K1094" s="9"/>
      <c r="L1094" s="32"/>
      <c r="M1094" s="32"/>
      <c r="Z1094" s="13"/>
      <c r="AA1094" s="13"/>
      <c r="AB1094" s="13"/>
      <c r="AC1094" s="13"/>
      <c r="AD1094" s="13"/>
    </row>
    <row r="1095">
      <c r="J1095" s="9"/>
      <c r="K1095" s="9"/>
      <c r="L1095" s="32"/>
      <c r="M1095" s="32"/>
      <c r="Z1095" s="13"/>
      <c r="AA1095" s="13"/>
      <c r="AB1095" s="13"/>
      <c r="AC1095" s="13"/>
      <c r="AD1095" s="13"/>
    </row>
    <row r="1096">
      <c r="J1096" s="9"/>
      <c r="K1096" s="9"/>
      <c r="L1096" s="32"/>
      <c r="M1096" s="32"/>
      <c r="Z1096" s="13"/>
      <c r="AA1096" s="13"/>
      <c r="AB1096" s="13"/>
      <c r="AC1096" s="13"/>
      <c r="AD1096" s="13"/>
    </row>
    <row r="1097">
      <c r="J1097" s="9"/>
      <c r="K1097" s="9"/>
      <c r="L1097" s="32"/>
      <c r="M1097" s="32"/>
      <c r="Z1097" s="13"/>
      <c r="AA1097" s="13"/>
      <c r="AB1097" s="13"/>
      <c r="AC1097" s="13"/>
      <c r="AD1097" s="13"/>
    </row>
    <row r="1098">
      <c r="J1098" s="9"/>
      <c r="K1098" s="9"/>
      <c r="L1098" s="32"/>
      <c r="M1098" s="32"/>
      <c r="Z1098" s="13"/>
      <c r="AA1098" s="13"/>
      <c r="AB1098" s="13"/>
      <c r="AC1098" s="13"/>
      <c r="AD1098" s="13"/>
    </row>
    <row r="1099">
      <c r="J1099" s="9"/>
      <c r="K1099" s="9"/>
      <c r="L1099" s="32"/>
      <c r="M1099" s="32"/>
      <c r="Z1099" s="13"/>
      <c r="AA1099" s="13"/>
      <c r="AB1099" s="13"/>
      <c r="AC1099" s="13"/>
      <c r="AD1099" s="13"/>
    </row>
    <row r="1100">
      <c r="J1100" s="9"/>
      <c r="K1100" s="9"/>
      <c r="L1100" s="32"/>
      <c r="M1100" s="32"/>
      <c r="Z1100" s="13"/>
      <c r="AA1100" s="13"/>
      <c r="AB1100" s="13"/>
      <c r="AC1100" s="13"/>
      <c r="AD1100" s="13"/>
    </row>
    <row r="1101">
      <c r="J1101" s="9"/>
      <c r="K1101" s="9"/>
      <c r="L1101" s="32"/>
      <c r="M1101" s="32"/>
      <c r="Z1101" s="13"/>
      <c r="AA1101" s="13"/>
      <c r="AB1101" s="13"/>
      <c r="AC1101" s="13"/>
      <c r="AD1101" s="13"/>
    </row>
    <row r="1102">
      <c r="J1102" s="9"/>
      <c r="K1102" s="9"/>
      <c r="L1102" s="32"/>
      <c r="M1102" s="32"/>
      <c r="Z1102" s="13"/>
      <c r="AA1102" s="13"/>
      <c r="AB1102" s="13"/>
      <c r="AC1102" s="13"/>
      <c r="AD1102" s="13"/>
    </row>
    <row r="1103">
      <c r="J1103" s="9"/>
      <c r="K1103" s="9"/>
      <c r="L1103" s="32"/>
      <c r="M1103" s="32"/>
      <c r="Z1103" s="13"/>
      <c r="AA1103" s="13"/>
      <c r="AB1103" s="13"/>
      <c r="AC1103" s="13"/>
      <c r="AD1103" s="13"/>
    </row>
    <row r="1104">
      <c r="J1104" s="9"/>
      <c r="K1104" s="9"/>
      <c r="L1104" s="32"/>
      <c r="M1104" s="32"/>
      <c r="Z1104" s="13"/>
      <c r="AA1104" s="13"/>
      <c r="AB1104" s="13"/>
      <c r="AC1104" s="13"/>
      <c r="AD1104" s="13"/>
    </row>
    <row r="1105">
      <c r="J1105" s="9"/>
      <c r="K1105" s="9"/>
      <c r="L1105" s="32"/>
      <c r="M1105" s="32"/>
      <c r="Z1105" s="13"/>
      <c r="AA1105" s="13"/>
      <c r="AB1105" s="13"/>
      <c r="AC1105" s="13"/>
      <c r="AD1105" s="13"/>
    </row>
    <row r="1106">
      <c r="J1106" s="9"/>
      <c r="K1106" s="9"/>
      <c r="L1106" s="32"/>
      <c r="M1106" s="32"/>
      <c r="Z1106" s="13"/>
      <c r="AA1106" s="13"/>
      <c r="AB1106" s="13"/>
      <c r="AC1106" s="13"/>
      <c r="AD1106" s="13"/>
    </row>
    <row r="1107">
      <c r="J1107" s="9"/>
      <c r="K1107" s="9"/>
      <c r="L1107" s="32"/>
      <c r="M1107" s="32"/>
      <c r="Z1107" s="13"/>
      <c r="AA1107" s="13"/>
      <c r="AB1107" s="13"/>
      <c r="AC1107" s="13"/>
      <c r="AD1107" s="13"/>
    </row>
    <row r="1108">
      <c r="J1108" s="9"/>
      <c r="K1108" s="9"/>
      <c r="L1108" s="32"/>
      <c r="M1108" s="32"/>
      <c r="Z1108" s="13"/>
      <c r="AA1108" s="13"/>
      <c r="AB1108" s="13"/>
      <c r="AC1108" s="13"/>
      <c r="AD1108" s="13"/>
    </row>
    <row r="1109">
      <c r="J1109" s="9"/>
      <c r="K1109" s="9"/>
      <c r="L1109" s="32"/>
      <c r="M1109" s="32"/>
      <c r="Z1109" s="13"/>
      <c r="AA1109" s="13"/>
      <c r="AB1109" s="13"/>
      <c r="AC1109" s="13"/>
      <c r="AD1109" s="13"/>
    </row>
    <row r="1110">
      <c r="J1110" s="9"/>
      <c r="K1110" s="9"/>
      <c r="L1110" s="32"/>
      <c r="M1110" s="32"/>
      <c r="Z1110" s="13"/>
      <c r="AA1110" s="13"/>
      <c r="AB1110" s="13"/>
      <c r="AC1110" s="13"/>
      <c r="AD1110" s="13"/>
    </row>
    <row r="1111">
      <c r="J1111" s="9"/>
      <c r="K1111" s="9"/>
      <c r="L1111" s="32"/>
      <c r="M1111" s="32"/>
      <c r="Z1111" s="13"/>
      <c r="AA1111" s="13"/>
      <c r="AB1111" s="13"/>
      <c r="AC1111" s="13"/>
      <c r="AD1111" s="13"/>
    </row>
    <row r="1112">
      <c r="J1112" s="9"/>
      <c r="K1112" s="9"/>
      <c r="L1112" s="32"/>
      <c r="M1112" s="32"/>
      <c r="Z1112" s="13"/>
      <c r="AA1112" s="13"/>
      <c r="AB1112" s="13"/>
      <c r="AC1112" s="13"/>
      <c r="AD1112" s="13"/>
    </row>
    <row r="1113">
      <c r="J1113" s="9"/>
      <c r="K1113" s="9"/>
      <c r="L1113" s="32"/>
      <c r="M1113" s="32"/>
      <c r="Z1113" s="13"/>
      <c r="AA1113" s="13"/>
      <c r="AB1113" s="13"/>
      <c r="AC1113" s="13"/>
      <c r="AD1113" s="13"/>
    </row>
    <row r="1114">
      <c r="J1114" s="9"/>
      <c r="K1114" s="9"/>
      <c r="L1114" s="32"/>
      <c r="M1114" s="32"/>
      <c r="Z1114" s="13"/>
      <c r="AA1114" s="13"/>
      <c r="AB1114" s="13"/>
      <c r="AC1114" s="13"/>
      <c r="AD1114" s="13"/>
    </row>
    <row r="1115">
      <c r="J1115" s="9"/>
      <c r="K1115" s="9"/>
      <c r="L1115" s="32"/>
      <c r="M1115" s="32"/>
      <c r="Z1115" s="13"/>
      <c r="AA1115" s="13"/>
      <c r="AB1115" s="13"/>
      <c r="AC1115" s="13"/>
      <c r="AD1115" s="13"/>
    </row>
    <row r="1116">
      <c r="J1116" s="9"/>
      <c r="K1116" s="9"/>
      <c r="L1116" s="32"/>
      <c r="M1116" s="32"/>
      <c r="Z1116" s="13"/>
      <c r="AA1116" s="13"/>
      <c r="AB1116" s="13"/>
      <c r="AC1116" s="13"/>
      <c r="AD1116" s="13"/>
    </row>
    <row r="1117">
      <c r="J1117" s="9"/>
      <c r="K1117" s="9"/>
      <c r="L1117" s="32"/>
      <c r="M1117" s="32"/>
      <c r="Z1117" s="13"/>
      <c r="AA1117" s="13"/>
      <c r="AB1117" s="13"/>
      <c r="AC1117" s="13"/>
      <c r="AD1117" s="13"/>
    </row>
    <row r="1118">
      <c r="J1118" s="9"/>
      <c r="K1118" s="9"/>
      <c r="L1118" s="32"/>
      <c r="M1118" s="32"/>
      <c r="Z1118" s="13"/>
      <c r="AA1118" s="13"/>
      <c r="AB1118" s="13"/>
      <c r="AC1118" s="13"/>
      <c r="AD1118" s="13"/>
    </row>
    <row r="1119">
      <c r="J1119" s="9"/>
      <c r="K1119" s="9"/>
      <c r="L1119" s="32"/>
      <c r="M1119" s="32"/>
      <c r="Z1119" s="13"/>
      <c r="AA1119" s="13"/>
      <c r="AB1119" s="13"/>
      <c r="AC1119" s="13"/>
      <c r="AD1119" s="13"/>
    </row>
    <row r="1120">
      <c r="J1120" s="9"/>
      <c r="K1120" s="9"/>
      <c r="L1120" s="32"/>
      <c r="M1120" s="32"/>
      <c r="Z1120" s="13"/>
      <c r="AA1120" s="13"/>
      <c r="AB1120" s="13"/>
      <c r="AC1120" s="13"/>
      <c r="AD1120" s="13"/>
    </row>
    <row r="1121">
      <c r="J1121" s="9"/>
      <c r="K1121" s="9"/>
      <c r="L1121" s="32"/>
      <c r="M1121" s="32"/>
      <c r="Z1121" s="13"/>
      <c r="AA1121" s="13"/>
      <c r="AB1121" s="13"/>
      <c r="AC1121" s="13"/>
      <c r="AD1121" s="13"/>
    </row>
    <row r="1122">
      <c r="J1122" s="9"/>
      <c r="K1122" s="9"/>
      <c r="L1122" s="32"/>
      <c r="M1122" s="32"/>
      <c r="Z1122" s="13"/>
      <c r="AA1122" s="13"/>
      <c r="AB1122" s="13"/>
      <c r="AC1122" s="13"/>
      <c r="AD1122" s="13"/>
    </row>
    <row r="1123">
      <c r="J1123" s="9"/>
      <c r="K1123" s="9"/>
      <c r="L1123" s="32"/>
      <c r="M1123" s="32"/>
      <c r="Z1123" s="13"/>
      <c r="AA1123" s="13"/>
      <c r="AB1123" s="13"/>
      <c r="AC1123" s="13"/>
      <c r="AD1123" s="13"/>
    </row>
    <row r="1124">
      <c r="J1124" s="9"/>
      <c r="K1124" s="9"/>
      <c r="L1124" s="32"/>
      <c r="M1124" s="32"/>
      <c r="Z1124" s="13"/>
      <c r="AA1124" s="13"/>
      <c r="AB1124" s="13"/>
      <c r="AC1124" s="13"/>
      <c r="AD1124" s="13"/>
    </row>
    <row r="1125">
      <c r="J1125" s="9"/>
      <c r="K1125" s="9"/>
      <c r="L1125" s="32"/>
      <c r="M1125" s="32"/>
      <c r="Z1125" s="13"/>
      <c r="AA1125" s="13"/>
      <c r="AB1125" s="13"/>
      <c r="AC1125" s="13"/>
      <c r="AD1125" s="13"/>
    </row>
    <row r="1126">
      <c r="J1126" s="9"/>
      <c r="K1126" s="9"/>
      <c r="L1126" s="32"/>
      <c r="M1126" s="32"/>
      <c r="Z1126" s="13"/>
      <c r="AA1126" s="13"/>
      <c r="AB1126" s="13"/>
      <c r="AC1126" s="13"/>
      <c r="AD1126" s="13"/>
    </row>
    <row r="1127">
      <c r="J1127" s="9"/>
      <c r="K1127" s="9"/>
      <c r="L1127" s="32"/>
      <c r="M1127" s="32"/>
      <c r="Z1127" s="13"/>
      <c r="AA1127" s="13"/>
      <c r="AB1127" s="13"/>
      <c r="AC1127" s="13"/>
      <c r="AD1127" s="13"/>
    </row>
    <row r="1128">
      <c r="J1128" s="9"/>
      <c r="K1128" s="9"/>
      <c r="L1128" s="32"/>
      <c r="M1128" s="32"/>
      <c r="Z1128" s="13"/>
      <c r="AA1128" s="13"/>
      <c r="AB1128" s="13"/>
      <c r="AC1128" s="13"/>
      <c r="AD1128" s="13"/>
    </row>
    <row r="1129">
      <c r="J1129" s="9"/>
      <c r="K1129" s="9"/>
      <c r="L1129" s="32"/>
      <c r="M1129" s="32"/>
      <c r="Z1129" s="13"/>
      <c r="AA1129" s="13"/>
      <c r="AB1129" s="13"/>
      <c r="AC1129" s="13"/>
      <c r="AD1129" s="13"/>
    </row>
    <row r="1130">
      <c r="J1130" s="9"/>
      <c r="K1130" s="9"/>
      <c r="L1130" s="32"/>
      <c r="M1130" s="32"/>
      <c r="Z1130" s="13"/>
      <c r="AA1130" s="13"/>
      <c r="AB1130" s="13"/>
      <c r="AC1130" s="13"/>
      <c r="AD1130" s="13"/>
    </row>
    <row r="1131">
      <c r="J1131" s="9"/>
      <c r="K1131" s="9"/>
      <c r="L1131" s="32"/>
      <c r="M1131" s="32"/>
      <c r="Z1131" s="13"/>
      <c r="AA1131" s="13"/>
      <c r="AB1131" s="13"/>
      <c r="AC1131" s="13"/>
      <c r="AD1131" s="13"/>
    </row>
    <row r="1132">
      <c r="J1132" s="9"/>
      <c r="K1132" s="9"/>
      <c r="L1132" s="32"/>
      <c r="M1132" s="32"/>
      <c r="Z1132" s="13"/>
      <c r="AA1132" s="13"/>
      <c r="AB1132" s="13"/>
      <c r="AC1132" s="13"/>
      <c r="AD1132" s="13"/>
    </row>
    <row r="1133">
      <c r="J1133" s="9"/>
      <c r="K1133" s="9"/>
      <c r="L1133" s="32"/>
      <c r="M1133" s="32"/>
      <c r="Z1133" s="13"/>
      <c r="AA1133" s="13"/>
      <c r="AB1133" s="13"/>
      <c r="AC1133" s="13"/>
      <c r="AD1133" s="13"/>
    </row>
    <row r="1134">
      <c r="J1134" s="9"/>
      <c r="K1134" s="9"/>
      <c r="L1134" s="32"/>
      <c r="M1134" s="32"/>
      <c r="Z1134" s="13"/>
      <c r="AA1134" s="13"/>
      <c r="AB1134" s="13"/>
      <c r="AC1134" s="13"/>
      <c r="AD1134" s="13"/>
    </row>
    <row r="1135">
      <c r="J1135" s="9"/>
      <c r="K1135" s="9"/>
      <c r="L1135" s="32"/>
      <c r="M1135" s="32"/>
      <c r="Z1135" s="13"/>
      <c r="AA1135" s="13"/>
      <c r="AB1135" s="13"/>
      <c r="AC1135" s="13"/>
      <c r="AD1135" s="13"/>
    </row>
    <row r="1136">
      <c r="J1136" s="9"/>
      <c r="K1136" s="9"/>
      <c r="L1136" s="32"/>
      <c r="M1136" s="32"/>
      <c r="Z1136" s="13"/>
      <c r="AA1136" s="13"/>
      <c r="AB1136" s="13"/>
      <c r="AC1136" s="13"/>
      <c r="AD1136" s="13"/>
    </row>
    <row r="1137">
      <c r="J1137" s="9"/>
      <c r="K1137" s="9"/>
      <c r="L1137" s="32"/>
      <c r="M1137" s="32"/>
      <c r="Z1137" s="13"/>
      <c r="AA1137" s="13"/>
      <c r="AB1137" s="13"/>
      <c r="AC1137" s="13"/>
      <c r="AD1137" s="13"/>
    </row>
    <row r="1138">
      <c r="J1138" s="9"/>
      <c r="K1138" s="9"/>
      <c r="L1138" s="32"/>
      <c r="M1138" s="32"/>
      <c r="Z1138" s="13"/>
      <c r="AA1138" s="13"/>
      <c r="AB1138" s="13"/>
      <c r="AC1138" s="13"/>
      <c r="AD1138" s="13"/>
    </row>
    <row r="1139">
      <c r="J1139" s="9"/>
      <c r="K1139" s="9"/>
      <c r="L1139" s="32"/>
      <c r="M1139" s="32"/>
      <c r="Z1139" s="13"/>
      <c r="AA1139" s="13"/>
      <c r="AB1139" s="13"/>
      <c r="AC1139" s="13"/>
      <c r="AD1139" s="13"/>
    </row>
    <row r="1140">
      <c r="J1140" s="9"/>
      <c r="K1140" s="9"/>
      <c r="L1140" s="32"/>
      <c r="M1140" s="32"/>
      <c r="Z1140" s="13"/>
      <c r="AA1140" s="13"/>
      <c r="AB1140" s="13"/>
      <c r="AC1140" s="13"/>
      <c r="AD1140" s="13"/>
    </row>
    <row r="1141">
      <c r="J1141" s="9"/>
      <c r="K1141" s="9"/>
      <c r="L1141" s="32"/>
      <c r="M1141" s="32"/>
      <c r="Z1141" s="13"/>
      <c r="AA1141" s="13"/>
      <c r="AB1141" s="13"/>
      <c r="AC1141" s="13"/>
      <c r="AD1141" s="13"/>
    </row>
    <row r="1142">
      <c r="J1142" s="9"/>
      <c r="K1142" s="9"/>
      <c r="L1142" s="32"/>
      <c r="M1142" s="32"/>
      <c r="Z1142" s="13"/>
      <c r="AA1142" s="13"/>
      <c r="AB1142" s="13"/>
      <c r="AC1142" s="13"/>
      <c r="AD1142" s="13"/>
    </row>
    <row r="1143">
      <c r="J1143" s="9"/>
      <c r="K1143" s="9"/>
      <c r="L1143" s="32"/>
      <c r="M1143" s="32"/>
      <c r="Z1143" s="13"/>
      <c r="AA1143" s="13"/>
      <c r="AB1143" s="13"/>
      <c r="AC1143" s="13"/>
      <c r="AD1143" s="13"/>
    </row>
    <row r="1144">
      <c r="J1144" s="9"/>
      <c r="K1144" s="9"/>
      <c r="L1144" s="32"/>
      <c r="M1144" s="32"/>
      <c r="Z1144" s="13"/>
      <c r="AA1144" s="13"/>
      <c r="AB1144" s="13"/>
      <c r="AC1144" s="13"/>
      <c r="AD1144" s="13"/>
    </row>
    <row r="1145">
      <c r="J1145" s="9"/>
      <c r="K1145" s="9"/>
      <c r="L1145" s="32"/>
      <c r="M1145" s="32"/>
      <c r="Z1145" s="13"/>
      <c r="AA1145" s="13"/>
      <c r="AB1145" s="13"/>
      <c r="AC1145" s="13"/>
      <c r="AD1145" s="13"/>
    </row>
    <row r="1146">
      <c r="J1146" s="9"/>
      <c r="K1146" s="9"/>
      <c r="L1146" s="32"/>
      <c r="M1146" s="32"/>
      <c r="Z1146" s="13"/>
      <c r="AA1146" s="13"/>
      <c r="AB1146" s="13"/>
      <c r="AC1146" s="13"/>
      <c r="AD1146" s="13"/>
    </row>
    <row r="1147">
      <c r="J1147" s="9"/>
      <c r="K1147" s="9"/>
      <c r="L1147" s="32"/>
      <c r="M1147" s="32"/>
      <c r="Z1147" s="13"/>
      <c r="AA1147" s="13"/>
      <c r="AB1147" s="13"/>
      <c r="AC1147" s="13"/>
      <c r="AD1147" s="13"/>
    </row>
    <row r="1148">
      <c r="J1148" s="9"/>
      <c r="K1148" s="9"/>
      <c r="L1148" s="32"/>
      <c r="M1148" s="32"/>
      <c r="Z1148" s="13"/>
      <c r="AA1148" s="13"/>
      <c r="AB1148" s="13"/>
      <c r="AC1148" s="13"/>
      <c r="AD1148" s="13"/>
    </row>
    <row r="1149">
      <c r="J1149" s="9"/>
      <c r="K1149" s="9"/>
      <c r="L1149" s="32"/>
      <c r="M1149" s="32"/>
      <c r="Z1149" s="13"/>
      <c r="AA1149" s="13"/>
      <c r="AB1149" s="13"/>
      <c r="AC1149" s="13"/>
      <c r="AD1149" s="13"/>
    </row>
    <row r="1150">
      <c r="J1150" s="9"/>
      <c r="K1150" s="9"/>
      <c r="L1150" s="32"/>
      <c r="M1150" s="32"/>
      <c r="Z1150" s="13"/>
      <c r="AA1150" s="13"/>
      <c r="AB1150" s="13"/>
      <c r="AC1150" s="13"/>
      <c r="AD1150" s="13"/>
    </row>
    <row r="1151">
      <c r="J1151" s="9"/>
      <c r="K1151" s="9"/>
      <c r="L1151" s="32"/>
      <c r="M1151" s="32"/>
      <c r="Z1151" s="13"/>
      <c r="AA1151" s="13"/>
      <c r="AB1151" s="13"/>
      <c r="AC1151" s="13"/>
      <c r="AD1151" s="13"/>
    </row>
    <row r="1152">
      <c r="J1152" s="9"/>
      <c r="K1152" s="9"/>
      <c r="L1152" s="32"/>
      <c r="M1152" s="32"/>
      <c r="Z1152" s="13"/>
      <c r="AA1152" s="13"/>
      <c r="AB1152" s="13"/>
      <c r="AC1152" s="13"/>
      <c r="AD1152" s="13"/>
    </row>
    <row r="1153">
      <c r="J1153" s="9"/>
      <c r="K1153" s="9"/>
      <c r="L1153" s="32"/>
      <c r="M1153" s="32"/>
      <c r="Z1153" s="13"/>
      <c r="AA1153" s="13"/>
      <c r="AB1153" s="13"/>
      <c r="AC1153" s="13"/>
      <c r="AD1153" s="13"/>
    </row>
    <row r="1154">
      <c r="J1154" s="9"/>
      <c r="K1154" s="9"/>
      <c r="L1154" s="32"/>
      <c r="M1154" s="32"/>
      <c r="Z1154" s="13"/>
      <c r="AA1154" s="13"/>
      <c r="AB1154" s="13"/>
      <c r="AC1154" s="13"/>
      <c r="AD1154" s="13"/>
    </row>
    <row r="1155">
      <c r="J1155" s="9"/>
      <c r="K1155" s="9"/>
      <c r="L1155" s="32"/>
      <c r="M1155" s="32"/>
      <c r="Z1155" s="13"/>
      <c r="AA1155" s="13"/>
      <c r="AB1155" s="13"/>
      <c r="AC1155" s="13"/>
      <c r="AD1155" s="13"/>
    </row>
    <row r="1156">
      <c r="J1156" s="9"/>
      <c r="K1156" s="9"/>
      <c r="L1156" s="32"/>
      <c r="M1156" s="32"/>
      <c r="Z1156" s="13"/>
      <c r="AA1156" s="13"/>
      <c r="AB1156" s="13"/>
      <c r="AC1156" s="13"/>
      <c r="AD1156" s="13"/>
    </row>
    <row r="1157">
      <c r="J1157" s="9"/>
      <c r="K1157" s="9"/>
      <c r="L1157" s="32"/>
      <c r="M1157" s="32"/>
      <c r="Z1157" s="13"/>
      <c r="AA1157" s="13"/>
      <c r="AB1157" s="13"/>
      <c r="AC1157" s="13"/>
      <c r="AD1157" s="13"/>
    </row>
    <row r="1158">
      <c r="J1158" s="9"/>
      <c r="K1158" s="9"/>
      <c r="L1158" s="32"/>
      <c r="M1158" s="32"/>
      <c r="Z1158" s="13"/>
      <c r="AA1158" s="13"/>
      <c r="AB1158" s="13"/>
      <c r="AC1158" s="13"/>
      <c r="AD1158" s="13"/>
    </row>
    <row r="1159">
      <c r="J1159" s="9"/>
      <c r="K1159" s="9"/>
      <c r="L1159" s="32"/>
      <c r="M1159" s="32"/>
      <c r="Z1159" s="13"/>
      <c r="AA1159" s="13"/>
      <c r="AB1159" s="13"/>
      <c r="AC1159" s="13"/>
      <c r="AD1159" s="13"/>
    </row>
    <row r="1160">
      <c r="J1160" s="9"/>
      <c r="K1160" s="9"/>
      <c r="L1160" s="32"/>
      <c r="M1160" s="32"/>
      <c r="Z1160" s="13"/>
      <c r="AA1160" s="13"/>
      <c r="AB1160" s="13"/>
      <c r="AC1160" s="13"/>
      <c r="AD1160" s="13"/>
    </row>
    <row r="1161">
      <c r="J1161" s="9"/>
      <c r="K1161" s="9"/>
      <c r="L1161" s="32"/>
      <c r="M1161" s="32"/>
      <c r="Z1161" s="13"/>
      <c r="AA1161" s="13"/>
      <c r="AB1161" s="13"/>
      <c r="AC1161" s="13"/>
      <c r="AD1161" s="13"/>
    </row>
    <row r="1162">
      <c r="J1162" s="9"/>
      <c r="K1162" s="9"/>
      <c r="L1162" s="32"/>
      <c r="M1162" s="32"/>
      <c r="Z1162" s="13"/>
      <c r="AA1162" s="13"/>
      <c r="AB1162" s="13"/>
      <c r="AC1162" s="13"/>
      <c r="AD1162" s="13"/>
    </row>
    <row r="1163">
      <c r="J1163" s="9"/>
      <c r="K1163" s="9"/>
      <c r="L1163" s="32"/>
      <c r="M1163" s="32"/>
      <c r="Z1163" s="13"/>
      <c r="AA1163" s="13"/>
      <c r="AB1163" s="13"/>
      <c r="AC1163" s="13"/>
      <c r="AD1163" s="13"/>
    </row>
    <row r="1164">
      <c r="J1164" s="9"/>
      <c r="K1164" s="9"/>
      <c r="L1164" s="32"/>
      <c r="M1164" s="32"/>
      <c r="Z1164" s="13"/>
      <c r="AA1164" s="13"/>
      <c r="AB1164" s="13"/>
      <c r="AC1164" s="13"/>
      <c r="AD1164" s="13"/>
    </row>
    <row r="1165">
      <c r="J1165" s="9"/>
      <c r="K1165" s="9"/>
      <c r="L1165" s="32"/>
      <c r="M1165" s="32"/>
      <c r="Z1165" s="13"/>
      <c r="AA1165" s="13"/>
      <c r="AB1165" s="13"/>
      <c r="AC1165" s="13"/>
      <c r="AD1165" s="13"/>
    </row>
    <row r="1166">
      <c r="J1166" s="9"/>
      <c r="K1166" s="9"/>
      <c r="L1166" s="32"/>
      <c r="M1166" s="32"/>
      <c r="Z1166" s="13"/>
      <c r="AA1166" s="13"/>
      <c r="AB1166" s="13"/>
      <c r="AC1166" s="13"/>
      <c r="AD1166" s="13"/>
    </row>
    <row r="1167">
      <c r="J1167" s="9"/>
      <c r="K1167" s="9"/>
      <c r="L1167" s="32"/>
      <c r="M1167" s="32"/>
      <c r="Z1167" s="13"/>
      <c r="AA1167" s="13"/>
      <c r="AB1167" s="13"/>
      <c r="AC1167" s="13"/>
      <c r="AD1167" s="13"/>
    </row>
    <row r="1168">
      <c r="J1168" s="9"/>
      <c r="K1168" s="9"/>
      <c r="L1168" s="32"/>
      <c r="M1168" s="32"/>
      <c r="Z1168" s="13"/>
      <c r="AA1168" s="13"/>
      <c r="AB1168" s="13"/>
      <c r="AC1168" s="13"/>
      <c r="AD1168" s="13"/>
    </row>
    <row r="1169">
      <c r="J1169" s="9"/>
      <c r="K1169" s="9"/>
      <c r="L1169" s="32"/>
      <c r="M1169" s="32"/>
      <c r="Z1169" s="13"/>
      <c r="AA1169" s="13"/>
      <c r="AB1169" s="13"/>
      <c r="AC1169" s="13"/>
      <c r="AD1169" s="13"/>
    </row>
    <row r="1170">
      <c r="J1170" s="9"/>
      <c r="K1170" s="9"/>
      <c r="L1170" s="32"/>
      <c r="M1170" s="32"/>
      <c r="Z1170" s="13"/>
      <c r="AA1170" s="13"/>
      <c r="AB1170" s="13"/>
      <c r="AC1170" s="13"/>
      <c r="AD1170" s="13"/>
    </row>
    <row r="1171">
      <c r="J1171" s="9"/>
      <c r="K1171" s="9"/>
      <c r="L1171" s="32"/>
      <c r="M1171" s="32"/>
      <c r="Z1171" s="13"/>
      <c r="AA1171" s="13"/>
      <c r="AB1171" s="13"/>
      <c r="AC1171" s="13"/>
      <c r="AD1171" s="13"/>
    </row>
    <row r="1172">
      <c r="J1172" s="9"/>
      <c r="K1172" s="9"/>
      <c r="L1172" s="32"/>
      <c r="M1172" s="32"/>
      <c r="Z1172" s="13"/>
      <c r="AA1172" s="13"/>
      <c r="AB1172" s="13"/>
      <c r="AC1172" s="13"/>
      <c r="AD1172" s="13"/>
    </row>
    <row r="1173">
      <c r="J1173" s="9"/>
      <c r="K1173" s="9"/>
      <c r="L1173" s="32"/>
      <c r="M1173" s="32"/>
      <c r="Z1173" s="13"/>
      <c r="AA1173" s="13"/>
      <c r="AB1173" s="13"/>
      <c r="AC1173" s="13"/>
      <c r="AD1173" s="13"/>
    </row>
    <row r="1174">
      <c r="J1174" s="9"/>
      <c r="K1174" s="9"/>
      <c r="L1174" s="32"/>
      <c r="M1174" s="32"/>
      <c r="Z1174" s="13"/>
      <c r="AA1174" s="13"/>
      <c r="AB1174" s="13"/>
      <c r="AC1174" s="13"/>
      <c r="AD1174" s="13"/>
    </row>
    <row r="1175">
      <c r="J1175" s="9"/>
      <c r="K1175" s="9"/>
      <c r="L1175" s="32"/>
      <c r="M1175" s="32"/>
      <c r="Z1175" s="13"/>
      <c r="AA1175" s="13"/>
      <c r="AB1175" s="13"/>
      <c r="AC1175" s="13"/>
      <c r="AD1175" s="13"/>
    </row>
    <row r="1176">
      <c r="J1176" s="9"/>
      <c r="K1176" s="9"/>
      <c r="L1176" s="32"/>
      <c r="M1176" s="32"/>
      <c r="Z1176" s="13"/>
      <c r="AA1176" s="13"/>
      <c r="AB1176" s="13"/>
      <c r="AC1176" s="13"/>
      <c r="AD1176" s="13"/>
    </row>
    <row r="1177">
      <c r="J1177" s="9"/>
      <c r="K1177" s="9"/>
      <c r="L1177" s="32"/>
      <c r="M1177" s="32"/>
      <c r="Z1177" s="13"/>
      <c r="AA1177" s="13"/>
      <c r="AB1177" s="13"/>
      <c r="AC1177" s="13"/>
      <c r="AD1177" s="13"/>
    </row>
    <row r="1178">
      <c r="J1178" s="9"/>
      <c r="K1178" s="9"/>
      <c r="L1178" s="32"/>
      <c r="M1178" s="32"/>
      <c r="Z1178" s="13"/>
      <c r="AA1178" s="13"/>
      <c r="AB1178" s="13"/>
      <c r="AC1178" s="13"/>
      <c r="AD1178" s="13"/>
    </row>
    <row r="1179">
      <c r="J1179" s="9"/>
      <c r="K1179" s="9"/>
      <c r="L1179" s="32"/>
      <c r="M1179" s="32"/>
      <c r="Z1179" s="13"/>
      <c r="AA1179" s="13"/>
      <c r="AB1179" s="13"/>
      <c r="AC1179" s="13"/>
      <c r="AD1179" s="13"/>
    </row>
    <row r="1180">
      <c r="J1180" s="9"/>
      <c r="K1180" s="9"/>
      <c r="L1180" s="32"/>
      <c r="M1180" s="32"/>
      <c r="Z1180" s="13"/>
      <c r="AA1180" s="13"/>
      <c r="AB1180" s="13"/>
      <c r="AC1180" s="13"/>
      <c r="AD1180" s="13"/>
    </row>
    <row r="1181">
      <c r="J1181" s="9"/>
      <c r="K1181" s="9"/>
      <c r="L1181" s="32"/>
      <c r="M1181" s="32"/>
      <c r="Z1181" s="13"/>
      <c r="AA1181" s="13"/>
      <c r="AB1181" s="13"/>
      <c r="AC1181" s="13"/>
      <c r="AD1181" s="13"/>
    </row>
    <row r="1182">
      <c r="J1182" s="9"/>
      <c r="K1182" s="9"/>
      <c r="L1182" s="32"/>
      <c r="M1182" s="32"/>
      <c r="Z1182" s="13"/>
      <c r="AA1182" s="13"/>
      <c r="AB1182" s="13"/>
      <c r="AC1182" s="13"/>
      <c r="AD1182" s="13"/>
    </row>
    <row r="1183">
      <c r="J1183" s="9"/>
      <c r="K1183" s="9"/>
      <c r="L1183" s="32"/>
      <c r="M1183" s="32"/>
      <c r="Z1183" s="13"/>
      <c r="AA1183" s="13"/>
      <c r="AB1183" s="13"/>
      <c r="AC1183" s="13"/>
      <c r="AD1183" s="13"/>
    </row>
    <row r="1184">
      <c r="J1184" s="9"/>
      <c r="K1184" s="9"/>
      <c r="L1184" s="32"/>
      <c r="M1184" s="32"/>
      <c r="Z1184" s="13"/>
      <c r="AA1184" s="13"/>
      <c r="AB1184" s="13"/>
      <c r="AC1184" s="13"/>
      <c r="AD1184" s="13"/>
    </row>
    <row r="1185">
      <c r="J1185" s="9"/>
      <c r="K1185" s="9"/>
      <c r="L1185" s="32"/>
      <c r="M1185" s="32"/>
      <c r="Z1185" s="13"/>
      <c r="AA1185" s="13"/>
      <c r="AB1185" s="13"/>
      <c r="AC1185" s="13"/>
      <c r="AD1185" s="13"/>
    </row>
    <row r="1186">
      <c r="J1186" s="9"/>
      <c r="K1186" s="9"/>
      <c r="L1186" s="32"/>
      <c r="M1186" s="32"/>
      <c r="Z1186" s="13"/>
      <c r="AA1186" s="13"/>
      <c r="AB1186" s="13"/>
      <c r="AC1186" s="13"/>
      <c r="AD1186" s="13"/>
    </row>
    <row r="1187">
      <c r="J1187" s="9"/>
      <c r="K1187" s="9"/>
      <c r="L1187" s="32"/>
      <c r="M1187" s="32"/>
      <c r="Z1187" s="13"/>
      <c r="AA1187" s="13"/>
      <c r="AB1187" s="13"/>
      <c r="AC1187" s="13"/>
      <c r="AD1187" s="13"/>
    </row>
    <row r="1188">
      <c r="J1188" s="9"/>
      <c r="K1188" s="9"/>
      <c r="L1188" s="32"/>
      <c r="M1188" s="32"/>
      <c r="Z1188" s="13"/>
      <c r="AA1188" s="13"/>
      <c r="AB1188" s="13"/>
      <c r="AC1188" s="13"/>
      <c r="AD1188" s="13"/>
    </row>
    <row r="1189">
      <c r="J1189" s="9"/>
      <c r="K1189" s="9"/>
      <c r="L1189" s="32"/>
      <c r="M1189" s="32"/>
      <c r="Z1189" s="13"/>
      <c r="AA1189" s="13"/>
      <c r="AB1189" s="13"/>
      <c r="AC1189" s="13"/>
      <c r="AD1189" s="13"/>
    </row>
    <row r="1190">
      <c r="J1190" s="9"/>
      <c r="K1190" s="9"/>
      <c r="L1190" s="32"/>
      <c r="M1190" s="32"/>
      <c r="Z1190" s="13"/>
      <c r="AA1190" s="13"/>
      <c r="AB1190" s="13"/>
      <c r="AC1190" s="13"/>
      <c r="AD1190" s="13"/>
    </row>
    <row r="1191">
      <c r="J1191" s="9"/>
      <c r="K1191" s="9"/>
      <c r="L1191" s="32"/>
      <c r="M1191" s="32"/>
      <c r="Z1191" s="13"/>
      <c r="AA1191" s="13"/>
      <c r="AB1191" s="13"/>
      <c r="AC1191" s="13"/>
      <c r="AD1191" s="13"/>
    </row>
    <row r="1192">
      <c r="J1192" s="9"/>
      <c r="K1192" s="9"/>
      <c r="L1192" s="32"/>
      <c r="M1192" s="32"/>
      <c r="Z1192" s="13"/>
      <c r="AA1192" s="13"/>
      <c r="AB1192" s="13"/>
      <c r="AC1192" s="13"/>
      <c r="AD1192" s="13"/>
    </row>
    <row r="1193">
      <c r="J1193" s="9"/>
      <c r="K1193" s="9"/>
      <c r="L1193" s="32"/>
      <c r="M1193" s="32"/>
      <c r="Z1193" s="13"/>
      <c r="AA1193" s="13"/>
      <c r="AB1193" s="13"/>
      <c r="AC1193" s="13"/>
      <c r="AD1193" s="13"/>
    </row>
    <row r="1194">
      <c r="J1194" s="9"/>
      <c r="K1194" s="9"/>
      <c r="L1194" s="32"/>
      <c r="M1194" s="32"/>
      <c r="Z1194" s="13"/>
      <c r="AA1194" s="13"/>
      <c r="AB1194" s="13"/>
      <c r="AC1194" s="13"/>
      <c r="AD1194" s="13"/>
    </row>
    <row r="1195">
      <c r="J1195" s="9"/>
      <c r="K1195" s="9"/>
      <c r="L1195" s="32"/>
      <c r="M1195" s="32"/>
      <c r="Z1195" s="13"/>
      <c r="AA1195" s="13"/>
      <c r="AB1195" s="13"/>
      <c r="AC1195" s="13"/>
      <c r="AD1195" s="13"/>
    </row>
    <row r="1196">
      <c r="J1196" s="9"/>
      <c r="K1196" s="9"/>
      <c r="L1196" s="32"/>
      <c r="M1196" s="32"/>
      <c r="Z1196" s="13"/>
      <c r="AA1196" s="13"/>
      <c r="AB1196" s="13"/>
      <c r="AC1196" s="13"/>
      <c r="AD1196" s="13"/>
    </row>
    <row r="1197">
      <c r="J1197" s="9"/>
      <c r="K1197" s="9"/>
      <c r="L1197" s="32"/>
      <c r="M1197" s="32"/>
      <c r="Z1197" s="13"/>
      <c r="AA1197" s="13"/>
      <c r="AB1197" s="13"/>
      <c r="AC1197" s="13"/>
      <c r="AD1197" s="13"/>
    </row>
    <row r="1198">
      <c r="J1198" s="9"/>
      <c r="K1198" s="9"/>
      <c r="L1198" s="32"/>
      <c r="M1198" s="32"/>
      <c r="Z1198" s="13"/>
      <c r="AA1198" s="13"/>
      <c r="AB1198" s="13"/>
      <c r="AC1198" s="13"/>
      <c r="AD1198" s="13"/>
    </row>
    <row r="1199">
      <c r="J1199" s="9"/>
      <c r="K1199" s="9"/>
      <c r="L1199" s="32"/>
      <c r="M1199" s="32"/>
      <c r="Z1199" s="13"/>
      <c r="AA1199" s="13"/>
      <c r="AB1199" s="13"/>
      <c r="AC1199" s="13"/>
      <c r="AD1199" s="13"/>
    </row>
    <row r="1200">
      <c r="J1200" s="9"/>
      <c r="K1200" s="9"/>
      <c r="L1200" s="32"/>
      <c r="M1200" s="32"/>
      <c r="Z1200" s="13"/>
      <c r="AA1200" s="13"/>
      <c r="AB1200" s="13"/>
      <c r="AC1200" s="13"/>
      <c r="AD1200" s="13"/>
    </row>
    <row r="1201">
      <c r="J1201" s="9"/>
      <c r="K1201" s="9"/>
      <c r="L1201" s="32"/>
      <c r="M1201" s="32"/>
      <c r="Z1201" s="13"/>
      <c r="AA1201" s="13"/>
      <c r="AB1201" s="13"/>
      <c r="AC1201" s="13"/>
      <c r="AD1201" s="13"/>
    </row>
    <row r="1202">
      <c r="J1202" s="9"/>
      <c r="K1202" s="9"/>
      <c r="L1202" s="32"/>
      <c r="M1202" s="32"/>
      <c r="Z1202" s="13"/>
      <c r="AA1202" s="13"/>
      <c r="AB1202" s="13"/>
      <c r="AC1202" s="13"/>
      <c r="AD1202" s="13"/>
    </row>
    <row r="1203">
      <c r="J1203" s="9"/>
      <c r="K1203" s="9"/>
      <c r="L1203" s="32"/>
      <c r="M1203" s="32"/>
      <c r="Z1203" s="13"/>
      <c r="AA1203" s="13"/>
      <c r="AB1203" s="13"/>
      <c r="AC1203" s="13"/>
      <c r="AD1203" s="13"/>
    </row>
    <row r="1204">
      <c r="J1204" s="9"/>
      <c r="K1204" s="9"/>
      <c r="L1204" s="32"/>
      <c r="M1204" s="32"/>
      <c r="Z1204" s="13"/>
      <c r="AA1204" s="13"/>
      <c r="AB1204" s="13"/>
      <c r="AC1204" s="13"/>
      <c r="AD1204" s="13"/>
    </row>
    <row r="1205">
      <c r="J1205" s="9"/>
      <c r="K1205" s="9"/>
      <c r="L1205" s="32"/>
      <c r="M1205" s="32"/>
      <c r="Z1205" s="13"/>
      <c r="AA1205" s="13"/>
      <c r="AB1205" s="13"/>
      <c r="AC1205" s="13"/>
      <c r="AD1205" s="13"/>
    </row>
    <row r="1206">
      <c r="J1206" s="9"/>
      <c r="K1206" s="9"/>
      <c r="L1206" s="32"/>
      <c r="M1206" s="32"/>
      <c r="Z1206" s="13"/>
      <c r="AA1206" s="13"/>
      <c r="AB1206" s="13"/>
      <c r="AC1206" s="13"/>
      <c r="AD1206" s="13"/>
    </row>
    <row r="1207">
      <c r="J1207" s="9"/>
      <c r="K1207" s="9"/>
      <c r="L1207" s="32"/>
      <c r="M1207" s="32"/>
      <c r="Z1207" s="13"/>
      <c r="AA1207" s="13"/>
      <c r="AB1207" s="13"/>
      <c r="AC1207" s="13"/>
      <c r="AD1207" s="13"/>
    </row>
    <row r="1208">
      <c r="J1208" s="9"/>
      <c r="K1208" s="9"/>
      <c r="L1208" s="32"/>
      <c r="M1208" s="32"/>
      <c r="Z1208" s="13"/>
      <c r="AA1208" s="13"/>
      <c r="AB1208" s="13"/>
      <c r="AC1208" s="13"/>
      <c r="AD1208" s="13"/>
    </row>
    <row r="1209">
      <c r="J1209" s="9"/>
      <c r="K1209" s="9"/>
      <c r="L1209" s="32"/>
      <c r="M1209" s="32"/>
      <c r="Z1209" s="13"/>
      <c r="AA1209" s="13"/>
      <c r="AB1209" s="13"/>
      <c r="AC1209" s="13"/>
      <c r="AD1209" s="13"/>
    </row>
    <row r="1210">
      <c r="J1210" s="9"/>
      <c r="K1210" s="9"/>
      <c r="L1210" s="32"/>
      <c r="M1210" s="32"/>
      <c r="Z1210" s="13"/>
      <c r="AA1210" s="13"/>
      <c r="AB1210" s="13"/>
      <c r="AC1210" s="13"/>
      <c r="AD1210" s="13"/>
    </row>
    <row r="1211">
      <c r="J1211" s="9"/>
      <c r="K1211" s="9"/>
      <c r="L1211" s="32"/>
      <c r="M1211" s="32"/>
      <c r="Z1211" s="13"/>
      <c r="AA1211" s="13"/>
      <c r="AB1211" s="13"/>
      <c r="AC1211" s="13"/>
      <c r="AD1211" s="13"/>
    </row>
    <row r="1212">
      <c r="J1212" s="9"/>
      <c r="K1212" s="9"/>
      <c r="L1212" s="32"/>
      <c r="M1212" s="32"/>
      <c r="Z1212" s="13"/>
      <c r="AA1212" s="13"/>
      <c r="AB1212" s="13"/>
      <c r="AC1212" s="13"/>
      <c r="AD1212" s="13"/>
    </row>
    <row r="1213">
      <c r="J1213" s="9"/>
      <c r="K1213" s="9"/>
      <c r="L1213" s="32"/>
      <c r="M1213" s="32"/>
      <c r="Z1213" s="13"/>
      <c r="AA1213" s="13"/>
      <c r="AB1213" s="13"/>
      <c r="AC1213" s="13"/>
      <c r="AD1213" s="13"/>
    </row>
    <row r="1214">
      <c r="J1214" s="9"/>
      <c r="K1214" s="9"/>
      <c r="L1214" s="32"/>
      <c r="M1214" s="32"/>
      <c r="Z1214" s="13"/>
      <c r="AA1214" s="13"/>
      <c r="AB1214" s="13"/>
      <c r="AC1214" s="13"/>
      <c r="AD1214" s="13"/>
    </row>
    <row r="1215">
      <c r="J1215" s="9"/>
      <c r="K1215" s="9"/>
      <c r="L1215" s="32"/>
      <c r="M1215" s="32"/>
      <c r="Z1215" s="13"/>
      <c r="AA1215" s="13"/>
      <c r="AB1215" s="13"/>
      <c r="AC1215" s="13"/>
      <c r="AD1215" s="13"/>
    </row>
    <row r="1216">
      <c r="J1216" s="9"/>
      <c r="K1216" s="9"/>
      <c r="L1216" s="32"/>
      <c r="M1216" s="32"/>
      <c r="Z1216" s="13"/>
      <c r="AA1216" s="13"/>
      <c r="AB1216" s="13"/>
      <c r="AC1216" s="13"/>
      <c r="AD1216" s="13"/>
    </row>
    <row r="1217">
      <c r="J1217" s="9"/>
      <c r="K1217" s="9"/>
      <c r="L1217" s="32"/>
      <c r="M1217" s="32"/>
      <c r="Z1217" s="13"/>
      <c r="AA1217" s="13"/>
      <c r="AB1217" s="13"/>
      <c r="AC1217" s="13"/>
      <c r="AD1217" s="13"/>
    </row>
    <row r="1218">
      <c r="J1218" s="9"/>
      <c r="K1218" s="9"/>
      <c r="L1218" s="32"/>
      <c r="M1218" s="32"/>
      <c r="Z1218" s="13"/>
      <c r="AA1218" s="13"/>
      <c r="AB1218" s="13"/>
      <c r="AC1218" s="13"/>
      <c r="AD1218" s="13"/>
    </row>
    <row r="1219">
      <c r="J1219" s="9"/>
      <c r="K1219" s="9"/>
      <c r="L1219" s="32"/>
      <c r="M1219" s="32"/>
      <c r="Z1219" s="13"/>
      <c r="AA1219" s="13"/>
      <c r="AB1219" s="13"/>
      <c r="AC1219" s="13"/>
      <c r="AD1219" s="13"/>
    </row>
    <row r="1220">
      <c r="J1220" s="9"/>
      <c r="K1220" s="9"/>
      <c r="L1220" s="32"/>
      <c r="M1220" s="32"/>
      <c r="Z1220" s="13"/>
      <c r="AA1220" s="13"/>
      <c r="AB1220" s="13"/>
      <c r="AC1220" s="13"/>
      <c r="AD1220" s="13"/>
    </row>
    <row r="1221">
      <c r="J1221" s="9"/>
      <c r="K1221" s="9"/>
      <c r="L1221" s="32"/>
      <c r="M1221" s="32"/>
      <c r="Z1221" s="13"/>
      <c r="AA1221" s="13"/>
      <c r="AB1221" s="13"/>
      <c r="AC1221" s="13"/>
      <c r="AD1221" s="13"/>
    </row>
    <row r="1222">
      <c r="J1222" s="9"/>
      <c r="K1222" s="9"/>
      <c r="L1222" s="32"/>
      <c r="M1222" s="32"/>
      <c r="Z1222" s="13"/>
      <c r="AA1222" s="13"/>
      <c r="AB1222" s="13"/>
      <c r="AC1222" s="13"/>
      <c r="AD1222" s="13"/>
    </row>
    <row r="1223">
      <c r="J1223" s="9"/>
      <c r="K1223" s="9"/>
      <c r="L1223" s="32"/>
      <c r="M1223" s="32"/>
      <c r="Z1223" s="13"/>
      <c r="AA1223" s="13"/>
      <c r="AB1223" s="13"/>
      <c r="AC1223" s="13"/>
      <c r="AD1223" s="13"/>
    </row>
    <row r="1224">
      <c r="J1224" s="9"/>
      <c r="K1224" s="9"/>
      <c r="L1224" s="32"/>
      <c r="M1224" s="32"/>
      <c r="Z1224" s="13"/>
      <c r="AA1224" s="13"/>
      <c r="AB1224" s="13"/>
      <c r="AC1224" s="13"/>
      <c r="AD1224" s="13"/>
    </row>
    <row r="1225">
      <c r="J1225" s="9"/>
      <c r="K1225" s="9"/>
      <c r="L1225" s="32"/>
      <c r="M1225" s="32"/>
      <c r="Z1225" s="13"/>
      <c r="AA1225" s="13"/>
      <c r="AB1225" s="13"/>
      <c r="AC1225" s="13"/>
      <c r="AD1225" s="13"/>
    </row>
    <row r="1226">
      <c r="J1226" s="9"/>
      <c r="K1226" s="9"/>
      <c r="L1226" s="32"/>
      <c r="M1226" s="32"/>
      <c r="Z1226" s="13"/>
      <c r="AA1226" s="13"/>
      <c r="AB1226" s="13"/>
      <c r="AC1226" s="13"/>
      <c r="AD1226" s="13"/>
    </row>
    <row r="1227">
      <c r="J1227" s="9"/>
      <c r="K1227" s="9"/>
      <c r="L1227" s="32"/>
      <c r="M1227" s="32"/>
      <c r="Z1227" s="13"/>
      <c r="AA1227" s="13"/>
      <c r="AB1227" s="13"/>
      <c r="AC1227" s="13"/>
      <c r="AD1227" s="13"/>
    </row>
    <row r="1228">
      <c r="J1228" s="9"/>
      <c r="K1228" s="9"/>
      <c r="L1228" s="32"/>
      <c r="M1228" s="32"/>
      <c r="Z1228" s="13"/>
      <c r="AA1228" s="13"/>
      <c r="AB1228" s="13"/>
      <c r="AC1228" s="13"/>
      <c r="AD1228" s="13"/>
    </row>
    <row r="1229">
      <c r="J1229" s="9"/>
      <c r="K1229" s="9"/>
      <c r="L1229" s="32"/>
      <c r="M1229" s="32"/>
      <c r="Z1229" s="13"/>
      <c r="AA1229" s="13"/>
      <c r="AB1229" s="13"/>
      <c r="AC1229" s="13"/>
      <c r="AD1229" s="13"/>
    </row>
    <row r="1230">
      <c r="J1230" s="9"/>
      <c r="K1230" s="9"/>
      <c r="L1230" s="32"/>
      <c r="M1230" s="32"/>
      <c r="Z1230" s="13"/>
      <c r="AA1230" s="13"/>
      <c r="AB1230" s="13"/>
      <c r="AC1230" s="13"/>
      <c r="AD1230" s="13"/>
    </row>
    <row r="1231">
      <c r="J1231" s="9"/>
      <c r="K1231" s="9"/>
      <c r="L1231" s="32"/>
      <c r="M1231" s="32"/>
      <c r="Z1231" s="13"/>
      <c r="AA1231" s="13"/>
      <c r="AB1231" s="13"/>
      <c r="AC1231" s="13"/>
      <c r="AD1231" s="13"/>
    </row>
    <row r="1232">
      <c r="J1232" s="9"/>
      <c r="K1232" s="9"/>
      <c r="L1232" s="32"/>
      <c r="M1232" s="32"/>
      <c r="Z1232" s="13"/>
      <c r="AA1232" s="13"/>
      <c r="AB1232" s="13"/>
      <c r="AC1232" s="13"/>
      <c r="AD1232" s="13"/>
    </row>
    <row r="1233">
      <c r="J1233" s="9"/>
      <c r="K1233" s="9"/>
      <c r="L1233" s="32"/>
      <c r="M1233" s="32"/>
      <c r="Z1233" s="13"/>
      <c r="AA1233" s="13"/>
      <c r="AB1233" s="13"/>
      <c r="AC1233" s="13"/>
      <c r="AD1233" s="13"/>
    </row>
    <row r="1234">
      <c r="J1234" s="9"/>
      <c r="K1234" s="9"/>
      <c r="L1234" s="32"/>
      <c r="M1234" s="32"/>
      <c r="Z1234" s="13"/>
      <c r="AA1234" s="13"/>
      <c r="AB1234" s="13"/>
      <c r="AC1234" s="13"/>
      <c r="AD1234" s="13"/>
    </row>
    <row r="1235">
      <c r="J1235" s="9"/>
      <c r="K1235" s="9"/>
      <c r="L1235" s="32"/>
      <c r="M1235" s="32"/>
      <c r="Z1235" s="13"/>
      <c r="AA1235" s="13"/>
      <c r="AB1235" s="13"/>
      <c r="AC1235" s="13"/>
      <c r="AD1235" s="13"/>
    </row>
    <row r="1236">
      <c r="J1236" s="9"/>
      <c r="K1236" s="9"/>
      <c r="L1236" s="32"/>
      <c r="M1236" s="32"/>
      <c r="Z1236" s="13"/>
      <c r="AA1236" s="13"/>
      <c r="AB1236" s="13"/>
      <c r="AC1236" s="13"/>
      <c r="AD1236" s="13"/>
    </row>
    <row r="1237">
      <c r="J1237" s="9"/>
      <c r="K1237" s="9"/>
      <c r="L1237" s="32"/>
      <c r="M1237" s="32"/>
      <c r="Z1237" s="13"/>
      <c r="AA1237" s="13"/>
      <c r="AB1237" s="13"/>
      <c r="AC1237" s="13"/>
      <c r="AD1237" s="13"/>
    </row>
    <row r="1238">
      <c r="J1238" s="9"/>
      <c r="K1238" s="9"/>
      <c r="L1238" s="32"/>
      <c r="M1238" s="32"/>
      <c r="Z1238" s="13"/>
      <c r="AA1238" s="13"/>
      <c r="AB1238" s="13"/>
      <c r="AC1238" s="13"/>
      <c r="AD1238" s="13"/>
    </row>
    <row r="1239">
      <c r="J1239" s="9"/>
      <c r="K1239" s="9"/>
      <c r="L1239" s="32"/>
      <c r="M1239" s="32"/>
      <c r="Z1239" s="13"/>
      <c r="AA1239" s="13"/>
      <c r="AB1239" s="13"/>
      <c r="AC1239" s="13"/>
      <c r="AD1239" s="13"/>
    </row>
    <row r="1240">
      <c r="J1240" s="9"/>
      <c r="K1240" s="9"/>
      <c r="L1240" s="32"/>
      <c r="M1240" s="32"/>
      <c r="Z1240" s="13"/>
      <c r="AA1240" s="13"/>
      <c r="AB1240" s="13"/>
      <c r="AC1240" s="13"/>
      <c r="AD1240" s="13"/>
    </row>
    <row r="1241">
      <c r="J1241" s="9"/>
      <c r="K1241" s="9"/>
      <c r="L1241" s="32"/>
      <c r="M1241" s="32"/>
      <c r="Z1241" s="13"/>
      <c r="AA1241" s="13"/>
      <c r="AB1241" s="13"/>
      <c r="AC1241" s="13"/>
      <c r="AD1241" s="13"/>
    </row>
    <row r="1242">
      <c r="J1242" s="9"/>
      <c r="K1242" s="9"/>
      <c r="L1242" s="32"/>
      <c r="M1242" s="32"/>
      <c r="Z1242" s="13"/>
      <c r="AA1242" s="13"/>
      <c r="AB1242" s="13"/>
      <c r="AC1242" s="13"/>
      <c r="AD1242" s="13"/>
    </row>
    <row r="1243">
      <c r="J1243" s="9"/>
      <c r="K1243" s="9"/>
      <c r="L1243" s="32"/>
      <c r="M1243" s="32"/>
      <c r="Z1243" s="13"/>
      <c r="AA1243" s="13"/>
      <c r="AB1243" s="13"/>
      <c r="AC1243" s="13"/>
      <c r="AD1243" s="13"/>
    </row>
    <row r="1244">
      <c r="J1244" s="9"/>
      <c r="K1244" s="9"/>
      <c r="L1244" s="32"/>
      <c r="M1244" s="32"/>
      <c r="Z1244" s="13"/>
      <c r="AA1244" s="13"/>
      <c r="AB1244" s="13"/>
      <c r="AC1244" s="13"/>
      <c r="AD1244" s="13"/>
    </row>
    <row r="1245">
      <c r="J1245" s="9"/>
      <c r="K1245" s="9"/>
      <c r="L1245" s="32"/>
      <c r="M1245" s="32"/>
      <c r="Z1245" s="13"/>
      <c r="AA1245" s="13"/>
      <c r="AB1245" s="13"/>
      <c r="AC1245" s="13"/>
      <c r="AD1245" s="13"/>
    </row>
    <row r="1246">
      <c r="J1246" s="9"/>
      <c r="K1246" s="9"/>
      <c r="L1246" s="32"/>
      <c r="M1246" s="32"/>
      <c r="Z1246" s="13"/>
      <c r="AA1246" s="13"/>
      <c r="AB1246" s="13"/>
      <c r="AC1246" s="13"/>
      <c r="AD1246" s="13"/>
    </row>
    <row r="1247">
      <c r="J1247" s="9"/>
      <c r="K1247" s="9"/>
      <c r="L1247" s="32"/>
      <c r="M1247" s="32"/>
      <c r="Z1247" s="13"/>
      <c r="AA1247" s="13"/>
      <c r="AB1247" s="13"/>
      <c r="AC1247" s="13"/>
      <c r="AD1247" s="13"/>
    </row>
    <row r="1248">
      <c r="J1248" s="9"/>
      <c r="K1248" s="9"/>
      <c r="L1248" s="32"/>
      <c r="M1248" s="32"/>
      <c r="Z1248" s="13"/>
      <c r="AA1248" s="13"/>
      <c r="AB1248" s="13"/>
      <c r="AC1248" s="13"/>
      <c r="AD1248" s="13"/>
    </row>
    <row r="1249">
      <c r="J1249" s="9"/>
      <c r="K1249" s="9"/>
      <c r="L1249" s="32"/>
      <c r="M1249" s="32"/>
      <c r="Z1249" s="13"/>
      <c r="AA1249" s="13"/>
      <c r="AB1249" s="13"/>
      <c r="AC1249" s="13"/>
      <c r="AD1249" s="13"/>
    </row>
    <row r="1250">
      <c r="J1250" s="9"/>
      <c r="K1250" s="9"/>
      <c r="L1250" s="32"/>
      <c r="M1250" s="32"/>
      <c r="Z1250" s="13"/>
      <c r="AA1250" s="13"/>
      <c r="AB1250" s="13"/>
      <c r="AC1250" s="13"/>
      <c r="AD1250" s="13"/>
    </row>
    <row r="1251">
      <c r="J1251" s="9"/>
      <c r="K1251" s="9"/>
      <c r="L1251" s="32"/>
      <c r="M1251" s="32"/>
      <c r="Z1251" s="13"/>
      <c r="AA1251" s="13"/>
      <c r="AB1251" s="13"/>
      <c r="AC1251" s="13"/>
      <c r="AD1251" s="13"/>
    </row>
    <row r="1252">
      <c r="J1252" s="9"/>
      <c r="K1252" s="9"/>
      <c r="L1252" s="32"/>
      <c r="M1252" s="32"/>
      <c r="Z1252" s="13"/>
      <c r="AA1252" s="13"/>
      <c r="AB1252" s="13"/>
      <c r="AC1252" s="13"/>
      <c r="AD1252" s="13"/>
    </row>
    <row r="1253">
      <c r="J1253" s="9"/>
      <c r="K1253" s="9"/>
      <c r="L1253" s="32"/>
      <c r="M1253" s="32"/>
      <c r="Z1253" s="13"/>
      <c r="AA1253" s="13"/>
      <c r="AB1253" s="13"/>
      <c r="AC1253" s="13"/>
      <c r="AD1253" s="13"/>
    </row>
    <row r="1254">
      <c r="J1254" s="9"/>
      <c r="K1254" s="9"/>
      <c r="L1254" s="32"/>
      <c r="M1254" s="32"/>
      <c r="Z1254" s="13"/>
      <c r="AA1254" s="13"/>
      <c r="AB1254" s="13"/>
      <c r="AC1254" s="13"/>
      <c r="AD1254" s="13"/>
    </row>
    <row r="1255">
      <c r="J1255" s="9"/>
      <c r="K1255" s="9"/>
      <c r="L1255" s="32"/>
      <c r="M1255" s="32"/>
      <c r="Z1255" s="13"/>
      <c r="AA1255" s="13"/>
      <c r="AB1255" s="13"/>
      <c r="AC1255" s="13"/>
      <c r="AD1255" s="13"/>
    </row>
    <row r="1256">
      <c r="J1256" s="9"/>
      <c r="K1256" s="9"/>
      <c r="L1256" s="32"/>
      <c r="M1256" s="32"/>
      <c r="Z1256" s="13"/>
      <c r="AA1256" s="13"/>
      <c r="AB1256" s="13"/>
      <c r="AC1256" s="13"/>
      <c r="AD1256" s="13"/>
    </row>
    <row r="1257">
      <c r="J1257" s="9"/>
      <c r="K1257" s="9"/>
      <c r="L1257" s="32"/>
      <c r="M1257" s="32"/>
      <c r="Z1257" s="13"/>
      <c r="AA1257" s="13"/>
      <c r="AB1257" s="13"/>
      <c r="AC1257" s="13"/>
      <c r="AD1257" s="13"/>
    </row>
    <row r="1258">
      <c r="J1258" s="9"/>
      <c r="K1258" s="9"/>
      <c r="L1258" s="32"/>
      <c r="M1258" s="32"/>
      <c r="Z1258" s="13"/>
      <c r="AA1258" s="13"/>
      <c r="AB1258" s="13"/>
      <c r="AC1258" s="13"/>
      <c r="AD1258" s="13"/>
    </row>
    <row r="1259">
      <c r="J1259" s="9"/>
      <c r="K1259" s="9"/>
      <c r="L1259" s="32"/>
      <c r="M1259" s="32"/>
      <c r="Z1259" s="13"/>
      <c r="AA1259" s="13"/>
      <c r="AB1259" s="13"/>
      <c r="AC1259" s="13"/>
      <c r="AD1259" s="13"/>
    </row>
    <row r="1260">
      <c r="J1260" s="9"/>
      <c r="K1260" s="9"/>
      <c r="L1260" s="32"/>
      <c r="M1260" s="32"/>
      <c r="Z1260" s="13"/>
      <c r="AA1260" s="13"/>
      <c r="AB1260" s="13"/>
      <c r="AC1260" s="13"/>
      <c r="AD1260" s="13"/>
    </row>
    <row r="1261">
      <c r="J1261" s="9"/>
      <c r="K1261" s="9"/>
      <c r="L1261" s="32"/>
      <c r="M1261" s="32"/>
      <c r="Z1261" s="13"/>
      <c r="AA1261" s="13"/>
      <c r="AB1261" s="13"/>
      <c r="AC1261" s="13"/>
      <c r="AD1261" s="13"/>
    </row>
    <row r="1262">
      <c r="J1262" s="9"/>
      <c r="K1262" s="9"/>
      <c r="L1262" s="32"/>
      <c r="M1262" s="32"/>
      <c r="Z1262" s="13"/>
      <c r="AA1262" s="13"/>
      <c r="AB1262" s="13"/>
      <c r="AC1262" s="13"/>
      <c r="AD1262" s="13"/>
    </row>
    <row r="1263">
      <c r="J1263" s="9"/>
      <c r="K1263" s="9"/>
      <c r="L1263" s="32"/>
      <c r="M1263" s="32"/>
      <c r="Z1263" s="13"/>
      <c r="AA1263" s="13"/>
      <c r="AB1263" s="13"/>
      <c r="AC1263" s="13"/>
      <c r="AD1263" s="13"/>
    </row>
    <row r="1264">
      <c r="J1264" s="9"/>
      <c r="K1264" s="9"/>
      <c r="L1264" s="32"/>
      <c r="M1264" s="32"/>
      <c r="Z1264" s="13"/>
      <c r="AA1264" s="13"/>
      <c r="AB1264" s="13"/>
      <c r="AC1264" s="13"/>
      <c r="AD1264" s="13"/>
    </row>
    <row r="1265">
      <c r="J1265" s="9"/>
      <c r="K1265" s="9"/>
      <c r="L1265" s="32"/>
      <c r="M1265" s="32"/>
      <c r="Z1265" s="13"/>
      <c r="AA1265" s="13"/>
      <c r="AB1265" s="13"/>
      <c r="AC1265" s="13"/>
      <c r="AD1265" s="13"/>
    </row>
    <row r="1266">
      <c r="J1266" s="9"/>
      <c r="K1266" s="9"/>
      <c r="L1266" s="32"/>
      <c r="M1266" s="32"/>
      <c r="Z1266" s="13"/>
      <c r="AA1266" s="13"/>
      <c r="AB1266" s="13"/>
      <c r="AC1266" s="13"/>
      <c r="AD1266" s="13"/>
    </row>
    <row r="1267">
      <c r="J1267" s="9"/>
      <c r="K1267" s="9"/>
      <c r="L1267" s="32"/>
      <c r="M1267" s="32"/>
      <c r="Z1267" s="13"/>
      <c r="AA1267" s="13"/>
      <c r="AB1267" s="13"/>
      <c r="AC1267" s="13"/>
      <c r="AD1267" s="13"/>
    </row>
    <row r="1268">
      <c r="J1268" s="9"/>
      <c r="K1268" s="9"/>
      <c r="L1268" s="32"/>
      <c r="M1268" s="32"/>
      <c r="Z1268" s="13"/>
      <c r="AA1268" s="13"/>
      <c r="AB1268" s="13"/>
      <c r="AC1268" s="13"/>
      <c r="AD1268" s="13"/>
    </row>
    <row r="1269">
      <c r="J1269" s="9"/>
      <c r="K1269" s="9"/>
      <c r="L1269" s="32"/>
      <c r="M1269" s="32"/>
      <c r="Z1269" s="13"/>
      <c r="AA1269" s="13"/>
      <c r="AB1269" s="13"/>
      <c r="AC1269" s="13"/>
      <c r="AD1269" s="13"/>
    </row>
    <row r="1270">
      <c r="J1270" s="9"/>
      <c r="K1270" s="9"/>
      <c r="L1270" s="32"/>
      <c r="M1270" s="32"/>
      <c r="Z1270" s="13"/>
      <c r="AA1270" s="13"/>
      <c r="AB1270" s="13"/>
      <c r="AC1270" s="13"/>
      <c r="AD1270" s="13"/>
    </row>
    <row r="1271">
      <c r="J1271" s="9"/>
      <c r="K1271" s="9"/>
      <c r="L1271" s="32"/>
      <c r="M1271" s="32"/>
      <c r="Z1271" s="13"/>
      <c r="AA1271" s="13"/>
      <c r="AB1271" s="13"/>
      <c r="AC1271" s="13"/>
      <c r="AD1271" s="13"/>
    </row>
    <row r="1272">
      <c r="J1272" s="9"/>
      <c r="K1272" s="9"/>
      <c r="L1272" s="32"/>
      <c r="M1272" s="32"/>
      <c r="Z1272" s="13"/>
      <c r="AA1272" s="13"/>
      <c r="AB1272" s="13"/>
      <c r="AC1272" s="13"/>
      <c r="AD1272" s="13"/>
    </row>
    <row r="1273">
      <c r="J1273" s="9"/>
      <c r="K1273" s="9"/>
      <c r="L1273" s="32"/>
      <c r="M1273" s="32"/>
      <c r="Z1273" s="13"/>
      <c r="AA1273" s="13"/>
      <c r="AB1273" s="13"/>
      <c r="AC1273" s="13"/>
      <c r="AD1273" s="13"/>
    </row>
    <row r="1274">
      <c r="J1274" s="9"/>
      <c r="K1274" s="9"/>
      <c r="L1274" s="32"/>
      <c r="M1274" s="32"/>
      <c r="Z1274" s="13"/>
      <c r="AA1274" s="13"/>
      <c r="AB1274" s="13"/>
      <c r="AC1274" s="13"/>
      <c r="AD1274" s="13"/>
    </row>
    <row r="1275">
      <c r="J1275" s="9"/>
      <c r="K1275" s="9"/>
      <c r="L1275" s="32"/>
      <c r="M1275" s="32"/>
      <c r="Z1275" s="13"/>
      <c r="AA1275" s="13"/>
      <c r="AB1275" s="13"/>
      <c r="AC1275" s="13"/>
      <c r="AD1275" s="13"/>
    </row>
    <row r="1276">
      <c r="J1276" s="9"/>
      <c r="K1276" s="9"/>
      <c r="L1276" s="32"/>
      <c r="M1276" s="32"/>
      <c r="Z1276" s="13"/>
      <c r="AA1276" s="13"/>
      <c r="AB1276" s="13"/>
      <c r="AC1276" s="13"/>
      <c r="AD1276" s="13"/>
    </row>
  </sheetData>
  <mergeCells count="170">
    <mergeCell ref="G4:G6"/>
    <mergeCell ref="J4:J6"/>
    <mergeCell ref="K4:K6"/>
    <mergeCell ref="L4:L6"/>
    <mergeCell ref="M4:M6"/>
    <mergeCell ref="A2:J2"/>
    <mergeCell ref="A4:A6"/>
    <mergeCell ref="B4:B6"/>
    <mergeCell ref="C4:C6"/>
    <mergeCell ref="D4:D6"/>
    <mergeCell ref="E4:E6"/>
    <mergeCell ref="F4:F6"/>
    <mergeCell ref="B32:B35"/>
    <mergeCell ref="C32:C35"/>
    <mergeCell ref="D32:D35"/>
    <mergeCell ref="E32:E35"/>
    <mergeCell ref="F32:F35"/>
    <mergeCell ref="G32:G35"/>
    <mergeCell ref="M32:M35"/>
    <mergeCell ref="M36:M38"/>
    <mergeCell ref="A32:A35"/>
    <mergeCell ref="B36:B38"/>
    <mergeCell ref="C36:C38"/>
    <mergeCell ref="D36:D38"/>
    <mergeCell ref="E36:E38"/>
    <mergeCell ref="F36:F38"/>
    <mergeCell ref="G36:G38"/>
    <mergeCell ref="A36:A38"/>
    <mergeCell ref="A48:A51"/>
    <mergeCell ref="B48:B51"/>
    <mergeCell ref="C48:C51"/>
    <mergeCell ref="D48:D51"/>
    <mergeCell ref="E48:E51"/>
    <mergeCell ref="G48:G51"/>
    <mergeCell ref="J64:J68"/>
    <mergeCell ref="K64:K68"/>
    <mergeCell ref="L64:L68"/>
    <mergeCell ref="M64:M68"/>
    <mergeCell ref="J73:J75"/>
    <mergeCell ref="K73:K75"/>
    <mergeCell ref="L73:L75"/>
    <mergeCell ref="M73:M75"/>
    <mergeCell ref="A64:A68"/>
    <mergeCell ref="B64:B68"/>
    <mergeCell ref="C64:C68"/>
    <mergeCell ref="E64:E68"/>
    <mergeCell ref="F64:F68"/>
    <mergeCell ref="G64:G68"/>
    <mergeCell ref="A70:M70"/>
    <mergeCell ref="A127:A131"/>
    <mergeCell ref="A135:A138"/>
    <mergeCell ref="B135:B138"/>
    <mergeCell ref="C135:C138"/>
    <mergeCell ref="E135:E138"/>
    <mergeCell ref="F135:F138"/>
    <mergeCell ref="G135:G138"/>
    <mergeCell ref="A144:A147"/>
    <mergeCell ref="B144:B147"/>
    <mergeCell ref="C144:C147"/>
    <mergeCell ref="D144:D147"/>
    <mergeCell ref="E144:E147"/>
    <mergeCell ref="F144:F147"/>
    <mergeCell ref="G144:G147"/>
    <mergeCell ref="J167:J170"/>
    <mergeCell ref="K167:K170"/>
    <mergeCell ref="L167:L170"/>
    <mergeCell ref="M167:M170"/>
    <mergeCell ref="A167:A170"/>
    <mergeCell ref="B167:B170"/>
    <mergeCell ref="C167:C170"/>
    <mergeCell ref="D167:D170"/>
    <mergeCell ref="E167:E170"/>
    <mergeCell ref="F167:F170"/>
    <mergeCell ref="G167:G170"/>
    <mergeCell ref="E171:E173"/>
    <mergeCell ref="F171:F173"/>
    <mergeCell ref="G171:G173"/>
    <mergeCell ref="J171:J173"/>
    <mergeCell ref="K171:K173"/>
    <mergeCell ref="L171:L173"/>
    <mergeCell ref="M171:M173"/>
    <mergeCell ref="M176:M179"/>
    <mergeCell ref="D171:D173"/>
    <mergeCell ref="B176:B179"/>
    <mergeCell ref="C176:C179"/>
    <mergeCell ref="D176:D179"/>
    <mergeCell ref="E176:E179"/>
    <mergeCell ref="F176:F179"/>
    <mergeCell ref="G176:G179"/>
    <mergeCell ref="G185:G188"/>
    <mergeCell ref="M185:M188"/>
    <mergeCell ref="A176:A179"/>
    <mergeCell ref="A185:A188"/>
    <mergeCell ref="B185:B188"/>
    <mergeCell ref="C185:C188"/>
    <mergeCell ref="D185:D188"/>
    <mergeCell ref="E185:E188"/>
    <mergeCell ref="F185:F188"/>
    <mergeCell ref="J199:J203"/>
    <mergeCell ref="K199:K203"/>
    <mergeCell ref="L199:L203"/>
    <mergeCell ref="M199:M203"/>
    <mergeCell ref="B199:B203"/>
    <mergeCell ref="C199:C203"/>
    <mergeCell ref="D199:D203"/>
    <mergeCell ref="E199:E203"/>
    <mergeCell ref="F199:F203"/>
    <mergeCell ref="G199:G203"/>
    <mergeCell ref="A205:J205"/>
    <mergeCell ref="G233:G237"/>
    <mergeCell ref="J233:J237"/>
    <mergeCell ref="K233:K237"/>
    <mergeCell ref="L233:L237"/>
    <mergeCell ref="M233:M237"/>
    <mergeCell ref="A239:J239"/>
    <mergeCell ref="A241:A244"/>
    <mergeCell ref="B241:B244"/>
    <mergeCell ref="C241:C244"/>
    <mergeCell ref="D241:D244"/>
    <mergeCell ref="E241:E244"/>
    <mergeCell ref="F241:F244"/>
    <mergeCell ref="G241:G244"/>
    <mergeCell ref="M241:M244"/>
    <mergeCell ref="A220:A223"/>
    <mergeCell ref="A233:A237"/>
    <mergeCell ref="B233:B237"/>
    <mergeCell ref="C233:C237"/>
    <mergeCell ref="D233:D237"/>
    <mergeCell ref="E233:E237"/>
    <mergeCell ref="F233:F237"/>
    <mergeCell ref="F102:F104"/>
    <mergeCell ref="G102:G104"/>
    <mergeCell ref="J102:J104"/>
    <mergeCell ref="K102:K104"/>
    <mergeCell ref="L102:L104"/>
    <mergeCell ref="M102:M104"/>
    <mergeCell ref="D64:D68"/>
    <mergeCell ref="D73:D75"/>
    <mergeCell ref="E73:E75"/>
    <mergeCell ref="F73:F75"/>
    <mergeCell ref="G73:G75"/>
    <mergeCell ref="D102:D104"/>
    <mergeCell ref="E102:E104"/>
    <mergeCell ref="J127:J131"/>
    <mergeCell ref="K127:K131"/>
    <mergeCell ref="L127:L131"/>
    <mergeCell ref="M127:M131"/>
    <mergeCell ref="B127:B131"/>
    <mergeCell ref="C127:C131"/>
    <mergeCell ref="D127:D131"/>
    <mergeCell ref="E127:E131"/>
    <mergeCell ref="F127:F131"/>
    <mergeCell ref="G127:G131"/>
    <mergeCell ref="A133:M133"/>
    <mergeCell ref="L139:L141"/>
    <mergeCell ref="M139:M141"/>
    <mergeCell ref="D135:D138"/>
    <mergeCell ref="D139:D141"/>
    <mergeCell ref="E139:E141"/>
    <mergeCell ref="F139:F141"/>
    <mergeCell ref="G139:G141"/>
    <mergeCell ref="J139:J141"/>
    <mergeCell ref="K139:K141"/>
    <mergeCell ref="A199:A203"/>
    <mergeCell ref="B220:B223"/>
    <mergeCell ref="C220:C223"/>
    <mergeCell ref="D220:D223"/>
    <mergeCell ref="E220:E223"/>
    <mergeCell ref="G220:G223"/>
    <mergeCell ref="M220:M223"/>
  </mergeCells>
  <dataValidations>
    <dataValidation type="list" allowBlank="1" showErrorMessage="1" sqref="B3:B4 B7:B30 B32 B36 B39:B48 B52:B64 B69 B72:B99 B101:B127 B132 B135 B139:B144 B148:B164 B167 B171:B176 B180:B185 B189:B199 B207:B217 B220 B224:B233 B241 B245:B258 B261:B275">
      <formula1>"Modular,Accessories,Civil Services"</formula1>
    </dataValidation>
    <dataValidation type="list" allowBlank="1" showErrorMessage="1" sqref="D3 D7:D30 D32 D39:D48 D52:D64 D69 D72 D76:D99 D101 D105:D127 D132 D135 D142:D144 D148:D165 D167 D174:D176 D180:D185 D189:D199 D204 D207:D218 D220 D224:D233 D238 D241 D245:D259 D261:D276">
      <formula1>"Base Storage,Wall Storage,Tall Storage,Wardrobe ,Tambour Storage  ,Panel ,Loft ,Curved Shape Base Storage unit ,Ledge,Partition,Arch Shape panel,Curved Shape Drawer Storage unit ,Open Unit - Inner 1mm"</formula1>
    </dataValidation>
    <dataValidation type="list" allowBlank="1" showErrorMessage="1" sqref="G3:G4 G8:G12 G19:G30 G32 G36 G54:G64 G69 G72:G73 G77:G81 G88:G99 G101:G102 G117:G127 G132 G135 G139 G143:G144 G148:G150 G157:G165 G167 G171 G192:G199 G204 G207 G209:G218 G220 G226:G233 G238 G241 G246:G259 G261 G268:G276">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Rose Gold Aluminium Profile with Clear or Tinted  Glass,Carcass - MR Premium / Shutter - HDF,Carcass - MR - Premium,Frame - BWP / Shutter - HDF ,Frame - M"&amp;"R Premium / Shutter - HDF "</formula1>
    </dataValidation>
    <dataValidation type="list" allowBlank="1" showErrorMessage="1" sqref="E4 E36 E64 E69 E73 E99 E102 E139 E171">
      <formula1>"Carcass,Shutter ,Carcass/shutter ,Wallpanel ,Back panel Support ,pelmet ,Ceiling Panel ,Charcoal Panel,Base panel / Side panel ,Frame and Shutter ,Ledge -25mm,Ledge -36mm,Ledge -50mm,Partition -75mm,Curved Shape Panel ,Chimney Panel,Jam Panel "</formula1>
    </dataValidation>
    <dataValidation type="list" allowBlank="1" showErrorMessage="1" sqref="G39:G48 G52:G53 G105:G116 G174:G176 G180:G185 G189:G191 G224:G225 G262:G267">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 Shutter - Plywood Border w"&amp;"ith Clear / Tinted Glass ,Carcass - MR - Premium / Shutter -  Ply wood border with Fluted Glass ,Carcass - MR - Premium / Shutter - Black / Silver  colour Aluminium Profile with Clear or Tinted Glass ,Carcass - MR - Premium / Shutter - Gold Colour Alumini"&amp;"um profile with Clear Glass ,Carcass - MR - Premium / Shutter - Gold Colour Aluminium profile with Fluted Glass ,Carcass - MR - Premium / Shutter - Black / Silver  colour Aluminium Profile with Fluted Glass ,Carcass Inner 1mm - MR - Premium/ Shutter - Ply"&amp;"wood Border with Clear / Tinted Glass ,Carcass Inner 1mm- MR - Premium / Shutter -  Ply wood border with Fluted Glass ,Carcass inner 1mm- MR - Premium / Shutter - Black / Silver  colour Aluminium Profile with Clear or Tinted Glass ,Carcass Inner 1mm - MR "&amp;"- Premium / Shutter - Gold Colour Aluminium profile with Clear Glass ,Carcass Inner 1mm - MR - Premium / Shutter - Gold Colour Aluminium profile with Fluted Glass ,Carcass Inner 1mm - MR - Premium / Shutter - Black / Silver  colour Aluminium Profile with "&amp;"Fluted Glass "</formula1>
    </dataValidation>
    <dataValidation type="list" allowBlank="1" showErrorMessage="1" sqref="D4 D36 D73 D102 D139 D171">
      <formula1>"Base Storage ,Wall Storage,Tall Storage,Wardrobe ,Open Unit - Inner 0.8mm,Panel ,Loft ,Curved Shape Base Storage unit ,Ledge,Partition,Arch Shape panel,Curved Shape Drawer Storage unit ,Open Unit - Inner 1mm,Drawer Storage ,Base Storage - Inner 1mm,Wall S"&amp;"torage - inner 1mm,Tall Storage - Inner 1mm"</formula1>
    </dataValidation>
    <dataValidation type="list" allowBlank="1" showErrorMessage="1" sqref="E22:E23 E57:E58 E91:E92 E120:E121 E158:E159 E193:E194 E211:E212 E227:E228 E252:E253 E269:E270">
      <formula1>"Carcass,Shutter ,Frame /shutter ,Wallpanel ,Back panel Support ,pelmet ,Ceiling Panel ,Charcoal Panel,Base panel / Side panel , Frame and Shutter "</formula1>
    </dataValidation>
    <dataValidation type="list" allowBlank="1" showErrorMessage="1" sqref="F3:F4 F7:F30 F32 F36 F39:F64 F69 F72:F73 F76:F99 F101:F102 F105:F127 F132 F135 F139 F142:F144 F148:F165 F167 F171 F174:F176 F180:F185 F189:F199 F204 F207:F218 F220:F233 F238 F241 F245:F259 F261:F276">
      <formula1>"Core Material,Finish Material,Hinges"</formula1>
    </dataValidation>
    <dataValidation type="list" allowBlank="1" showErrorMessage="1" sqref="G7 N17 G13:G18 G76 G82:G87 G142 G151:G156 G208 G245">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,Carcass  Inner 1mm- BWP / Shutter - Plywood Border with Clear / Tinted Glass ,Carcass inner 1mm - BWP / Shutter -  Plywood Border with Fluted Glass ,Carcass  Inner 1mm- BWP / Shutter - Black / Silver  colour Aluminium"&amp;" Profile with Clear or Tinted Glass ,Carcass Inner 1mm - BWP / Shutter - Black / Silver  colour Aluminium Profile with Fluted Glass,Carcass Inner 1mm  - BWP / Shutter - Gold  / Rose Gold   colour Aluminium Profile with Fluted Glass,Carcass Inner 1mm- BWP "&amp;"/ Shutter - Gold  / Rose Gold   colour Aluminium Profile with Clear or Tinted  Glass"</formula1>
    </dataValidation>
    <dataValidation type="list" allowBlank="1" showErrorMessage="1" sqref="H3:H23 H32:H58 H72:I72 H73:H75 H76:I92 H101:I120 H121 H135:H141 H142:I143 H144:H147 H148:I159 H167:H173 H174:I175 H176:H179 H180:I184 H185:H188 H189:I193 H194 H207:I212 H220:H223 H224:I228 H241:H244 H245:I253 H261:I270">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Dek,ForMica,Carcass - Kit ply Vista Marine / Shutter - Green Panel with Glass ,Carcass - Kit ply Vista Marine ,Carcass -Kitply Vista Marine / Shutter - Imported Aluminium Profile Shutters ,Carcass - Kitply Plus"&amp;" / Shutter - Green Panel,Carcass / Shutter - Kitply Vist Marine with Glass,Frame- Kit ply Vista Marine / Shutter - Green Panel,Frame - Kit ply Plus / Shutter - Green Panel,Carcass - Kitply plus"</formula1>
    </dataValidation>
    <dataValidation type="list" allowBlank="1" showErrorMessage="1" sqref="C3:C4 C7:C30 C32 C36 C39:C48 C52:C64 C69 C72:C99 C101:C127 C132 C135 C139:C144 C148:C164 C167 C171:C176 C180:C185 C189:C199 C207:C217 C220 C224:C233 C241 C245:C258 C261:C275">
      <formula1>"Wet / Exposed Area,Dry / Inexposed area"</formula1>
    </dataValidation>
    <dataValidation type="list" allowBlank="1" showErrorMessage="1" sqref="E3 E7:E21 E24:E30 E32 E39:E48 E52:E56 E59:E63 E72 E76:E90 E93:E98 E101 E105:E119 E122:E127 E132 E135 E142:E144 E148:E157 E160:E165 E167 E174:E176 E180:E185 E189:E192 E195:E199 E204 E207:E210 E213:E218 E220 E224:E226 E229:E233 E238 E241 E245:E251 E254:E259 E261:E268 E271:E276">
      <formula1>"Carcass,Shutter ,Carcass/shutter ,Wallpanel ,Back panel Support ,pelmet ,Ceiling Panel ,Charcoal Panel,Base panel / Side panel ,Frame and Shutter ,Ledge -25mm,Ledge -36mm,Ledge -50mm,Partition -75mm,Curved Shape Panel ,Jam Panel,Chimney Panel"</formula1>
    </dataValidation>
    <dataValidation type="list" allowBlank="1" showErrorMessage="1" sqref="A3:A4 A7:A30 A32 A36 A39:A48 A52:A64 A69 A71:A127 A132 A134:A135 A139:A144 A148:A167 A171:A176 A180:A185 A189:A199 A204 A206:A220 A224:A233 A238 A240:A241 A245:A276">
      <formula1>"Economy,Mid Premium,Premium,Luxury"</formula1>
    </dataValidation>
    <dataValidation type="list" allowBlank="1" showErrorMessage="1" sqref="H24:H30 H59 H60:I63 H64:H69 H93:I98 H99 H122:I126 H127:H132 H160:I162 H163 H164:I164 H165 H195 H196:I198 H199:H204 H213:I217 H218 H229:I229 H230:H231 H232:I232 H233:H238 H254:I258 H259 H271:I275 H276">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Dek,ForMica,Ledge - Kit Ply Vista Marine ,Kit Ply Vista Marine ,Ledge - Kitply plus,Kitply plus"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6.13"/>
    <col customWidth="1" hidden="1" min="2" max="2" width="15.88"/>
    <col customWidth="1" hidden="1" min="3" max="3" width="24.63"/>
    <col customWidth="1" min="4" max="4" width="31.0"/>
    <col customWidth="1" min="5" max="5" width="28.63"/>
    <col customWidth="1" min="6" max="6" width="36.63"/>
    <col customWidth="1" min="7" max="7" width="56.75"/>
    <col customWidth="1" min="8" max="9" width="72.63"/>
    <col customWidth="1" min="10" max="10" width="14.38"/>
  </cols>
  <sheetData>
    <row r="1">
      <c r="A1" s="4" t="s">
        <v>0</v>
      </c>
      <c r="B1" s="4" t="s">
        <v>1</v>
      </c>
      <c r="C1" s="4" t="s">
        <v>2</v>
      </c>
      <c r="D1" s="4" t="s">
        <v>3</v>
      </c>
      <c r="E1" s="4" t="s">
        <v>32</v>
      </c>
      <c r="F1" s="4" t="s">
        <v>4</v>
      </c>
      <c r="G1" s="4" t="s">
        <v>6</v>
      </c>
      <c r="H1" s="4" t="s">
        <v>5</v>
      </c>
      <c r="I1" s="4" t="s">
        <v>222</v>
      </c>
      <c r="J1" s="4" t="s">
        <v>34</v>
      </c>
      <c r="K1" s="4" t="s">
        <v>458</v>
      </c>
      <c r="L1" s="4" t="s">
        <v>459</v>
      </c>
      <c r="M1" s="4" t="s">
        <v>35</v>
      </c>
      <c r="N1" s="4" t="s">
        <v>36</v>
      </c>
      <c r="O1" s="4" t="s">
        <v>37</v>
      </c>
      <c r="P1" s="4"/>
      <c r="Q1" s="4"/>
      <c r="R1" s="6"/>
      <c r="S1" s="6"/>
      <c r="T1" s="6"/>
      <c r="U1" s="6"/>
      <c r="V1" s="6"/>
      <c r="W1" s="6"/>
      <c r="X1" s="6"/>
      <c r="Y1" s="6"/>
      <c r="Z1" s="6"/>
      <c r="AA1" s="6"/>
      <c r="AB1" s="6"/>
      <c r="AC1" s="6"/>
      <c r="AD1" s="6"/>
      <c r="AE1" s="6"/>
    </row>
    <row r="2">
      <c r="A2" s="7" t="s">
        <v>38</v>
      </c>
      <c r="K2" s="4"/>
      <c r="L2" s="4"/>
      <c r="M2" s="4"/>
      <c r="N2" s="4"/>
      <c r="O2" s="4"/>
      <c r="P2" s="4"/>
      <c r="Q2" s="4"/>
      <c r="R2" s="6"/>
      <c r="S2" s="6"/>
      <c r="T2" s="6"/>
      <c r="U2" s="6"/>
      <c r="V2" s="6"/>
      <c r="W2" s="6"/>
      <c r="X2" s="6"/>
      <c r="Y2" s="6"/>
      <c r="Z2" s="6"/>
      <c r="AA2" s="6"/>
      <c r="AB2" s="6"/>
      <c r="AC2" s="6"/>
      <c r="AD2" s="6"/>
      <c r="AE2" s="6"/>
    </row>
    <row r="3" ht="37.5" customHeight="1">
      <c r="A3" s="10" t="s">
        <v>29</v>
      </c>
      <c r="B3" s="10" t="s">
        <v>10</v>
      </c>
      <c r="C3" s="10" t="s">
        <v>11</v>
      </c>
      <c r="D3" s="10" t="s">
        <v>40</v>
      </c>
      <c r="E3" s="10" t="s">
        <v>41</v>
      </c>
      <c r="F3" s="10" t="s">
        <v>42</v>
      </c>
      <c r="G3" s="10" t="s">
        <v>460</v>
      </c>
      <c r="H3" s="11" t="s">
        <v>461</v>
      </c>
      <c r="I3" s="10" t="s">
        <v>462</v>
      </c>
      <c r="J3" s="33">
        <v>1715.0</v>
      </c>
      <c r="K3" s="33"/>
      <c r="L3" s="33">
        <f>J3+K3</f>
        <v>1715</v>
      </c>
      <c r="M3" s="34">
        <v>0.25</v>
      </c>
      <c r="N3" s="35">
        <f>L3*M3</f>
        <v>428.75</v>
      </c>
      <c r="O3" s="35">
        <f>L3+N3</f>
        <v>2143.75</v>
      </c>
      <c r="P3" s="10"/>
      <c r="Q3" s="13"/>
      <c r="R3" s="13"/>
      <c r="S3" s="13"/>
      <c r="T3" s="13"/>
      <c r="U3" s="13"/>
      <c r="V3" s="13"/>
      <c r="W3" s="13"/>
      <c r="X3" s="13"/>
      <c r="Y3" s="13"/>
      <c r="Z3" s="13"/>
      <c r="AA3" s="13"/>
      <c r="AB3" s="13"/>
      <c r="AC3" s="13"/>
      <c r="AD3" s="13"/>
      <c r="AE3" s="13"/>
    </row>
    <row r="4" ht="37.5" customHeight="1">
      <c r="A4" s="10"/>
      <c r="B4" s="10"/>
      <c r="H4" s="11"/>
      <c r="I4" s="10" t="s">
        <v>463</v>
      </c>
      <c r="J4" s="33"/>
      <c r="K4" s="33"/>
      <c r="L4" s="33"/>
      <c r="M4" s="34"/>
      <c r="N4" s="35"/>
      <c r="O4" s="35"/>
      <c r="P4" s="10"/>
      <c r="Q4" s="13"/>
      <c r="R4" s="13"/>
      <c r="S4" s="13"/>
      <c r="T4" s="13"/>
      <c r="U4" s="13"/>
      <c r="V4" s="13"/>
      <c r="W4" s="13"/>
      <c r="X4" s="13"/>
      <c r="Y4" s="13"/>
      <c r="Z4" s="13"/>
      <c r="AA4" s="13"/>
      <c r="AB4" s="13"/>
      <c r="AC4" s="13"/>
      <c r="AD4" s="13"/>
      <c r="AE4" s="13"/>
    </row>
    <row r="5" ht="37.5" customHeight="1">
      <c r="A5" s="10"/>
      <c r="B5" s="10"/>
      <c r="H5" s="11"/>
      <c r="I5" s="10" t="s">
        <v>464</v>
      </c>
      <c r="J5" s="33"/>
      <c r="K5" s="33"/>
      <c r="L5" s="33"/>
      <c r="M5" s="34"/>
      <c r="N5" s="35"/>
      <c r="O5" s="35"/>
      <c r="P5" s="10"/>
      <c r="Q5" s="13"/>
      <c r="R5" s="13"/>
      <c r="S5" s="13"/>
      <c r="T5" s="13"/>
      <c r="U5" s="13"/>
      <c r="V5" s="13"/>
      <c r="W5" s="13"/>
      <c r="X5" s="13"/>
      <c r="Y5" s="13"/>
      <c r="Z5" s="13"/>
      <c r="AA5" s="13"/>
      <c r="AB5" s="13"/>
      <c r="AC5" s="13"/>
      <c r="AD5" s="13"/>
      <c r="AE5" s="13"/>
    </row>
    <row r="6" ht="37.5" customHeight="1">
      <c r="A6" s="10"/>
      <c r="B6" s="10"/>
      <c r="H6" s="11"/>
      <c r="I6" s="10" t="s">
        <v>465</v>
      </c>
      <c r="J6" s="33"/>
      <c r="K6" s="33"/>
      <c r="L6" s="33"/>
      <c r="M6" s="34"/>
      <c r="N6" s="35"/>
      <c r="O6" s="35"/>
      <c r="P6" s="10"/>
      <c r="Q6" s="13"/>
      <c r="R6" s="13"/>
      <c r="S6" s="13"/>
      <c r="T6" s="13"/>
      <c r="U6" s="13"/>
      <c r="V6" s="13"/>
      <c r="W6" s="13"/>
      <c r="X6" s="13"/>
      <c r="Y6" s="13"/>
      <c r="Z6" s="13"/>
      <c r="AA6" s="13"/>
      <c r="AB6" s="13"/>
      <c r="AC6" s="13"/>
      <c r="AD6" s="13"/>
      <c r="AE6" s="13"/>
    </row>
    <row r="7">
      <c r="A7" s="10" t="s">
        <v>29</v>
      </c>
      <c r="B7" s="10" t="s">
        <v>10</v>
      </c>
      <c r="C7" s="10" t="s">
        <v>11</v>
      </c>
      <c r="D7" s="10" t="s">
        <v>40</v>
      </c>
      <c r="E7" s="10" t="s">
        <v>41</v>
      </c>
      <c r="F7" s="10" t="s">
        <v>42</v>
      </c>
      <c r="G7" s="11" t="s">
        <v>55</v>
      </c>
      <c r="H7" s="11" t="s">
        <v>466</v>
      </c>
      <c r="I7" s="11"/>
      <c r="J7" s="33">
        <v>2095.0</v>
      </c>
      <c r="K7" s="33"/>
      <c r="L7" s="33">
        <f t="shared" ref="L7:L29" si="1">J7+K7</f>
        <v>2095</v>
      </c>
      <c r="M7" s="34">
        <v>0.25</v>
      </c>
      <c r="N7" s="35">
        <f t="shared" ref="N7:N29" si="2">L7*M7</f>
        <v>523.75</v>
      </c>
      <c r="O7" s="35">
        <f t="shared" ref="O7:O29" si="3">L7+N7</f>
        <v>2618.75</v>
      </c>
      <c r="P7" s="13"/>
      <c r="Q7" s="13"/>
      <c r="R7" s="13"/>
      <c r="S7" s="13"/>
      <c r="T7" s="13"/>
      <c r="U7" s="13"/>
      <c r="V7" s="13"/>
      <c r="W7" s="13"/>
      <c r="X7" s="13"/>
      <c r="Y7" s="13"/>
      <c r="Z7" s="13"/>
      <c r="AA7" s="13"/>
      <c r="AB7" s="13"/>
      <c r="AC7" s="13"/>
      <c r="AD7" s="13"/>
      <c r="AE7" s="13"/>
    </row>
    <row r="8">
      <c r="A8" s="10" t="s">
        <v>29</v>
      </c>
      <c r="B8" s="10" t="s">
        <v>10</v>
      </c>
      <c r="C8" s="10" t="s">
        <v>11</v>
      </c>
      <c r="D8" s="10" t="s">
        <v>40</v>
      </c>
      <c r="E8" s="10" t="s">
        <v>41</v>
      </c>
      <c r="F8" s="10" t="s">
        <v>42</v>
      </c>
      <c r="G8" s="11" t="s">
        <v>61</v>
      </c>
      <c r="H8" s="11" t="s">
        <v>466</v>
      </c>
      <c r="I8" s="11"/>
      <c r="J8" s="33">
        <v>2215.0</v>
      </c>
      <c r="K8" s="33"/>
      <c r="L8" s="33">
        <f t="shared" si="1"/>
        <v>2215</v>
      </c>
      <c r="M8" s="34">
        <v>0.25</v>
      </c>
      <c r="N8" s="35">
        <f t="shared" si="2"/>
        <v>553.75</v>
      </c>
      <c r="O8" s="35">
        <f t="shared" si="3"/>
        <v>2768.75</v>
      </c>
      <c r="P8" s="13"/>
      <c r="Q8" s="13"/>
      <c r="R8" s="13"/>
      <c r="S8" s="13"/>
      <c r="T8" s="13"/>
      <c r="U8" s="13"/>
      <c r="V8" s="13"/>
      <c r="W8" s="13"/>
      <c r="X8" s="13"/>
      <c r="Y8" s="13"/>
      <c r="Z8" s="13"/>
      <c r="AA8" s="13"/>
      <c r="AB8" s="13"/>
      <c r="AC8" s="13"/>
      <c r="AD8" s="13"/>
      <c r="AE8" s="13"/>
    </row>
    <row r="9">
      <c r="A9" s="10" t="s">
        <v>29</v>
      </c>
      <c r="B9" s="10" t="s">
        <v>10</v>
      </c>
      <c r="C9" s="10" t="s">
        <v>11</v>
      </c>
      <c r="D9" s="10" t="s">
        <v>40</v>
      </c>
      <c r="E9" s="10" t="s">
        <v>41</v>
      </c>
      <c r="F9" s="10" t="s">
        <v>42</v>
      </c>
      <c r="G9" s="11" t="s">
        <v>66</v>
      </c>
      <c r="H9" s="11" t="s">
        <v>467</v>
      </c>
      <c r="I9" s="11"/>
      <c r="J9" s="33">
        <v>2250.0</v>
      </c>
      <c r="K9" s="33"/>
      <c r="L9" s="33">
        <f t="shared" si="1"/>
        <v>2250</v>
      </c>
      <c r="M9" s="34">
        <v>0.25</v>
      </c>
      <c r="N9" s="35">
        <f t="shared" si="2"/>
        <v>562.5</v>
      </c>
      <c r="O9" s="35">
        <f t="shared" si="3"/>
        <v>2812.5</v>
      </c>
      <c r="P9" s="13"/>
      <c r="Q9" s="13"/>
      <c r="R9" s="13"/>
      <c r="S9" s="13"/>
      <c r="T9" s="13"/>
      <c r="U9" s="13"/>
      <c r="V9" s="13"/>
      <c r="W9" s="13"/>
      <c r="X9" s="13"/>
      <c r="Y9" s="13"/>
      <c r="Z9" s="13"/>
      <c r="AA9" s="13"/>
      <c r="AB9" s="13"/>
      <c r="AC9" s="13"/>
      <c r="AD9" s="13"/>
      <c r="AE9" s="13"/>
    </row>
    <row r="10">
      <c r="A10" s="10" t="s">
        <v>29</v>
      </c>
      <c r="B10" s="10" t="s">
        <v>10</v>
      </c>
      <c r="C10" s="10" t="s">
        <v>11</v>
      </c>
      <c r="D10" s="10" t="s">
        <v>40</v>
      </c>
      <c r="E10" s="10" t="s">
        <v>41</v>
      </c>
      <c r="F10" s="10" t="s">
        <v>42</v>
      </c>
      <c r="G10" s="11" t="s">
        <v>72</v>
      </c>
      <c r="H10" s="11" t="s">
        <v>467</v>
      </c>
      <c r="I10" s="11"/>
      <c r="J10" s="33">
        <v>2350.0</v>
      </c>
      <c r="K10" s="33"/>
      <c r="L10" s="33">
        <f t="shared" si="1"/>
        <v>2350</v>
      </c>
      <c r="M10" s="34">
        <v>0.25</v>
      </c>
      <c r="N10" s="35">
        <f t="shared" si="2"/>
        <v>587.5</v>
      </c>
      <c r="O10" s="35">
        <f t="shared" si="3"/>
        <v>2937.5</v>
      </c>
      <c r="P10" s="13"/>
      <c r="Q10" s="13"/>
      <c r="R10" s="13"/>
      <c r="S10" s="13"/>
      <c r="T10" s="13"/>
      <c r="U10" s="13"/>
      <c r="V10" s="13"/>
      <c r="W10" s="13"/>
      <c r="X10" s="13"/>
      <c r="Y10" s="13"/>
      <c r="Z10" s="13"/>
      <c r="AA10" s="13"/>
      <c r="AB10" s="13"/>
      <c r="AC10" s="13"/>
      <c r="AD10" s="13"/>
      <c r="AE10" s="13"/>
    </row>
    <row r="11">
      <c r="A11" s="10" t="s">
        <v>29</v>
      </c>
      <c r="B11" s="10" t="s">
        <v>10</v>
      </c>
      <c r="C11" s="10" t="s">
        <v>11</v>
      </c>
      <c r="D11" s="10" t="s">
        <v>40</v>
      </c>
      <c r="E11" s="10" t="s">
        <v>41</v>
      </c>
      <c r="F11" s="10" t="s">
        <v>42</v>
      </c>
      <c r="G11" s="11" t="s">
        <v>468</v>
      </c>
      <c r="H11" s="11" t="s">
        <v>467</v>
      </c>
      <c r="I11" s="11"/>
      <c r="J11" s="33">
        <v>2350.0</v>
      </c>
      <c r="K11" s="33"/>
      <c r="L11" s="33">
        <f t="shared" si="1"/>
        <v>2350</v>
      </c>
      <c r="M11" s="34">
        <v>0.25</v>
      </c>
      <c r="N11" s="35">
        <f t="shared" si="2"/>
        <v>587.5</v>
      </c>
      <c r="O11" s="35">
        <f t="shared" si="3"/>
        <v>2937.5</v>
      </c>
      <c r="P11" s="13"/>
      <c r="Q11" s="13"/>
      <c r="R11" s="13"/>
      <c r="S11" s="13"/>
      <c r="T11" s="13"/>
      <c r="U11" s="13"/>
      <c r="V11" s="13"/>
      <c r="W11" s="13"/>
      <c r="X11" s="13"/>
      <c r="Y11" s="13"/>
      <c r="Z11" s="13"/>
      <c r="AA11" s="13"/>
      <c r="AB11" s="13"/>
      <c r="AC11" s="13"/>
      <c r="AD11" s="13"/>
      <c r="AE11" s="13"/>
    </row>
    <row r="12">
      <c r="A12" s="10" t="s">
        <v>29</v>
      </c>
      <c r="B12" s="10" t="s">
        <v>10</v>
      </c>
      <c r="C12" s="10" t="s">
        <v>11</v>
      </c>
      <c r="D12" s="10" t="s">
        <v>40</v>
      </c>
      <c r="E12" s="10" t="s">
        <v>41</v>
      </c>
      <c r="F12" s="10" t="s">
        <v>42</v>
      </c>
      <c r="G12" s="11" t="s">
        <v>469</v>
      </c>
      <c r="H12" s="11" t="s">
        <v>467</v>
      </c>
      <c r="I12" s="11"/>
      <c r="J12" s="33">
        <v>2450.0</v>
      </c>
      <c r="K12" s="33"/>
      <c r="L12" s="33">
        <f t="shared" si="1"/>
        <v>2450</v>
      </c>
      <c r="M12" s="34">
        <v>0.25</v>
      </c>
      <c r="N12" s="35">
        <f t="shared" si="2"/>
        <v>612.5</v>
      </c>
      <c r="O12" s="35">
        <f t="shared" si="3"/>
        <v>3062.5</v>
      </c>
      <c r="P12" s="13"/>
      <c r="Q12" s="13"/>
      <c r="R12" s="13"/>
      <c r="S12" s="13"/>
      <c r="T12" s="13"/>
      <c r="U12" s="13"/>
      <c r="V12" s="13"/>
      <c r="W12" s="13"/>
      <c r="X12" s="13"/>
      <c r="Y12" s="13"/>
      <c r="Z12" s="13"/>
      <c r="AA12" s="13"/>
      <c r="AB12" s="13"/>
      <c r="AC12" s="13"/>
      <c r="AD12" s="13"/>
      <c r="AE12" s="13"/>
    </row>
    <row r="13">
      <c r="A13" s="10" t="s">
        <v>29</v>
      </c>
      <c r="B13" s="10" t="s">
        <v>10</v>
      </c>
      <c r="C13" s="10" t="s">
        <v>11</v>
      </c>
      <c r="D13" s="10" t="s">
        <v>40</v>
      </c>
      <c r="E13" s="10" t="s">
        <v>41</v>
      </c>
      <c r="F13" s="10" t="s">
        <v>42</v>
      </c>
      <c r="G13" s="11" t="s">
        <v>75</v>
      </c>
      <c r="H13" s="11" t="s">
        <v>466</v>
      </c>
      <c r="I13" s="11"/>
      <c r="J13" s="33">
        <v>2345.0</v>
      </c>
      <c r="K13" s="33"/>
      <c r="L13" s="33">
        <f t="shared" si="1"/>
        <v>2345</v>
      </c>
      <c r="M13" s="34">
        <v>0.25</v>
      </c>
      <c r="N13" s="35">
        <f t="shared" si="2"/>
        <v>586.25</v>
      </c>
      <c r="O13" s="35">
        <f t="shared" si="3"/>
        <v>2931.25</v>
      </c>
      <c r="P13" s="13"/>
      <c r="Q13" s="13"/>
      <c r="R13" s="13"/>
      <c r="S13" s="13"/>
      <c r="T13" s="13"/>
      <c r="U13" s="13"/>
      <c r="V13" s="13"/>
      <c r="W13" s="13"/>
      <c r="X13" s="13"/>
      <c r="Y13" s="13"/>
      <c r="Z13" s="13"/>
      <c r="AA13" s="13"/>
      <c r="AB13" s="13"/>
      <c r="AC13" s="13"/>
      <c r="AD13" s="13"/>
      <c r="AE13" s="13"/>
    </row>
    <row r="14">
      <c r="A14" s="10" t="s">
        <v>29</v>
      </c>
      <c r="B14" s="10" t="s">
        <v>10</v>
      </c>
      <c r="C14" s="10" t="s">
        <v>11</v>
      </c>
      <c r="D14" s="10" t="s">
        <v>40</v>
      </c>
      <c r="E14" s="10" t="s">
        <v>41</v>
      </c>
      <c r="F14" s="10" t="s">
        <v>42</v>
      </c>
      <c r="G14" s="11" t="s">
        <v>76</v>
      </c>
      <c r="H14" s="11" t="s">
        <v>466</v>
      </c>
      <c r="I14" s="11"/>
      <c r="J14" s="33">
        <v>2465.0</v>
      </c>
      <c r="K14" s="33"/>
      <c r="L14" s="33">
        <f t="shared" si="1"/>
        <v>2465</v>
      </c>
      <c r="M14" s="34">
        <v>0.25</v>
      </c>
      <c r="N14" s="35">
        <f t="shared" si="2"/>
        <v>616.25</v>
      </c>
      <c r="O14" s="35">
        <f t="shared" si="3"/>
        <v>3081.25</v>
      </c>
      <c r="P14" s="13"/>
      <c r="Q14" s="13"/>
      <c r="R14" s="13"/>
      <c r="S14" s="13"/>
      <c r="T14" s="13"/>
      <c r="U14" s="13"/>
      <c r="V14" s="13"/>
      <c r="W14" s="13"/>
      <c r="X14" s="13"/>
      <c r="Y14" s="13"/>
      <c r="Z14" s="13"/>
      <c r="AA14" s="13"/>
      <c r="AB14" s="13"/>
      <c r="AC14" s="13"/>
      <c r="AD14" s="13"/>
      <c r="AE14" s="13"/>
    </row>
    <row r="15">
      <c r="A15" s="10" t="s">
        <v>29</v>
      </c>
      <c r="B15" s="10" t="s">
        <v>10</v>
      </c>
      <c r="C15" s="10" t="s">
        <v>11</v>
      </c>
      <c r="D15" s="10" t="s">
        <v>40</v>
      </c>
      <c r="E15" s="10" t="s">
        <v>41</v>
      </c>
      <c r="F15" s="10" t="s">
        <v>42</v>
      </c>
      <c r="G15" s="11" t="s">
        <v>77</v>
      </c>
      <c r="H15" s="11" t="s">
        <v>467</v>
      </c>
      <c r="I15" s="11"/>
      <c r="J15" s="33">
        <v>2500.0</v>
      </c>
      <c r="K15" s="33"/>
      <c r="L15" s="33">
        <f t="shared" si="1"/>
        <v>2500</v>
      </c>
      <c r="M15" s="34">
        <v>0.25</v>
      </c>
      <c r="N15" s="35">
        <f t="shared" si="2"/>
        <v>625</v>
      </c>
      <c r="O15" s="35">
        <f t="shared" si="3"/>
        <v>3125</v>
      </c>
      <c r="P15" s="13"/>
      <c r="Q15" s="13"/>
      <c r="R15" s="13"/>
      <c r="S15" s="13"/>
      <c r="T15" s="13"/>
      <c r="U15" s="13"/>
      <c r="V15" s="13"/>
      <c r="W15" s="13"/>
      <c r="X15" s="13"/>
      <c r="Y15" s="13"/>
      <c r="Z15" s="13"/>
      <c r="AA15" s="13"/>
      <c r="AB15" s="13"/>
      <c r="AC15" s="13"/>
      <c r="AD15" s="13"/>
      <c r="AE15" s="13"/>
    </row>
    <row r="16">
      <c r="A16" s="10" t="s">
        <v>29</v>
      </c>
      <c r="B16" s="10" t="s">
        <v>10</v>
      </c>
      <c r="C16" s="10" t="s">
        <v>11</v>
      </c>
      <c r="D16" s="10" t="s">
        <v>40</v>
      </c>
      <c r="E16" s="10" t="s">
        <v>41</v>
      </c>
      <c r="F16" s="10" t="s">
        <v>42</v>
      </c>
      <c r="G16" s="11" t="s">
        <v>78</v>
      </c>
      <c r="H16" s="11" t="s">
        <v>467</v>
      </c>
      <c r="I16" s="11"/>
      <c r="J16" s="33">
        <v>2600.0</v>
      </c>
      <c r="K16" s="33"/>
      <c r="L16" s="33">
        <f t="shared" si="1"/>
        <v>2600</v>
      </c>
      <c r="M16" s="34">
        <v>0.25</v>
      </c>
      <c r="N16" s="35">
        <f t="shared" si="2"/>
        <v>650</v>
      </c>
      <c r="O16" s="35">
        <f t="shared" si="3"/>
        <v>3250</v>
      </c>
      <c r="P16" s="13"/>
      <c r="Q16" s="13"/>
      <c r="R16" s="13"/>
      <c r="S16" s="13"/>
      <c r="T16" s="13"/>
      <c r="U16" s="13"/>
      <c r="V16" s="13"/>
      <c r="W16" s="13"/>
      <c r="X16" s="13"/>
      <c r="Y16" s="13"/>
      <c r="Z16" s="13"/>
      <c r="AA16" s="13"/>
      <c r="AB16" s="13"/>
      <c r="AC16" s="13"/>
      <c r="AD16" s="13"/>
      <c r="AE16" s="13"/>
    </row>
    <row r="17">
      <c r="A17" s="10" t="s">
        <v>29</v>
      </c>
      <c r="B17" s="10" t="s">
        <v>10</v>
      </c>
      <c r="C17" s="10" t="s">
        <v>11</v>
      </c>
      <c r="D17" s="10" t="s">
        <v>40</v>
      </c>
      <c r="E17" s="10" t="s">
        <v>41</v>
      </c>
      <c r="F17" s="10" t="s">
        <v>42</v>
      </c>
      <c r="G17" s="11" t="s">
        <v>470</v>
      </c>
      <c r="H17" s="11" t="s">
        <v>467</v>
      </c>
      <c r="I17" s="11"/>
      <c r="J17" s="33">
        <v>2600.0</v>
      </c>
      <c r="K17" s="33"/>
      <c r="L17" s="33">
        <f t="shared" si="1"/>
        <v>2600</v>
      </c>
      <c r="M17" s="34">
        <v>0.25</v>
      </c>
      <c r="N17" s="35">
        <f t="shared" si="2"/>
        <v>650</v>
      </c>
      <c r="O17" s="35">
        <f t="shared" si="3"/>
        <v>3250</v>
      </c>
      <c r="P17" s="13"/>
      <c r="Q17" s="13"/>
      <c r="R17" s="13"/>
      <c r="S17" s="13"/>
      <c r="T17" s="13"/>
      <c r="U17" s="13"/>
      <c r="V17" s="13"/>
      <c r="W17" s="13"/>
      <c r="X17" s="13"/>
      <c r="Y17" s="13"/>
      <c r="Z17" s="13"/>
      <c r="AA17" s="13"/>
      <c r="AB17" s="13"/>
      <c r="AC17" s="13"/>
      <c r="AD17" s="13"/>
      <c r="AE17" s="13"/>
    </row>
    <row r="18">
      <c r="A18" s="10" t="s">
        <v>29</v>
      </c>
      <c r="B18" s="10" t="s">
        <v>10</v>
      </c>
      <c r="C18" s="10" t="s">
        <v>11</v>
      </c>
      <c r="D18" s="10" t="s">
        <v>40</v>
      </c>
      <c r="E18" s="10" t="s">
        <v>41</v>
      </c>
      <c r="F18" s="10" t="s">
        <v>42</v>
      </c>
      <c r="G18" s="11" t="s">
        <v>471</v>
      </c>
      <c r="H18" s="11" t="s">
        <v>467</v>
      </c>
      <c r="I18" s="11"/>
      <c r="J18" s="33">
        <v>2700.0</v>
      </c>
      <c r="K18" s="33"/>
      <c r="L18" s="33">
        <f t="shared" si="1"/>
        <v>2700</v>
      </c>
      <c r="M18" s="34">
        <v>0.25</v>
      </c>
      <c r="N18" s="35">
        <f t="shared" si="2"/>
        <v>675</v>
      </c>
      <c r="O18" s="35">
        <f t="shared" si="3"/>
        <v>3375</v>
      </c>
      <c r="P18" s="13"/>
      <c r="Q18" s="13"/>
      <c r="R18" s="13"/>
      <c r="S18" s="13"/>
      <c r="T18" s="13"/>
      <c r="U18" s="13"/>
      <c r="V18" s="13"/>
      <c r="W18" s="13"/>
      <c r="X18" s="13"/>
      <c r="Y18" s="13"/>
      <c r="Z18" s="13"/>
      <c r="AA18" s="13"/>
      <c r="AB18" s="13"/>
      <c r="AC18" s="13"/>
      <c r="AD18" s="13"/>
      <c r="AE18" s="13"/>
    </row>
    <row r="19">
      <c r="A19" s="10" t="s">
        <v>29</v>
      </c>
      <c r="B19" s="10" t="s">
        <v>10</v>
      </c>
      <c r="C19" s="10" t="s">
        <v>11</v>
      </c>
      <c r="D19" s="10" t="s">
        <v>81</v>
      </c>
      <c r="E19" s="10" t="s">
        <v>41</v>
      </c>
      <c r="F19" s="10" t="s">
        <v>42</v>
      </c>
      <c r="G19" s="11" t="s">
        <v>472</v>
      </c>
      <c r="H19" s="11" t="s">
        <v>461</v>
      </c>
      <c r="I19" s="10" t="s">
        <v>473</v>
      </c>
      <c r="J19" s="33">
        <v>2065.0</v>
      </c>
      <c r="K19" s="33"/>
      <c r="L19" s="33">
        <f t="shared" si="1"/>
        <v>2065</v>
      </c>
      <c r="M19" s="34">
        <v>0.25</v>
      </c>
      <c r="N19" s="35">
        <f t="shared" si="2"/>
        <v>516.25</v>
      </c>
      <c r="O19" s="35">
        <f t="shared" si="3"/>
        <v>2581.25</v>
      </c>
      <c r="P19" s="13"/>
      <c r="Q19" s="13"/>
      <c r="R19" s="13"/>
      <c r="S19" s="13"/>
      <c r="T19" s="13"/>
      <c r="U19" s="13"/>
      <c r="V19" s="13"/>
      <c r="W19" s="13"/>
      <c r="X19" s="13"/>
      <c r="Y19" s="13"/>
      <c r="Z19" s="13"/>
      <c r="AA19" s="13"/>
      <c r="AB19" s="13"/>
      <c r="AC19" s="13"/>
      <c r="AD19" s="13"/>
      <c r="AE19" s="13"/>
    </row>
    <row r="20">
      <c r="A20" s="10" t="s">
        <v>29</v>
      </c>
      <c r="B20" s="10" t="s">
        <v>10</v>
      </c>
      <c r="C20" s="10" t="s">
        <v>11</v>
      </c>
      <c r="D20" s="10" t="s">
        <v>82</v>
      </c>
      <c r="E20" s="10" t="s">
        <v>41</v>
      </c>
      <c r="F20" s="10" t="s">
        <v>83</v>
      </c>
      <c r="G20" s="11" t="s">
        <v>474</v>
      </c>
      <c r="H20" s="11" t="s">
        <v>475</v>
      </c>
      <c r="I20" s="11"/>
      <c r="J20" s="33">
        <v>2065.0</v>
      </c>
      <c r="K20" s="33"/>
      <c r="L20" s="33">
        <f t="shared" si="1"/>
        <v>2065</v>
      </c>
      <c r="M20" s="34">
        <v>0.25</v>
      </c>
      <c r="N20" s="35">
        <f t="shared" si="2"/>
        <v>516.25</v>
      </c>
      <c r="O20" s="35">
        <f t="shared" si="3"/>
        <v>2581.25</v>
      </c>
      <c r="P20" s="13"/>
      <c r="Q20" s="13"/>
      <c r="R20" s="13"/>
      <c r="S20" s="13"/>
      <c r="T20" s="13"/>
      <c r="U20" s="13"/>
      <c r="V20" s="13"/>
      <c r="W20" s="13"/>
      <c r="X20" s="13"/>
      <c r="Y20" s="13"/>
      <c r="Z20" s="13"/>
      <c r="AA20" s="13"/>
      <c r="AB20" s="13"/>
      <c r="AC20" s="13"/>
      <c r="AD20" s="13"/>
      <c r="AE20" s="13"/>
    </row>
    <row r="21">
      <c r="A21" s="10" t="s">
        <v>29</v>
      </c>
      <c r="B21" s="10" t="s">
        <v>10</v>
      </c>
      <c r="C21" s="10" t="s">
        <v>11</v>
      </c>
      <c r="D21" s="10" t="s">
        <v>170</v>
      </c>
      <c r="E21" s="10" t="s">
        <v>87</v>
      </c>
      <c r="F21" s="10" t="s">
        <v>83</v>
      </c>
      <c r="G21" s="11" t="s">
        <v>88</v>
      </c>
      <c r="H21" s="11" t="s">
        <v>476</v>
      </c>
      <c r="I21" s="11"/>
      <c r="J21" s="33">
        <v>1465.0</v>
      </c>
      <c r="K21" s="33"/>
      <c r="L21" s="33">
        <f t="shared" si="1"/>
        <v>1465</v>
      </c>
      <c r="M21" s="34">
        <v>0.25</v>
      </c>
      <c r="N21" s="35">
        <f t="shared" si="2"/>
        <v>366.25</v>
      </c>
      <c r="O21" s="35">
        <f t="shared" si="3"/>
        <v>1831.25</v>
      </c>
      <c r="P21" s="13"/>
      <c r="Q21" s="13"/>
      <c r="R21" s="13"/>
      <c r="S21" s="13"/>
      <c r="T21" s="13"/>
      <c r="U21" s="13"/>
      <c r="V21" s="13"/>
      <c r="W21" s="13"/>
      <c r="X21" s="13"/>
      <c r="Y21" s="13"/>
      <c r="Z21" s="13"/>
      <c r="AA21" s="13"/>
      <c r="AB21" s="13"/>
      <c r="AC21" s="13"/>
      <c r="AD21" s="13"/>
      <c r="AE21" s="13"/>
    </row>
    <row r="22">
      <c r="A22" s="10" t="s">
        <v>29</v>
      </c>
      <c r="B22" s="10" t="s">
        <v>10</v>
      </c>
      <c r="C22" s="10" t="s">
        <v>11</v>
      </c>
      <c r="D22" s="10" t="s">
        <v>91</v>
      </c>
      <c r="E22" s="10" t="s">
        <v>87</v>
      </c>
      <c r="F22" s="10" t="s">
        <v>83</v>
      </c>
      <c r="G22" s="10" t="s">
        <v>88</v>
      </c>
      <c r="H22" s="11" t="s">
        <v>476</v>
      </c>
      <c r="I22" s="10" t="s">
        <v>477</v>
      </c>
      <c r="J22" s="33">
        <v>1715.0</v>
      </c>
      <c r="K22" s="33"/>
      <c r="L22" s="33">
        <f t="shared" si="1"/>
        <v>1715</v>
      </c>
      <c r="M22" s="34">
        <v>0.25</v>
      </c>
      <c r="N22" s="35">
        <f t="shared" si="2"/>
        <v>428.75</v>
      </c>
      <c r="O22" s="35">
        <f t="shared" si="3"/>
        <v>2143.75</v>
      </c>
      <c r="P22" s="13"/>
      <c r="Q22" s="13"/>
      <c r="R22" s="13"/>
      <c r="S22" s="13"/>
      <c r="T22" s="13"/>
      <c r="U22" s="13"/>
      <c r="V22" s="13"/>
      <c r="W22" s="13"/>
      <c r="X22" s="13"/>
      <c r="Y22" s="13"/>
      <c r="Z22" s="13"/>
      <c r="AA22" s="13"/>
      <c r="AB22" s="13"/>
      <c r="AC22" s="13"/>
      <c r="AD22" s="13"/>
      <c r="AE22" s="13"/>
    </row>
    <row r="23">
      <c r="A23" s="10" t="s">
        <v>29</v>
      </c>
      <c r="B23" s="10" t="s">
        <v>10</v>
      </c>
      <c r="C23" s="10" t="s">
        <v>11</v>
      </c>
      <c r="D23" s="10" t="s">
        <v>93</v>
      </c>
      <c r="E23" s="10" t="s">
        <v>94</v>
      </c>
      <c r="F23" s="10" t="s">
        <v>42</v>
      </c>
      <c r="G23" s="10" t="s">
        <v>478</v>
      </c>
      <c r="H23" s="10" t="s">
        <v>479</v>
      </c>
      <c r="I23" s="10"/>
      <c r="J23" s="33">
        <v>958.0</v>
      </c>
      <c r="K23" s="33"/>
      <c r="L23" s="33">
        <f t="shared" si="1"/>
        <v>958</v>
      </c>
      <c r="M23" s="34">
        <v>0.25</v>
      </c>
      <c r="N23" s="35">
        <f t="shared" si="2"/>
        <v>239.5</v>
      </c>
      <c r="O23" s="35">
        <f t="shared" si="3"/>
        <v>1197.5</v>
      </c>
      <c r="P23" s="13"/>
      <c r="Q23" s="13"/>
      <c r="R23" s="13"/>
      <c r="S23" s="13"/>
      <c r="T23" s="13"/>
      <c r="U23" s="13"/>
      <c r="V23" s="13"/>
      <c r="W23" s="13"/>
      <c r="X23" s="13"/>
      <c r="Y23" s="13"/>
      <c r="Z23" s="13"/>
      <c r="AA23" s="13"/>
      <c r="AB23" s="13"/>
      <c r="AC23" s="13"/>
      <c r="AD23" s="13"/>
      <c r="AE23" s="13"/>
    </row>
    <row r="24">
      <c r="A24" s="10" t="s">
        <v>29</v>
      </c>
      <c r="B24" s="10" t="s">
        <v>10</v>
      </c>
      <c r="C24" s="10" t="s">
        <v>11</v>
      </c>
      <c r="D24" s="10" t="s">
        <v>97</v>
      </c>
      <c r="E24" s="10" t="s">
        <v>98</v>
      </c>
      <c r="F24" s="10" t="s">
        <v>99</v>
      </c>
      <c r="G24" s="10" t="s">
        <v>100</v>
      </c>
      <c r="H24" s="10" t="s">
        <v>480</v>
      </c>
      <c r="I24" s="10" t="s">
        <v>481</v>
      </c>
      <c r="J24" s="33">
        <v>875.0</v>
      </c>
      <c r="K24" s="33"/>
      <c r="L24" s="33">
        <f t="shared" si="1"/>
        <v>875</v>
      </c>
      <c r="M24" s="34">
        <v>0.25</v>
      </c>
      <c r="N24" s="35">
        <f t="shared" si="2"/>
        <v>218.75</v>
      </c>
      <c r="O24" s="35">
        <f t="shared" si="3"/>
        <v>1093.75</v>
      </c>
      <c r="P24" s="13"/>
      <c r="Q24" s="13"/>
      <c r="R24" s="13"/>
      <c r="S24" s="13"/>
      <c r="T24" s="13"/>
      <c r="U24" s="13"/>
      <c r="V24" s="13"/>
      <c r="W24" s="13"/>
      <c r="X24" s="13"/>
      <c r="Y24" s="13"/>
      <c r="Z24" s="13"/>
      <c r="AA24" s="13"/>
      <c r="AB24" s="13"/>
      <c r="AC24" s="13"/>
      <c r="AD24" s="13"/>
      <c r="AE24" s="13"/>
    </row>
    <row r="25">
      <c r="A25" s="10" t="s">
        <v>29</v>
      </c>
      <c r="B25" s="10" t="s">
        <v>10</v>
      </c>
      <c r="C25" s="10" t="s">
        <v>11</v>
      </c>
      <c r="D25" s="10" t="s">
        <v>97</v>
      </c>
      <c r="E25" s="10" t="s">
        <v>102</v>
      </c>
      <c r="F25" s="10" t="s">
        <v>99</v>
      </c>
      <c r="G25" s="10" t="s">
        <v>100</v>
      </c>
      <c r="H25" s="10" t="s">
        <v>480</v>
      </c>
      <c r="I25" s="10" t="s">
        <v>482</v>
      </c>
      <c r="J25" s="33">
        <v>875.0</v>
      </c>
      <c r="K25" s="33"/>
      <c r="L25" s="33">
        <f t="shared" si="1"/>
        <v>875</v>
      </c>
      <c r="M25" s="34">
        <v>0.25</v>
      </c>
      <c r="N25" s="35">
        <f t="shared" si="2"/>
        <v>218.75</v>
      </c>
      <c r="O25" s="35">
        <f t="shared" si="3"/>
        <v>1093.75</v>
      </c>
      <c r="P25" s="13"/>
      <c r="Q25" s="13"/>
      <c r="R25" s="13"/>
      <c r="S25" s="13"/>
      <c r="T25" s="13"/>
      <c r="U25" s="13"/>
      <c r="V25" s="13"/>
      <c r="W25" s="13"/>
      <c r="X25" s="13"/>
      <c r="Y25" s="13"/>
      <c r="Z25" s="13"/>
      <c r="AA25" s="13"/>
      <c r="AB25" s="13"/>
      <c r="AC25" s="13"/>
      <c r="AD25" s="13"/>
      <c r="AE25" s="13"/>
    </row>
    <row r="26">
      <c r="A26" s="10" t="s">
        <v>29</v>
      </c>
      <c r="B26" s="10" t="s">
        <v>10</v>
      </c>
      <c r="C26" s="10" t="s">
        <v>11</v>
      </c>
      <c r="D26" s="10" t="s">
        <v>97</v>
      </c>
      <c r="E26" s="10" t="s">
        <v>103</v>
      </c>
      <c r="F26" s="10" t="s">
        <v>99</v>
      </c>
      <c r="G26" s="10" t="s">
        <v>100</v>
      </c>
      <c r="H26" s="10" t="s">
        <v>480</v>
      </c>
      <c r="I26" s="10" t="s">
        <v>483</v>
      </c>
      <c r="J26" s="33">
        <v>1025.0</v>
      </c>
      <c r="K26" s="33"/>
      <c r="L26" s="33">
        <f t="shared" si="1"/>
        <v>1025</v>
      </c>
      <c r="M26" s="34">
        <v>0.25</v>
      </c>
      <c r="N26" s="35">
        <f t="shared" si="2"/>
        <v>256.25</v>
      </c>
      <c r="O26" s="35">
        <f t="shared" si="3"/>
        <v>1281.25</v>
      </c>
      <c r="P26" s="13"/>
      <c r="Q26" s="13"/>
      <c r="R26" s="13"/>
      <c r="S26" s="13"/>
      <c r="T26" s="13"/>
      <c r="U26" s="13"/>
      <c r="V26" s="13"/>
      <c r="W26" s="13"/>
      <c r="X26" s="13"/>
      <c r="Y26" s="13"/>
      <c r="Z26" s="13"/>
      <c r="AA26" s="13"/>
      <c r="AB26" s="13"/>
      <c r="AC26" s="13"/>
      <c r="AD26" s="13"/>
      <c r="AE26" s="13"/>
    </row>
    <row r="27">
      <c r="A27" s="10" t="s">
        <v>29</v>
      </c>
      <c r="B27" s="10" t="s">
        <v>10</v>
      </c>
      <c r="C27" s="10" t="s">
        <v>11</v>
      </c>
      <c r="D27" s="10" t="s">
        <v>104</v>
      </c>
      <c r="E27" s="10" t="s">
        <v>105</v>
      </c>
      <c r="F27" s="10" t="s">
        <v>99</v>
      </c>
      <c r="G27" s="10" t="s">
        <v>100</v>
      </c>
      <c r="H27" s="10" t="s">
        <v>484</v>
      </c>
      <c r="I27" s="10" t="s">
        <v>485</v>
      </c>
      <c r="J27" s="33">
        <v>1675.0</v>
      </c>
      <c r="K27" s="33"/>
      <c r="L27" s="33">
        <f t="shared" si="1"/>
        <v>1675</v>
      </c>
      <c r="M27" s="34">
        <v>0.25</v>
      </c>
      <c r="N27" s="35">
        <f t="shared" si="2"/>
        <v>418.75</v>
      </c>
      <c r="O27" s="35">
        <f t="shared" si="3"/>
        <v>2093.75</v>
      </c>
      <c r="P27" s="13"/>
      <c r="Q27" s="13"/>
      <c r="R27" s="13"/>
      <c r="S27" s="13"/>
      <c r="T27" s="13"/>
      <c r="U27" s="13"/>
      <c r="V27" s="13"/>
      <c r="W27" s="13"/>
      <c r="X27" s="13"/>
      <c r="Y27" s="13"/>
      <c r="Z27" s="13"/>
      <c r="AA27" s="13"/>
      <c r="AB27" s="13"/>
      <c r="AC27" s="13"/>
      <c r="AD27" s="13"/>
      <c r="AE27" s="13"/>
    </row>
    <row r="28">
      <c r="A28" s="10" t="s">
        <v>29</v>
      </c>
      <c r="B28" s="10" t="s">
        <v>10</v>
      </c>
      <c r="C28" s="10" t="s">
        <v>11</v>
      </c>
      <c r="D28" s="10" t="s">
        <v>107</v>
      </c>
      <c r="E28" s="10" t="s">
        <v>108</v>
      </c>
      <c r="F28" s="10" t="s">
        <v>99</v>
      </c>
      <c r="G28" s="10" t="s">
        <v>100</v>
      </c>
      <c r="H28" s="10" t="s">
        <v>486</v>
      </c>
      <c r="I28" s="10" t="s">
        <v>487</v>
      </c>
      <c r="J28" s="33">
        <v>1008.0</v>
      </c>
      <c r="K28" s="33"/>
      <c r="L28" s="33">
        <f t="shared" si="1"/>
        <v>1008</v>
      </c>
      <c r="M28" s="34">
        <v>0.25</v>
      </c>
      <c r="N28" s="35">
        <f t="shared" si="2"/>
        <v>252</v>
      </c>
      <c r="O28" s="35">
        <f t="shared" si="3"/>
        <v>1260</v>
      </c>
      <c r="P28" s="13"/>
      <c r="Q28" s="13"/>
      <c r="R28" s="13"/>
      <c r="S28" s="13"/>
      <c r="T28" s="13"/>
      <c r="U28" s="13"/>
      <c r="V28" s="13"/>
      <c r="W28" s="13"/>
      <c r="X28" s="13"/>
      <c r="Y28" s="13"/>
      <c r="Z28" s="13"/>
      <c r="AA28" s="13"/>
      <c r="AB28" s="13"/>
      <c r="AC28" s="13"/>
      <c r="AD28" s="13"/>
      <c r="AE28" s="13"/>
    </row>
    <row r="29">
      <c r="A29" s="10" t="s">
        <v>29</v>
      </c>
      <c r="B29" s="10" t="s">
        <v>10</v>
      </c>
      <c r="C29" s="10" t="s">
        <v>11</v>
      </c>
      <c r="D29" s="10" t="s">
        <v>107</v>
      </c>
      <c r="E29" s="10" t="s">
        <v>204</v>
      </c>
      <c r="F29" s="10" t="s">
        <v>99</v>
      </c>
      <c r="G29" s="10" t="s">
        <v>100</v>
      </c>
      <c r="H29" s="10" t="s">
        <v>486</v>
      </c>
      <c r="I29" s="10" t="s">
        <v>488</v>
      </c>
      <c r="J29" s="33">
        <v>1050.0</v>
      </c>
      <c r="K29" s="33"/>
      <c r="L29" s="33">
        <f t="shared" si="1"/>
        <v>1050</v>
      </c>
      <c r="M29" s="34">
        <v>0.25</v>
      </c>
      <c r="N29" s="35">
        <f t="shared" si="2"/>
        <v>262.5</v>
      </c>
      <c r="O29" s="35">
        <f t="shared" si="3"/>
        <v>1312.5</v>
      </c>
      <c r="P29" s="13"/>
      <c r="Q29" s="13"/>
      <c r="R29" s="13"/>
      <c r="S29" s="13"/>
      <c r="T29" s="13"/>
      <c r="U29" s="13"/>
      <c r="V29" s="13"/>
      <c r="W29" s="13"/>
      <c r="X29" s="13"/>
      <c r="Y29" s="13"/>
      <c r="Z29" s="13"/>
      <c r="AA29" s="13"/>
      <c r="AB29" s="13"/>
      <c r="AC29" s="13"/>
      <c r="AD29" s="13"/>
      <c r="AE29" s="13"/>
    </row>
    <row r="30">
      <c r="A30" s="10"/>
      <c r="B30" s="10"/>
      <c r="H30" s="10"/>
      <c r="I30" s="10" t="s">
        <v>489</v>
      </c>
      <c r="J30" s="33"/>
      <c r="K30" s="33"/>
      <c r="L30" s="33"/>
      <c r="M30" s="34"/>
      <c r="N30" s="35"/>
      <c r="O30" s="35"/>
      <c r="P30" s="13"/>
      <c r="Q30" s="13"/>
      <c r="R30" s="13"/>
      <c r="S30" s="13"/>
      <c r="T30" s="13"/>
      <c r="U30" s="13"/>
      <c r="V30" s="13"/>
      <c r="W30" s="13"/>
      <c r="X30" s="13"/>
      <c r="Y30" s="13"/>
      <c r="Z30" s="13"/>
      <c r="AA30" s="13"/>
      <c r="AB30" s="13"/>
      <c r="AC30" s="13"/>
      <c r="AD30" s="13"/>
      <c r="AE30" s="13"/>
    </row>
    <row r="31">
      <c r="A31" s="10"/>
      <c r="B31" s="10"/>
      <c r="H31" s="10"/>
      <c r="I31" s="10" t="s">
        <v>490</v>
      </c>
      <c r="J31" s="33"/>
      <c r="K31" s="33"/>
      <c r="L31" s="33"/>
      <c r="M31" s="34"/>
      <c r="N31" s="35"/>
      <c r="O31" s="35"/>
      <c r="P31" s="13"/>
      <c r="Q31" s="13"/>
      <c r="R31" s="13"/>
      <c r="S31" s="13"/>
      <c r="T31" s="13"/>
      <c r="U31" s="13"/>
      <c r="V31" s="13"/>
      <c r="W31" s="13"/>
      <c r="X31" s="13"/>
      <c r="Y31" s="13"/>
      <c r="Z31" s="13"/>
      <c r="AA31" s="13"/>
      <c r="AB31" s="13"/>
      <c r="AC31" s="13"/>
      <c r="AD31" s="13"/>
      <c r="AE31" s="13"/>
    </row>
    <row r="32">
      <c r="A32" s="10"/>
      <c r="B32" s="10"/>
      <c r="H32" s="10"/>
      <c r="I32" s="10" t="s">
        <v>491</v>
      </c>
      <c r="J32" s="33"/>
      <c r="K32" s="33"/>
      <c r="L32" s="33"/>
      <c r="M32" s="34"/>
      <c r="N32" s="35"/>
      <c r="O32" s="35"/>
      <c r="P32" s="13"/>
      <c r="Q32" s="13"/>
      <c r="R32" s="13"/>
      <c r="S32" s="13"/>
      <c r="T32" s="13"/>
      <c r="U32" s="13"/>
      <c r="V32" s="13"/>
      <c r="W32" s="13"/>
      <c r="X32" s="13"/>
      <c r="Y32" s="13"/>
      <c r="Z32" s="13"/>
      <c r="AA32" s="13"/>
      <c r="AB32" s="13"/>
      <c r="AC32" s="13"/>
      <c r="AD32" s="13"/>
      <c r="AE32" s="13"/>
    </row>
    <row r="33">
      <c r="A33" s="10"/>
      <c r="B33" s="10"/>
      <c r="H33" s="10"/>
      <c r="I33" s="10" t="s">
        <v>492</v>
      </c>
      <c r="J33" s="33"/>
      <c r="K33" s="33"/>
      <c r="L33" s="33"/>
      <c r="M33" s="34"/>
      <c r="N33" s="35"/>
      <c r="O33" s="35"/>
      <c r="P33" s="13"/>
      <c r="Q33" s="13"/>
      <c r="R33" s="13"/>
      <c r="S33" s="13"/>
      <c r="T33" s="13"/>
      <c r="U33" s="13"/>
      <c r="V33" s="13"/>
      <c r="W33" s="13"/>
      <c r="X33" s="13"/>
      <c r="Y33" s="13"/>
      <c r="Z33" s="13"/>
      <c r="AA33" s="13"/>
      <c r="AB33" s="13"/>
      <c r="AC33" s="13"/>
      <c r="AD33" s="13"/>
      <c r="AE33" s="13"/>
    </row>
    <row r="34">
      <c r="A34" s="10"/>
      <c r="B34" s="13"/>
      <c r="C34" s="13"/>
      <c r="D34" s="13"/>
      <c r="E34" s="13"/>
      <c r="F34" s="13"/>
      <c r="G34" s="13"/>
      <c r="H34" s="13"/>
      <c r="I34" s="13"/>
      <c r="J34" s="13"/>
      <c r="K34" s="10"/>
      <c r="L34" s="10">
        <f t="shared" ref="L34:L37" si="4">J34+K34</f>
        <v>0</v>
      </c>
      <c r="M34" s="34">
        <v>0.25</v>
      </c>
      <c r="N34" s="35">
        <f t="shared" ref="N34:N37" si="5">L34*M34</f>
        <v>0</v>
      </c>
      <c r="O34" s="35">
        <f t="shared" ref="O34:O37" si="6">L34+N34</f>
        <v>0</v>
      </c>
      <c r="P34" s="13"/>
      <c r="Q34" s="13"/>
      <c r="R34" s="13"/>
      <c r="S34" s="13"/>
      <c r="T34" s="13"/>
      <c r="U34" s="13"/>
      <c r="V34" s="13"/>
      <c r="W34" s="13"/>
      <c r="X34" s="13"/>
      <c r="Y34" s="13"/>
      <c r="Z34" s="13"/>
      <c r="AA34" s="13"/>
      <c r="AB34" s="13"/>
      <c r="AC34" s="13"/>
      <c r="AD34" s="13"/>
      <c r="AE34" s="13"/>
    </row>
    <row r="35">
      <c r="A35" s="7" t="s">
        <v>185</v>
      </c>
      <c r="K35" s="10"/>
      <c r="L35" s="10">
        <f t="shared" si="4"/>
        <v>0</v>
      </c>
      <c r="M35" s="34">
        <v>0.25</v>
      </c>
      <c r="N35" s="35">
        <f t="shared" si="5"/>
        <v>0</v>
      </c>
      <c r="O35" s="35">
        <f t="shared" si="6"/>
        <v>0</v>
      </c>
      <c r="P35" s="13"/>
      <c r="Q35" s="13"/>
      <c r="R35" s="13"/>
      <c r="S35" s="13"/>
      <c r="T35" s="13"/>
      <c r="U35" s="13"/>
      <c r="V35" s="13"/>
      <c r="W35" s="13"/>
      <c r="X35" s="13"/>
      <c r="Y35" s="13"/>
      <c r="Z35" s="13"/>
      <c r="AA35" s="13"/>
      <c r="AB35" s="13"/>
      <c r="AC35" s="13"/>
      <c r="AD35" s="13"/>
      <c r="AE35" s="13"/>
    </row>
    <row r="36">
      <c r="A36" s="10" t="s">
        <v>29</v>
      </c>
      <c r="B36" s="4" t="s">
        <v>1</v>
      </c>
      <c r="C36" s="4" t="s">
        <v>2</v>
      </c>
      <c r="D36" s="4" t="s">
        <v>3</v>
      </c>
      <c r="E36" s="4" t="s">
        <v>32</v>
      </c>
      <c r="F36" s="4" t="s">
        <v>4</v>
      </c>
      <c r="G36" s="4" t="s">
        <v>6</v>
      </c>
      <c r="H36" s="4" t="s">
        <v>5</v>
      </c>
      <c r="I36" s="4"/>
      <c r="J36" s="4" t="s">
        <v>34</v>
      </c>
      <c r="K36" s="10"/>
      <c r="L36" s="10" t="str">
        <f t="shared" si="4"/>
        <v>#VALUE!</v>
      </c>
      <c r="M36" s="34">
        <v>0.25</v>
      </c>
      <c r="N36" s="35" t="str">
        <f t="shared" si="5"/>
        <v>#VALUE!</v>
      </c>
      <c r="O36" s="35" t="str">
        <f t="shared" si="6"/>
        <v>#VALUE!</v>
      </c>
      <c r="AB36" s="13"/>
      <c r="AC36" s="13"/>
      <c r="AD36" s="13"/>
      <c r="AE36" s="13"/>
    </row>
    <row r="37">
      <c r="A37" s="10" t="s">
        <v>29</v>
      </c>
      <c r="B37" s="10" t="s">
        <v>10</v>
      </c>
      <c r="C37" s="10" t="s">
        <v>11</v>
      </c>
      <c r="D37" s="10" t="s">
        <v>40</v>
      </c>
      <c r="E37" s="10" t="s">
        <v>41</v>
      </c>
      <c r="F37" s="10" t="s">
        <v>42</v>
      </c>
      <c r="G37" s="10" t="s">
        <v>493</v>
      </c>
      <c r="H37" s="11" t="s">
        <v>461</v>
      </c>
      <c r="I37" s="10" t="s">
        <v>494</v>
      </c>
      <c r="J37" s="33">
        <f>J3+50</f>
        <v>1765</v>
      </c>
      <c r="K37" s="33"/>
      <c r="L37" s="33">
        <f t="shared" si="4"/>
        <v>1765</v>
      </c>
      <c r="M37" s="34">
        <v>0.25</v>
      </c>
      <c r="N37" s="35">
        <f t="shared" si="5"/>
        <v>441.25</v>
      </c>
      <c r="O37" s="35">
        <f t="shared" si="6"/>
        <v>2206.25</v>
      </c>
      <c r="AB37" s="13"/>
      <c r="AC37" s="13"/>
      <c r="AD37" s="13"/>
      <c r="AE37" s="13"/>
    </row>
    <row r="38">
      <c r="A38" s="10"/>
      <c r="B38" s="10"/>
      <c r="H38" s="11"/>
      <c r="I38" s="10" t="s">
        <v>495</v>
      </c>
      <c r="J38" s="10"/>
      <c r="K38" s="10"/>
      <c r="L38" s="10"/>
      <c r="M38" s="34"/>
      <c r="N38" s="35"/>
      <c r="O38" s="35"/>
      <c r="AB38" s="13"/>
      <c r="AC38" s="13"/>
      <c r="AD38" s="13"/>
      <c r="AE38" s="13"/>
    </row>
    <row r="39">
      <c r="A39" s="10"/>
      <c r="B39" s="10"/>
      <c r="H39" s="11"/>
      <c r="I39" s="10" t="s">
        <v>496</v>
      </c>
      <c r="J39" s="10"/>
      <c r="K39" s="10"/>
      <c r="L39" s="10"/>
      <c r="M39" s="34"/>
      <c r="N39" s="35"/>
      <c r="O39" s="35"/>
      <c r="AB39" s="13"/>
      <c r="AC39" s="13"/>
      <c r="AD39" s="13"/>
      <c r="AE39" s="13"/>
    </row>
    <row r="40">
      <c r="A40" s="10"/>
      <c r="B40" s="10"/>
      <c r="H40" s="11"/>
      <c r="I40" s="10" t="s">
        <v>497</v>
      </c>
      <c r="J40" s="10"/>
      <c r="K40" s="10"/>
      <c r="L40" s="10"/>
      <c r="M40" s="34"/>
      <c r="N40" s="35"/>
      <c r="O40" s="35"/>
      <c r="AB40" s="13"/>
      <c r="AC40" s="13"/>
      <c r="AD40" s="13"/>
      <c r="AE40" s="13"/>
    </row>
    <row r="41">
      <c r="A41" s="10" t="s">
        <v>29</v>
      </c>
      <c r="B41" s="10" t="s">
        <v>10</v>
      </c>
      <c r="C41" s="10" t="s">
        <v>11</v>
      </c>
      <c r="D41" s="10" t="s">
        <v>40</v>
      </c>
      <c r="E41" s="10" t="s">
        <v>41</v>
      </c>
      <c r="F41" s="10" t="s">
        <v>42</v>
      </c>
      <c r="G41" s="11" t="s">
        <v>187</v>
      </c>
      <c r="H41" s="11" t="s">
        <v>466</v>
      </c>
      <c r="I41" s="10" t="s">
        <v>498</v>
      </c>
      <c r="J41" s="33">
        <f>J7+50</f>
        <v>2145</v>
      </c>
      <c r="K41" s="33"/>
      <c r="L41" s="33">
        <f>J41+K41</f>
        <v>2145</v>
      </c>
      <c r="M41" s="34">
        <v>0.25</v>
      </c>
      <c r="N41" s="35">
        <f>L41*M41</f>
        <v>536.25</v>
      </c>
      <c r="O41" s="35">
        <f>L41+N41</f>
        <v>2681.25</v>
      </c>
      <c r="AB41" s="13"/>
      <c r="AC41" s="13"/>
      <c r="AD41" s="13"/>
      <c r="AE41" s="13"/>
    </row>
    <row r="42">
      <c r="A42" s="10"/>
      <c r="B42" s="10"/>
      <c r="H42" s="11"/>
      <c r="I42" s="10" t="s">
        <v>499</v>
      </c>
      <c r="J42" s="10"/>
      <c r="K42" s="10"/>
      <c r="L42" s="10"/>
      <c r="M42" s="34"/>
      <c r="N42" s="35"/>
      <c r="O42" s="35"/>
      <c r="AB42" s="13"/>
      <c r="AC42" s="13"/>
      <c r="AD42" s="13"/>
      <c r="AE42" s="13"/>
    </row>
    <row r="43">
      <c r="A43" s="10"/>
      <c r="B43" s="10"/>
      <c r="H43" s="11"/>
      <c r="I43" s="10" t="s">
        <v>500</v>
      </c>
      <c r="J43" s="10"/>
      <c r="K43" s="10"/>
      <c r="L43" s="10"/>
      <c r="M43" s="34"/>
      <c r="N43" s="35"/>
      <c r="O43" s="35"/>
      <c r="AB43" s="13"/>
      <c r="AC43" s="13"/>
      <c r="AD43" s="13"/>
      <c r="AE43" s="13"/>
    </row>
    <row r="44">
      <c r="A44" s="10"/>
      <c r="B44" s="10"/>
      <c r="H44" s="11"/>
      <c r="I44" s="10" t="s">
        <v>501</v>
      </c>
      <c r="J44" s="10"/>
      <c r="K44" s="10"/>
      <c r="L44" s="10"/>
      <c r="M44" s="34"/>
      <c r="N44" s="35"/>
      <c r="O44" s="35"/>
      <c r="AB44" s="13"/>
      <c r="AC44" s="13"/>
      <c r="AD44" s="13"/>
      <c r="AE44" s="13"/>
    </row>
    <row r="45">
      <c r="A45" s="10" t="s">
        <v>29</v>
      </c>
      <c r="B45" s="10" t="s">
        <v>10</v>
      </c>
      <c r="C45" s="10" t="s">
        <v>11</v>
      </c>
      <c r="D45" s="10" t="s">
        <v>40</v>
      </c>
      <c r="E45" s="10" t="s">
        <v>41</v>
      </c>
      <c r="F45" s="10" t="s">
        <v>42</v>
      </c>
      <c r="G45" s="11" t="s">
        <v>188</v>
      </c>
      <c r="H45" s="11" t="s">
        <v>466</v>
      </c>
      <c r="I45" s="10" t="s">
        <v>502</v>
      </c>
      <c r="J45" s="33">
        <f>J8+50</f>
        <v>2265</v>
      </c>
      <c r="K45" s="33"/>
      <c r="L45" s="33">
        <f>J45+K45</f>
        <v>2265</v>
      </c>
      <c r="M45" s="34">
        <v>0.25</v>
      </c>
      <c r="N45" s="35">
        <f>L45*M45</f>
        <v>566.25</v>
      </c>
      <c r="O45" s="35">
        <f>L45+N45</f>
        <v>2831.25</v>
      </c>
      <c r="AB45" s="13"/>
      <c r="AC45" s="13"/>
      <c r="AD45" s="13"/>
      <c r="AE45" s="13"/>
    </row>
    <row r="46">
      <c r="A46" s="10"/>
      <c r="B46" s="10"/>
      <c r="H46" s="11"/>
      <c r="I46" s="10" t="s">
        <v>503</v>
      </c>
      <c r="J46" s="10"/>
      <c r="K46" s="10"/>
      <c r="L46" s="10"/>
      <c r="M46" s="34"/>
      <c r="N46" s="35"/>
      <c r="O46" s="35"/>
      <c r="AB46" s="13"/>
      <c r="AC46" s="13"/>
      <c r="AD46" s="13"/>
      <c r="AE46" s="13"/>
    </row>
    <row r="47">
      <c r="A47" s="10"/>
      <c r="B47" s="10"/>
      <c r="H47" s="11"/>
      <c r="I47" s="10" t="s">
        <v>504</v>
      </c>
      <c r="J47" s="10"/>
      <c r="K47" s="10"/>
      <c r="L47" s="10"/>
      <c r="M47" s="34"/>
      <c r="N47" s="35"/>
      <c r="O47" s="35"/>
      <c r="AB47" s="13"/>
      <c r="AC47" s="13"/>
      <c r="AD47" s="13"/>
      <c r="AE47" s="13"/>
    </row>
    <row r="48">
      <c r="A48" s="10"/>
      <c r="B48" s="10"/>
      <c r="H48" s="11"/>
      <c r="I48" s="10" t="s">
        <v>505</v>
      </c>
      <c r="J48" s="10"/>
      <c r="K48" s="10"/>
      <c r="L48" s="10"/>
      <c r="M48" s="34"/>
      <c r="N48" s="35"/>
      <c r="O48" s="35"/>
      <c r="AB48" s="13"/>
      <c r="AC48" s="13"/>
      <c r="AD48" s="13"/>
      <c r="AE48" s="13"/>
    </row>
    <row r="49">
      <c r="A49" s="10" t="s">
        <v>29</v>
      </c>
      <c r="B49" s="10" t="s">
        <v>10</v>
      </c>
      <c r="C49" s="10" t="s">
        <v>11</v>
      </c>
      <c r="D49" s="10" t="s">
        <v>40</v>
      </c>
      <c r="E49" s="10" t="s">
        <v>41</v>
      </c>
      <c r="F49" s="10" t="s">
        <v>42</v>
      </c>
      <c r="G49" s="11" t="s">
        <v>189</v>
      </c>
      <c r="H49" s="11" t="s">
        <v>467</v>
      </c>
      <c r="I49" s="11"/>
      <c r="J49" s="33">
        <f t="shared" ref="J49:J55" si="7">J9+50</f>
        <v>2300</v>
      </c>
      <c r="K49" s="33"/>
      <c r="L49" s="33">
        <f t="shared" ref="L49:L55" si="8">J49+K49</f>
        <v>2300</v>
      </c>
      <c r="M49" s="34">
        <v>0.25</v>
      </c>
      <c r="N49" s="35">
        <f t="shared" ref="N49:N55" si="9">L49*M49</f>
        <v>575</v>
      </c>
      <c r="O49" s="35">
        <f t="shared" ref="O49:O55" si="10">L49+N49</f>
        <v>2875</v>
      </c>
      <c r="AB49" s="13"/>
      <c r="AC49" s="13"/>
      <c r="AD49" s="13"/>
      <c r="AE49" s="13"/>
    </row>
    <row r="50">
      <c r="A50" s="10" t="s">
        <v>29</v>
      </c>
      <c r="B50" s="10" t="s">
        <v>10</v>
      </c>
      <c r="C50" s="10" t="s">
        <v>11</v>
      </c>
      <c r="D50" s="10" t="s">
        <v>40</v>
      </c>
      <c r="E50" s="10" t="s">
        <v>41</v>
      </c>
      <c r="F50" s="10" t="s">
        <v>42</v>
      </c>
      <c r="G50" s="11" t="s">
        <v>190</v>
      </c>
      <c r="H50" s="11" t="s">
        <v>467</v>
      </c>
      <c r="I50" s="11"/>
      <c r="J50" s="33">
        <f t="shared" si="7"/>
        <v>2400</v>
      </c>
      <c r="K50" s="33"/>
      <c r="L50" s="33">
        <f t="shared" si="8"/>
        <v>2400</v>
      </c>
      <c r="M50" s="34">
        <v>0.25</v>
      </c>
      <c r="N50" s="35">
        <f t="shared" si="9"/>
        <v>600</v>
      </c>
      <c r="O50" s="35">
        <f t="shared" si="10"/>
        <v>3000</v>
      </c>
      <c r="AB50" s="13"/>
      <c r="AC50" s="13"/>
      <c r="AD50" s="13"/>
      <c r="AE50" s="13"/>
    </row>
    <row r="51">
      <c r="A51" s="10" t="s">
        <v>29</v>
      </c>
      <c r="B51" s="10" t="s">
        <v>10</v>
      </c>
      <c r="C51" s="10" t="s">
        <v>11</v>
      </c>
      <c r="D51" s="10" t="s">
        <v>40</v>
      </c>
      <c r="E51" s="10" t="s">
        <v>41</v>
      </c>
      <c r="F51" s="10" t="s">
        <v>42</v>
      </c>
      <c r="G51" s="11" t="s">
        <v>506</v>
      </c>
      <c r="H51" s="11" t="s">
        <v>467</v>
      </c>
      <c r="I51" s="11"/>
      <c r="J51" s="33">
        <f t="shared" si="7"/>
        <v>2400</v>
      </c>
      <c r="K51" s="33"/>
      <c r="L51" s="33">
        <f t="shared" si="8"/>
        <v>2400</v>
      </c>
      <c r="M51" s="34">
        <v>0.25</v>
      </c>
      <c r="N51" s="35">
        <f t="shared" si="9"/>
        <v>600</v>
      </c>
      <c r="O51" s="35">
        <f t="shared" si="10"/>
        <v>3000</v>
      </c>
      <c r="AB51" s="13"/>
      <c r="AC51" s="13"/>
      <c r="AD51" s="13"/>
      <c r="AE51" s="13"/>
    </row>
    <row r="52">
      <c r="A52" s="10" t="s">
        <v>29</v>
      </c>
      <c r="B52" s="10" t="s">
        <v>10</v>
      </c>
      <c r="C52" s="10" t="s">
        <v>11</v>
      </c>
      <c r="D52" s="10" t="s">
        <v>40</v>
      </c>
      <c r="E52" s="10" t="s">
        <v>41</v>
      </c>
      <c r="F52" s="10" t="s">
        <v>42</v>
      </c>
      <c r="G52" s="11" t="s">
        <v>507</v>
      </c>
      <c r="H52" s="11" t="s">
        <v>467</v>
      </c>
      <c r="I52" s="11"/>
      <c r="J52" s="33">
        <f t="shared" si="7"/>
        <v>2500</v>
      </c>
      <c r="K52" s="33"/>
      <c r="L52" s="33">
        <f t="shared" si="8"/>
        <v>2500</v>
      </c>
      <c r="M52" s="34">
        <v>0.25</v>
      </c>
      <c r="N52" s="35">
        <f t="shared" si="9"/>
        <v>625</v>
      </c>
      <c r="O52" s="35">
        <f t="shared" si="10"/>
        <v>3125</v>
      </c>
      <c r="AB52" s="13"/>
      <c r="AC52" s="13"/>
      <c r="AD52" s="13"/>
      <c r="AE52" s="13"/>
    </row>
    <row r="53">
      <c r="A53" s="10" t="s">
        <v>29</v>
      </c>
      <c r="B53" s="10" t="s">
        <v>10</v>
      </c>
      <c r="C53" s="10" t="s">
        <v>11</v>
      </c>
      <c r="D53" s="10" t="s">
        <v>40</v>
      </c>
      <c r="E53" s="10" t="s">
        <v>41</v>
      </c>
      <c r="F53" s="10" t="s">
        <v>42</v>
      </c>
      <c r="G53" s="11" t="s">
        <v>193</v>
      </c>
      <c r="H53" s="11" t="s">
        <v>466</v>
      </c>
      <c r="I53" s="11"/>
      <c r="J53" s="33">
        <f t="shared" si="7"/>
        <v>2395</v>
      </c>
      <c r="K53" s="33"/>
      <c r="L53" s="33">
        <f t="shared" si="8"/>
        <v>2395</v>
      </c>
      <c r="M53" s="34">
        <v>0.25</v>
      </c>
      <c r="N53" s="35">
        <f t="shared" si="9"/>
        <v>598.75</v>
      </c>
      <c r="O53" s="35">
        <f t="shared" si="10"/>
        <v>2993.75</v>
      </c>
      <c r="AB53" s="13"/>
      <c r="AC53" s="13"/>
      <c r="AD53" s="13"/>
      <c r="AE53" s="13"/>
    </row>
    <row r="54">
      <c r="A54" s="10" t="s">
        <v>29</v>
      </c>
      <c r="B54" s="10" t="s">
        <v>10</v>
      </c>
      <c r="C54" s="10" t="s">
        <v>11</v>
      </c>
      <c r="D54" s="10" t="s">
        <v>40</v>
      </c>
      <c r="E54" s="10" t="s">
        <v>41</v>
      </c>
      <c r="F54" s="10" t="s">
        <v>42</v>
      </c>
      <c r="G54" s="11" t="s">
        <v>194</v>
      </c>
      <c r="H54" s="11" t="s">
        <v>466</v>
      </c>
      <c r="I54" s="11"/>
      <c r="J54" s="33">
        <f t="shared" si="7"/>
        <v>2515</v>
      </c>
      <c r="K54" s="33"/>
      <c r="L54" s="33">
        <f t="shared" si="8"/>
        <v>2515</v>
      </c>
      <c r="M54" s="34">
        <v>0.25</v>
      </c>
      <c r="N54" s="35">
        <f t="shared" si="9"/>
        <v>628.75</v>
      </c>
      <c r="O54" s="35">
        <f t="shared" si="10"/>
        <v>3143.75</v>
      </c>
      <c r="AB54" s="13"/>
      <c r="AC54" s="13"/>
      <c r="AD54" s="13"/>
      <c r="AE54" s="13"/>
    </row>
    <row r="55">
      <c r="A55" s="10" t="s">
        <v>29</v>
      </c>
      <c r="B55" s="10" t="s">
        <v>10</v>
      </c>
      <c r="C55" s="10" t="s">
        <v>11</v>
      </c>
      <c r="D55" s="10" t="s">
        <v>40</v>
      </c>
      <c r="E55" s="10" t="s">
        <v>41</v>
      </c>
      <c r="F55" s="10" t="s">
        <v>42</v>
      </c>
      <c r="G55" s="11" t="s">
        <v>195</v>
      </c>
      <c r="H55" s="11" t="s">
        <v>467</v>
      </c>
      <c r="I55" s="10" t="s">
        <v>508</v>
      </c>
      <c r="J55" s="33">
        <f t="shared" si="7"/>
        <v>2550</v>
      </c>
      <c r="K55" s="33"/>
      <c r="L55" s="33">
        <f t="shared" si="8"/>
        <v>2550</v>
      </c>
      <c r="M55" s="34">
        <v>0.25</v>
      </c>
      <c r="N55" s="35">
        <f t="shared" si="9"/>
        <v>637.5</v>
      </c>
      <c r="O55" s="35">
        <f t="shared" si="10"/>
        <v>3187.5</v>
      </c>
      <c r="AB55" s="13"/>
      <c r="AC55" s="13"/>
      <c r="AD55" s="13"/>
      <c r="AE55" s="13"/>
    </row>
    <row r="56">
      <c r="A56" s="10"/>
      <c r="B56" s="10"/>
      <c r="H56" s="11"/>
      <c r="I56" s="10" t="s">
        <v>509</v>
      </c>
      <c r="J56" s="10"/>
      <c r="K56" s="10"/>
      <c r="L56" s="10"/>
      <c r="M56" s="34"/>
      <c r="N56" s="35"/>
      <c r="O56" s="35"/>
      <c r="AB56" s="13"/>
      <c r="AC56" s="13"/>
      <c r="AD56" s="13"/>
      <c r="AE56" s="13"/>
    </row>
    <row r="57">
      <c r="A57" s="10"/>
      <c r="B57" s="10"/>
      <c r="H57" s="11"/>
      <c r="I57" s="10" t="s">
        <v>510</v>
      </c>
      <c r="J57" s="10"/>
      <c r="K57" s="10"/>
      <c r="L57" s="10"/>
      <c r="M57" s="34"/>
      <c r="N57" s="35"/>
      <c r="O57" s="35"/>
      <c r="AB57" s="13"/>
      <c r="AC57" s="13"/>
      <c r="AD57" s="13"/>
      <c r="AE57" s="13"/>
    </row>
    <row r="58">
      <c r="A58" s="10"/>
      <c r="B58" s="10"/>
      <c r="H58" s="11"/>
      <c r="I58" s="10" t="s">
        <v>511</v>
      </c>
      <c r="J58" s="10"/>
      <c r="K58" s="10"/>
      <c r="L58" s="10"/>
      <c r="M58" s="34"/>
      <c r="N58" s="35"/>
      <c r="O58" s="35"/>
      <c r="AB58" s="13"/>
      <c r="AC58" s="13"/>
      <c r="AD58" s="13"/>
      <c r="AE58" s="13"/>
    </row>
    <row r="59">
      <c r="A59" s="10" t="s">
        <v>29</v>
      </c>
      <c r="B59" s="10" t="s">
        <v>10</v>
      </c>
      <c r="C59" s="10" t="s">
        <v>11</v>
      </c>
      <c r="D59" s="10" t="s">
        <v>40</v>
      </c>
      <c r="E59" s="10" t="s">
        <v>41</v>
      </c>
      <c r="F59" s="10" t="s">
        <v>42</v>
      </c>
      <c r="G59" s="11" t="s">
        <v>196</v>
      </c>
      <c r="H59" s="11" t="s">
        <v>467</v>
      </c>
      <c r="I59" s="11"/>
      <c r="J59" s="33">
        <f t="shared" ref="J59:J62" si="11">J16+50</f>
        <v>2650</v>
      </c>
      <c r="K59" s="33"/>
      <c r="L59" s="33">
        <f t="shared" ref="L59:L62" si="12">J59+K59</f>
        <v>2650</v>
      </c>
      <c r="M59" s="34">
        <v>0.25</v>
      </c>
      <c r="N59" s="35">
        <f t="shared" ref="N59:N62" si="13">L59*M59</f>
        <v>662.5</v>
      </c>
      <c r="O59" s="35">
        <f t="shared" ref="O59:O62" si="14">L59+N59</f>
        <v>3312.5</v>
      </c>
      <c r="AB59" s="13"/>
      <c r="AC59" s="13"/>
      <c r="AD59" s="13"/>
      <c r="AE59" s="13"/>
    </row>
    <row r="60">
      <c r="A60" s="10" t="s">
        <v>29</v>
      </c>
      <c r="B60" s="10" t="s">
        <v>10</v>
      </c>
      <c r="C60" s="10" t="s">
        <v>11</v>
      </c>
      <c r="D60" s="10" t="s">
        <v>40</v>
      </c>
      <c r="E60" s="10" t="s">
        <v>41</v>
      </c>
      <c r="F60" s="10" t="s">
        <v>42</v>
      </c>
      <c r="G60" s="11" t="s">
        <v>512</v>
      </c>
      <c r="H60" s="11" t="s">
        <v>467</v>
      </c>
      <c r="I60" s="11"/>
      <c r="J60" s="33">
        <f t="shared" si="11"/>
        <v>2650</v>
      </c>
      <c r="K60" s="33"/>
      <c r="L60" s="33">
        <f t="shared" si="12"/>
        <v>2650</v>
      </c>
      <c r="M60" s="34">
        <v>0.25</v>
      </c>
      <c r="N60" s="35">
        <f t="shared" si="13"/>
        <v>662.5</v>
      </c>
      <c r="O60" s="35">
        <f t="shared" si="14"/>
        <v>3312.5</v>
      </c>
      <c r="AB60" s="13"/>
      <c r="AC60" s="13"/>
      <c r="AD60" s="13"/>
      <c r="AE60" s="13"/>
    </row>
    <row r="61">
      <c r="A61" s="10" t="s">
        <v>29</v>
      </c>
      <c r="B61" s="10" t="s">
        <v>10</v>
      </c>
      <c r="C61" s="10" t="s">
        <v>11</v>
      </c>
      <c r="D61" s="10" t="s">
        <v>40</v>
      </c>
      <c r="E61" s="10" t="s">
        <v>41</v>
      </c>
      <c r="F61" s="10" t="s">
        <v>42</v>
      </c>
      <c r="G61" s="11" t="s">
        <v>513</v>
      </c>
      <c r="H61" s="11" t="s">
        <v>467</v>
      </c>
      <c r="I61" s="11"/>
      <c r="J61" s="33">
        <f t="shared" si="11"/>
        <v>2750</v>
      </c>
      <c r="K61" s="33"/>
      <c r="L61" s="33">
        <f t="shared" si="12"/>
        <v>2750</v>
      </c>
      <c r="M61" s="34">
        <v>0.25</v>
      </c>
      <c r="N61" s="35">
        <f t="shared" si="13"/>
        <v>687.5</v>
      </c>
      <c r="O61" s="35">
        <f t="shared" si="14"/>
        <v>3437.5</v>
      </c>
      <c r="AB61" s="13"/>
      <c r="AC61" s="13"/>
      <c r="AD61" s="13"/>
      <c r="AE61" s="13"/>
    </row>
    <row r="62">
      <c r="A62" s="10" t="s">
        <v>29</v>
      </c>
      <c r="B62" s="10" t="s">
        <v>10</v>
      </c>
      <c r="C62" s="10" t="s">
        <v>11</v>
      </c>
      <c r="D62" s="10" t="s">
        <v>81</v>
      </c>
      <c r="E62" s="10" t="s">
        <v>41</v>
      </c>
      <c r="F62" s="10" t="s">
        <v>42</v>
      </c>
      <c r="G62" s="11" t="s">
        <v>514</v>
      </c>
      <c r="H62" s="11" t="s">
        <v>461</v>
      </c>
      <c r="I62" s="10" t="s">
        <v>515</v>
      </c>
      <c r="J62" s="33">
        <f t="shared" si="11"/>
        <v>2115</v>
      </c>
      <c r="K62" s="33"/>
      <c r="L62" s="33">
        <f t="shared" si="12"/>
        <v>2115</v>
      </c>
      <c r="M62" s="34">
        <v>0.25</v>
      </c>
      <c r="N62" s="35">
        <f t="shared" si="13"/>
        <v>528.75</v>
      </c>
      <c r="O62" s="35">
        <f t="shared" si="14"/>
        <v>2643.75</v>
      </c>
      <c r="AB62" s="13"/>
      <c r="AC62" s="13"/>
      <c r="AD62" s="13"/>
      <c r="AE62" s="13"/>
    </row>
    <row r="63">
      <c r="A63" s="10"/>
      <c r="B63" s="10"/>
      <c r="C63" s="10" t="s">
        <v>11</v>
      </c>
      <c r="D63" s="10" t="s">
        <v>516</v>
      </c>
      <c r="E63" s="10" t="s">
        <v>41</v>
      </c>
      <c r="F63" s="10" t="s">
        <v>42</v>
      </c>
      <c r="G63" s="11" t="s">
        <v>514</v>
      </c>
      <c r="H63" s="11" t="s">
        <v>461</v>
      </c>
      <c r="I63" s="10" t="s">
        <v>517</v>
      </c>
      <c r="J63" s="10"/>
      <c r="K63" s="10"/>
      <c r="L63" s="10"/>
      <c r="M63" s="34"/>
      <c r="N63" s="35"/>
      <c r="O63" s="35"/>
      <c r="AB63" s="13"/>
      <c r="AC63" s="13"/>
      <c r="AD63" s="13"/>
      <c r="AE63" s="13"/>
    </row>
    <row r="64">
      <c r="A64" s="10" t="s">
        <v>29</v>
      </c>
      <c r="B64" s="10" t="s">
        <v>10</v>
      </c>
      <c r="C64" s="10" t="s">
        <v>11</v>
      </c>
      <c r="D64" s="10" t="s">
        <v>82</v>
      </c>
      <c r="E64" s="10" t="s">
        <v>41</v>
      </c>
      <c r="F64" s="10" t="s">
        <v>83</v>
      </c>
      <c r="G64" s="11" t="s">
        <v>518</v>
      </c>
      <c r="H64" s="11" t="s">
        <v>475</v>
      </c>
      <c r="I64" s="11"/>
      <c r="J64" s="33">
        <f t="shared" ref="J64:J73" si="15">J20+50</f>
        <v>2115</v>
      </c>
      <c r="K64" s="33"/>
      <c r="L64" s="33">
        <f t="shared" ref="L64:L73" si="16">J64+K64</f>
        <v>2115</v>
      </c>
      <c r="M64" s="34">
        <v>0.25</v>
      </c>
      <c r="N64" s="35">
        <f t="shared" ref="N64:N73" si="17">L64*M64</f>
        <v>528.75</v>
      </c>
      <c r="O64" s="35">
        <f t="shared" ref="O64:O73" si="18">L64+N64</f>
        <v>2643.75</v>
      </c>
      <c r="AB64" s="13"/>
      <c r="AC64" s="13"/>
      <c r="AD64" s="13"/>
      <c r="AE64" s="13"/>
    </row>
    <row r="65">
      <c r="A65" s="10" t="s">
        <v>29</v>
      </c>
      <c r="B65" s="10" t="s">
        <v>10</v>
      </c>
      <c r="C65" s="10" t="s">
        <v>11</v>
      </c>
      <c r="D65" s="10" t="s">
        <v>170</v>
      </c>
      <c r="E65" s="10" t="s">
        <v>87</v>
      </c>
      <c r="F65" s="10" t="s">
        <v>83</v>
      </c>
      <c r="G65" s="11" t="s">
        <v>201</v>
      </c>
      <c r="H65" s="11" t="s">
        <v>476</v>
      </c>
      <c r="I65" s="11"/>
      <c r="J65" s="33">
        <f t="shared" si="15"/>
        <v>1515</v>
      </c>
      <c r="K65" s="33"/>
      <c r="L65" s="33">
        <f t="shared" si="16"/>
        <v>1515</v>
      </c>
      <c r="M65" s="34">
        <v>0.25</v>
      </c>
      <c r="N65" s="35">
        <f t="shared" si="17"/>
        <v>378.75</v>
      </c>
      <c r="O65" s="35">
        <f t="shared" si="18"/>
        <v>1893.75</v>
      </c>
      <c r="AB65" s="13"/>
      <c r="AC65" s="13"/>
      <c r="AD65" s="13"/>
      <c r="AE65" s="13"/>
    </row>
    <row r="66">
      <c r="A66" s="10" t="s">
        <v>29</v>
      </c>
      <c r="B66" s="10" t="s">
        <v>10</v>
      </c>
      <c r="C66" s="10" t="s">
        <v>11</v>
      </c>
      <c r="D66" s="10" t="s">
        <v>91</v>
      </c>
      <c r="E66" s="10" t="s">
        <v>87</v>
      </c>
      <c r="F66" s="10" t="s">
        <v>83</v>
      </c>
      <c r="G66" s="10" t="s">
        <v>201</v>
      </c>
      <c r="H66" s="11" t="s">
        <v>476</v>
      </c>
      <c r="I66" s="11"/>
      <c r="J66" s="33">
        <f t="shared" si="15"/>
        <v>1765</v>
      </c>
      <c r="K66" s="33"/>
      <c r="L66" s="33">
        <f t="shared" si="16"/>
        <v>1765</v>
      </c>
      <c r="M66" s="34">
        <v>0.25</v>
      </c>
      <c r="N66" s="35">
        <f t="shared" si="17"/>
        <v>441.25</v>
      </c>
      <c r="O66" s="35">
        <f t="shared" si="18"/>
        <v>2206.25</v>
      </c>
      <c r="AB66" s="13"/>
      <c r="AC66" s="13"/>
      <c r="AD66" s="13"/>
      <c r="AE66" s="13"/>
    </row>
    <row r="67">
      <c r="A67" s="10" t="s">
        <v>29</v>
      </c>
      <c r="B67" s="10" t="s">
        <v>10</v>
      </c>
      <c r="C67" s="10" t="s">
        <v>11</v>
      </c>
      <c r="D67" s="10" t="s">
        <v>93</v>
      </c>
      <c r="E67" s="10" t="s">
        <v>94</v>
      </c>
      <c r="F67" s="10" t="s">
        <v>42</v>
      </c>
      <c r="G67" s="10" t="s">
        <v>519</v>
      </c>
      <c r="H67" s="10" t="s">
        <v>479</v>
      </c>
      <c r="I67" s="10" t="s">
        <v>520</v>
      </c>
      <c r="J67" s="33">
        <f t="shared" si="15"/>
        <v>1008</v>
      </c>
      <c r="K67" s="33"/>
      <c r="L67" s="33">
        <f t="shared" si="16"/>
        <v>1008</v>
      </c>
      <c r="M67" s="34">
        <v>0.25</v>
      </c>
      <c r="N67" s="35">
        <f t="shared" si="17"/>
        <v>252</v>
      </c>
      <c r="O67" s="35">
        <f t="shared" si="18"/>
        <v>1260</v>
      </c>
      <c r="AB67" s="13"/>
      <c r="AC67" s="13"/>
      <c r="AD67" s="13"/>
      <c r="AE67" s="13"/>
    </row>
    <row r="68">
      <c r="A68" s="10" t="s">
        <v>29</v>
      </c>
      <c r="B68" s="10" t="s">
        <v>10</v>
      </c>
      <c r="C68" s="10" t="s">
        <v>11</v>
      </c>
      <c r="D68" s="10" t="s">
        <v>97</v>
      </c>
      <c r="E68" s="10" t="s">
        <v>98</v>
      </c>
      <c r="F68" s="10" t="s">
        <v>99</v>
      </c>
      <c r="G68" s="10" t="s">
        <v>203</v>
      </c>
      <c r="H68" s="10" t="s">
        <v>480</v>
      </c>
      <c r="I68" s="10" t="s">
        <v>521</v>
      </c>
      <c r="J68" s="33">
        <f t="shared" si="15"/>
        <v>925</v>
      </c>
      <c r="K68" s="33"/>
      <c r="L68" s="33">
        <f t="shared" si="16"/>
        <v>925</v>
      </c>
      <c r="M68" s="34">
        <v>0.25</v>
      </c>
      <c r="N68" s="35">
        <f t="shared" si="17"/>
        <v>231.25</v>
      </c>
      <c r="O68" s="35">
        <f t="shared" si="18"/>
        <v>1156.25</v>
      </c>
      <c r="AB68" s="13"/>
      <c r="AC68" s="13"/>
      <c r="AD68" s="13"/>
      <c r="AE68" s="13"/>
    </row>
    <row r="69">
      <c r="A69" s="10" t="s">
        <v>29</v>
      </c>
      <c r="B69" s="10" t="s">
        <v>10</v>
      </c>
      <c r="C69" s="10" t="s">
        <v>11</v>
      </c>
      <c r="D69" s="10" t="s">
        <v>97</v>
      </c>
      <c r="E69" s="10" t="s">
        <v>102</v>
      </c>
      <c r="F69" s="10" t="s">
        <v>99</v>
      </c>
      <c r="G69" s="10" t="s">
        <v>203</v>
      </c>
      <c r="H69" s="10" t="s">
        <v>480</v>
      </c>
      <c r="I69" s="10" t="s">
        <v>522</v>
      </c>
      <c r="J69" s="33">
        <f t="shared" si="15"/>
        <v>925</v>
      </c>
      <c r="K69" s="33"/>
      <c r="L69" s="33">
        <f t="shared" si="16"/>
        <v>925</v>
      </c>
      <c r="M69" s="34">
        <v>0.25</v>
      </c>
      <c r="N69" s="35">
        <f t="shared" si="17"/>
        <v>231.25</v>
      </c>
      <c r="O69" s="35">
        <f t="shared" si="18"/>
        <v>1156.25</v>
      </c>
      <c r="AB69" s="13"/>
      <c r="AC69" s="13"/>
      <c r="AD69" s="13"/>
      <c r="AE69" s="13"/>
    </row>
    <row r="70">
      <c r="A70" s="10" t="s">
        <v>29</v>
      </c>
      <c r="B70" s="10" t="s">
        <v>10</v>
      </c>
      <c r="C70" s="10" t="s">
        <v>11</v>
      </c>
      <c r="D70" s="10" t="s">
        <v>97</v>
      </c>
      <c r="E70" s="10" t="s">
        <v>103</v>
      </c>
      <c r="F70" s="10" t="s">
        <v>99</v>
      </c>
      <c r="G70" s="10" t="s">
        <v>203</v>
      </c>
      <c r="H70" s="10" t="s">
        <v>480</v>
      </c>
      <c r="I70" s="10" t="s">
        <v>523</v>
      </c>
      <c r="J70" s="33">
        <f t="shared" si="15"/>
        <v>1075</v>
      </c>
      <c r="K70" s="33"/>
      <c r="L70" s="33">
        <f t="shared" si="16"/>
        <v>1075</v>
      </c>
      <c r="M70" s="34">
        <v>0.25</v>
      </c>
      <c r="N70" s="35">
        <f t="shared" si="17"/>
        <v>268.75</v>
      </c>
      <c r="O70" s="35">
        <f t="shared" si="18"/>
        <v>1343.75</v>
      </c>
      <c r="AB70" s="13"/>
      <c r="AC70" s="13"/>
      <c r="AD70" s="13"/>
      <c r="AE70" s="13"/>
    </row>
    <row r="71">
      <c r="A71" s="10" t="s">
        <v>29</v>
      </c>
      <c r="B71" s="10" t="s">
        <v>10</v>
      </c>
      <c r="C71" s="10" t="s">
        <v>11</v>
      </c>
      <c r="D71" s="10" t="s">
        <v>104</v>
      </c>
      <c r="E71" s="10" t="s">
        <v>105</v>
      </c>
      <c r="F71" s="10" t="s">
        <v>99</v>
      </c>
      <c r="G71" s="10" t="s">
        <v>203</v>
      </c>
      <c r="H71" s="10" t="s">
        <v>484</v>
      </c>
      <c r="I71" s="10" t="s">
        <v>524</v>
      </c>
      <c r="J71" s="33">
        <f t="shared" si="15"/>
        <v>1725</v>
      </c>
      <c r="K71" s="33"/>
      <c r="L71" s="33">
        <f t="shared" si="16"/>
        <v>1725</v>
      </c>
      <c r="M71" s="34">
        <v>0.25</v>
      </c>
      <c r="N71" s="35">
        <f t="shared" si="17"/>
        <v>431.25</v>
      </c>
      <c r="O71" s="35">
        <f t="shared" si="18"/>
        <v>2156.25</v>
      </c>
      <c r="AB71" s="13"/>
      <c r="AC71" s="13"/>
      <c r="AD71" s="13"/>
      <c r="AE71" s="13"/>
    </row>
    <row r="72">
      <c r="A72" s="10" t="s">
        <v>29</v>
      </c>
      <c r="B72" s="10" t="s">
        <v>10</v>
      </c>
      <c r="C72" s="10" t="s">
        <v>11</v>
      </c>
      <c r="D72" s="10" t="s">
        <v>107</v>
      </c>
      <c r="E72" s="10" t="s">
        <v>108</v>
      </c>
      <c r="F72" s="10" t="s">
        <v>99</v>
      </c>
      <c r="G72" s="10" t="s">
        <v>203</v>
      </c>
      <c r="H72" s="10" t="s">
        <v>486</v>
      </c>
      <c r="I72" s="10" t="s">
        <v>525</v>
      </c>
      <c r="J72" s="33">
        <f t="shared" si="15"/>
        <v>1058</v>
      </c>
      <c r="K72" s="33"/>
      <c r="L72" s="33">
        <f t="shared" si="16"/>
        <v>1058</v>
      </c>
      <c r="M72" s="34">
        <v>0.25</v>
      </c>
      <c r="N72" s="35">
        <f t="shared" si="17"/>
        <v>264.5</v>
      </c>
      <c r="O72" s="35">
        <f t="shared" si="18"/>
        <v>1322.5</v>
      </c>
      <c r="AB72" s="13"/>
      <c r="AC72" s="13"/>
      <c r="AD72" s="13"/>
      <c r="AE72" s="13"/>
    </row>
    <row r="73">
      <c r="A73" s="10" t="s">
        <v>29</v>
      </c>
      <c r="B73" s="10" t="s">
        <v>10</v>
      </c>
      <c r="C73" s="10" t="s">
        <v>11</v>
      </c>
      <c r="D73" s="10" t="s">
        <v>107</v>
      </c>
      <c r="E73" s="10" t="s">
        <v>204</v>
      </c>
      <c r="F73" s="10" t="s">
        <v>99</v>
      </c>
      <c r="G73" s="10" t="s">
        <v>203</v>
      </c>
      <c r="H73" s="10" t="s">
        <v>486</v>
      </c>
      <c r="I73" s="10" t="s">
        <v>526</v>
      </c>
      <c r="J73" s="33">
        <f t="shared" si="15"/>
        <v>1100</v>
      </c>
      <c r="K73" s="33"/>
      <c r="L73" s="33">
        <f t="shared" si="16"/>
        <v>1100</v>
      </c>
      <c r="M73" s="34">
        <v>0.25</v>
      </c>
      <c r="N73" s="35">
        <f t="shared" si="17"/>
        <v>275</v>
      </c>
      <c r="O73" s="35">
        <f t="shared" si="18"/>
        <v>1375</v>
      </c>
      <c r="AB73" s="13"/>
      <c r="AC73" s="13"/>
      <c r="AD73" s="13"/>
      <c r="AE73" s="13"/>
    </row>
    <row r="74">
      <c r="A74" s="10"/>
      <c r="B74" s="10"/>
      <c r="H74" s="10"/>
      <c r="I74" s="10" t="s">
        <v>527</v>
      </c>
      <c r="J74" s="10"/>
      <c r="K74" s="10"/>
      <c r="L74" s="10"/>
      <c r="M74" s="34"/>
      <c r="N74" s="35"/>
      <c r="O74" s="35"/>
      <c r="AB74" s="13"/>
      <c r="AC74" s="13"/>
      <c r="AD74" s="13"/>
      <c r="AE74" s="13"/>
    </row>
    <row r="75">
      <c r="A75" s="10"/>
      <c r="B75" s="10"/>
      <c r="H75" s="10"/>
      <c r="I75" s="10" t="s">
        <v>528</v>
      </c>
      <c r="J75" s="10"/>
      <c r="K75" s="10"/>
      <c r="L75" s="10"/>
      <c r="M75" s="34"/>
      <c r="N75" s="35"/>
      <c r="O75" s="35"/>
      <c r="AB75" s="13"/>
      <c r="AC75" s="13"/>
      <c r="AD75" s="13"/>
      <c r="AE75" s="13"/>
    </row>
    <row r="76">
      <c r="A76" s="10"/>
      <c r="B76" s="10"/>
      <c r="H76" s="10"/>
      <c r="I76" s="10" t="s">
        <v>529</v>
      </c>
      <c r="J76" s="10"/>
      <c r="K76" s="10"/>
      <c r="L76" s="10"/>
      <c r="M76" s="34"/>
      <c r="N76" s="35"/>
      <c r="O76" s="35"/>
      <c r="AB76" s="13"/>
      <c r="AC76" s="13"/>
      <c r="AD76" s="13"/>
      <c r="AE76" s="13"/>
    </row>
    <row r="77">
      <c r="A77" s="10"/>
      <c r="B77" s="10"/>
      <c r="H77" s="10"/>
      <c r="I77" s="10" t="s">
        <v>530</v>
      </c>
      <c r="J77" s="10"/>
      <c r="K77" s="10"/>
      <c r="L77" s="10"/>
      <c r="M77" s="34"/>
      <c r="N77" s="35"/>
      <c r="O77" s="35"/>
      <c r="AB77" s="13"/>
      <c r="AC77" s="13"/>
      <c r="AD77" s="13"/>
      <c r="AE77" s="13"/>
    </row>
    <row r="78">
      <c r="A78" s="7" t="s">
        <v>331</v>
      </c>
      <c r="K78" s="10"/>
      <c r="L78" s="10">
        <f t="shared" ref="L78:L80" si="19">J78+K78</f>
        <v>0</v>
      </c>
      <c r="M78" s="34">
        <v>0.25</v>
      </c>
      <c r="N78" s="35">
        <f t="shared" ref="N78:N80" si="20">L78*M78</f>
        <v>0</v>
      </c>
      <c r="O78" s="35">
        <f t="shared" ref="O78:O80" si="21">L78+N78</f>
        <v>0</v>
      </c>
      <c r="AB78" s="13"/>
      <c r="AC78" s="13"/>
      <c r="AD78" s="13"/>
      <c r="AE78" s="13"/>
    </row>
    <row r="79">
      <c r="A79" s="10" t="s">
        <v>29</v>
      </c>
      <c r="B79" s="4" t="s">
        <v>1</v>
      </c>
      <c r="C79" s="4" t="s">
        <v>2</v>
      </c>
      <c r="D79" s="4" t="s">
        <v>3</v>
      </c>
      <c r="E79" s="4" t="s">
        <v>32</v>
      </c>
      <c r="F79" s="4" t="s">
        <v>4</v>
      </c>
      <c r="G79" s="4" t="s">
        <v>6</v>
      </c>
      <c r="H79" s="4" t="s">
        <v>5</v>
      </c>
      <c r="I79" s="4"/>
      <c r="J79" s="4" t="s">
        <v>34</v>
      </c>
      <c r="K79" s="10"/>
      <c r="L79" s="10" t="str">
        <f t="shared" si="19"/>
        <v>#VALUE!</v>
      </c>
      <c r="M79" s="34">
        <v>0.25</v>
      </c>
      <c r="N79" s="35" t="str">
        <f t="shared" si="20"/>
        <v>#VALUE!</v>
      </c>
      <c r="O79" s="35" t="str">
        <f t="shared" si="21"/>
        <v>#VALUE!</v>
      </c>
      <c r="AB79" s="13"/>
      <c r="AC79" s="13"/>
      <c r="AD79" s="13"/>
      <c r="AE79" s="13"/>
    </row>
    <row r="80">
      <c r="A80" s="10" t="s">
        <v>29</v>
      </c>
      <c r="B80" s="10" t="s">
        <v>10</v>
      </c>
      <c r="C80" s="10" t="s">
        <v>11</v>
      </c>
      <c r="D80" s="10" t="s">
        <v>40</v>
      </c>
      <c r="E80" s="10" t="s">
        <v>41</v>
      </c>
      <c r="F80" s="10" t="s">
        <v>42</v>
      </c>
      <c r="G80" s="10" t="s">
        <v>531</v>
      </c>
      <c r="H80" s="11" t="s">
        <v>461</v>
      </c>
      <c r="I80" s="10" t="s">
        <v>532</v>
      </c>
      <c r="J80" s="33">
        <f>J37+50</f>
        <v>1815</v>
      </c>
      <c r="K80" s="33"/>
      <c r="L80" s="33">
        <f t="shared" si="19"/>
        <v>1815</v>
      </c>
      <c r="M80" s="34">
        <v>0.25</v>
      </c>
      <c r="N80" s="35">
        <f t="shared" si="20"/>
        <v>453.75</v>
      </c>
      <c r="O80" s="35">
        <f t="shared" si="21"/>
        <v>2268.75</v>
      </c>
      <c r="AB80" s="13"/>
      <c r="AC80" s="13"/>
      <c r="AD80" s="13"/>
      <c r="AE80" s="13"/>
    </row>
    <row r="81">
      <c r="A81" s="10"/>
      <c r="B81" s="10"/>
      <c r="H81" s="11"/>
      <c r="I81" s="10" t="s">
        <v>533</v>
      </c>
      <c r="J81" s="10"/>
      <c r="K81" s="10"/>
      <c r="L81" s="10"/>
      <c r="M81" s="34"/>
      <c r="N81" s="35"/>
      <c r="O81" s="35"/>
      <c r="AB81" s="13"/>
      <c r="AC81" s="13"/>
      <c r="AD81" s="13"/>
      <c r="AE81" s="13"/>
    </row>
    <row r="82">
      <c r="A82" s="10"/>
      <c r="B82" s="10"/>
      <c r="H82" s="11"/>
      <c r="I82" s="10" t="s">
        <v>534</v>
      </c>
      <c r="J82" s="10"/>
      <c r="K82" s="10"/>
      <c r="L82" s="10"/>
      <c r="M82" s="34"/>
      <c r="N82" s="35"/>
      <c r="O82" s="35"/>
      <c r="AB82" s="13"/>
      <c r="AC82" s="13"/>
      <c r="AD82" s="13"/>
      <c r="AE82" s="13"/>
    </row>
    <row r="83">
      <c r="A83" s="10"/>
      <c r="B83" s="10"/>
      <c r="H83" s="11"/>
      <c r="I83" s="10" t="s">
        <v>535</v>
      </c>
      <c r="J83" s="10"/>
      <c r="K83" s="10"/>
      <c r="L83" s="10"/>
      <c r="M83" s="34"/>
      <c r="N83" s="35"/>
      <c r="O83" s="35"/>
      <c r="AB83" s="13"/>
      <c r="AC83" s="13"/>
      <c r="AD83" s="13"/>
      <c r="AE83" s="13"/>
    </row>
    <row r="84">
      <c r="A84" s="10" t="s">
        <v>29</v>
      </c>
      <c r="B84" s="10" t="s">
        <v>10</v>
      </c>
      <c r="C84" s="10" t="s">
        <v>11</v>
      </c>
      <c r="D84" s="10" t="s">
        <v>40</v>
      </c>
      <c r="E84" s="10" t="s">
        <v>41</v>
      </c>
      <c r="F84" s="10" t="s">
        <v>42</v>
      </c>
      <c r="G84" s="11" t="s">
        <v>340</v>
      </c>
      <c r="H84" s="11" t="s">
        <v>466</v>
      </c>
      <c r="I84" s="11"/>
      <c r="J84" s="33">
        <f>J41+50</f>
        <v>2195</v>
      </c>
      <c r="K84" s="33"/>
      <c r="L84" s="33">
        <f t="shared" ref="L84:L87" si="22">J84+K84</f>
        <v>2195</v>
      </c>
      <c r="M84" s="34">
        <v>0.25</v>
      </c>
      <c r="N84" s="35">
        <f t="shared" ref="N84:N87" si="23">L84*M84</f>
        <v>548.75</v>
      </c>
      <c r="O84" s="35">
        <f t="shared" ref="O84:O87" si="24">L84+N84</f>
        <v>2743.75</v>
      </c>
      <c r="AB84" s="13"/>
      <c r="AC84" s="13"/>
      <c r="AD84" s="13"/>
      <c r="AE84" s="13"/>
    </row>
    <row r="85">
      <c r="A85" s="10" t="s">
        <v>29</v>
      </c>
      <c r="B85" s="10" t="s">
        <v>10</v>
      </c>
      <c r="C85" s="10" t="s">
        <v>11</v>
      </c>
      <c r="D85" s="10" t="s">
        <v>40</v>
      </c>
      <c r="E85" s="10" t="s">
        <v>41</v>
      </c>
      <c r="F85" s="10" t="s">
        <v>42</v>
      </c>
      <c r="G85" s="11" t="s">
        <v>341</v>
      </c>
      <c r="H85" s="11" t="s">
        <v>466</v>
      </c>
      <c r="I85" s="11"/>
      <c r="J85" s="33">
        <f>J45+50</f>
        <v>2315</v>
      </c>
      <c r="K85" s="33"/>
      <c r="L85" s="33">
        <f t="shared" si="22"/>
        <v>2315</v>
      </c>
      <c r="M85" s="34">
        <v>0.25</v>
      </c>
      <c r="N85" s="35">
        <f t="shared" si="23"/>
        <v>578.75</v>
      </c>
      <c r="O85" s="35">
        <f t="shared" si="24"/>
        <v>2893.75</v>
      </c>
      <c r="AB85" s="13"/>
      <c r="AC85" s="13"/>
      <c r="AD85" s="13"/>
      <c r="AE85" s="13"/>
    </row>
    <row r="86">
      <c r="A86" s="10" t="s">
        <v>29</v>
      </c>
      <c r="B86" s="10" t="s">
        <v>10</v>
      </c>
      <c r="C86" s="10" t="s">
        <v>11</v>
      </c>
      <c r="D86" s="10" t="s">
        <v>40</v>
      </c>
      <c r="E86" s="10" t="s">
        <v>41</v>
      </c>
      <c r="F86" s="10" t="s">
        <v>42</v>
      </c>
      <c r="G86" s="11" t="s">
        <v>342</v>
      </c>
      <c r="H86" s="11" t="s">
        <v>467</v>
      </c>
      <c r="I86" s="11"/>
      <c r="J86" s="33">
        <f t="shared" ref="J86:J87" si="25">J49+50</f>
        <v>2350</v>
      </c>
      <c r="K86" s="33"/>
      <c r="L86" s="33">
        <f t="shared" si="22"/>
        <v>2350</v>
      </c>
      <c r="M86" s="34">
        <v>0.25</v>
      </c>
      <c r="N86" s="35">
        <f t="shared" si="23"/>
        <v>587.5</v>
      </c>
      <c r="O86" s="35">
        <f t="shared" si="24"/>
        <v>2937.5</v>
      </c>
      <c r="AB86" s="13"/>
      <c r="AC86" s="13"/>
      <c r="AD86" s="13"/>
      <c r="AE86" s="13"/>
    </row>
    <row r="87">
      <c r="A87" s="10" t="s">
        <v>29</v>
      </c>
      <c r="B87" s="10" t="s">
        <v>10</v>
      </c>
      <c r="C87" s="10" t="s">
        <v>11</v>
      </c>
      <c r="D87" s="10" t="s">
        <v>40</v>
      </c>
      <c r="E87" s="10" t="s">
        <v>41</v>
      </c>
      <c r="F87" s="10" t="s">
        <v>42</v>
      </c>
      <c r="G87" s="11" t="s">
        <v>347</v>
      </c>
      <c r="H87" s="11" t="s">
        <v>467</v>
      </c>
      <c r="I87" s="10" t="s">
        <v>536</v>
      </c>
      <c r="J87" s="33">
        <f t="shared" si="25"/>
        <v>2450</v>
      </c>
      <c r="K87" s="33"/>
      <c r="L87" s="33">
        <f t="shared" si="22"/>
        <v>2450</v>
      </c>
      <c r="M87" s="34">
        <v>0.25</v>
      </c>
      <c r="N87" s="35">
        <f t="shared" si="23"/>
        <v>612.5</v>
      </c>
      <c r="O87" s="35">
        <f t="shared" si="24"/>
        <v>3062.5</v>
      </c>
      <c r="AB87" s="13"/>
      <c r="AC87" s="13"/>
      <c r="AD87" s="13"/>
      <c r="AE87" s="13"/>
    </row>
    <row r="88">
      <c r="A88" s="10"/>
      <c r="B88" s="10"/>
      <c r="H88" s="11"/>
      <c r="I88" s="10" t="s">
        <v>537</v>
      </c>
      <c r="J88" s="10"/>
      <c r="K88" s="10"/>
      <c r="L88" s="10"/>
      <c r="M88" s="34"/>
      <c r="N88" s="35"/>
      <c r="O88" s="35"/>
      <c r="AB88" s="13"/>
      <c r="AC88" s="13"/>
      <c r="AD88" s="13"/>
      <c r="AE88" s="13"/>
    </row>
    <row r="89">
      <c r="A89" s="10"/>
      <c r="B89" s="10"/>
      <c r="H89" s="11"/>
      <c r="I89" s="10" t="s">
        <v>538</v>
      </c>
      <c r="J89" s="10"/>
      <c r="K89" s="10"/>
      <c r="L89" s="10"/>
      <c r="M89" s="34"/>
      <c r="N89" s="35"/>
      <c r="O89" s="35"/>
      <c r="AB89" s="13"/>
      <c r="AC89" s="13"/>
      <c r="AD89" s="13"/>
      <c r="AE89" s="13"/>
    </row>
    <row r="90">
      <c r="A90" s="10"/>
      <c r="B90" s="10"/>
      <c r="H90" s="11"/>
      <c r="I90" s="10" t="s">
        <v>539</v>
      </c>
      <c r="J90" s="10"/>
      <c r="K90" s="10"/>
      <c r="L90" s="10"/>
      <c r="M90" s="34"/>
      <c r="N90" s="35"/>
      <c r="O90" s="35"/>
      <c r="AB90" s="13"/>
      <c r="AC90" s="13"/>
      <c r="AD90" s="13"/>
      <c r="AE90" s="13"/>
    </row>
    <row r="91">
      <c r="A91" s="10" t="s">
        <v>29</v>
      </c>
      <c r="B91" s="10" t="s">
        <v>10</v>
      </c>
      <c r="C91" s="10" t="s">
        <v>11</v>
      </c>
      <c r="D91" s="10" t="s">
        <v>40</v>
      </c>
      <c r="E91" s="10" t="s">
        <v>41</v>
      </c>
      <c r="F91" s="10" t="s">
        <v>42</v>
      </c>
      <c r="G91" s="11" t="s">
        <v>540</v>
      </c>
      <c r="H91" s="11" t="s">
        <v>467</v>
      </c>
      <c r="I91" s="11"/>
      <c r="J91" s="33">
        <f t="shared" ref="J91:J95" si="26">J51+50</f>
        <v>2450</v>
      </c>
      <c r="K91" s="33"/>
      <c r="L91" s="33">
        <f t="shared" ref="L91:L106" si="27">J91+K91</f>
        <v>2450</v>
      </c>
      <c r="M91" s="34">
        <v>0.25</v>
      </c>
      <c r="N91" s="35">
        <f t="shared" ref="N91:N106" si="28">L91*M91</f>
        <v>612.5</v>
      </c>
      <c r="O91" s="35">
        <f t="shared" ref="O91:O106" si="29">L91+N91</f>
        <v>3062.5</v>
      </c>
      <c r="AB91" s="13"/>
      <c r="AC91" s="13"/>
      <c r="AD91" s="13"/>
      <c r="AE91" s="13"/>
    </row>
    <row r="92">
      <c r="A92" s="10" t="s">
        <v>29</v>
      </c>
      <c r="B92" s="10" t="s">
        <v>10</v>
      </c>
      <c r="C92" s="10" t="s">
        <v>11</v>
      </c>
      <c r="D92" s="10" t="s">
        <v>40</v>
      </c>
      <c r="E92" s="10" t="s">
        <v>41</v>
      </c>
      <c r="F92" s="10" t="s">
        <v>42</v>
      </c>
      <c r="G92" s="11" t="s">
        <v>541</v>
      </c>
      <c r="H92" s="11" t="s">
        <v>467</v>
      </c>
      <c r="I92" s="11"/>
      <c r="J92" s="33">
        <f t="shared" si="26"/>
        <v>2550</v>
      </c>
      <c r="K92" s="33"/>
      <c r="L92" s="33">
        <f t="shared" si="27"/>
        <v>2550</v>
      </c>
      <c r="M92" s="34">
        <v>0.25</v>
      </c>
      <c r="N92" s="35">
        <f t="shared" si="28"/>
        <v>637.5</v>
      </c>
      <c r="O92" s="35">
        <f t="shared" si="29"/>
        <v>3187.5</v>
      </c>
      <c r="AB92" s="13"/>
      <c r="AC92" s="13"/>
      <c r="AD92" s="13"/>
      <c r="AE92" s="13"/>
    </row>
    <row r="93">
      <c r="A93" s="10" t="s">
        <v>29</v>
      </c>
      <c r="B93" s="10" t="s">
        <v>10</v>
      </c>
      <c r="C93" s="10" t="s">
        <v>11</v>
      </c>
      <c r="D93" s="10" t="s">
        <v>40</v>
      </c>
      <c r="E93" s="10" t="s">
        <v>41</v>
      </c>
      <c r="F93" s="10" t="s">
        <v>42</v>
      </c>
      <c r="G93" s="11" t="s">
        <v>350</v>
      </c>
      <c r="H93" s="11" t="s">
        <v>466</v>
      </c>
      <c r="I93" s="11"/>
      <c r="J93" s="33">
        <f t="shared" si="26"/>
        <v>2445</v>
      </c>
      <c r="K93" s="33"/>
      <c r="L93" s="33">
        <f t="shared" si="27"/>
        <v>2445</v>
      </c>
      <c r="M93" s="34">
        <v>0.25</v>
      </c>
      <c r="N93" s="35">
        <f t="shared" si="28"/>
        <v>611.25</v>
      </c>
      <c r="O93" s="35">
        <f t="shared" si="29"/>
        <v>3056.25</v>
      </c>
      <c r="AB93" s="13"/>
      <c r="AC93" s="13"/>
      <c r="AD93" s="13"/>
      <c r="AE93" s="13"/>
    </row>
    <row r="94">
      <c r="A94" s="10" t="s">
        <v>29</v>
      </c>
      <c r="B94" s="10" t="s">
        <v>10</v>
      </c>
      <c r="C94" s="10" t="s">
        <v>11</v>
      </c>
      <c r="D94" s="10" t="s">
        <v>40</v>
      </c>
      <c r="E94" s="10" t="s">
        <v>41</v>
      </c>
      <c r="F94" s="10" t="s">
        <v>42</v>
      </c>
      <c r="G94" s="11" t="s">
        <v>351</v>
      </c>
      <c r="H94" s="11" t="s">
        <v>466</v>
      </c>
      <c r="I94" s="11"/>
      <c r="J94" s="33">
        <f t="shared" si="26"/>
        <v>2565</v>
      </c>
      <c r="K94" s="33"/>
      <c r="L94" s="33">
        <f t="shared" si="27"/>
        <v>2565</v>
      </c>
      <c r="M94" s="34">
        <v>0.25</v>
      </c>
      <c r="N94" s="35">
        <f t="shared" si="28"/>
        <v>641.25</v>
      </c>
      <c r="O94" s="35">
        <f t="shared" si="29"/>
        <v>3206.25</v>
      </c>
      <c r="AB94" s="13"/>
      <c r="AC94" s="13"/>
      <c r="AD94" s="13"/>
      <c r="AE94" s="13"/>
    </row>
    <row r="95">
      <c r="A95" s="10" t="s">
        <v>29</v>
      </c>
      <c r="B95" s="10" t="s">
        <v>10</v>
      </c>
      <c r="C95" s="10" t="s">
        <v>11</v>
      </c>
      <c r="D95" s="10" t="s">
        <v>40</v>
      </c>
      <c r="E95" s="10" t="s">
        <v>41</v>
      </c>
      <c r="F95" s="10" t="s">
        <v>42</v>
      </c>
      <c r="G95" s="11" t="s">
        <v>352</v>
      </c>
      <c r="H95" s="11" t="s">
        <v>467</v>
      </c>
      <c r="I95" s="11"/>
      <c r="J95" s="33">
        <f t="shared" si="26"/>
        <v>2600</v>
      </c>
      <c r="K95" s="33"/>
      <c r="L95" s="33">
        <f t="shared" si="27"/>
        <v>2600</v>
      </c>
      <c r="M95" s="34">
        <v>0.25</v>
      </c>
      <c r="N95" s="35">
        <f t="shared" si="28"/>
        <v>650</v>
      </c>
      <c r="O95" s="35">
        <f t="shared" si="29"/>
        <v>3250</v>
      </c>
      <c r="AB95" s="13"/>
      <c r="AC95" s="13"/>
      <c r="AD95" s="13"/>
      <c r="AE95" s="13"/>
    </row>
    <row r="96">
      <c r="A96" s="10" t="s">
        <v>29</v>
      </c>
      <c r="B96" s="10" t="s">
        <v>10</v>
      </c>
      <c r="C96" s="10" t="s">
        <v>11</v>
      </c>
      <c r="D96" s="10" t="s">
        <v>40</v>
      </c>
      <c r="E96" s="10" t="s">
        <v>41</v>
      </c>
      <c r="F96" s="10" t="s">
        <v>42</v>
      </c>
      <c r="G96" s="11" t="s">
        <v>353</v>
      </c>
      <c r="H96" s="11" t="s">
        <v>467</v>
      </c>
      <c r="I96" s="11"/>
      <c r="J96" s="33">
        <f t="shared" ref="J96:J98" si="30">J59+50</f>
        <v>2700</v>
      </c>
      <c r="K96" s="33"/>
      <c r="L96" s="33">
        <f t="shared" si="27"/>
        <v>2700</v>
      </c>
      <c r="M96" s="34">
        <v>0.25</v>
      </c>
      <c r="N96" s="35">
        <f t="shared" si="28"/>
        <v>675</v>
      </c>
      <c r="O96" s="35">
        <f t="shared" si="29"/>
        <v>3375</v>
      </c>
      <c r="AB96" s="13"/>
      <c r="AC96" s="13"/>
      <c r="AD96" s="13"/>
      <c r="AE96" s="13"/>
    </row>
    <row r="97">
      <c r="A97" s="10" t="s">
        <v>29</v>
      </c>
      <c r="B97" s="10" t="s">
        <v>10</v>
      </c>
      <c r="C97" s="10" t="s">
        <v>11</v>
      </c>
      <c r="D97" s="10" t="s">
        <v>40</v>
      </c>
      <c r="E97" s="10" t="s">
        <v>41</v>
      </c>
      <c r="F97" s="10" t="s">
        <v>42</v>
      </c>
      <c r="G97" s="11" t="s">
        <v>542</v>
      </c>
      <c r="H97" s="11" t="s">
        <v>467</v>
      </c>
      <c r="I97" s="11"/>
      <c r="J97" s="33">
        <f t="shared" si="30"/>
        <v>2700</v>
      </c>
      <c r="K97" s="33"/>
      <c r="L97" s="33">
        <f t="shared" si="27"/>
        <v>2700</v>
      </c>
      <c r="M97" s="34">
        <v>0.25</v>
      </c>
      <c r="N97" s="35">
        <f t="shared" si="28"/>
        <v>675</v>
      </c>
      <c r="O97" s="35">
        <f t="shared" si="29"/>
        <v>3375</v>
      </c>
      <c r="AB97" s="13"/>
      <c r="AC97" s="13"/>
      <c r="AD97" s="13"/>
      <c r="AE97" s="13"/>
    </row>
    <row r="98">
      <c r="A98" s="10" t="s">
        <v>29</v>
      </c>
      <c r="B98" s="10" t="s">
        <v>10</v>
      </c>
      <c r="C98" s="10" t="s">
        <v>11</v>
      </c>
      <c r="D98" s="10" t="s">
        <v>40</v>
      </c>
      <c r="E98" s="10" t="s">
        <v>41</v>
      </c>
      <c r="F98" s="10" t="s">
        <v>42</v>
      </c>
      <c r="G98" s="11" t="s">
        <v>543</v>
      </c>
      <c r="H98" s="11" t="s">
        <v>467</v>
      </c>
      <c r="I98" s="11"/>
      <c r="J98" s="33">
        <f t="shared" si="30"/>
        <v>2800</v>
      </c>
      <c r="K98" s="33"/>
      <c r="L98" s="33">
        <f t="shared" si="27"/>
        <v>2800</v>
      </c>
      <c r="M98" s="34">
        <v>0.25</v>
      </c>
      <c r="N98" s="35">
        <f t="shared" si="28"/>
        <v>700</v>
      </c>
      <c r="O98" s="35">
        <f t="shared" si="29"/>
        <v>3500</v>
      </c>
      <c r="AB98" s="13"/>
      <c r="AC98" s="13"/>
      <c r="AD98" s="13"/>
      <c r="AE98" s="13"/>
    </row>
    <row r="99">
      <c r="A99" s="10" t="s">
        <v>29</v>
      </c>
      <c r="B99" s="10" t="s">
        <v>10</v>
      </c>
      <c r="C99" s="10" t="s">
        <v>11</v>
      </c>
      <c r="D99" s="10" t="s">
        <v>170</v>
      </c>
      <c r="E99" s="10" t="s">
        <v>87</v>
      </c>
      <c r="F99" s="10" t="s">
        <v>83</v>
      </c>
      <c r="G99" s="11" t="s">
        <v>356</v>
      </c>
      <c r="H99" s="11" t="s">
        <v>476</v>
      </c>
      <c r="I99" s="11"/>
      <c r="J99" s="33">
        <f t="shared" ref="J99:J105" si="31">J65+50</f>
        <v>1565</v>
      </c>
      <c r="K99" s="33"/>
      <c r="L99" s="33">
        <f t="shared" si="27"/>
        <v>1565</v>
      </c>
      <c r="M99" s="34">
        <v>0.25</v>
      </c>
      <c r="N99" s="35">
        <f t="shared" si="28"/>
        <v>391.25</v>
      </c>
      <c r="O99" s="35">
        <f t="shared" si="29"/>
        <v>1956.25</v>
      </c>
      <c r="AB99" s="13"/>
      <c r="AC99" s="13"/>
      <c r="AD99" s="13"/>
      <c r="AE99" s="13"/>
    </row>
    <row r="100">
      <c r="A100" s="10" t="s">
        <v>29</v>
      </c>
      <c r="B100" s="10" t="s">
        <v>10</v>
      </c>
      <c r="C100" s="10" t="s">
        <v>11</v>
      </c>
      <c r="D100" s="10" t="s">
        <v>91</v>
      </c>
      <c r="E100" s="10" t="s">
        <v>87</v>
      </c>
      <c r="F100" s="10" t="s">
        <v>83</v>
      </c>
      <c r="G100" s="10" t="s">
        <v>356</v>
      </c>
      <c r="H100" s="11" t="s">
        <v>476</v>
      </c>
      <c r="I100" s="10" t="s">
        <v>544</v>
      </c>
      <c r="J100" s="33">
        <f t="shared" si="31"/>
        <v>1815</v>
      </c>
      <c r="K100" s="33"/>
      <c r="L100" s="33">
        <f t="shared" si="27"/>
        <v>1815</v>
      </c>
      <c r="M100" s="34">
        <v>0.25</v>
      </c>
      <c r="N100" s="35">
        <f t="shared" si="28"/>
        <v>453.75</v>
      </c>
      <c r="O100" s="35">
        <f t="shared" si="29"/>
        <v>2268.75</v>
      </c>
      <c r="AB100" s="13"/>
      <c r="AC100" s="13"/>
      <c r="AD100" s="13"/>
      <c r="AE100" s="13"/>
    </row>
    <row r="101">
      <c r="A101" s="10" t="s">
        <v>29</v>
      </c>
      <c r="B101" s="10" t="s">
        <v>10</v>
      </c>
      <c r="C101" s="10" t="s">
        <v>11</v>
      </c>
      <c r="D101" s="10" t="s">
        <v>93</v>
      </c>
      <c r="E101" s="10" t="s">
        <v>94</v>
      </c>
      <c r="F101" s="10" t="s">
        <v>42</v>
      </c>
      <c r="G101" s="10" t="s">
        <v>545</v>
      </c>
      <c r="H101" s="10" t="s">
        <v>479</v>
      </c>
      <c r="I101" s="10"/>
      <c r="J101" s="33">
        <f t="shared" si="31"/>
        <v>1058</v>
      </c>
      <c r="K101" s="33"/>
      <c r="L101" s="33">
        <f t="shared" si="27"/>
        <v>1058</v>
      </c>
      <c r="M101" s="34">
        <v>0.25</v>
      </c>
      <c r="N101" s="35">
        <f t="shared" si="28"/>
        <v>264.5</v>
      </c>
      <c r="O101" s="35">
        <f t="shared" si="29"/>
        <v>1322.5</v>
      </c>
      <c r="AB101" s="13"/>
      <c r="AC101" s="13"/>
      <c r="AD101" s="13"/>
      <c r="AE101" s="13"/>
    </row>
    <row r="102">
      <c r="A102" s="10" t="s">
        <v>29</v>
      </c>
      <c r="B102" s="10" t="s">
        <v>10</v>
      </c>
      <c r="C102" s="10" t="s">
        <v>11</v>
      </c>
      <c r="D102" s="10" t="s">
        <v>97</v>
      </c>
      <c r="E102" s="10" t="s">
        <v>98</v>
      </c>
      <c r="F102" s="10" t="s">
        <v>99</v>
      </c>
      <c r="G102" s="10" t="s">
        <v>358</v>
      </c>
      <c r="H102" s="10" t="s">
        <v>480</v>
      </c>
      <c r="I102" s="10" t="s">
        <v>546</v>
      </c>
      <c r="J102" s="33">
        <f t="shared" si="31"/>
        <v>975</v>
      </c>
      <c r="K102" s="33"/>
      <c r="L102" s="33">
        <f t="shared" si="27"/>
        <v>975</v>
      </c>
      <c r="M102" s="34">
        <v>0.25</v>
      </c>
      <c r="N102" s="35">
        <f t="shared" si="28"/>
        <v>243.75</v>
      </c>
      <c r="O102" s="35">
        <f t="shared" si="29"/>
        <v>1218.75</v>
      </c>
      <c r="AB102" s="13"/>
      <c r="AC102" s="13"/>
      <c r="AD102" s="13"/>
      <c r="AE102" s="13"/>
    </row>
    <row r="103">
      <c r="A103" s="10" t="s">
        <v>29</v>
      </c>
      <c r="B103" s="10" t="s">
        <v>10</v>
      </c>
      <c r="C103" s="10" t="s">
        <v>11</v>
      </c>
      <c r="D103" s="10" t="s">
        <v>97</v>
      </c>
      <c r="E103" s="10" t="s">
        <v>102</v>
      </c>
      <c r="F103" s="10" t="s">
        <v>99</v>
      </c>
      <c r="G103" s="10" t="s">
        <v>358</v>
      </c>
      <c r="H103" s="10" t="s">
        <v>480</v>
      </c>
      <c r="I103" s="10" t="s">
        <v>547</v>
      </c>
      <c r="J103" s="33">
        <f t="shared" si="31"/>
        <v>975</v>
      </c>
      <c r="K103" s="33"/>
      <c r="L103" s="33">
        <f t="shared" si="27"/>
        <v>975</v>
      </c>
      <c r="M103" s="34">
        <v>0.25</v>
      </c>
      <c r="N103" s="35">
        <f t="shared" si="28"/>
        <v>243.75</v>
      </c>
      <c r="O103" s="35">
        <f t="shared" si="29"/>
        <v>1218.75</v>
      </c>
      <c r="AB103" s="13"/>
      <c r="AC103" s="13"/>
      <c r="AD103" s="13"/>
      <c r="AE103" s="13"/>
    </row>
    <row r="104">
      <c r="A104" s="10" t="s">
        <v>29</v>
      </c>
      <c r="B104" s="10" t="s">
        <v>10</v>
      </c>
      <c r="C104" s="10" t="s">
        <v>11</v>
      </c>
      <c r="D104" s="10" t="s">
        <v>97</v>
      </c>
      <c r="E104" s="10" t="s">
        <v>103</v>
      </c>
      <c r="F104" s="10" t="s">
        <v>99</v>
      </c>
      <c r="G104" s="10" t="s">
        <v>358</v>
      </c>
      <c r="H104" s="10" t="s">
        <v>480</v>
      </c>
      <c r="I104" s="10" t="s">
        <v>548</v>
      </c>
      <c r="J104" s="33">
        <f t="shared" si="31"/>
        <v>1125</v>
      </c>
      <c r="K104" s="33"/>
      <c r="L104" s="33">
        <f t="shared" si="27"/>
        <v>1125</v>
      </c>
      <c r="M104" s="34">
        <v>0.25</v>
      </c>
      <c r="N104" s="35">
        <f t="shared" si="28"/>
        <v>281.25</v>
      </c>
      <c r="O104" s="35">
        <f t="shared" si="29"/>
        <v>1406.25</v>
      </c>
      <c r="AB104" s="13"/>
      <c r="AC104" s="13"/>
      <c r="AD104" s="13"/>
      <c r="AE104" s="13"/>
    </row>
    <row r="105">
      <c r="A105" s="10" t="s">
        <v>29</v>
      </c>
      <c r="B105" s="10" t="s">
        <v>10</v>
      </c>
      <c r="C105" s="10" t="s">
        <v>11</v>
      </c>
      <c r="D105" s="10" t="s">
        <v>104</v>
      </c>
      <c r="E105" s="10" t="s">
        <v>105</v>
      </c>
      <c r="F105" s="10" t="s">
        <v>99</v>
      </c>
      <c r="G105" s="10" t="s">
        <v>358</v>
      </c>
      <c r="H105" s="10" t="s">
        <v>484</v>
      </c>
      <c r="I105" s="10" t="s">
        <v>549</v>
      </c>
      <c r="J105" s="33">
        <f t="shared" si="31"/>
        <v>1775</v>
      </c>
      <c r="K105" s="33"/>
      <c r="L105" s="33">
        <f t="shared" si="27"/>
        <v>1775</v>
      </c>
      <c r="M105" s="34">
        <v>0.25</v>
      </c>
      <c r="N105" s="35">
        <f t="shared" si="28"/>
        <v>443.75</v>
      </c>
      <c r="O105" s="35">
        <f t="shared" si="29"/>
        <v>2218.75</v>
      </c>
      <c r="AB105" s="13"/>
      <c r="AC105" s="13"/>
      <c r="AD105" s="13"/>
      <c r="AE105" s="13"/>
    </row>
    <row r="106">
      <c r="A106" s="10" t="s">
        <v>29</v>
      </c>
      <c r="B106" s="10" t="s">
        <v>10</v>
      </c>
      <c r="C106" s="10" t="s">
        <v>11</v>
      </c>
      <c r="D106" s="10" t="s">
        <v>107</v>
      </c>
      <c r="E106" s="10" t="s">
        <v>204</v>
      </c>
      <c r="F106" s="10" t="s">
        <v>99</v>
      </c>
      <c r="G106" s="10" t="s">
        <v>358</v>
      </c>
      <c r="H106" s="10" t="s">
        <v>486</v>
      </c>
      <c r="I106" s="10" t="s">
        <v>550</v>
      </c>
      <c r="J106" s="35">
        <f>J73+50</f>
        <v>1150</v>
      </c>
      <c r="K106" s="33"/>
      <c r="L106" s="33">
        <f t="shared" si="27"/>
        <v>1150</v>
      </c>
      <c r="M106" s="34">
        <v>0.25</v>
      </c>
      <c r="N106" s="35">
        <f t="shared" si="28"/>
        <v>287.5</v>
      </c>
      <c r="O106" s="35">
        <f t="shared" si="29"/>
        <v>1437.5</v>
      </c>
      <c r="AB106" s="13"/>
      <c r="AC106" s="13"/>
      <c r="AD106" s="13"/>
      <c r="AE106" s="13"/>
    </row>
    <row r="107">
      <c r="A107" s="10"/>
      <c r="B107" s="10"/>
      <c r="H107" s="10"/>
      <c r="I107" s="10" t="s">
        <v>551</v>
      </c>
      <c r="J107" s="13"/>
      <c r="K107" s="10"/>
      <c r="L107" s="10"/>
      <c r="M107" s="34"/>
      <c r="N107" s="35"/>
      <c r="O107" s="35"/>
      <c r="AB107" s="13"/>
      <c r="AC107" s="13"/>
      <c r="AD107" s="13"/>
      <c r="AE107" s="13"/>
    </row>
    <row r="108">
      <c r="A108" s="10"/>
      <c r="B108" s="10"/>
      <c r="H108" s="10"/>
      <c r="I108" s="10" t="s">
        <v>552</v>
      </c>
      <c r="J108" s="13"/>
      <c r="K108" s="10"/>
      <c r="L108" s="10"/>
      <c r="M108" s="34"/>
      <c r="N108" s="35"/>
      <c r="O108" s="35"/>
      <c r="AB108" s="13"/>
      <c r="AC108" s="13"/>
      <c r="AD108" s="13"/>
      <c r="AE108" s="13"/>
    </row>
    <row r="109">
      <c r="A109" s="10"/>
      <c r="B109" s="10"/>
      <c r="H109" s="10"/>
      <c r="I109" s="10" t="s">
        <v>553</v>
      </c>
      <c r="J109" s="13"/>
      <c r="K109" s="10"/>
      <c r="L109" s="10"/>
      <c r="M109" s="34"/>
      <c r="N109" s="35"/>
      <c r="O109" s="35"/>
      <c r="AB109" s="13"/>
      <c r="AC109" s="13"/>
      <c r="AD109" s="13"/>
      <c r="AE109" s="13"/>
    </row>
    <row r="110">
      <c r="A110" s="10"/>
      <c r="B110" s="10"/>
      <c r="H110" s="10"/>
      <c r="I110" s="10" t="s">
        <v>554</v>
      </c>
      <c r="J110" s="13"/>
      <c r="K110" s="10"/>
      <c r="L110" s="10"/>
      <c r="M110" s="34"/>
      <c r="N110" s="35"/>
      <c r="O110" s="35"/>
      <c r="AB110" s="13"/>
      <c r="AC110" s="13"/>
      <c r="AD110" s="13"/>
      <c r="AE110" s="13"/>
    </row>
    <row r="111">
      <c r="A111" s="7" t="s">
        <v>397</v>
      </c>
      <c r="K111" s="10"/>
      <c r="L111" s="10">
        <f t="shared" ref="L111:L126" si="32">J111+K111</f>
        <v>0</v>
      </c>
      <c r="M111" s="34">
        <v>0.25</v>
      </c>
      <c r="N111" s="35">
        <f t="shared" ref="N111:N126" si="33">L111*M111</f>
        <v>0</v>
      </c>
      <c r="O111" s="35">
        <f t="shared" ref="O111:O126" si="34">L111+N111</f>
        <v>0</v>
      </c>
      <c r="P111" s="4"/>
      <c r="Q111" s="4"/>
      <c r="R111" s="6"/>
      <c r="S111" s="6"/>
      <c r="T111" s="6"/>
      <c r="U111" s="6"/>
      <c r="V111" s="6"/>
      <c r="W111" s="6"/>
      <c r="X111" s="6"/>
      <c r="Y111" s="6"/>
      <c r="Z111" s="6"/>
      <c r="AA111" s="6"/>
      <c r="AB111" s="6"/>
      <c r="AC111" s="6"/>
      <c r="AD111" s="6"/>
      <c r="AE111" s="6"/>
    </row>
    <row r="112">
      <c r="A112" s="10" t="s">
        <v>29</v>
      </c>
      <c r="B112" s="4" t="s">
        <v>1</v>
      </c>
      <c r="C112" s="4" t="s">
        <v>2</v>
      </c>
      <c r="D112" s="4" t="s">
        <v>3</v>
      </c>
      <c r="E112" s="4" t="s">
        <v>32</v>
      </c>
      <c r="F112" s="4" t="s">
        <v>4</v>
      </c>
      <c r="G112" s="4" t="s">
        <v>6</v>
      </c>
      <c r="H112" s="4" t="s">
        <v>5</v>
      </c>
      <c r="I112" s="4"/>
      <c r="J112" s="4" t="s">
        <v>34</v>
      </c>
      <c r="K112" s="10"/>
      <c r="L112" s="10" t="str">
        <f t="shared" si="32"/>
        <v>#VALUE!</v>
      </c>
      <c r="M112" s="34">
        <v>0.25</v>
      </c>
      <c r="N112" s="35" t="str">
        <f t="shared" si="33"/>
        <v>#VALUE!</v>
      </c>
      <c r="O112" s="35" t="str">
        <f t="shared" si="34"/>
        <v>#VALUE!</v>
      </c>
      <c r="P112" s="4"/>
      <c r="Q112" s="4"/>
      <c r="R112" s="6"/>
      <c r="S112" s="6"/>
      <c r="T112" s="6"/>
      <c r="U112" s="6"/>
      <c r="V112" s="6"/>
      <c r="W112" s="6"/>
      <c r="X112" s="6"/>
      <c r="Y112" s="6"/>
      <c r="Z112" s="6"/>
      <c r="AA112" s="6"/>
      <c r="AB112" s="6"/>
      <c r="AC112" s="6"/>
      <c r="AD112" s="6"/>
      <c r="AE112" s="6"/>
    </row>
    <row r="113" ht="37.5" customHeight="1">
      <c r="A113" s="10" t="s">
        <v>29</v>
      </c>
      <c r="B113" s="10" t="s">
        <v>10</v>
      </c>
      <c r="C113" s="10" t="s">
        <v>11</v>
      </c>
      <c r="D113" s="10" t="s">
        <v>40</v>
      </c>
      <c r="E113" s="10" t="s">
        <v>41</v>
      </c>
      <c r="F113" s="10" t="s">
        <v>42</v>
      </c>
      <c r="G113" s="10" t="s">
        <v>555</v>
      </c>
      <c r="H113" s="11" t="s">
        <v>461</v>
      </c>
      <c r="I113" s="11"/>
      <c r="J113" s="33">
        <f>J80+50</f>
        <v>1865</v>
      </c>
      <c r="K113" s="33"/>
      <c r="L113" s="33">
        <f t="shared" si="32"/>
        <v>1865</v>
      </c>
      <c r="M113" s="34">
        <v>0.25</v>
      </c>
      <c r="N113" s="35">
        <f t="shared" si="33"/>
        <v>466.25</v>
      </c>
      <c r="O113" s="35">
        <f t="shared" si="34"/>
        <v>2331.25</v>
      </c>
      <c r="P113" s="10"/>
      <c r="Q113" s="13"/>
      <c r="R113" s="13"/>
      <c r="S113" s="13"/>
      <c r="T113" s="13"/>
      <c r="U113" s="13"/>
      <c r="V113" s="13"/>
      <c r="W113" s="13"/>
      <c r="X113" s="13"/>
      <c r="Y113" s="13"/>
      <c r="Z113" s="13"/>
      <c r="AA113" s="13"/>
      <c r="AB113" s="13"/>
      <c r="AC113" s="13"/>
      <c r="AD113" s="13"/>
      <c r="AE113" s="13"/>
    </row>
    <row r="114">
      <c r="A114" s="10" t="s">
        <v>29</v>
      </c>
      <c r="B114" s="10" t="s">
        <v>10</v>
      </c>
      <c r="C114" s="10" t="s">
        <v>11</v>
      </c>
      <c r="D114" s="10" t="s">
        <v>40</v>
      </c>
      <c r="E114" s="10" t="s">
        <v>41</v>
      </c>
      <c r="F114" s="10" t="s">
        <v>42</v>
      </c>
      <c r="G114" s="11" t="s">
        <v>399</v>
      </c>
      <c r="H114" s="11" t="s">
        <v>466</v>
      </c>
      <c r="I114" s="11"/>
      <c r="J114" s="33">
        <f t="shared" ref="J114:J115" si="35">J84+50</f>
        <v>2245</v>
      </c>
      <c r="K114" s="33"/>
      <c r="L114" s="33">
        <f t="shared" si="32"/>
        <v>2245</v>
      </c>
      <c r="M114" s="34">
        <v>0.25</v>
      </c>
      <c r="N114" s="35">
        <f t="shared" si="33"/>
        <v>561.25</v>
      </c>
      <c r="O114" s="35">
        <f t="shared" si="34"/>
        <v>2806.25</v>
      </c>
      <c r="P114" s="13"/>
      <c r="Q114" s="13"/>
      <c r="R114" s="13"/>
      <c r="S114" s="13"/>
      <c r="T114" s="13"/>
      <c r="U114" s="13"/>
      <c r="V114" s="13"/>
      <c r="W114" s="13"/>
      <c r="X114" s="13"/>
      <c r="Y114" s="13"/>
      <c r="Z114" s="13"/>
      <c r="AA114" s="13"/>
      <c r="AB114" s="13"/>
      <c r="AC114" s="13"/>
      <c r="AD114" s="13"/>
      <c r="AE114" s="13"/>
    </row>
    <row r="115">
      <c r="A115" s="10" t="s">
        <v>29</v>
      </c>
      <c r="B115" s="10" t="s">
        <v>10</v>
      </c>
      <c r="C115" s="10" t="s">
        <v>11</v>
      </c>
      <c r="D115" s="10" t="s">
        <v>40</v>
      </c>
      <c r="E115" s="10" t="s">
        <v>41</v>
      </c>
      <c r="F115" s="10" t="s">
        <v>42</v>
      </c>
      <c r="G115" s="11" t="s">
        <v>400</v>
      </c>
      <c r="H115" s="11" t="s">
        <v>466</v>
      </c>
      <c r="I115" s="11"/>
      <c r="J115" s="33">
        <f t="shared" si="35"/>
        <v>2365</v>
      </c>
      <c r="K115" s="33"/>
      <c r="L115" s="33">
        <f t="shared" si="32"/>
        <v>2365</v>
      </c>
      <c r="M115" s="34">
        <v>0.25</v>
      </c>
      <c r="N115" s="35">
        <f t="shared" si="33"/>
        <v>591.25</v>
      </c>
      <c r="O115" s="35">
        <f t="shared" si="34"/>
        <v>2956.25</v>
      </c>
      <c r="P115" s="13"/>
      <c r="Q115" s="13"/>
      <c r="R115" s="13"/>
      <c r="S115" s="13"/>
      <c r="T115" s="13"/>
      <c r="U115" s="13"/>
      <c r="V115" s="13"/>
      <c r="W115" s="13"/>
      <c r="X115" s="13"/>
      <c r="Y115" s="13"/>
      <c r="Z115" s="13"/>
      <c r="AA115" s="13"/>
      <c r="AB115" s="13"/>
      <c r="AC115" s="13"/>
      <c r="AD115" s="13"/>
      <c r="AE115" s="13"/>
    </row>
    <row r="116">
      <c r="A116" s="10" t="s">
        <v>29</v>
      </c>
      <c r="B116" s="10" t="s">
        <v>10</v>
      </c>
      <c r="C116" s="10" t="s">
        <v>11</v>
      </c>
      <c r="D116" s="10" t="s">
        <v>170</v>
      </c>
      <c r="E116" s="10" t="s">
        <v>87</v>
      </c>
      <c r="F116" s="10" t="s">
        <v>83</v>
      </c>
      <c r="G116" s="11" t="s">
        <v>401</v>
      </c>
      <c r="H116" s="11" t="s">
        <v>476</v>
      </c>
      <c r="I116" s="11"/>
      <c r="J116" s="33">
        <f t="shared" ref="J116:J123" si="36">J99+50</f>
        <v>1615</v>
      </c>
      <c r="K116" s="33"/>
      <c r="L116" s="33">
        <f t="shared" si="32"/>
        <v>1615</v>
      </c>
      <c r="M116" s="34">
        <v>0.25</v>
      </c>
      <c r="N116" s="35">
        <f t="shared" si="33"/>
        <v>403.75</v>
      </c>
      <c r="O116" s="35">
        <f t="shared" si="34"/>
        <v>2018.75</v>
      </c>
      <c r="P116" s="13"/>
      <c r="Q116" s="13"/>
      <c r="R116" s="13"/>
      <c r="S116" s="13"/>
      <c r="T116" s="13"/>
      <c r="U116" s="13"/>
      <c r="V116" s="13"/>
      <c r="W116" s="13"/>
      <c r="X116" s="13"/>
      <c r="Y116" s="13"/>
      <c r="Z116" s="13"/>
      <c r="AA116" s="13"/>
      <c r="AB116" s="13"/>
      <c r="AC116" s="13"/>
      <c r="AD116" s="13"/>
      <c r="AE116" s="13"/>
    </row>
    <row r="117">
      <c r="A117" s="10" t="s">
        <v>29</v>
      </c>
      <c r="B117" s="10" t="s">
        <v>10</v>
      </c>
      <c r="C117" s="10" t="s">
        <v>11</v>
      </c>
      <c r="D117" s="10" t="s">
        <v>91</v>
      </c>
      <c r="E117" s="10" t="s">
        <v>87</v>
      </c>
      <c r="F117" s="10" t="s">
        <v>83</v>
      </c>
      <c r="G117" s="10" t="s">
        <v>401</v>
      </c>
      <c r="H117" s="11" t="s">
        <v>476</v>
      </c>
      <c r="I117" s="11"/>
      <c r="J117" s="33">
        <f t="shared" si="36"/>
        <v>1865</v>
      </c>
      <c r="K117" s="33"/>
      <c r="L117" s="33">
        <f t="shared" si="32"/>
        <v>1865</v>
      </c>
      <c r="M117" s="34">
        <v>0.25</v>
      </c>
      <c r="N117" s="35">
        <f t="shared" si="33"/>
        <v>466.25</v>
      </c>
      <c r="O117" s="35">
        <f t="shared" si="34"/>
        <v>2331.25</v>
      </c>
      <c r="P117" s="13"/>
      <c r="Q117" s="13"/>
      <c r="R117" s="13"/>
      <c r="S117" s="13"/>
      <c r="T117" s="13"/>
      <c r="U117" s="13"/>
      <c r="V117" s="13"/>
      <c r="W117" s="13"/>
      <c r="X117" s="13"/>
      <c r="Y117" s="13"/>
      <c r="Z117" s="13"/>
      <c r="AA117" s="13"/>
      <c r="AB117" s="13"/>
      <c r="AC117" s="13"/>
      <c r="AD117" s="13"/>
      <c r="AE117" s="13"/>
    </row>
    <row r="118">
      <c r="A118" s="10" t="s">
        <v>29</v>
      </c>
      <c r="B118" s="10" t="s">
        <v>10</v>
      </c>
      <c r="C118" s="10" t="s">
        <v>11</v>
      </c>
      <c r="D118" s="10" t="s">
        <v>93</v>
      </c>
      <c r="E118" s="10" t="s">
        <v>94</v>
      </c>
      <c r="F118" s="10" t="s">
        <v>42</v>
      </c>
      <c r="G118" s="10" t="s">
        <v>556</v>
      </c>
      <c r="H118" s="10" t="s">
        <v>479</v>
      </c>
      <c r="I118" s="10"/>
      <c r="J118" s="33">
        <f t="shared" si="36"/>
        <v>1108</v>
      </c>
      <c r="K118" s="33"/>
      <c r="L118" s="33">
        <f t="shared" si="32"/>
        <v>1108</v>
      </c>
      <c r="M118" s="34">
        <v>0.25</v>
      </c>
      <c r="N118" s="35">
        <f t="shared" si="33"/>
        <v>277</v>
      </c>
      <c r="O118" s="35">
        <f t="shared" si="34"/>
        <v>1385</v>
      </c>
      <c r="P118" s="13"/>
      <c r="Q118" s="13"/>
      <c r="R118" s="13"/>
      <c r="S118" s="13"/>
      <c r="T118" s="13"/>
      <c r="U118" s="13"/>
      <c r="V118" s="13"/>
      <c r="W118" s="13"/>
      <c r="X118" s="13"/>
      <c r="Y118" s="13"/>
      <c r="Z118" s="13"/>
      <c r="AA118" s="13"/>
      <c r="AB118" s="13"/>
      <c r="AC118" s="13"/>
      <c r="AD118" s="13"/>
      <c r="AE118" s="13"/>
    </row>
    <row r="119">
      <c r="A119" s="10" t="s">
        <v>29</v>
      </c>
      <c r="B119" s="10" t="s">
        <v>10</v>
      </c>
      <c r="C119" s="10" t="s">
        <v>11</v>
      </c>
      <c r="D119" s="10" t="s">
        <v>97</v>
      </c>
      <c r="E119" s="10" t="s">
        <v>98</v>
      </c>
      <c r="F119" s="10" t="s">
        <v>99</v>
      </c>
      <c r="G119" s="10" t="s">
        <v>403</v>
      </c>
      <c r="H119" s="10" t="s">
        <v>480</v>
      </c>
      <c r="I119" s="10"/>
      <c r="J119" s="33">
        <f t="shared" si="36"/>
        <v>1025</v>
      </c>
      <c r="K119" s="33"/>
      <c r="L119" s="33">
        <f t="shared" si="32"/>
        <v>1025</v>
      </c>
      <c r="M119" s="34">
        <v>0.25</v>
      </c>
      <c r="N119" s="35">
        <f t="shared" si="33"/>
        <v>256.25</v>
      </c>
      <c r="O119" s="35">
        <f t="shared" si="34"/>
        <v>1281.25</v>
      </c>
      <c r="P119" s="13"/>
      <c r="Q119" s="13"/>
      <c r="R119" s="13"/>
      <c r="S119" s="13"/>
      <c r="T119" s="13"/>
      <c r="U119" s="13"/>
      <c r="V119" s="13"/>
      <c r="W119" s="13"/>
      <c r="X119" s="13"/>
      <c r="Y119" s="13"/>
      <c r="Z119" s="13"/>
      <c r="AA119" s="13"/>
      <c r="AB119" s="13"/>
      <c r="AC119" s="13"/>
      <c r="AD119" s="13"/>
      <c r="AE119" s="13"/>
    </row>
    <row r="120">
      <c r="A120" s="10" t="s">
        <v>29</v>
      </c>
      <c r="B120" s="10" t="s">
        <v>10</v>
      </c>
      <c r="C120" s="10" t="s">
        <v>11</v>
      </c>
      <c r="D120" s="10" t="s">
        <v>97</v>
      </c>
      <c r="E120" s="10" t="s">
        <v>102</v>
      </c>
      <c r="F120" s="10" t="s">
        <v>99</v>
      </c>
      <c r="G120" s="10" t="s">
        <v>403</v>
      </c>
      <c r="H120" s="10" t="s">
        <v>480</v>
      </c>
      <c r="I120" s="10"/>
      <c r="J120" s="33">
        <f t="shared" si="36"/>
        <v>1025</v>
      </c>
      <c r="K120" s="33"/>
      <c r="L120" s="33">
        <f t="shared" si="32"/>
        <v>1025</v>
      </c>
      <c r="M120" s="34">
        <v>0.25</v>
      </c>
      <c r="N120" s="35">
        <f t="shared" si="33"/>
        <v>256.25</v>
      </c>
      <c r="O120" s="35">
        <f t="shared" si="34"/>
        <v>1281.25</v>
      </c>
      <c r="P120" s="13"/>
      <c r="Q120" s="13"/>
      <c r="R120" s="13"/>
      <c r="S120" s="13"/>
      <c r="T120" s="13"/>
      <c r="U120" s="13"/>
      <c r="V120" s="13"/>
      <c r="W120" s="13"/>
      <c r="X120" s="13"/>
      <c r="Y120" s="13"/>
      <c r="Z120" s="13"/>
      <c r="AA120" s="13"/>
      <c r="AB120" s="13"/>
      <c r="AC120" s="13"/>
      <c r="AD120" s="13"/>
      <c r="AE120" s="13"/>
    </row>
    <row r="121">
      <c r="A121" s="10" t="s">
        <v>29</v>
      </c>
      <c r="B121" s="10" t="s">
        <v>10</v>
      </c>
      <c r="C121" s="10" t="s">
        <v>11</v>
      </c>
      <c r="D121" s="10" t="s">
        <v>97</v>
      </c>
      <c r="E121" s="10" t="s">
        <v>103</v>
      </c>
      <c r="F121" s="10" t="s">
        <v>99</v>
      </c>
      <c r="G121" s="10" t="s">
        <v>403</v>
      </c>
      <c r="H121" s="10" t="s">
        <v>480</v>
      </c>
      <c r="I121" s="10"/>
      <c r="J121" s="33">
        <f t="shared" si="36"/>
        <v>1175</v>
      </c>
      <c r="K121" s="33"/>
      <c r="L121" s="33">
        <f t="shared" si="32"/>
        <v>1175</v>
      </c>
      <c r="M121" s="34">
        <v>0.25</v>
      </c>
      <c r="N121" s="35">
        <f t="shared" si="33"/>
        <v>293.75</v>
      </c>
      <c r="O121" s="35">
        <f t="shared" si="34"/>
        <v>1468.75</v>
      </c>
      <c r="P121" s="13"/>
      <c r="Q121" s="13"/>
      <c r="R121" s="13"/>
      <c r="S121" s="13"/>
      <c r="T121" s="13"/>
      <c r="U121" s="13"/>
      <c r="V121" s="13"/>
      <c r="W121" s="13"/>
      <c r="X121" s="13"/>
      <c r="Y121" s="13"/>
      <c r="Z121" s="13"/>
      <c r="AA121" s="13"/>
      <c r="AB121" s="13"/>
      <c r="AC121" s="13"/>
      <c r="AD121" s="13"/>
      <c r="AE121" s="13"/>
    </row>
    <row r="122">
      <c r="A122" s="10" t="s">
        <v>29</v>
      </c>
      <c r="B122" s="10" t="s">
        <v>10</v>
      </c>
      <c r="C122" s="10" t="s">
        <v>11</v>
      </c>
      <c r="D122" s="10" t="s">
        <v>104</v>
      </c>
      <c r="E122" s="10" t="s">
        <v>105</v>
      </c>
      <c r="F122" s="10" t="s">
        <v>99</v>
      </c>
      <c r="G122" s="10" t="s">
        <v>403</v>
      </c>
      <c r="H122" s="10" t="s">
        <v>484</v>
      </c>
      <c r="I122" s="10"/>
      <c r="J122" s="33">
        <f t="shared" si="36"/>
        <v>1825</v>
      </c>
      <c r="K122" s="33"/>
      <c r="L122" s="33">
        <f t="shared" si="32"/>
        <v>1825</v>
      </c>
      <c r="M122" s="34">
        <v>0.25</v>
      </c>
      <c r="N122" s="35">
        <f t="shared" si="33"/>
        <v>456.25</v>
      </c>
      <c r="O122" s="35">
        <f t="shared" si="34"/>
        <v>2281.25</v>
      </c>
      <c r="P122" s="13"/>
      <c r="Q122" s="13"/>
      <c r="R122" s="13"/>
      <c r="S122" s="13"/>
      <c r="T122" s="13"/>
      <c r="U122" s="13"/>
      <c r="V122" s="13"/>
      <c r="W122" s="13"/>
      <c r="X122" s="13"/>
      <c r="Y122" s="13"/>
      <c r="Z122" s="13"/>
      <c r="AA122" s="13"/>
      <c r="AB122" s="13"/>
      <c r="AC122" s="13"/>
      <c r="AD122" s="13"/>
      <c r="AE122" s="13"/>
    </row>
    <row r="123">
      <c r="A123" s="10" t="s">
        <v>29</v>
      </c>
      <c r="B123" s="10" t="s">
        <v>10</v>
      </c>
      <c r="C123" s="10" t="s">
        <v>11</v>
      </c>
      <c r="D123" s="10" t="s">
        <v>107</v>
      </c>
      <c r="E123" s="10" t="s">
        <v>204</v>
      </c>
      <c r="F123" s="10" t="s">
        <v>99</v>
      </c>
      <c r="G123" s="10" t="s">
        <v>403</v>
      </c>
      <c r="H123" s="10" t="s">
        <v>486</v>
      </c>
      <c r="I123" s="10"/>
      <c r="J123" s="33">
        <f t="shared" si="36"/>
        <v>1200</v>
      </c>
      <c r="K123" s="33"/>
      <c r="L123" s="33">
        <f t="shared" si="32"/>
        <v>1200</v>
      </c>
      <c r="M123" s="34">
        <v>0.25</v>
      </c>
      <c r="N123" s="35">
        <f t="shared" si="33"/>
        <v>300</v>
      </c>
      <c r="O123" s="35">
        <f t="shared" si="34"/>
        <v>1500</v>
      </c>
      <c r="P123" s="13"/>
      <c r="Q123" s="13"/>
      <c r="R123" s="13"/>
      <c r="S123" s="13"/>
      <c r="T123" s="13"/>
      <c r="U123" s="13"/>
      <c r="V123" s="13"/>
      <c r="W123" s="13"/>
      <c r="X123" s="13"/>
      <c r="Y123" s="13"/>
      <c r="Z123" s="13"/>
      <c r="AA123" s="13"/>
      <c r="AB123" s="13"/>
      <c r="AC123" s="13"/>
      <c r="AD123" s="13"/>
      <c r="AE123" s="13"/>
    </row>
    <row r="124">
      <c r="A124" s="7" t="s">
        <v>420</v>
      </c>
      <c r="K124" s="10"/>
      <c r="L124" s="10">
        <f t="shared" si="32"/>
        <v>0</v>
      </c>
      <c r="M124" s="34">
        <v>0.25</v>
      </c>
      <c r="N124" s="35">
        <f t="shared" si="33"/>
        <v>0</v>
      </c>
      <c r="O124" s="35">
        <f t="shared" si="34"/>
        <v>0</v>
      </c>
      <c r="P124" s="4"/>
      <c r="Q124" s="4"/>
      <c r="R124" s="6"/>
      <c r="S124" s="6"/>
      <c r="T124" s="6"/>
      <c r="U124" s="6"/>
      <c r="V124" s="6"/>
      <c r="W124" s="6"/>
      <c r="X124" s="6"/>
      <c r="Y124" s="6"/>
      <c r="Z124" s="6"/>
      <c r="AA124" s="6"/>
      <c r="AB124" s="6"/>
      <c r="AC124" s="6"/>
      <c r="AD124" s="6"/>
      <c r="AE124" s="6"/>
    </row>
    <row r="125">
      <c r="A125" s="10" t="s">
        <v>29</v>
      </c>
      <c r="B125" s="4" t="s">
        <v>1</v>
      </c>
      <c r="C125" s="4" t="s">
        <v>2</v>
      </c>
      <c r="D125" s="4" t="s">
        <v>3</v>
      </c>
      <c r="E125" s="4" t="s">
        <v>32</v>
      </c>
      <c r="F125" s="4" t="s">
        <v>4</v>
      </c>
      <c r="G125" s="4" t="s">
        <v>6</v>
      </c>
      <c r="H125" s="4" t="s">
        <v>5</v>
      </c>
      <c r="I125" s="4"/>
      <c r="J125" s="4" t="s">
        <v>34</v>
      </c>
      <c r="K125" s="10"/>
      <c r="L125" s="10" t="str">
        <f t="shared" si="32"/>
        <v>#VALUE!</v>
      </c>
      <c r="M125" s="34">
        <v>0.25</v>
      </c>
      <c r="N125" s="35" t="str">
        <f t="shared" si="33"/>
        <v>#VALUE!</v>
      </c>
      <c r="O125" s="35" t="str">
        <f t="shared" si="34"/>
        <v>#VALUE!</v>
      </c>
      <c r="P125" s="4"/>
      <c r="Q125" s="4"/>
      <c r="R125" s="6"/>
      <c r="S125" s="6"/>
      <c r="T125" s="6"/>
      <c r="U125" s="6"/>
      <c r="V125" s="6"/>
      <c r="W125" s="6"/>
      <c r="X125" s="6"/>
      <c r="Y125" s="6"/>
      <c r="Z125" s="6"/>
      <c r="AA125" s="6"/>
      <c r="AB125" s="6"/>
      <c r="AC125" s="6"/>
      <c r="AD125" s="6"/>
      <c r="AE125" s="6"/>
    </row>
    <row r="126" ht="37.5" customHeight="1">
      <c r="A126" s="10" t="s">
        <v>29</v>
      </c>
      <c r="B126" s="10" t="s">
        <v>10</v>
      </c>
      <c r="C126" s="10" t="s">
        <v>11</v>
      </c>
      <c r="D126" s="10" t="s">
        <v>40</v>
      </c>
      <c r="E126" s="10" t="s">
        <v>41</v>
      </c>
      <c r="F126" s="10" t="s">
        <v>42</v>
      </c>
      <c r="G126" s="10" t="s">
        <v>557</v>
      </c>
      <c r="H126" s="11" t="s">
        <v>558</v>
      </c>
      <c r="I126" s="10" t="s">
        <v>559</v>
      </c>
      <c r="J126" s="33">
        <f>J113+75</f>
        <v>1940</v>
      </c>
      <c r="K126" s="33"/>
      <c r="L126" s="33">
        <f t="shared" si="32"/>
        <v>1940</v>
      </c>
      <c r="M126" s="34">
        <v>0.25</v>
      </c>
      <c r="N126" s="35">
        <f t="shared" si="33"/>
        <v>485</v>
      </c>
      <c r="O126" s="35">
        <f t="shared" si="34"/>
        <v>2425</v>
      </c>
      <c r="P126" s="10"/>
      <c r="Q126" s="13"/>
      <c r="R126" s="13"/>
      <c r="S126" s="13"/>
      <c r="T126" s="13"/>
      <c r="U126" s="13"/>
      <c r="V126" s="13"/>
      <c r="W126" s="13"/>
      <c r="X126" s="13"/>
      <c r="Y126" s="13"/>
      <c r="Z126" s="13"/>
      <c r="AA126" s="13"/>
      <c r="AB126" s="13"/>
      <c r="AC126" s="13"/>
      <c r="AD126" s="13"/>
      <c r="AE126" s="13"/>
    </row>
    <row r="127" ht="37.5" customHeight="1">
      <c r="A127" s="10"/>
      <c r="B127" s="10"/>
      <c r="H127" s="11"/>
      <c r="I127" s="10" t="s">
        <v>560</v>
      </c>
      <c r="J127" s="33"/>
      <c r="K127" s="33"/>
      <c r="L127" s="33"/>
      <c r="M127" s="34"/>
      <c r="N127" s="35"/>
      <c r="O127" s="35"/>
      <c r="P127" s="10"/>
      <c r="Q127" s="13"/>
      <c r="R127" s="13"/>
      <c r="S127" s="13"/>
      <c r="T127" s="13"/>
      <c r="U127" s="13"/>
      <c r="V127" s="13"/>
      <c r="W127" s="13"/>
      <c r="X127" s="13"/>
      <c r="Y127" s="13"/>
      <c r="Z127" s="13"/>
      <c r="AA127" s="13"/>
      <c r="AB127" s="13"/>
      <c r="AC127" s="13"/>
      <c r="AD127" s="13"/>
      <c r="AE127" s="13"/>
    </row>
    <row r="128" ht="37.5" customHeight="1">
      <c r="A128" s="10"/>
      <c r="B128" s="10"/>
      <c r="H128" s="11"/>
      <c r="I128" s="10" t="s">
        <v>561</v>
      </c>
      <c r="J128" s="33"/>
      <c r="K128" s="33"/>
      <c r="L128" s="33"/>
      <c r="M128" s="34"/>
      <c r="N128" s="35"/>
      <c r="O128" s="35"/>
      <c r="P128" s="10"/>
      <c r="Q128" s="13"/>
      <c r="R128" s="13"/>
      <c r="S128" s="13"/>
      <c r="T128" s="13"/>
      <c r="U128" s="13"/>
      <c r="V128" s="13"/>
      <c r="W128" s="13"/>
      <c r="X128" s="13"/>
      <c r="Y128" s="13"/>
      <c r="Z128" s="13"/>
      <c r="AA128" s="13"/>
      <c r="AB128" s="13"/>
      <c r="AC128" s="13"/>
      <c r="AD128" s="13"/>
      <c r="AE128" s="13"/>
    </row>
    <row r="129" ht="37.5" customHeight="1">
      <c r="A129" s="10"/>
      <c r="B129" s="10"/>
      <c r="H129" s="11"/>
      <c r="I129" s="10" t="s">
        <v>562</v>
      </c>
      <c r="J129" s="33"/>
      <c r="K129" s="33"/>
      <c r="L129" s="33"/>
      <c r="M129" s="34"/>
      <c r="N129" s="35"/>
      <c r="O129" s="35"/>
      <c r="P129" s="10"/>
      <c r="Q129" s="13"/>
      <c r="R129" s="13"/>
      <c r="S129" s="13"/>
      <c r="T129" s="13"/>
      <c r="U129" s="13"/>
      <c r="V129" s="13"/>
      <c r="W129" s="13"/>
      <c r="X129" s="13"/>
      <c r="Y129" s="13"/>
      <c r="Z129" s="13"/>
      <c r="AA129" s="13"/>
      <c r="AB129" s="13"/>
      <c r="AC129" s="13"/>
      <c r="AD129" s="13"/>
      <c r="AE129" s="13"/>
    </row>
    <row r="130">
      <c r="A130" s="10" t="s">
        <v>29</v>
      </c>
      <c r="B130" s="10" t="s">
        <v>10</v>
      </c>
      <c r="C130" s="10" t="s">
        <v>11</v>
      </c>
      <c r="D130" s="10" t="s">
        <v>40</v>
      </c>
      <c r="E130" s="10" t="s">
        <v>41</v>
      </c>
      <c r="F130" s="10" t="s">
        <v>42</v>
      </c>
      <c r="G130" s="11" t="s">
        <v>427</v>
      </c>
      <c r="H130" s="11" t="s">
        <v>563</v>
      </c>
      <c r="I130" s="10" t="s">
        <v>564</v>
      </c>
      <c r="J130" s="33">
        <f>J114+75</f>
        <v>2320</v>
      </c>
      <c r="K130" s="33"/>
      <c r="L130" s="33">
        <f>J130+K130</f>
        <v>2320</v>
      </c>
      <c r="M130" s="34">
        <v>0.25</v>
      </c>
      <c r="N130" s="35">
        <f>L130*M130</f>
        <v>580</v>
      </c>
      <c r="O130" s="35">
        <f>L130+N130</f>
        <v>2900</v>
      </c>
      <c r="P130" s="13"/>
      <c r="Q130" s="13"/>
      <c r="R130" s="13"/>
      <c r="S130" s="13"/>
      <c r="T130" s="13"/>
      <c r="U130" s="13"/>
      <c r="V130" s="13"/>
      <c r="W130" s="13"/>
      <c r="X130" s="13"/>
      <c r="Y130" s="13"/>
      <c r="Z130" s="13"/>
      <c r="AA130" s="13"/>
      <c r="AB130" s="13"/>
      <c r="AC130" s="13"/>
      <c r="AD130" s="13"/>
      <c r="AE130" s="13"/>
    </row>
    <row r="131">
      <c r="A131" s="10"/>
      <c r="B131" s="10"/>
      <c r="H131" s="11"/>
      <c r="I131" s="10" t="s">
        <v>565</v>
      </c>
      <c r="J131" s="33"/>
      <c r="K131" s="33"/>
      <c r="L131" s="33"/>
      <c r="M131" s="34"/>
      <c r="N131" s="35"/>
      <c r="O131" s="35"/>
      <c r="P131" s="13"/>
      <c r="Q131" s="13"/>
      <c r="R131" s="13"/>
      <c r="S131" s="13"/>
      <c r="T131" s="13"/>
      <c r="U131" s="13"/>
      <c r="V131" s="13"/>
      <c r="W131" s="13"/>
      <c r="X131" s="13"/>
      <c r="Y131" s="13"/>
      <c r="Z131" s="13"/>
      <c r="AA131" s="13"/>
      <c r="AB131" s="13"/>
      <c r="AC131" s="13"/>
      <c r="AD131" s="13"/>
      <c r="AE131" s="13"/>
    </row>
    <row r="132">
      <c r="A132" s="10"/>
      <c r="B132" s="10"/>
      <c r="H132" s="11"/>
      <c r="I132" s="10" t="s">
        <v>566</v>
      </c>
      <c r="J132" s="33"/>
      <c r="K132" s="33"/>
      <c r="L132" s="33"/>
      <c r="M132" s="34"/>
      <c r="N132" s="35"/>
      <c r="O132" s="35"/>
      <c r="P132" s="13"/>
      <c r="Q132" s="13"/>
      <c r="R132" s="13"/>
      <c r="S132" s="13"/>
      <c r="T132" s="13"/>
      <c r="U132" s="13"/>
      <c r="V132" s="13"/>
      <c r="W132" s="13"/>
      <c r="X132" s="13"/>
      <c r="Y132" s="13"/>
      <c r="Z132" s="13"/>
      <c r="AA132" s="13"/>
      <c r="AB132" s="13"/>
      <c r="AC132" s="13"/>
      <c r="AD132" s="13"/>
      <c r="AE132" s="13"/>
    </row>
    <row r="133">
      <c r="A133" s="10"/>
      <c r="B133" s="10"/>
      <c r="H133" s="11"/>
      <c r="I133" s="10" t="s">
        <v>567</v>
      </c>
      <c r="J133" s="33"/>
      <c r="K133" s="33"/>
      <c r="L133" s="33"/>
      <c r="M133" s="34"/>
      <c r="N133" s="35"/>
      <c r="O133" s="35"/>
      <c r="P133" s="13"/>
      <c r="Q133" s="13"/>
      <c r="R133" s="13"/>
      <c r="S133" s="13"/>
      <c r="T133" s="13"/>
      <c r="U133" s="13"/>
      <c r="V133" s="13"/>
      <c r="W133" s="13"/>
      <c r="X133" s="13"/>
      <c r="Y133" s="13"/>
      <c r="Z133" s="13"/>
      <c r="AA133" s="13"/>
      <c r="AB133" s="13"/>
      <c r="AC133" s="13"/>
      <c r="AD133" s="13"/>
      <c r="AE133" s="13"/>
    </row>
    <row r="134">
      <c r="A134" s="10" t="s">
        <v>29</v>
      </c>
      <c r="B134" s="10" t="s">
        <v>10</v>
      </c>
      <c r="C134" s="10" t="s">
        <v>11</v>
      </c>
      <c r="D134" s="10" t="s">
        <v>40</v>
      </c>
      <c r="E134" s="10" t="s">
        <v>41</v>
      </c>
      <c r="F134" s="10" t="s">
        <v>42</v>
      </c>
      <c r="G134" s="11" t="s">
        <v>429</v>
      </c>
      <c r="H134" s="11" t="s">
        <v>563</v>
      </c>
      <c r="I134" s="10" t="s">
        <v>568</v>
      </c>
      <c r="J134" s="33">
        <f>J115+75</f>
        <v>2440</v>
      </c>
      <c r="K134" s="33"/>
      <c r="L134" s="33">
        <f>J134+K134</f>
        <v>2440</v>
      </c>
      <c r="M134" s="34">
        <v>0.25</v>
      </c>
      <c r="N134" s="35">
        <f>L134*M134</f>
        <v>610</v>
      </c>
      <c r="O134" s="35">
        <f>L134+N134</f>
        <v>3050</v>
      </c>
      <c r="P134" s="13"/>
      <c r="Q134" s="13"/>
      <c r="R134" s="13"/>
      <c r="S134" s="13"/>
      <c r="T134" s="13"/>
      <c r="U134" s="13"/>
      <c r="V134" s="13"/>
      <c r="W134" s="13"/>
      <c r="X134" s="13"/>
      <c r="Y134" s="13"/>
      <c r="Z134" s="13"/>
      <c r="AA134" s="13"/>
      <c r="AB134" s="13"/>
      <c r="AC134" s="13"/>
      <c r="AD134" s="13"/>
      <c r="AE134" s="13"/>
    </row>
    <row r="135">
      <c r="A135" s="10"/>
      <c r="B135" s="10"/>
      <c r="H135" s="11"/>
      <c r="I135" s="10" t="s">
        <v>569</v>
      </c>
      <c r="J135" s="33"/>
      <c r="K135" s="33"/>
      <c r="L135" s="33"/>
      <c r="M135" s="34"/>
      <c r="N135" s="35"/>
      <c r="O135" s="35"/>
      <c r="P135" s="13"/>
      <c r="Q135" s="13"/>
      <c r="R135" s="13"/>
      <c r="S135" s="13"/>
      <c r="T135" s="13"/>
      <c r="U135" s="13"/>
      <c r="V135" s="13"/>
      <c r="W135" s="13"/>
      <c r="X135" s="13"/>
      <c r="Y135" s="13"/>
      <c r="Z135" s="13"/>
      <c r="AA135" s="13"/>
      <c r="AB135" s="13"/>
      <c r="AC135" s="13"/>
      <c r="AD135" s="13"/>
      <c r="AE135" s="13"/>
    </row>
    <row r="136">
      <c r="A136" s="10"/>
      <c r="B136" s="10"/>
      <c r="H136" s="11"/>
      <c r="I136" s="10" t="s">
        <v>570</v>
      </c>
      <c r="J136" s="33"/>
      <c r="K136" s="33"/>
      <c r="L136" s="33"/>
      <c r="M136" s="34"/>
      <c r="N136" s="35"/>
      <c r="O136" s="35"/>
      <c r="P136" s="13"/>
      <c r="Q136" s="13"/>
      <c r="R136" s="13"/>
      <c r="S136" s="13"/>
      <c r="T136" s="13"/>
      <c r="U136" s="13"/>
      <c r="V136" s="13"/>
      <c r="W136" s="13"/>
      <c r="X136" s="13"/>
      <c r="Y136" s="13"/>
      <c r="Z136" s="13"/>
      <c r="AA136" s="13"/>
      <c r="AB136" s="13"/>
      <c r="AC136" s="13"/>
      <c r="AD136" s="13"/>
      <c r="AE136" s="13"/>
    </row>
    <row r="137">
      <c r="A137" s="10"/>
      <c r="B137" s="10"/>
      <c r="H137" s="11"/>
      <c r="I137" s="10" t="s">
        <v>571</v>
      </c>
      <c r="J137" s="33"/>
      <c r="K137" s="33"/>
      <c r="L137" s="33"/>
      <c r="M137" s="34"/>
      <c r="N137" s="35"/>
      <c r="O137" s="35"/>
      <c r="P137" s="13"/>
      <c r="Q137" s="13"/>
      <c r="R137" s="13"/>
      <c r="S137" s="13"/>
      <c r="T137" s="13"/>
      <c r="U137" s="13"/>
      <c r="V137" s="13"/>
      <c r="W137" s="13"/>
      <c r="X137" s="13"/>
      <c r="Y137" s="13"/>
      <c r="Z137" s="13"/>
      <c r="AA137" s="13"/>
      <c r="AB137" s="13"/>
      <c r="AC137" s="13"/>
      <c r="AD137" s="13"/>
      <c r="AE137" s="13"/>
    </row>
    <row r="138">
      <c r="A138" s="10" t="s">
        <v>29</v>
      </c>
      <c r="B138" s="10" t="s">
        <v>10</v>
      </c>
      <c r="C138" s="10" t="s">
        <v>11</v>
      </c>
      <c r="D138" s="10" t="s">
        <v>40</v>
      </c>
      <c r="E138" s="10" t="s">
        <v>41</v>
      </c>
      <c r="F138" s="10" t="s">
        <v>42</v>
      </c>
      <c r="G138" s="11" t="s">
        <v>430</v>
      </c>
      <c r="H138" s="11" t="s">
        <v>572</v>
      </c>
      <c r="I138" s="10" t="s">
        <v>573</v>
      </c>
      <c r="J138" s="33">
        <v>2705.0</v>
      </c>
      <c r="K138" s="33"/>
      <c r="L138" s="33">
        <f>J138+K138</f>
        <v>2705</v>
      </c>
      <c r="M138" s="34">
        <v>0.25</v>
      </c>
      <c r="N138" s="35">
        <f>L138*M138</f>
        <v>676.25</v>
      </c>
      <c r="O138" s="35">
        <f>L138+N138</f>
        <v>3381.25</v>
      </c>
      <c r="P138" s="13"/>
      <c r="Q138" s="13"/>
      <c r="R138" s="13"/>
      <c r="S138" s="13"/>
      <c r="T138" s="13"/>
      <c r="U138" s="13"/>
      <c r="V138" s="13"/>
      <c r="W138" s="13"/>
      <c r="X138" s="13"/>
      <c r="Y138" s="13"/>
      <c r="Z138" s="13"/>
      <c r="AA138" s="13"/>
      <c r="AB138" s="13"/>
      <c r="AC138" s="13"/>
      <c r="AD138" s="13"/>
      <c r="AE138" s="13"/>
    </row>
    <row r="139">
      <c r="A139" s="10"/>
      <c r="B139" s="10"/>
      <c r="H139" s="11"/>
      <c r="I139" s="10" t="s">
        <v>574</v>
      </c>
      <c r="J139" s="33"/>
      <c r="K139" s="33"/>
      <c r="L139" s="33"/>
      <c r="M139" s="34"/>
      <c r="N139" s="35"/>
      <c r="O139" s="35"/>
      <c r="P139" s="13"/>
      <c r="Q139" s="13"/>
      <c r="R139" s="13"/>
      <c r="S139" s="13"/>
      <c r="T139" s="13"/>
      <c r="U139" s="13"/>
      <c r="V139" s="13"/>
      <c r="W139" s="13"/>
      <c r="X139" s="13"/>
      <c r="Y139" s="13"/>
      <c r="Z139" s="13"/>
      <c r="AA139" s="13"/>
      <c r="AB139" s="13"/>
      <c r="AC139" s="13"/>
      <c r="AD139" s="13"/>
      <c r="AE139" s="13"/>
    </row>
    <row r="140">
      <c r="A140" s="10"/>
      <c r="B140" s="10"/>
      <c r="H140" s="11"/>
      <c r="I140" s="10" t="s">
        <v>575</v>
      </c>
      <c r="J140" s="33"/>
      <c r="K140" s="33"/>
      <c r="L140" s="33"/>
      <c r="M140" s="34"/>
      <c r="N140" s="35"/>
      <c r="O140" s="35"/>
      <c r="P140" s="13"/>
      <c r="Q140" s="13"/>
      <c r="R140" s="13"/>
      <c r="S140" s="13"/>
      <c r="T140" s="13"/>
      <c r="U140" s="13"/>
      <c r="V140" s="13"/>
      <c r="W140" s="13"/>
      <c r="X140" s="13"/>
      <c r="Y140" s="13"/>
      <c r="Z140" s="13"/>
      <c r="AA140" s="13"/>
      <c r="AB140" s="13"/>
      <c r="AC140" s="13"/>
      <c r="AD140" s="13"/>
      <c r="AE140" s="13"/>
    </row>
    <row r="141">
      <c r="A141" s="10"/>
      <c r="B141" s="10"/>
      <c r="H141" s="11"/>
      <c r="I141" s="10" t="s">
        <v>576</v>
      </c>
      <c r="J141" s="33"/>
      <c r="K141" s="33"/>
      <c r="L141" s="33"/>
      <c r="M141" s="34"/>
      <c r="N141" s="35"/>
      <c r="O141" s="35"/>
      <c r="P141" s="13"/>
      <c r="Q141" s="13"/>
      <c r="R141" s="13"/>
      <c r="S141" s="13"/>
      <c r="T141" s="13"/>
      <c r="U141" s="13"/>
      <c r="V141" s="13"/>
      <c r="W141" s="13"/>
      <c r="X141" s="13"/>
      <c r="Y141" s="13"/>
      <c r="Z141" s="13"/>
      <c r="AA141" s="13"/>
      <c r="AB141" s="13"/>
      <c r="AC141" s="13"/>
      <c r="AD141" s="13"/>
      <c r="AE141" s="13"/>
    </row>
    <row r="142">
      <c r="A142" s="10" t="s">
        <v>29</v>
      </c>
      <c r="B142" s="10" t="s">
        <v>10</v>
      </c>
      <c r="C142" s="10" t="s">
        <v>11</v>
      </c>
      <c r="D142" s="10" t="s">
        <v>40</v>
      </c>
      <c r="E142" s="10" t="s">
        <v>41</v>
      </c>
      <c r="F142" s="10" t="s">
        <v>42</v>
      </c>
      <c r="G142" s="11" t="s">
        <v>432</v>
      </c>
      <c r="H142" s="11" t="s">
        <v>572</v>
      </c>
      <c r="I142" s="11"/>
      <c r="J142" s="33">
        <v>2805.0</v>
      </c>
      <c r="K142" s="33"/>
      <c r="L142" s="33">
        <f t="shared" ref="L142:L152" si="37">J142+K142</f>
        <v>2805</v>
      </c>
      <c r="M142" s="34">
        <v>0.25</v>
      </c>
      <c r="N142" s="35">
        <f t="shared" ref="N142:N152" si="38">L142*M142</f>
        <v>701.25</v>
      </c>
      <c r="O142" s="35">
        <f t="shared" ref="O142:O152" si="39">L142+N142</f>
        <v>3506.25</v>
      </c>
      <c r="P142" s="13"/>
      <c r="Q142" s="13"/>
      <c r="R142" s="13"/>
      <c r="S142" s="13"/>
      <c r="T142" s="13"/>
      <c r="U142" s="13"/>
      <c r="V142" s="13"/>
      <c r="W142" s="13"/>
      <c r="X142" s="13"/>
      <c r="Y142" s="13"/>
      <c r="Z142" s="13"/>
      <c r="AA142" s="13"/>
      <c r="AB142" s="13"/>
      <c r="AC142" s="13"/>
      <c r="AD142" s="13"/>
      <c r="AE142" s="13"/>
    </row>
    <row r="143">
      <c r="A143" s="10" t="s">
        <v>29</v>
      </c>
      <c r="B143" s="10" t="s">
        <v>10</v>
      </c>
      <c r="C143" s="10" t="s">
        <v>11</v>
      </c>
      <c r="D143" s="10" t="s">
        <v>40</v>
      </c>
      <c r="E143" s="10" t="s">
        <v>41</v>
      </c>
      <c r="F143" s="10" t="s">
        <v>42</v>
      </c>
      <c r="G143" s="11" t="s">
        <v>577</v>
      </c>
      <c r="H143" s="11" t="s">
        <v>572</v>
      </c>
      <c r="I143" s="11"/>
      <c r="J143" s="33">
        <v>2805.0</v>
      </c>
      <c r="K143" s="33"/>
      <c r="L143" s="33">
        <f t="shared" si="37"/>
        <v>2805</v>
      </c>
      <c r="M143" s="34">
        <v>0.25</v>
      </c>
      <c r="N143" s="35">
        <f t="shared" si="38"/>
        <v>701.25</v>
      </c>
      <c r="O143" s="35">
        <f t="shared" si="39"/>
        <v>3506.25</v>
      </c>
      <c r="P143" s="13"/>
      <c r="Q143" s="13"/>
      <c r="R143" s="13"/>
      <c r="S143" s="13"/>
      <c r="T143" s="13"/>
      <c r="U143" s="13"/>
      <c r="V143" s="13"/>
      <c r="W143" s="13"/>
      <c r="X143" s="13"/>
      <c r="Y143" s="13"/>
      <c r="Z143" s="13"/>
      <c r="AA143" s="13"/>
      <c r="AB143" s="13"/>
      <c r="AC143" s="13"/>
      <c r="AD143" s="13"/>
      <c r="AE143" s="13"/>
    </row>
    <row r="144">
      <c r="A144" s="10" t="s">
        <v>29</v>
      </c>
      <c r="B144" s="10" t="s">
        <v>10</v>
      </c>
      <c r="C144" s="10" t="s">
        <v>11</v>
      </c>
      <c r="D144" s="10" t="s">
        <v>40</v>
      </c>
      <c r="E144" s="10" t="s">
        <v>41</v>
      </c>
      <c r="F144" s="10" t="s">
        <v>42</v>
      </c>
      <c r="G144" s="11" t="s">
        <v>578</v>
      </c>
      <c r="H144" s="11" t="s">
        <v>572</v>
      </c>
      <c r="I144" s="11"/>
      <c r="J144" s="33">
        <v>2905.0</v>
      </c>
      <c r="K144" s="33"/>
      <c r="L144" s="33">
        <f t="shared" si="37"/>
        <v>2905</v>
      </c>
      <c r="M144" s="34">
        <v>0.25</v>
      </c>
      <c r="N144" s="35">
        <f t="shared" si="38"/>
        <v>726.25</v>
      </c>
      <c r="O144" s="35">
        <f t="shared" si="39"/>
        <v>3631.25</v>
      </c>
      <c r="P144" s="13"/>
      <c r="Q144" s="13"/>
      <c r="R144" s="13"/>
      <c r="S144" s="13"/>
      <c r="T144" s="13"/>
      <c r="U144" s="13"/>
      <c r="V144" s="13"/>
      <c r="W144" s="13"/>
      <c r="X144" s="13"/>
      <c r="Y144" s="13"/>
      <c r="Z144" s="13"/>
      <c r="AA144" s="13"/>
      <c r="AB144" s="13"/>
      <c r="AC144" s="13"/>
      <c r="AD144" s="13"/>
      <c r="AE144" s="13"/>
    </row>
    <row r="145">
      <c r="A145" s="10" t="s">
        <v>29</v>
      </c>
      <c r="B145" s="10" t="s">
        <v>10</v>
      </c>
      <c r="C145" s="10" t="s">
        <v>11</v>
      </c>
      <c r="D145" s="10" t="s">
        <v>170</v>
      </c>
      <c r="E145" s="10" t="s">
        <v>87</v>
      </c>
      <c r="F145" s="10" t="s">
        <v>83</v>
      </c>
      <c r="G145" s="11" t="s">
        <v>435</v>
      </c>
      <c r="H145" s="11" t="s">
        <v>579</v>
      </c>
      <c r="I145" s="11"/>
      <c r="J145" s="33">
        <f t="shared" ref="J145:J152" si="40">J116+75</f>
        <v>1690</v>
      </c>
      <c r="K145" s="33"/>
      <c r="L145" s="33">
        <f t="shared" si="37"/>
        <v>1690</v>
      </c>
      <c r="M145" s="34">
        <v>0.25</v>
      </c>
      <c r="N145" s="35">
        <f t="shared" si="38"/>
        <v>422.5</v>
      </c>
      <c r="O145" s="35">
        <f t="shared" si="39"/>
        <v>2112.5</v>
      </c>
      <c r="P145" s="13"/>
      <c r="Q145" s="13"/>
      <c r="R145" s="13"/>
      <c r="S145" s="13"/>
      <c r="T145" s="13"/>
      <c r="U145" s="13"/>
      <c r="V145" s="13"/>
      <c r="W145" s="13"/>
      <c r="X145" s="13"/>
      <c r="Y145" s="13"/>
      <c r="Z145" s="13"/>
      <c r="AA145" s="13"/>
      <c r="AB145" s="13"/>
      <c r="AC145" s="13"/>
      <c r="AD145" s="13"/>
      <c r="AE145" s="13"/>
    </row>
    <row r="146">
      <c r="A146" s="10" t="s">
        <v>29</v>
      </c>
      <c r="B146" s="10" t="s">
        <v>10</v>
      </c>
      <c r="C146" s="10" t="s">
        <v>11</v>
      </c>
      <c r="D146" s="10" t="s">
        <v>91</v>
      </c>
      <c r="E146" s="10" t="s">
        <v>87</v>
      </c>
      <c r="F146" s="10" t="s">
        <v>83</v>
      </c>
      <c r="G146" s="10" t="s">
        <v>435</v>
      </c>
      <c r="H146" s="11" t="s">
        <v>579</v>
      </c>
      <c r="I146" s="11"/>
      <c r="J146" s="33">
        <f t="shared" si="40"/>
        <v>1940</v>
      </c>
      <c r="K146" s="33"/>
      <c r="L146" s="33">
        <f t="shared" si="37"/>
        <v>1940</v>
      </c>
      <c r="M146" s="34">
        <v>0.25</v>
      </c>
      <c r="N146" s="35">
        <f t="shared" si="38"/>
        <v>485</v>
      </c>
      <c r="O146" s="35">
        <f t="shared" si="39"/>
        <v>2425</v>
      </c>
      <c r="P146" s="13"/>
      <c r="Q146" s="13"/>
      <c r="R146" s="13"/>
      <c r="S146" s="13"/>
      <c r="T146" s="13"/>
      <c r="U146" s="13"/>
      <c r="V146" s="13"/>
      <c r="W146" s="13"/>
      <c r="X146" s="13"/>
      <c r="Y146" s="13"/>
      <c r="Z146" s="13"/>
      <c r="AA146" s="13"/>
      <c r="AB146" s="13"/>
      <c r="AC146" s="13"/>
      <c r="AD146" s="13"/>
      <c r="AE146" s="13"/>
    </row>
    <row r="147">
      <c r="A147" s="10" t="s">
        <v>29</v>
      </c>
      <c r="B147" s="10" t="s">
        <v>10</v>
      </c>
      <c r="C147" s="10" t="s">
        <v>11</v>
      </c>
      <c r="D147" s="10" t="s">
        <v>93</v>
      </c>
      <c r="E147" s="10" t="s">
        <v>94</v>
      </c>
      <c r="F147" s="10" t="s">
        <v>42</v>
      </c>
      <c r="G147" s="10" t="s">
        <v>580</v>
      </c>
      <c r="H147" s="10" t="s">
        <v>581</v>
      </c>
      <c r="I147" s="10" t="s">
        <v>582</v>
      </c>
      <c r="J147" s="33">
        <f t="shared" si="40"/>
        <v>1183</v>
      </c>
      <c r="K147" s="33"/>
      <c r="L147" s="33">
        <f t="shared" si="37"/>
        <v>1183</v>
      </c>
      <c r="M147" s="34">
        <v>0.25</v>
      </c>
      <c r="N147" s="35">
        <f t="shared" si="38"/>
        <v>295.75</v>
      </c>
      <c r="O147" s="35">
        <f t="shared" si="39"/>
        <v>1478.75</v>
      </c>
      <c r="P147" s="13"/>
      <c r="Q147" s="13"/>
      <c r="R147" s="13"/>
      <c r="S147" s="13"/>
      <c r="T147" s="13"/>
      <c r="U147" s="13"/>
      <c r="V147" s="13"/>
      <c r="W147" s="13"/>
      <c r="X147" s="13"/>
      <c r="Y147" s="13"/>
      <c r="Z147" s="13"/>
      <c r="AA147" s="13"/>
      <c r="AB147" s="13"/>
      <c r="AC147" s="13"/>
      <c r="AD147" s="13"/>
      <c r="AE147" s="13"/>
    </row>
    <row r="148">
      <c r="A148" s="10" t="s">
        <v>29</v>
      </c>
      <c r="B148" s="10" t="s">
        <v>10</v>
      </c>
      <c r="C148" s="10" t="s">
        <v>11</v>
      </c>
      <c r="D148" s="10" t="s">
        <v>97</v>
      </c>
      <c r="E148" s="10" t="s">
        <v>98</v>
      </c>
      <c r="F148" s="10" t="s">
        <v>99</v>
      </c>
      <c r="G148" s="10" t="s">
        <v>439</v>
      </c>
      <c r="H148" s="10" t="s">
        <v>583</v>
      </c>
      <c r="I148" s="10"/>
      <c r="J148" s="33">
        <f t="shared" si="40"/>
        <v>1100</v>
      </c>
      <c r="K148" s="33"/>
      <c r="L148" s="33">
        <f t="shared" si="37"/>
        <v>1100</v>
      </c>
      <c r="M148" s="34">
        <v>0.25</v>
      </c>
      <c r="N148" s="35">
        <f t="shared" si="38"/>
        <v>275</v>
      </c>
      <c r="O148" s="35">
        <f t="shared" si="39"/>
        <v>1375</v>
      </c>
      <c r="P148" s="13"/>
      <c r="Q148" s="13"/>
      <c r="R148" s="13"/>
      <c r="S148" s="13"/>
      <c r="T148" s="13"/>
      <c r="U148" s="13"/>
      <c r="V148" s="13"/>
      <c r="W148" s="13"/>
      <c r="X148" s="13"/>
      <c r="Y148" s="13"/>
      <c r="Z148" s="13"/>
      <c r="AA148" s="13"/>
      <c r="AB148" s="13"/>
      <c r="AC148" s="13"/>
      <c r="AD148" s="13"/>
      <c r="AE148" s="13"/>
    </row>
    <row r="149">
      <c r="A149" s="10" t="s">
        <v>29</v>
      </c>
      <c r="B149" s="10" t="s">
        <v>10</v>
      </c>
      <c r="C149" s="10" t="s">
        <v>11</v>
      </c>
      <c r="D149" s="10" t="s">
        <v>97</v>
      </c>
      <c r="E149" s="10" t="s">
        <v>102</v>
      </c>
      <c r="F149" s="10" t="s">
        <v>99</v>
      </c>
      <c r="G149" s="10" t="s">
        <v>439</v>
      </c>
      <c r="H149" s="10" t="s">
        <v>583</v>
      </c>
      <c r="I149" s="10"/>
      <c r="J149" s="33">
        <f t="shared" si="40"/>
        <v>1100</v>
      </c>
      <c r="K149" s="33"/>
      <c r="L149" s="33">
        <f t="shared" si="37"/>
        <v>1100</v>
      </c>
      <c r="M149" s="34">
        <v>0.25</v>
      </c>
      <c r="N149" s="35">
        <f t="shared" si="38"/>
        <v>275</v>
      </c>
      <c r="O149" s="35">
        <f t="shared" si="39"/>
        <v>1375</v>
      </c>
      <c r="P149" s="13"/>
      <c r="Q149" s="13"/>
      <c r="R149" s="13"/>
      <c r="S149" s="13"/>
      <c r="T149" s="13"/>
      <c r="U149" s="13"/>
      <c r="V149" s="13"/>
      <c r="W149" s="13"/>
      <c r="X149" s="13"/>
      <c r="Y149" s="13"/>
      <c r="Z149" s="13"/>
      <c r="AA149" s="13"/>
      <c r="AB149" s="13"/>
      <c r="AC149" s="13"/>
      <c r="AD149" s="13"/>
      <c r="AE149" s="13"/>
    </row>
    <row r="150">
      <c r="A150" s="10" t="s">
        <v>29</v>
      </c>
      <c r="B150" s="10" t="s">
        <v>10</v>
      </c>
      <c r="C150" s="10" t="s">
        <v>11</v>
      </c>
      <c r="D150" s="10" t="s">
        <v>97</v>
      </c>
      <c r="E150" s="10" t="s">
        <v>103</v>
      </c>
      <c r="F150" s="10" t="s">
        <v>99</v>
      </c>
      <c r="G150" s="10" t="s">
        <v>439</v>
      </c>
      <c r="H150" s="10" t="s">
        <v>583</v>
      </c>
      <c r="I150" s="10"/>
      <c r="J150" s="33">
        <f t="shared" si="40"/>
        <v>1250</v>
      </c>
      <c r="K150" s="33"/>
      <c r="L150" s="33">
        <f t="shared" si="37"/>
        <v>1250</v>
      </c>
      <c r="M150" s="34">
        <v>0.25</v>
      </c>
      <c r="N150" s="35">
        <f t="shared" si="38"/>
        <v>312.5</v>
      </c>
      <c r="O150" s="35">
        <f t="shared" si="39"/>
        <v>1562.5</v>
      </c>
      <c r="P150" s="13"/>
      <c r="Q150" s="13"/>
      <c r="R150" s="13"/>
      <c r="S150" s="13"/>
      <c r="T150" s="13"/>
      <c r="U150" s="13"/>
      <c r="V150" s="13"/>
      <c r="W150" s="13"/>
      <c r="X150" s="13"/>
      <c r="Y150" s="13"/>
      <c r="Z150" s="13"/>
      <c r="AA150" s="13"/>
      <c r="AB150" s="13"/>
      <c r="AC150" s="13"/>
      <c r="AD150" s="13"/>
      <c r="AE150" s="13"/>
    </row>
    <row r="151">
      <c r="A151" s="10" t="s">
        <v>29</v>
      </c>
      <c r="B151" s="10" t="s">
        <v>10</v>
      </c>
      <c r="C151" s="10" t="s">
        <v>11</v>
      </c>
      <c r="D151" s="10" t="s">
        <v>104</v>
      </c>
      <c r="E151" s="10" t="s">
        <v>105</v>
      </c>
      <c r="F151" s="10" t="s">
        <v>99</v>
      </c>
      <c r="G151" s="10" t="s">
        <v>439</v>
      </c>
      <c r="H151" s="10" t="s">
        <v>584</v>
      </c>
      <c r="I151" s="10"/>
      <c r="J151" s="33">
        <f t="shared" si="40"/>
        <v>1900</v>
      </c>
      <c r="K151" s="33"/>
      <c r="L151" s="33">
        <f t="shared" si="37"/>
        <v>1900</v>
      </c>
      <c r="M151" s="34">
        <v>0.25</v>
      </c>
      <c r="N151" s="35">
        <f t="shared" si="38"/>
        <v>475</v>
      </c>
      <c r="O151" s="35">
        <f t="shared" si="39"/>
        <v>2375</v>
      </c>
      <c r="P151" s="13"/>
      <c r="Q151" s="13"/>
      <c r="R151" s="13"/>
      <c r="S151" s="13"/>
      <c r="T151" s="13"/>
      <c r="U151" s="13"/>
      <c r="V151" s="13"/>
      <c r="W151" s="13"/>
      <c r="X151" s="13"/>
      <c r="Y151" s="13"/>
      <c r="Z151" s="13"/>
      <c r="AA151" s="13"/>
      <c r="AB151" s="13"/>
      <c r="AC151" s="13"/>
      <c r="AD151" s="13"/>
      <c r="AE151" s="13"/>
    </row>
    <row r="152">
      <c r="A152" s="10" t="s">
        <v>29</v>
      </c>
      <c r="B152" s="10" t="s">
        <v>10</v>
      </c>
      <c r="C152" s="10" t="s">
        <v>11</v>
      </c>
      <c r="D152" s="10" t="s">
        <v>107</v>
      </c>
      <c r="E152" s="10" t="s">
        <v>204</v>
      </c>
      <c r="F152" s="10" t="s">
        <v>99</v>
      </c>
      <c r="G152" s="10" t="s">
        <v>439</v>
      </c>
      <c r="H152" s="10" t="s">
        <v>585</v>
      </c>
      <c r="I152" s="10" t="s">
        <v>586</v>
      </c>
      <c r="J152" s="33">
        <f t="shared" si="40"/>
        <v>1275</v>
      </c>
      <c r="K152" s="33"/>
      <c r="L152" s="33">
        <f t="shared" si="37"/>
        <v>1275</v>
      </c>
      <c r="M152" s="34">
        <v>0.25</v>
      </c>
      <c r="N152" s="35">
        <f t="shared" si="38"/>
        <v>318.75</v>
      </c>
      <c r="O152" s="35">
        <f t="shared" si="39"/>
        <v>1593.75</v>
      </c>
      <c r="P152" s="13"/>
      <c r="Q152" s="13"/>
      <c r="R152" s="13"/>
      <c r="S152" s="13"/>
      <c r="T152" s="13"/>
      <c r="U152" s="13"/>
      <c r="V152" s="13"/>
      <c r="W152" s="13"/>
      <c r="X152" s="13"/>
      <c r="Y152" s="13"/>
      <c r="Z152" s="13"/>
      <c r="AA152" s="13"/>
      <c r="AB152" s="13"/>
      <c r="AC152" s="13"/>
      <c r="AD152" s="13"/>
      <c r="AE152" s="13"/>
    </row>
    <row r="153">
      <c r="A153" s="10"/>
      <c r="B153" s="10"/>
      <c r="H153" s="10"/>
      <c r="I153" s="10" t="s">
        <v>587</v>
      </c>
      <c r="J153" s="33"/>
      <c r="K153" s="33"/>
      <c r="L153" s="33"/>
      <c r="M153" s="34"/>
      <c r="N153" s="35"/>
      <c r="O153" s="35"/>
      <c r="P153" s="13"/>
      <c r="Q153" s="13"/>
      <c r="R153" s="13"/>
      <c r="S153" s="13"/>
      <c r="T153" s="13"/>
      <c r="U153" s="13"/>
      <c r="V153" s="13"/>
      <c r="W153" s="13"/>
      <c r="X153" s="13"/>
      <c r="Y153" s="13"/>
      <c r="Z153" s="13"/>
      <c r="AA153" s="13"/>
      <c r="AB153" s="13"/>
      <c r="AC153" s="13"/>
      <c r="AD153" s="13"/>
      <c r="AE153" s="13"/>
    </row>
    <row r="154">
      <c r="A154" s="10"/>
      <c r="B154" s="10"/>
      <c r="H154" s="10"/>
      <c r="I154" s="10" t="s">
        <v>588</v>
      </c>
      <c r="J154" s="33"/>
      <c r="K154" s="33"/>
      <c r="L154" s="33"/>
      <c r="M154" s="34"/>
      <c r="N154" s="35"/>
      <c r="O154" s="35"/>
      <c r="P154" s="13"/>
      <c r="Q154" s="13"/>
      <c r="R154" s="13"/>
      <c r="S154" s="13"/>
      <c r="T154" s="13"/>
      <c r="U154" s="13"/>
      <c r="V154" s="13"/>
      <c r="W154" s="13"/>
      <c r="X154" s="13"/>
      <c r="Y154" s="13"/>
      <c r="Z154" s="13"/>
      <c r="AA154" s="13"/>
      <c r="AB154" s="13"/>
      <c r="AC154" s="13"/>
      <c r="AD154" s="13"/>
      <c r="AE154" s="13"/>
    </row>
    <row r="155">
      <c r="A155" s="10"/>
      <c r="B155" s="10"/>
      <c r="H155" s="10"/>
      <c r="I155" s="10" t="s">
        <v>589</v>
      </c>
      <c r="J155" s="33"/>
      <c r="K155" s="33"/>
      <c r="L155" s="33"/>
      <c r="M155" s="34"/>
      <c r="N155" s="35"/>
      <c r="O155" s="35"/>
      <c r="P155" s="13"/>
      <c r="Q155" s="13"/>
      <c r="R155" s="13"/>
      <c r="S155" s="13"/>
      <c r="T155" s="13"/>
      <c r="U155" s="13"/>
      <c r="V155" s="13"/>
      <c r="W155" s="13"/>
      <c r="X155" s="13"/>
      <c r="Y155" s="13"/>
      <c r="Z155" s="13"/>
      <c r="AA155" s="13"/>
      <c r="AB155" s="13"/>
      <c r="AC155" s="13"/>
      <c r="AD155" s="13"/>
      <c r="AE155" s="13"/>
    </row>
    <row r="156">
      <c r="A156" s="10"/>
      <c r="B156" s="10"/>
      <c r="H156" s="10"/>
      <c r="I156" s="10" t="s">
        <v>590</v>
      </c>
      <c r="J156" s="33"/>
      <c r="K156" s="33"/>
      <c r="L156" s="33"/>
      <c r="M156" s="34"/>
      <c r="N156" s="35"/>
      <c r="O156" s="35"/>
      <c r="P156" s="13"/>
      <c r="Q156" s="13"/>
      <c r="R156" s="13"/>
      <c r="S156" s="13"/>
      <c r="T156" s="13"/>
      <c r="U156" s="13"/>
      <c r="V156" s="13"/>
      <c r="W156" s="13"/>
      <c r="X156" s="13"/>
      <c r="Y156" s="13"/>
      <c r="Z156" s="13"/>
      <c r="AA156" s="13"/>
      <c r="AB156" s="13"/>
      <c r="AC156" s="13"/>
      <c r="AD156" s="13"/>
      <c r="AE156" s="13"/>
    </row>
    <row r="157">
      <c r="A157" s="10"/>
      <c r="B157" s="4"/>
      <c r="C157" s="4"/>
      <c r="D157" s="4"/>
      <c r="E157" s="4"/>
      <c r="F157" s="4"/>
      <c r="G157" s="4"/>
      <c r="H157" s="4"/>
      <c r="I157" s="4"/>
      <c r="J157" s="5"/>
      <c r="K157" s="36"/>
      <c r="L157" s="36"/>
      <c r="AB157" s="13"/>
      <c r="AC157" s="13"/>
      <c r="AD157" s="13"/>
      <c r="AE157" s="13"/>
    </row>
    <row r="158">
      <c r="A158" s="10"/>
      <c r="B158" s="10"/>
      <c r="C158" s="10"/>
      <c r="D158" s="10"/>
      <c r="E158" s="10"/>
      <c r="F158" s="10"/>
      <c r="G158" s="10"/>
      <c r="H158" s="11"/>
      <c r="I158" s="11"/>
      <c r="J158" s="33"/>
      <c r="K158" s="36"/>
      <c r="L158" s="36"/>
      <c r="AB158" s="13"/>
      <c r="AC158" s="13"/>
      <c r="AD158" s="13"/>
      <c r="AE158" s="13"/>
    </row>
    <row r="159">
      <c r="A159" s="10"/>
      <c r="B159" s="10"/>
      <c r="C159" s="10"/>
      <c r="D159" s="10"/>
      <c r="E159" s="10"/>
      <c r="F159" s="10"/>
      <c r="G159" s="11"/>
      <c r="H159" s="11"/>
      <c r="I159" s="11"/>
      <c r="J159" s="33"/>
      <c r="K159" s="36"/>
      <c r="L159" s="36"/>
      <c r="AB159" s="13"/>
      <c r="AC159" s="13"/>
      <c r="AD159" s="13"/>
      <c r="AE159" s="13"/>
    </row>
    <row r="160">
      <c r="A160" s="10"/>
      <c r="B160" s="10"/>
      <c r="C160" s="10"/>
      <c r="D160" s="10"/>
      <c r="E160" s="10"/>
      <c r="F160" s="10"/>
      <c r="G160" s="11"/>
      <c r="H160" s="11"/>
      <c r="I160" s="11"/>
      <c r="J160" s="33"/>
      <c r="K160" s="36"/>
      <c r="L160" s="36"/>
      <c r="AB160" s="13"/>
      <c r="AC160" s="13"/>
      <c r="AD160" s="13"/>
      <c r="AE160" s="13"/>
    </row>
    <row r="161">
      <c r="A161" s="10"/>
      <c r="B161" s="10"/>
      <c r="C161" s="10"/>
      <c r="D161" s="10"/>
      <c r="E161" s="10"/>
      <c r="F161" s="10"/>
      <c r="G161" s="11"/>
      <c r="H161" s="11"/>
      <c r="I161" s="11"/>
      <c r="J161" s="33"/>
      <c r="K161" s="36"/>
      <c r="L161" s="36"/>
      <c r="AB161" s="13"/>
      <c r="AC161" s="13"/>
      <c r="AD161" s="13"/>
      <c r="AE161" s="13"/>
    </row>
    <row r="162">
      <c r="A162" s="10"/>
      <c r="B162" s="10"/>
      <c r="C162" s="10"/>
      <c r="D162" s="10"/>
      <c r="E162" s="10"/>
      <c r="F162" s="10"/>
      <c r="G162" s="11"/>
      <c r="H162" s="11"/>
      <c r="I162" s="11"/>
      <c r="J162" s="33"/>
      <c r="K162" s="36"/>
      <c r="L162" s="36"/>
      <c r="AB162" s="13"/>
      <c r="AC162" s="13"/>
      <c r="AD162" s="13"/>
      <c r="AE162" s="13"/>
    </row>
    <row r="163">
      <c r="A163" s="10"/>
      <c r="B163" s="10"/>
      <c r="C163" s="10"/>
      <c r="D163" s="10"/>
      <c r="E163" s="10"/>
      <c r="F163" s="10"/>
      <c r="G163" s="11"/>
      <c r="H163" s="11"/>
      <c r="I163" s="11"/>
      <c r="J163" s="33"/>
      <c r="K163" s="36"/>
      <c r="L163" s="36"/>
      <c r="AB163" s="13"/>
      <c r="AC163" s="13"/>
      <c r="AD163" s="13"/>
      <c r="AE163" s="13"/>
    </row>
    <row r="164">
      <c r="A164" s="10"/>
      <c r="B164" s="10"/>
      <c r="C164" s="10"/>
      <c r="D164" s="10"/>
      <c r="E164" s="10"/>
      <c r="F164" s="10"/>
      <c r="G164" s="11"/>
      <c r="H164" s="11"/>
      <c r="I164" s="11"/>
      <c r="J164" s="33"/>
      <c r="K164" s="36"/>
      <c r="L164" s="36"/>
      <c r="AB164" s="13"/>
      <c r="AC164" s="13"/>
      <c r="AD164" s="13"/>
      <c r="AE164" s="13"/>
    </row>
    <row r="165">
      <c r="A165" s="10"/>
      <c r="B165" s="10"/>
      <c r="C165" s="10"/>
      <c r="D165" s="10"/>
      <c r="E165" s="10"/>
      <c r="F165" s="10"/>
      <c r="G165" s="11"/>
      <c r="H165" s="11"/>
      <c r="I165" s="11"/>
      <c r="J165" s="33"/>
      <c r="K165" s="36"/>
      <c r="L165" s="36"/>
      <c r="AB165" s="13"/>
      <c r="AC165" s="13"/>
      <c r="AD165" s="13"/>
      <c r="AE165" s="13"/>
    </row>
    <row r="166">
      <c r="A166" s="10"/>
      <c r="B166" s="10"/>
      <c r="C166" s="10"/>
      <c r="D166" s="10"/>
      <c r="E166" s="10"/>
      <c r="F166" s="10"/>
      <c r="G166" s="11"/>
      <c r="H166" s="11"/>
      <c r="I166" s="11"/>
      <c r="J166" s="33"/>
      <c r="K166" s="36"/>
      <c r="L166" s="36"/>
      <c r="AB166" s="13"/>
      <c r="AC166" s="13"/>
      <c r="AD166" s="13"/>
      <c r="AE166" s="13"/>
    </row>
    <row r="167">
      <c r="A167" s="10"/>
      <c r="B167" s="10"/>
      <c r="C167" s="10"/>
      <c r="D167" s="10"/>
      <c r="E167" s="10"/>
      <c r="F167" s="10"/>
      <c r="G167" s="11"/>
      <c r="H167" s="11"/>
      <c r="I167" s="11"/>
      <c r="J167" s="33"/>
      <c r="K167" s="36"/>
      <c r="L167" s="36"/>
      <c r="AB167" s="13"/>
      <c r="AC167" s="13"/>
      <c r="AD167" s="13"/>
      <c r="AE167" s="13"/>
    </row>
    <row r="168">
      <c r="A168" s="10"/>
      <c r="B168" s="10"/>
      <c r="C168" s="10"/>
      <c r="D168" s="10"/>
      <c r="E168" s="10"/>
      <c r="F168" s="10"/>
      <c r="G168" s="11"/>
      <c r="H168" s="11"/>
      <c r="I168" s="11"/>
      <c r="J168" s="10"/>
      <c r="AB168" s="13"/>
      <c r="AC168" s="13"/>
      <c r="AD168" s="13"/>
      <c r="AE168" s="13"/>
    </row>
    <row r="169">
      <c r="A169" s="10"/>
      <c r="B169" s="10"/>
      <c r="C169" s="10"/>
      <c r="D169" s="10"/>
      <c r="E169" s="10"/>
      <c r="F169" s="10"/>
      <c r="G169" s="11"/>
      <c r="H169" s="11"/>
      <c r="I169" s="11"/>
      <c r="J169" s="10"/>
      <c r="AB169" s="13"/>
      <c r="AC169" s="13"/>
      <c r="AD169" s="13"/>
      <c r="AE169" s="13"/>
    </row>
    <row r="170">
      <c r="A170" s="10"/>
      <c r="B170" s="10"/>
      <c r="C170" s="10"/>
      <c r="D170" s="10"/>
      <c r="E170" s="10"/>
      <c r="F170" s="10"/>
      <c r="G170" s="11"/>
      <c r="H170" s="11"/>
      <c r="I170" s="11"/>
      <c r="J170" s="10"/>
      <c r="AB170" s="13"/>
      <c r="AC170" s="13"/>
      <c r="AD170" s="13"/>
      <c r="AE170" s="13"/>
    </row>
    <row r="171">
      <c r="A171" s="10"/>
      <c r="B171" s="10"/>
      <c r="C171" s="10"/>
      <c r="D171" s="10"/>
      <c r="E171" s="10"/>
      <c r="F171" s="10"/>
      <c r="G171" s="11"/>
      <c r="H171" s="11"/>
      <c r="I171" s="11"/>
      <c r="J171" s="10"/>
      <c r="AB171" s="13"/>
      <c r="AC171" s="13"/>
      <c r="AD171" s="13"/>
      <c r="AE171" s="13"/>
    </row>
    <row r="172">
      <c r="A172" s="10"/>
      <c r="B172" s="10"/>
      <c r="C172" s="10"/>
      <c r="D172" s="10"/>
      <c r="E172" s="10"/>
      <c r="F172" s="10"/>
      <c r="G172" s="11"/>
      <c r="H172" s="11"/>
      <c r="I172" s="11"/>
      <c r="J172" s="10"/>
      <c r="AB172" s="13"/>
      <c r="AC172" s="13"/>
      <c r="AD172" s="13"/>
      <c r="AE172" s="13"/>
    </row>
    <row r="173">
      <c r="A173" s="10"/>
      <c r="B173" s="10"/>
      <c r="C173" s="10"/>
      <c r="D173" s="10"/>
      <c r="E173" s="10"/>
      <c r="F173" s="10"/>
      <c r="G173" s="11"/>
      <c r="H173" s="11"/>
      <c r="I173" s="11"/>
      <c r="J173" s="10"/>
      <c r="AB173" s="13"/>
      <c r="AC173" s="13"/>
      <c r="AD173" s="13"/>
      <c r="AE173" s="13"/>
    </row>
    <row r="174">
      <c r="A174" s="10"/>
      <c r="B174" s="10"/>
      <c r="C174" s="10"/>
      <c r="D174" s="10"/>
      <c r="E174" s="10"/>
      <c r="F174" s="10"/>
      <c r="G174" s="10"/>
      <c r="H174" s="11"/>
      <c r="I174" s="11"/>
      <c r="J174" s="10"/>
      <c r="AB174" s="13"/>
      <c r="AC174" s="13"/>
      <c r="AD174" s="13"/>
      <c r="AE174" s="13"/>
    </row>
    <row r="175">
      <c r="A175" s="10"/>
      <c r="B175" s="10"/>
      <c r="C175" s="10"/>
      <c r="D175" s="10"/>
      <c r="E175" s="10"/>
      <c r="F175" s="10"/>
      <c r="G175" s="10"/>
      <c r="H175" s="10"/>
      <c r="I175" s="10"/>
      <c r="J175" s="10"/>
      <c r="AB175" s="13"/>
      <c r="AC175" s="13"/>
      <c r="AD175" s="13"/>
      <c r="AE175" s="13"/>
    </row>
    <row r="176">
      <c r="A176" s="10"/>
      <c r="B176" s="10"/>
      <c r="C176" s="10"/>
      <c r="D176" s="10"/>
      <c r="E176" s="10"/>
      <c r="F176" s="10"/>
      <c r="G176" s="10"/>
      <c r="H176" s="10"/>
      <c r="I176" s="10"/>
      <c r="J176" s="10"/>
      <c r="AB176" s="13"/>
      <c r="AC176" s="13"/>
      <c r="AD176" s="13"/>
      <c r="AE176" s="13"/>
    </row>
    <row r="177">
      <c r="A177" s="10"/>
      <c r="B177" s="10"/>
      <c r="C177" s="10"/>
      <c r="D177" s="10"/>
      <c r="E177" s="10"/>
      <c r="F177" s="10"/>
      <c r="G177" s="10"/>
      <c r="H177" s="10"/>
      <c r="I177" s="10"/>
      <c r="J177" s="10"/>
      <c r="AB177" s="13"/>
      <c r="AC177" s="13"/>
      <c r="AD177" s="13"/>
      <c r="AE177" s="13"/>
    </row>
    <row r="178">
      <c r="A178" s="10"/>
      <c r="B178" s="10"/>
      <c r="C178" s="10"/>
      <c r="D178" s="10"/>
      <c r="E178" s="10"/>
      <c r="F178" s="10"/>
      <c r="G178" s="10"/>
      <c r="H178" s="10"/>
      <c r="I178" s="10"/>
      <c r="J178" s="10"/>
      <c r="AB178" s="13"/>
      <c r="AC178" s="13"/>
      <c r="AD178" s="13"/>
      <c r="AE178" s="13"/>
    </row>
    <row r="179">
      <c r="A179" s="10"/>
      <c r="B179" s="10"/>
      <c r="C179" s="10"/>
      <c r="D179" s="10"/>
      <c r="E179" s="10"/>
      <c r="F179" s="10"/>
      <c r="G179" s="10"/>
      <c r="H179" s="10"/>
      <c r="I179" s="10"/>
      <c r="J179" s="13"/>
      <c r="AB179" s="13"/>
      <c r="AC179" s="13"/>
      <c r="AD179" s="13"/>
      <c r="AE179" s="13"/>
    </row>
    <row r="180">
      <c r="A180" s="10"/>
      <c r="B180" s="10"/>
      <c r="C180" s="10"/>
      <c r="D180" s="10"/>
      <c r="E180" s="10"/>
      <c r="F180" s="10"/>
      <c r="G180" s="10"/>
      <c r="H180" s="10"/>
      <c r="I180" s="10"/>
      <c r="J180" s="13"/>
      <c r="AB180" s="13"/>
      <c r="AC180" s="13"/>
      <c r="AD180" s="13"/>
      <c r="AE180" s="13"/>
    </row>
    <row r="181">
      <c r="A181" s="10"/>
      <c r="B181" s="10"/>
      <c r="C181" s="10"/>
      <c r="D181" s="10"/>
      <c r="E181" s="10"/>
      <c r="F181" s="10"/>
      <c r="G181" s="10"/>
      <c r="H181" s="10"/>
      <c r="I181" s="10"/>
      <c r="J181" s="13"/>
      <c r="AB181" s="13"/>
      <c r="AC181" s="13"/>
      <c r="AD181" s="13"/>
      <c r="AE181" s="13"/>
    </row>
    <row r="182">
      <c r="A182" s="10"/>
      <c r="B182" s="13"/>
      <c r="C182" s="13"/>
      <c r="D182" s="13"/>
      <c r="E182" s="13"/>
      <c r="F182" s="13"/>
      <c r="G182" s="13"/>
      <c r="H182" s="13"/>
      <c r="I182" s="13"/>
      <c r="J182" s="13"/>
      <c r="AB182" s="13"/>
      <c r="AC182" s="13"/>
      <c r="AD182" s="13"/>
      <c r="AE182" s="13"/>
    </row>
    <row r="183">
      <c r="A183" s="10"/>
      <c r="B183" s="10"/>
      <c r="C183" s="10"/>
      <c r="D183" s="10"/>
      <c r="E183" s="10"/>
      <c r="F183" s="10"/>
      <c r="G183" s="10"/>
      <c r="H183" s="11"/>
      <c r="I183" s="11"/>
      <c r="J183" s="10"/>
      <c r="AB183" s="13"/>
      <c r="AC183" s="13"/>
      <c r="AD183" s="13"/>
      <c r="AE183" s="13"/>
    </row>
    <row r="184">
      <c r="A184" s="10"/>
      <c r="B184" s="10"/>
      <c r="C184" s="10"/>
      <c r="D184" s="10"/>
      <c r="E184" s="10"/>
      <c r="F184" s="10"/>
      <c r="G184" s="11"/>
      <c r="H184" s="11"/>
      <c r="I184" s="11"/>
      <c r="J184" s="10"/>
      <c r="AB184" s="13"/>
      <c r="AC184" s="13"/>
      <c r="AD184" s="13"/>
      <c r="AE184" s="13"/>
    </row>
    <row r="185">
      <c r="A185" s="10"/>
      <c r="B185" s="10"/>
      <c r="C185" s="10"/>
      <c r="D185" s="10"/>
      <c r="E185" s="10"/>
      <c r="F185" s="10"/>
      <c r="G185" s="11"/>
      <c r="H185" s="11"/>
      <c r="I185" s="11"/>
      <c r="J185" s="10"/>
      <c r="AB185" s="13"/>
      <c r="AC185" s="13"/>
      <c r="AD185" s="13"/>
      <c r="AE185" s="13"/>
    </row>
    <row r="186">
      <c r="A186" s="10"/>
      <c r="B186" s="10"/>
      <c r="C186" s="10"/>
      <c r="D186" s="10"/>
      <c r="E186" s="10"/>
      <c r="F186" s="10"/>
      <c r="G186" s="11"/>
      <c r="H186" s="21"/>
      <c r="I186" s="21"/>
      <c r="J186" s="10"/>
      <c r="AB186" s="13"/>
      <c r="AC186" s="13"/>
      <c r="AD186" s="13"/>
      <c r="AE186" s="13"/>
    </row>
    <row r="187">
      <c r="A187" s="10"/>
      <c r="B187" s="10"/>
      <c r="C187" s="10"/>
      <c r="D187" s="10"/>
      <c r="E187" s="10"/>
      <c r="F187" s="10"/>
      <c r="G187" s="11"/>
      <c r="H187" s="11"/>
      <c r="I187" s="11"/>
      <c r="J187" s="10"/>
      <c r="AB187" s="13"/>
      <c r="AC187" s="13"/>
      <c r="AD187" s="13"/>
      <c r="AE187" s="13"/>
    </row>
    <row r="188">
      <c r="A188" s="10"/>
      <c r="B188" s="10"/>
      <c r="C188" s="10"/>
      <c r="D188" s="10"/>
      <c r="E188" s="10"/>
      <c r="F188" s="10"/>
      <c r="G188" s="11"/>
      <c r="H188" s="11"/>
      <c r="I188" s="11"/>
      <c r="J188" s="10"/>
      <c r="AB188" s="13"/>
      <c r="AC188" s="13"/>
      <c r="AD188" s="13"/>
      <c r="AE188" s="13"/>
    </row>
    <row r="189">
      <c r="A189" s="10"/>
      <c r="B189" s="10"/>
      <c r="C189" s="10"/>
      <c r="D189" s="10"/>
      <c r="E189" s="10"/>
      <c r="F189" s="10"/>
      <c r="G189" s="11"/>
      <c r="H189" s="11"/>
      <c r="I189" s="11"/>
      <c r="J189" s="10"/>
      <c r="AB189" s="13"/>
      <c r="AC189" s="13"/>
      <c r="AD189" s="13"/>
      <c r="AE189" s="13"/>
    </row>
    <row r="190">
      <c r="A190" s="10"/>
      <c r="B190" s="10"/>
      <c r="C190" s="10"/>
      <c r="D190" s="10"/>
      <c r="E190" s="10"/>
      <c r="F190" s="10"/>
      <c r="G190" s="11"/>
      <c r="H190" s="11"/>
      <c r="I190" s="11"/>
      <c r="J190" s="10"/>
      <c r="AB190" s="13"/>
      <c r="AC190" s="13"/>
      <c r="AD190" s="13"/>
      <c r="AE190" s="13"/>
    </row>
    <row r="191">
      <c r="A191" s="10"/>
      <c r="B191" s="10"/>
      <c r="C191" s="10"/>
      <c r="D191" s="10"/>
      <c r="E191" s="10"/>
      <c r="F191" s="10"/>
      <c r="G191" s="11"/>
      <c r="H191" s="11"/>
      <c r="I191" s="11"/>
      <c r="J191" s="10"/>
      <c r="AB191" s="13"/>
      <c r="AC191" s="13"/>
      <c r="AD191" s="13"/>
      <c r="AE191" s="13"/>
    </row>
    <row r="192">
      <c r="A192" s="10"/>
      <c r="B192" s="10"/>
      <c r="C192" s="10"/>
      <c r="D192" s="10"/>
      <c r="E192" s="10"/>
      <c r="F192" s="10"/>
      <c r="G192" s="11"/>
      <c r="H192" s="11"/>
      <c r="I192" s="11"/>
      <c r="J192" s="10"/>
      <c r="AB192" s="13"/>
      <c r="AC192" s="13"/>
      <c r="AD192" s="13"/>
      <c r="AE192" s="13"/>
    </row>
    <row r="193">
      <c r="A193" s="10"/>
      <c r="B193" s="10"/>
      <c r="C193" s="10"/>
      <c r="D193" s="10"/>
      <c r="E193" s="10"/>
      <c r="F193" s="10"/>
      <c r="G193" s="11"/>
      <c r="H193" s="11"/>
      <c r="I193" s="11"/>
      <c r="J193" s="10"/>
      <c r="AB193" s="13"/>
      <c r="AC193" s="13"/>
      <c r="AD193" s="13"/>
      <c r="AE193" s="13"/>
    </row>
    <row r="194">
      <c r="A194" s="10"/>
      <c r="B194" s="10"/>
      <c r="C194" s="10"/>
      <c r="D194" s="10"/>
      <c r="E194" s="10"/>
      <c r="F194" s="10"/>
      <c r="G194" s="11"/>
      <c r="H194" s="11"/>
      <c r="I194" s="11"/>
      <c r="J194" s="10"/>
      <c r="AB194" s="13"/>
      <c r="AC194" s="13"/>
      <c r="AD194" s="13"/>
      <c r="AE194" s="13"/>
    </row>
    <row r="195">
      <c r="A195" s="10"/>
      <c r="B195" s="10"/>
      <c r="C195" s="10"/>
      <c r="D195" s="10"/>
      <c r="E195" s="10"/>
      <c r="F195" s="10"/>
      <c r="G195" s="11"/>
      <c r="H195" s="11"/>
      <c r="I195" s="11"/>
      <c r="J195" s="10"/>
      <c r="AB195" s="13"/>
      <c r="AC195" s="13"/>
      <c r="AD195" s="13"/>
      <c r="AE195" s="13"/>
    </row>
    <row r="196">
      <c r="A196" s="10"/>
      <c r="B196" s="10"/>
      <c r="C196" s="10"/>
      <c r="D196" s="10"/>
      <c r="E196" s="10"/>
      <c r="F196" s="10"/>
      <c r="G196" s="11"/>
      <c r="H196" s="11"/>
      <c r="I196" s="11"/>
      <c r="J196" s="10"/>
      <c r="AB196" s="13"/>
      <c r="AC196" s="13"/>
      <c r="AD196" s="13"/>
      <c r="AE196" s="13"/>
    </row>
    <row r="197">
      <c r="A197" s="10"/>
      <c r="B197" s="10"/>
      <c r="C197" s="10"/>
      <c r="D197" s="10"/>
      <c r="E197" s="10"/>
      <c r="F197" s="10"/>
      <c r="G197" s="11"/>
      <c r="H197" s="11"/>
      <c r="I197" s="11"/>
      <c r="J197" s="10"/>
      <c r="AB197" s="13"/>
      <c r="AC197" s="13"/>
      <c r="AD197" s="13"/>
      <c r="AE197" s="13"/>
    </row>
    <row r="198">
      <c r="A198" s="10"/>
      <c r="B198" s="10"/>
      <c r="C198" s="10"/>
      <c r="D198" s="10"/>
      <c r="E198" s="10"/>
      <c r="F198" s="10"/>
      <c r="G198" s="11"/>
      <c r="H198" s="11"/>
      <c r="I198" s="11"/>
      <c r="J198" s="10"/>
      <c r="AB198" s="13"/>
      <c r="AC198" s="13"/>
      <c r="AD198" s="13"/>
      <c r="AE198" s="13"/>
    </row>
    <row r="199">
      <c r="A199" s="10"/>
      <c r="B199" s="10"/>
      <c r="C199" s="10"/>
      <c r="D199" s="10"/>
      <c r="E199" s="10"/>
      <c r="F199" s="10"/>
      <c r="G199" s="10"/>
      <c r="H199" s="11"/>
      <c r="I199" s="11"/>
      <c r="J199" s="10"/>
      <c r="AB199" s="13"/>
      <c r="AC199" s="13"/>
      <c r="AD199" s="13"/>
      <c r="AE199" s="13"/>
    </row>
    <row r="200">
      <c r="A200" s="10"/>
      <c r="B200" s="10"/>
      <c r="C200" s="10"/>
      <c r="D200" s="10"/>
      <c r="E200" s="10"/>
      <c r="F200" s="10"/>
      <c r="G200" s="11"/>
      <c r="H200" s="10"/>
      <c r="I200" s="10"/>
      <c r="J200" s="10"/>
      <c r="AB200" s="13"/>
      <c r="AC200" s="13"/>
      <c r="AD200" s="13"/>
      <c r="AE200" s="13"/>
    </row>
    <row r="201">
      <c r="A201" s="10"/>
      <c r="B201" s="10"/>
      <c r="C201" s="10"/>
      <c r="D201" s="10"/>
      <c r="E201" s="10"/>
      <c r="F201" s="10"/>
      <c r="G201" s="11"/>
      <c r="H201" s="10"/>
      <c r="I201" s="10"/>
      <c r="J201" s="10"/>
      <c r="AB201" s="13"/>
      <c r="AC201" s="13"/>
      <c r="AD201" s="13"/>
      <c r="AE201" s="13"/>
    </row>
    <row r="202">
      <c r="A202" s="10"/>
      <c r="B202" s="10"/>
      <c r="C202" s="10"/>
      <c r="D202" s="10"/>
      <c r="E202" s="10"/>
      <c r="F202" s="10"/>
      <c r="G202" s="11"/>
      <c r="H202" s="10"/>
      <c r="I202" s="10"/>
      <c r="J202" s="10"/>
      <c r="AB202" s="13"/>
      <c r="AC202" s="13"/>
      <c r="AD202" s="13"/>
      <c r="AE202" s="13"/>
    </row>
    <row r="203">
      <c r="A203" s="10"/>
      <c r="B203" s="10"/>
      <c r="C203" s="10"/>
      <c r="D203" s="10"/>
      <c r="E203" s="10"/>
      <c r="F203" s="10"/>
      <c r="G203" s="11"/>
      <c r="H203" s="10"/>
      <c r="I203" s="10"/>
      <c r="J203" s="10"/>
      <c r="AB203" s="13"/>
      <c r="AC203" s="13"/>
      <c r="AD203" s="13"/>
      <c r="AE203" s="13"/>
    </row>
    <row r="204">
      <c r="A204" s="10"/>
      <c r="B204" s="10"/>
      <c r="C204" s="10"/>
      <c r="D204" s="10"/>
      <c r="E204" s="10"/>
      <c r="F204" s="10"/>
      <c r="G204" s="11"/>
      <c r="H204" s="10"/>
      <c r="I204" s="10"/>
      <c r="J204" s="13"/>
      <c r="AB204" s="13"/>
      <c r="AC204" s="13"/>
      <c r="AD204" s="13"/>
      <c r="AE204" s="13"/>
    </row>
    <row r="205">
      <c r="A205" s="10"/>
      <c r="B205" s="10"/>
      <c r="C205" s="10"/>
      <c r="D205" s="10"/>
      <c r="E205" s="10"/>
      <c r="F205" s="10"/>
      <c r="G205" s="11"/>
      <c r="H205" s="10"/>
      <c r="I205" s="10"/>
      <c r="J205" s="13"/>
      <c r="AB205" s="13"/>
      <c r="AC205" s="13"/>
      <c r="AD205" s="13"/>
      <c r="AE205" s="13"/>
    </row>
    <row r="206">
      <c r="A206" s="10"/>
      <c r="B206" s="10"/>
      <c r="C206" s="10"/>
      <c r="D206" s="10"/>
      <c r="E206" s="10"/>
      <c r="F206" s="10"/>
      <c r="G206" s="11"/>
      <c r="H206" s="10"/>
      <c r="I206" s="10"/>
      <c r="J206" s="13"/>
      <c r="AB206" s="13"/>
      <c r="AC206" s="13"/>
      <c r="AD206" s="13"/>
      <c r="AE206" s="13"/>
    </row>
    <row r="207">
      <c r="AB207" s="13"/>
      <c r="AC207" s="13"/>
      <c r="AD207" s="13"/>
      <c r="AE207" s="13"/>
    </row>
    <row r="208">
      <c r="AB208" s="13"/>
      <c r="AC208" s="13"/>
      <c r="AD208" s="13"/>
      <c r="AE208" s="13"/>
    </row>
    <row r="209">
      <c r="AB209" s="13"/>
      <c r="AC209" s="13"/>
      <c r="AD209" s="13"/>
      <c r="AE209" s="13"/>
    </row>
    <row r="210">
      <c r="AB210" s="13"/>
      <c r="AC210" s="13"/>
      <c r="AD210" s="13"/>
      <c r="AE210" s="13"/>
    </row>
    <row r="211">
      <c r="AB211" s="13"/>
      <c r="AC211" s="13"/>
      <c r="AD211" s="13"/>
      <c r="AE211" s="13"/>
    </row>
    <row r="212">
      <c r="AB212" s="13"/>
      <c r="AC212" s="13"/>
      <c r="AD212" s="13"/>
      <c r="AE212" s="13"/>
    </row>
    <row r="213">
      <c r="AB213" s="13"/>
      <c r="AC213" s="13"/>
      <c r="AD213" s="13"/>
      <c r="AE213" s="13"/>
    </row>
    <row r="214">
      <c r="AB214" s="13"/>
      <c r="AC214" s="13"/>
      <c r="AD214" s="13"/>
      <c r="AE214" s="13"/>
    </row>
    <row r="215">
      <c r="AB215" s="13"/>
      <c r="AC215" s="13"/>
      <c r="AD215" s="13"/>
      <c r="AE215" s="13"/>
    </row>
    <row r="216">
      <c r="AB216" s="13"/>
      <c r="AC216" s="13"/>
      <c r="AD216" s="13"/>
      <c r="AE216" s="13"/>
    </row>
    <row r="217">
      <c r="AB217" s="13"/>
      <c r="AC217" s="13"/>
      <c r="AD217" s="13"/>
      <c r="AE217" s="13"/>
    </row>
    <row r="218">
      <c r="AB218" s="13"/>
      <c r="AC218" s="13"/>
      <c r="AD218" s="13"/>
      <c r="AE218" s="13"/>
    </row>
    <row r="219">
      <c r="AB219" s="13"/>
      <c r="AC219" s="13"/>
      <c r="AD219" s="13"/>
      <c r="AE219" s="13"/>
    </row>
    <row r="220">
      <c r="AB220" s="13"/>
      <c r="AC220" s="13"/>
      <c r="AD220" s="13"/>
      <c r="AE220" s="13"/>
    </row>
    <row r="221">
      <c r="AB221" s="13"/>
      <c r="AC221" s="13"/>
      <c r="AD221" s="13"/>
      <c r="AE221" s="13"/>
    </row>
    <row r="222">
      <c r="AB222" s="13"/>
      <c r="AC222" s="13"/>
      <c r="AD222" s="13"/>
      <c r="AE222" s="13"/>
    </row>
    <row r="223">
      <c r="AB223" s="13"/>
      <c r="AC223" s="13"/>
      <c r="AD223" s="13"/>
      <c r="AE223" s="13"/>
    </row>
    <row r="224">
      <c r="AB224" s="13"/>
      <c r="AC224" s="13"/>
      <c r="AD224" s="13"/>
      <c r="AE224" s="13"/>
    </row>
    <row r="225">
      <c r="AB225" s="13"/>
      <c r="AC225" s="13"/>
      <c r="AD225" s="13"/>
      <c r="AE225" s="13"/>
    </row>
    <row r="226">
      <c r="AB226" s="13"/>
      <c r="AC226" s="13"/>
      <c r="AD226" s="13"/>
      <c r="AE226" s="13"/>
    </row>
    <row r="227">
      <c r="AB227" s="13"/>
      <c r="AC227" s="13"/>
      <c r="AD227" s="13"/>
      <c r="AE227" s="13"/>
    </row>
    <row r="228">
      <c r="AB228" s="13"/>
      <c r="AC228" s="13"/>
      <c r="AD228" s="13"/>
      <c r="AE228" s="13"/>
    </row>
    <row r="229">
      <c r="AB229" s="13"/>
      <c r="AC229" s="13"/>
      <c r="AD229" s="13"/>
      <c r="AE229" s="13"/>
    </row>
    <row r="230">
      <c r="AB230" s="13"/>
      <c r="AC230" s="13"/>
      <c r="AD230" s="13"/>
      <c r="AE230" s="13"/>
    </row>
    <row r="231">
      <c r="AB231" s="13"/>
      <c r="AC231" s="13"/>
      <c r="AD231" s="13"/>
      <c r="AE231" s="13"/>
    </row>
    <row r="232">
      <c r="AB232" s="13"/>
      <c r="AC232" s="13"/>
      <c r="AD232" s="13"/>
      <c r="AE232" s="13"/>
    </row>
    <row r="233">
      <c r="AB233" s="13"/>
      <c r="AC233" s="13"/>
      <c r="AD233" s="13"/>
      <c r="AE233" s="13"/>
    </row>
    <row r="234">
      <c r="AB234" s="13"/>
      <c r="AC234" s="13"/>
      <c r="AD234" s="13"/>
      <c r="AE234" s="13"/>
    </row>
    <row r="235">
      <c r="AB235" s="13"/>
      <c r="AC235" s="13"/>
      <c r="AD235" s="13"/>
      <c r="AE235" s="13"/>
    </row>
    <row r="236">
      <c r="AB236" s="13"/>
      <c r="AC236" s="13"/>
      <c r="AD236" s="13"/>
      <c r="AE236" s="13"/>
    </row>
    <row r="237">
      <c r="AB237" s="13"/>
      <c r="AC237" s="13"/>
      <c r="AD237" s="13"/>
      <c r="AE237" s="13"/>
    </row>
    <row r="238">
      <c r="AB238" s="13"/>
      <c r="AC238" s="13"/>
      <c r="AD238" s="13"/>
      <c r="AE238" s="13"/>
    </row>
    <row r="239">
      <c r="AB239" s="13"/>
      <c r="AC239" s="13"/>
      <c r="AD239" s="13"/>
      <c r="AE239" s="13"/>
    </row>
    <row r="240">
      <c r="AB240" s="13"/>
      <c r="AC240" s="13"/>
      <c r="AD240" s="13"/>
      <c r="AE240" s="13"/>
    </row>
    <row r="241">
      <c r="AB241" s="13"/>
      <c r="AC241" s="13"/>
      <c r="AD241" s="13"/>
      <c r="AE241" s="13"/>
    </row>
    <row r="242">
      <c r="AB242" s="13"/>
      <c r="AC242" s="13"/>
      <c r="AD242" s="13"/>
      <c r="AE242" s="13"/>
    </row>
    <row r="243">
      <c r="AB243" s="13"/>
      <c r="AC243" s="13"/>
      <c r="AD243" s="13"/>
      <c r="AE243" s="13"/>
    </row>
    <row r="244">
      <c r="AB244" s="13"/>
      <c r="AC244" s="13"/>
      <c r="AD244" s="13"/>
      <c r="AE244" s="13"/>
    </row>
    <row r="245">
      <c r="AB245" s="13"/>
      <c r="AC245" s="13"/>
      <c r="AD245" s="13"/>
      <c r="AE245" s="13"/>
    </row>
    <row r="246">
      <c r="AB246" s="13"/>
      <c r="AC246" s="13"/>
      <c r="AD246" s="13"/>
      <c r="AE246" s="13"/>
    </row>
    <row r="247">
      <c r="AB247" s="13"/>
      <c r="AC247" s="13"/>
      <c r="AD247" s="13"/>
      <c r="AE247" s="13"/>
    </row>
    <row r="248">
      <c r="AB248" s="13"/>
      <c r="AC248" s="13"/>
      <c r="AD248" s="13"/>
      <c r="AE248" s="13"/>
    </row>
    <row r="249">
      <c r="AB249" s="13"/>
      <c r="AC249" s="13"/>
      <c r="AD249" s="13"/>
      <c r="AE249" s="13"/>
    </row>
    <row r="250">
      <c r="AB250" s="13"/>
      <c r="AC250" s="13"/>
      <c r="AD250" s="13"/>
      <c r="AE250" s="13"/>
    </row>
    <row r="251">
      <c r="AB251" s="13"/>
      <c r="AC251" s="13"/>
      <c r="AD251" s="13"/>
      <c r="AE251" s="13"/>
    </row>
    <row r="252">
      <c r="AB252" s="13"/>
      <c r="AC252" s="13"/>
      <c r="AD252" s="13"/>
      <c r="AE252" s="13"/>
    </row>
    <row r="253">
      <c r="AB253" s="13"/>
      <c r="AC253" s="13"/>
      <c r="AD253" s="13"/>
      <c r="AE253" s="13"/>
    </row>
    <row r="254">
      <c r="AB254" s="13"/>
      <c r="AC254" s="13"/>
      <c r="AD254" s="13"/>
      <c r="AE254" s="13"/>
    </row>
    <row r="255">
      <c r="AB255" s="13"/>
      <c r="AC255" s="13"/>
      <c r="AD255" s="13"/>
      <c r="AE255" s="13"/>
    </row>
    <row r="256">
      <c r="AB256" s="13"/>
      <c r="AC256" s="13"/>
      <c r="AD256" s="13"/>
      <c r="AE256" s="13"/>
    </row>
    <row r="257">
      <c r="AB257" s="13"/>
      <c r="AC257" s="13"/>
      <c r="AD257" s="13"/>
      <c r="AE257" s="13"/>
    </row>
    <row r="258">
      <c r="AB258" s="13"/>
      <c r="AC258" s="13"/>
      <c r="AD258" s="13"/>
      <c r="AE258" s="13"/>
    </row>
    <row r="259">
      <c r="AB259" s="13"/>
      <c r="AC259" s="13"/>
      <c r="AD259" s="13"/>
      <c r="AE259" s="13"/>
    </row>
    <row r="260">
      <c r="AB260" s="13"/>
      <c r="AC260" s="13"/>
      <c r="AD260" s="13"/>
      <c r="AE260" s="13"/>
    </row>
    <row r="261">
      <c r="AB261" s="13"/>
      <c r="AC261" s="13"/>
      <c r="AD261" s="13"/>
      <c r="AE261" s="13"/>
    </row>
    <row r="262">
      <c r="AB262" s="13"/>
      <c r="AC262" s="13"/>
      <c r="AD262" s="13"/>
      <c r="AE262" s="13"/>
    </row>
    <row r="263">
      <c r="AB263" s="13"/>
      <c r="AC263" s="13"/>
      <c r="AD263" s="13"/>
      <c r="AE263" s="13"/>
    </row>
    <row r="264">
      <c r="AB264" s="13"/>
      <c r="AC264" s="13"/>
      <c r="AD264" s="13"/>
      <c r="AE264" s="13"/>
    </row>
    <row r="265">
      <c r="AB265" s="13"/>
      <c r="AC265" s="13"/>
      <c r="AD265" s="13"/>
      <c r="AE265" s="13"/>
    </row>
    <row r="266">
      <c r="AB266" s="13"/>
      <c r="AC266" s="13"/>
      <c r="AD266" s="13"/>
      <c r="AE266" s="13"/>
    </row>
    <row r="267">
      <c r="AB267" s="13"/>
      <c r="AC267" s="13"/>
      <c r="AD267" s="13"/>
      <c r="AE267" s="13"/>
    </row>
    <row r="268">
      <c r="AB268" s="13"/>
      <c r="AC268" s="13"/>
      <c r="AD268" s="13"/>
      <c r="AE268" s="13"/>
    </row>
    <row r="269">
      <c r="AB269" s="13"/>
      <c r="AC269" s="13"/>
      <c r="AD269" s="13"/>
      <c r="AE269" s="13"/>
    </row>
    <row r="270">
      <c r="AB270" s="13"/>
      <c r="AC270" s="13"/>
      <c r="AD270" s="13"/>
      <c r="AE270" s="13"/>
    </row>
    <row r="271">
      <c r="AB271" s="13"/>
      <c r="AC271" s="13"/>
      <c r="AD271" s="13"/>
      <c r="AE271" s="13"/>
    </row>
    <row r="272">
      <c r="AB272" s="13"/>
      <c r="AC272" s="13"/>
      <c r="AD272" s="13"/>
      <c r="AE272" s="13"/>
    </row>
    <row r="273">
      <c r="AB273" s="13"/>
      <c r="AC273" s="13"/>
      <c r="AD273" s="13"/>
      <c r="AE273" s="13"/>
    </row>
    <row r="274">
      <c r="AB274" s="13"/>
      <c r="AC274" s="13"/>
      <c r="AD274" s="13"/>
      <c r="AE274" s="13"/>
    </row>
    <row r="275">
      <c r="AB275" s="13"/>
      <c r="AC275" s="13"/>
      <c r="AD275" s="13"/>
      <c r="AE275" s="13"/>
    </row>
    <row r="276">
      <c r="AB276" s="13"/>
      <c r="AC276" s="13"/>
      <c r="AD276" s="13"/>
      <c r="AE276" s="13"/>
    </row>
    <row r="277">
      <c r="AB277" s="13"/>
      <c r="AC277" s="13"/>
      <c r="AD277" s="13"/>
      <c r="AE277" s="13"/>
    </row>
    <row r="278">
      <c r="AB278" s="13"/>
      <c r="AC278" s="13"/>
      <c r="AD278" s="13"/>
      <c r="AE278" s="13"/>
    </row>
    <row r="279">
      <c r="AB279" s="13"/>
      <c r="AC279" s="13"/>
      <c r="AD279" s="13"/>
      <c r="AE279" s="13"/>
    </row>
    <row r="280">
      <c r="AB280" s="13"/>
      <c r="AC280" s="13"/>
      <c r="AD280" s="13"/>
      <c r="AE280" s="13"/>
    </row>
    <row r="281">
      <c r="AB281" s="13"/>
      <c r="AC281" s="13"/>
      <c r="AD281" s="13"/>
      <c r="AE281" s="13"/>
    </row>
    <row r="282">
      <c r="AB282" s="13"/>
      <c r="AC282" s="13"/>
      <c r="AD282" s="13"/>
      <c r="AE282" s="13"/>
    </row>
    <row r="283">
      <c r="AB283" s="13"/>
      <c r="AC283" s="13"/>
      <c r="AD283" s="13"/>
      <c r="AE283" s="13"/>
    </row>
    <row r="284">
      <c r="AB284" s="13"/>
      <c r="AC284" s="13"/>
      <c r="AD284" s="13"/>
      <c r="AE284" s="13"/>
    </row>
    <row r="285">
      <c r="AB285" s="13"/>
      <c r="AC285" s="13"/>
      <c r="AD285" s="13"/>
      <c r="AE285" s="13"/>
    </row>
    <row r="286">
      <c r="AB286" s="13"/>
      <c r="AC286" s="13"/>
      <c r="AD286" s="13"/>
      <c r="AE286" s="13"/>
    </row>
    <row r="287">
      <c r="AB287" s="13"/>
      <c r="AC287" s="13"/>
      <c r="AD287" s="13"/>
      <c r="AE287" s="13"/>
    </row>
    <row r="288">
      <c r="AB288" s="13"/>
      <c r="AC288" s="13"/>
      <c r="AD288" s="13"/>
      <c r="AE288" s="13"/>
    </row>
    <row r="289">
      <c r="AB289" s="13"/>
      <c r="AC289" s="13"/>
      <c r="AD289" s="13"/>
      <c r="AE289" s="13"/>
    </row>
    <row r="290">
      <c r="AB290" s="13"/>
      <c r="AC290" s="13"/>
      <c r="AD290" s="13"/>
      <c r="AE290" s="13"/>
    </row>
    <row r="291">
      <c r="AB291" s="13"/>
      <c r="AC291" s="13"/>
      <c r="AD291" s="13"/>
      <c r="AE291" s="13"/>
    </row>
    <row r="292">
      <c r="AB292" s="13"/>
      <c r="AC292" s="13"/>
      <c r="AD292" s="13"/>
      <c r="AE292" s="13"/>
    </row>
    <row r="293">
      <c r="AB293" s="13"/>
      <c r="AC293" s="13"/>
      <c r="AD293" s="13"/>
      <c r="AE293" s="13"/>
    </row>
    <row r="294">
      <c r="AB294" s="13"/>
      <c r="AC294" s="13"/>
      <c r="AD294" s="13"/>
      <c r="AE294" s="13"/>
    </row>
    <row r="295">
      <c r="AB295" s="13"/>
      <c r="AC295" s="13"/>
      <c r="AD295" s="13"/>
      <c r="AE295" s="13"/>
    </row>
    <row r="296">
      <c r="AB296" s="13"/>
      <c r="AC296" s="13"/>
      <c r="AD296" s="13"/>
      <c r="AE296" s="13"/>
    </row>
    <row r="297">
      <c r="AB297" s="13"/>
      <c r="AC297" s="13"/>
      <c r="AD297" s="13"/>
      <c r="AE297" s="13"/>
    </row>
    <row r="298">
      <c r="AB298" s="13"/>
      <c r="AC298" s="13"/>
      <c r="AD298" s="13"/>
      <c r="AE298" s="13"/>
    </row>
    <row r="299">
      <c r="AB299" s="13"/>
      <c r="AC299" s="13"/>
      <c r="AD299" s="13"/>
      <c r="AE299" s="13"/>
    </row>
    <row r="300">
      <c r="AB300" s="13"/>
      <c r="AC300" s="13"/>
      <c r="AD300" s="13"/>
      <c r="AE300" s="13"/>
    </row>
    <row r="301">
      <c r="AB301" s="13"/>
      <c r="AC301" s="13"/>
      <c r="AD301" s="13"/>
      <c r="AE301" s="13"/>
    </row>
    <row r="302">
      <c r="AB302" s="13"/>
      <c r="AC302" s="13"/>
      <c r="AD302" s="13"/>
      <c r="AE302" s="13"/>
    </row>
    <row r="303">
      <c r="AB303" s="13"/>
      <c r="AC303" s="13"/>
      <c r="AD303" s="13"/>
      <c r="AE303" s="13"/>
    </row>
    <row r="304">
      <c r="AB304" s="13"/>
      <c r="AC304" s="13"/>
      <c r="AD304" s="13"/>
      <c r="AE304" s="13"/>
    </row>
    <row r="305">
      <c r="AB305" s="13"/>
      <c r="AC305" s="13"/>
      <c r="AD305" s="13"/>
      <c r="AE305" s="13"/>
    </row>
    <row r="306">
      <c r="AB306" s="13"/>
      <c r="AC306" s="13"/>
      <c r="AD306" s="13"/>
      <c r="AE306" s="13"/>
    </row>
    <row r="307">
      <c r="AB307" s="13"/>
      <c r="AC307" s="13"/>
      <c r="AD307" s="13"/>
      <c r="AE307" s="13"/>
    </row>
    <row r="308">
      <c r="AB308" s="13"/>
      <c r="AC308" s="13"/>
      <c r="AD308" s="13"/>
      <c r="AE308" s="13"/>
    </row>
    <row r="309">
      <c r="AB309" s="13"/>
      <c r="AC309" s="13"/>
      <c r="AD309" s="13"/>
      <c r="AE309" s="13"/>
    </row>
    <row r="310">
      <c r="AB310" s="13"/>
      <c r="AC310" s="13"/>
      <c r="AD310" s="13"/>
      <c r="AE310" s="13"/>
    </row>
    <row r="311">
      <c r="AB311" s="13"/>
      <c r="AC311" s="13"/>
      <c r="AD311" s="13"/>
      <c r="AE311" s="13"/>
    </row>
    <row r="312">
      <c r="AB312" s="13"/>
      <c r="AC312" s="13"/>
      <c r="AD312" s="13"/>
      <c r="AE312" s="13"/>
    </row>
    <row r="313">
      <c r="AB313" s="13"/>
      <c r="AC313" s="13"/>
      <c r="AD313" s="13"/>
      <c r="AE313" s="13"/>
    </row>
    <row r="314">
      <c r="AB314" s="13"/>
      <c r="AC314" s="13"/>
      <c r="AD314" s="13"/>
      <c r="AE314" s="13"/>
    </row>
    <row r="315">
      <c r="AB315" s="13"/>
      <c r="AC315" s="13"/>
      <c r="AD315" s="13"/>
      <c r="AE315" s="13"/>
    </row>
    <row r="316">
      <c r="AB316" s="13"/>
      <c r="AC316" s="13"/>
      <c r="AD316" s="13"/>
      <c r="AE316" s="13"/>
    </row>
    <row r="317">
      <c r="AB317" s="13"/>
      <c r="AC317" s="13"/>
      <c r="AD317" s="13"/>
      <c r="AE317" s="13"/>
    </row>
    <row r="318">
      <c r="AB318" s="13"/>
      <c r="AC318" s="13"/>
      <c r="AD318" s="13"/>
      <c r="AE318" s="13"/>
    </row>
    <row r="319">
      <c r="AB319" s="13"/>
      <c r="AC319" s="13"/>
      <c r="AD319" s="13"/>
      <c r="AE319" s="13"/>
    </row>
    <row r="320">
      <c r="AB320" s="13"/>
      <c r="AC320" s="13"/>
      <c r="AD320" s="13"/>
      <c r="AE320" s="13"/>
    </row>
    <row r="321">
      <c r="AB321" s="13"/>
      <c r="AC321" s="13"/>
      <c r="AD321" s="13"/>
      <c r="AE321" s="13"/>
    </row>
    <row r="322">
      <c r="AB322" s="13"/>
      <c r="AC322" s="13"/>
      <c r="AD322" s="13"/>
      <c r="AE322" s="13"/>
    </row>
    <row r="323">
      <c r="AB323" s="13"/>
      <c r="AC323" s="13"/>
      <c r="AD323" s="13"/>
      <c r="AE323" s="13"/>
    </row>
    <row r="324">
      <c r="AB324" s="13"/>
      <c r="AC324" s="13"/>
      <c r="AD324" s="13"/>
      <c r="AE324" s="13"/>
    </row>
    <row r="325">
      <c r="AB325" s="13"/>
      <c r="AC325" s="13"/>
      <c r="AD325" s="13"/>
      <c r="AE325" s="13"/>
    </row>
    <row r="326">
      <c r="AB326" s="13"/>
      <c r="AC326" s="13"/>
      <c r="AD326" s="13"/>
      <c r="AE326" s="13"/>
    </row>
    <row r="327">
      <c r="AB327" s="13"/>
      <c r="AC327" s="13"/>
      <c r="AD327" s="13"/>
      <c r="AE327" s="13"/>
    </row>
    <row r="328">
      <c r="AB328" s="13"/>
      <c r="AC328" s="13"/>
      <c r="AD328" s="13"/>
      <c r="AE328" s="13"/>
    </row>
    <row r="329">
      <c r="AB329" s="13"/>
      <c r="AC329" s="13"/>
      <c r="AD329" s="13"/>
      <c r="AE329" s="13"/>
    </row>
    <row r="330">
      <c r="AB330" s="13"/>
      <c r="AC330" s="13"/>
      <c r="AD330" s="13"/>
      <c r="AE330" s="13"/>
    </row>
    <row r="331">
      <c r="AB331" s="13"/>
      <c r="AC331" s="13"/>
      <c r="AD331" s="13"/>
      <c r="AE331" s="13"/>
    </row>
    <row r="332">
      <c r="AB332" s="13"/>
      <c r="AC332" s="13"/>
      <c r="AD332" s="13"/>
      <c r="AE332" s="13"/>
    </row>
    <row r="333">
      <c r="AB333" s="13"/>
      <c r="AC333" s="13"/>
      <c r="AD333" s="13"/>
      <c r="AE333" s="13"/>
    </row>
    <row r="334">
      <c r="AB334" s="13"/>
      <c r="AC334" s="13"/>
      <c r="AD334" s="13"/>
      <c r="AE334" s="13"/>
    </row>
    <row r="335">
      <c r="AB335" s="13"/>
      <c r="AC335" s="13"/>
      <c r="AD335" s="13"/>
      <c r="AE335" s="13"/>
    </row>
    <row r="336">
      <c r="AB336" s="13"/>
      <c r="AC336" s="13"/>
      <c r="AD336" s="13"/>
      <c r="AE336" s="13"/>
    </row>
    <row r="337">
      <c r="AB337" s="13"/>
      <c r="AC337" s="13"/>
      <c r="AD337" s="13"/>
      <c r="AE337" s="13"/>
    </row>
    <row r="338">
      <c r="AB338" s="13"/>
      <c r="AC338" s="13"/>
      <c r="AD338" s="13"/>
      <c r="AE338" s="13"/>
    </row>
    <row r="339">
      <c r="AB339" s="13"/>
      <c r="AC339" s="13"/>
      <c r="AD339" s="13"/>
      <c r="AE339" s="13"/>
    </row>
    <row r="340">
      <c r="AB340" s="13"/>
      <c r="AC340" s="13"/>
      <c r="AD340" s="13"/>
      <c r="AE340" s="13"/>
    </row>
    <row r="341">
      <c r="AB341" s="13"/>
      <c r="AC341" s="13"/>
      <c r="AD341" s="13"/>
      <c r="AE341" s="13"/>
    </row>
    <row r="342">
      <c r="AB342" s="13"/>
      <c r="AC342" s="13"/>
      <c r="AD342" s="13"/>
      <c r="AE342" s="13"/>
    </row>
    <row r="343">
      <c r="AB343" s="13"/>
      <c r="AC343" s="13"/>
      <c r="AD343" s="13"/>
      <c r="AE343" s="13"/>
    </row>
    <row r="344">
      <c r="AB344" s="13"/>
      <c r="AC344" s="13"/>
      <c r="AD344" s="13"/>
      <c r="AE344" s="13"/>
    </row>
    <row r="345">
      <c r="AB345" s="13"/>
      <c r="AC345" s="13"/>
      <c r="AD345" s="13"/>
      <c r="AE345" s="13"/>
    </row>
    <row r="346">
      <c r="AB346" s="13"/>
      <c r="AC346" s="13"/>
      <c r="AD346" s="13"/>
      <c r="AE346" s="13"/>
    </row>
    <row r="347">
      <c r="AB347" s="13"/>
      <c r="AC347" s="13"/>
      <c r="AD347" s="13"/>
      <c r="AE347" s="13"/>
    </row>
    <row r="348">
      <c r="AB348" s="13"/>
      <c r="AC348" s="13"/>
      <c r="AD348" s="13"/>
      <c r="AE348" s="13"/>
    </row>
    <row r="349">
      <c r="AB349" s="13"/>
      <c r="AC349" s="13"/>
      <c r="AD349" s="13"/>
      <c r="AE349" s="13"/>
    </row>
    <row r="350">
      <c r="AB350" s="13"/>
      <c r="AC350" s="13"/>
      <c r="AD350" s="13"/>
      <c r="AE350" s="13"/>
    </row>
    <row r="351">
      <c r="AB351" s="13"/>
      <c r="AC351" s="13"/>
      <c r="AD351" s="13"/>
      <c r="AE351" s="13"/>
    </row>
    <row r="352">
      <c r="AB352" s="13"/>
      <c r="AC352" s="13"/>
      <c r="AD352" s="13"/>
      <c r="AE352" s="13"/>
    </row>
    <row r="353">
      <c r="AB353" s="13"/>
      <c r="AC353" s="13"/>
      <c r="AD353" s="13"/>
      <c r="AE353" s="13"/>
    </row>
    <row r="354">
      <c r="AB354" s="13"/>
      <c r="AC354" s="13"/>
      <c r="AD354" s="13"/>
      <c r="AE354" s="13"/>
    </row>
    <row r="355">
      <c r="AB355" s="13"/>
      <c r="AC355" s="13"/>
      <c r="AD355" s="13"/>
      <c r="AE355" s="13"/>
    </row>
    <row r="356">
      <c r="AB356" s="13"/>
      <c r="AC356" s="13"/>
      <c r="AD356" s="13"/>
      <c r="AE356" s="13"/>
    </row>
    <row r="357">
      <c r="AB357" s="13"/>
      <c r="AC357" s="13"/>
      <c r="AD357" s="13"/>
      <c r="AE357" s="13"/>
    </row>
    <row r="358">
      <c r="AB358" s="13"/>
      <c r="AC358" s="13"/>
      <c r="AD358" s="13"/>
      <c r="AE358" s="13"/>
    </row>
    <row r="359">
      <c r="AB359" s="13"/>
      <c r="AC359" s="13"/>
      <c r="AD359" s="13"/>
      <c r="AE359" s="13"/>
    </row>
    <row r="360">
      <c r="AB360" s="13"/>
      <c r="AC360" s="13"/>
      <c r="AD360" s="13"/>
      <c r="AE360" s="13"/>
    </row>
    <row r="361">
      <c r="AB361" s="13"/>
      <c r="AC361" s="13"/>
      <c r="AD361" s="13"/>
      <c r="AE361" s="13"/>
    </row>
    <row r="362">
      <c r="AB362" s="13"/>
      <c r="AC362" s="13"/>
      <c r="AD362" s="13"/>
      <c r="AE362" s="13"/>
    </row>
    <row r="363">
      <c r="AB363" s="13"/>
      <c r="AC363" s="13"/>
      <c r="AD363" s="13"/>
      <c r="AE363" s="13"/>
    </row>
    <row r="364">
      <c r="AB364" s="13"/>
      <c r="AC364" s="13"/>
      <c r="AD364" s="13"/>
      <c r="AE364" s="13"/>
    </row>
    <row r="365">
      <c r="AB365" s="13"/>
      <c r="AC365" s="13"/>
      <c r="AD365" s="13"/>
      <c r="AE365" s="13"/>
    </row>
    <row r="366">
      <c r="AB366" s="13"/>
      <c r="AC366" s="13"/>
      <c r="AD366" s="13"/>
      <c r="AE366" s="13"/>
    </row>
    <row r="367">
      <c r="AB367" s="13"/>
      <c r="AC367" s="13"/>
      <c r="AD367" s="13"/>
      <c r="AE367" s="13"/>
    </row>
    <row r="368">
      <c r="AB368" s="13"/>
      <c r="AC368" s="13"/>
      <c r="AD368" s="13"/>
      <c r="AE368" s="13"/>
    </row>
    <row r="369">
      <c r="AB369" s="13"/>
      <c r="AC369" s="13"/>
      <c r="AD369" s="13"/>
      <c r="AE369" s="13"/>
    </row>
    <row r="370">
      <c r="AB370" s="13"/>
      <c r="AC370" s="13"/>
      <c r="AD370" s="13"/>
      <c r="AE370" s="13"/>
    </row>
    <row r="371">
      <c r="AB371" s="13"/>
      <c r="AC371" s="13"/>
      <c r="AD371" s="13"/>
      <c r="AE371" s="13"/>
    </row>
    <row r="372">
      <c r="AB372" s="13"/>
      <c r="AC372" s="13"/>
      <c r="AD372" s="13"/>
      <c r="AE372" s="13"/>
    </row>
    <row r="373">
      <c r="AB373" s="13"/>
      <c r="AC373" s="13"/>
      <c r="AD373" s="13"/>
      <c r="AE373" s="13"/>
    </row>
    <row r="374">
      <c r="AB374" s="13"/>
      <c r="AC374" s="13"/>
      <c r="AD374" s="13"/>
      <c r="AE374" s="13"/>
    </row>
    <row r="375">
      <c r="AB375" s="13"/>
      <c r="AC375" s="13"/>
      <c r="AD375" s="13"/>
      <c r="AE375" s="13"/>
    </row>
    <row r="376">
      <c r="AB376" s="13"/>
      <c r="AC376" s="13"/>
      <c r="AD376" s="13"/>
      <c r="AE376" s="13"/>
    </row>
    <row r="377">
      <c r="AB377" s="13"/>
      <c r="AC377" s="13"/>
      <c r="AD377" s="13"/>
      <c r="AE377" s="13"/>
    </row>
    <row r="378">
      <c r="AB378" s="13"/>
      <c r="AC378" s="13"/>
      <c r="AD378" s="13"/>
      <c r="AE378" s="13"/>
    </row>
    <row r="379">
      <c r="AB379" s="13"/>
      <c r="AC379" s="13"/>
      <c r="AD379" s="13"/>
      <c r="AE379" s="13"/>
    </row>
    <row r="380">
      <c r="AB380" s="13"/>
      <c r="AC380" s="13"/>
      <c r="AD380" s="13"/>
      <c r="AE380" s="13"/>
    </row>
    <row r="381">
      <c r="AB381" s="13"/>
      <c r="AC381" s="13"/>
      <c r="AD381" s="13"/>
      <c r="AE381" s="13"/>
    </row>
    <row r="382">
      <c r="AB382" s="13"/>
      <c r="AC382" s="13"/>
      <c r="AD382" s="13"/>
      <c r="AE382" s="13"/>
    </row>
    <row r="383">
      <c r="AB383" s="13"/>
      <c r="AC383" s="13"/>
      <c r="AD383" s="13"/>
      <c r="AE383" s="13"/>
    </row>
    <row r="384">
      <c r="AB384" s="13"/>
      <c r="AC384" s="13"/>
      <c r="AD384" s="13"/>
      <c r="AE384" s="13"/>
    </row>
    <row r="385">
      <c r="AB385" s="13"/>
      <c r="AC385" s="13"/>
      <c r="AD385" s="13"/>
      <c r="AE385" s="13"/>
    </row>
    <row r="386">
      <c r="AB386" s="13"/>
      <c r="AC386" s="13"/>
      <c r="AD386" s="13"/>
      <c r="AE386" s="13"/>
    </row>
    <row r="387">
      <c r="AB387" s="13"/>
      <c r="AC387" s="13"/>
      <c r="AD387" s="13"/>
      <c r="AE387" s="13"/>
    </row>
    <row r="388">
      <c r="AB388" s="13"/>
      <c r="AC388" s="13"/>
      <c r="AD388" s="13"/>
      <c r="AE388" s="13"/>
    </row>
    <row r="389">
      <c r="AB389" s="13"/>
      <c r="AC389" s="13"/>
      <c r="AD389" s="13"/>
      <c r="AE389" s="13"/>
    </row>
    <row r="390">
      <c r="AB390" s="13"/>
      <c r="AC390" s="13"/>
      <c r="AD390" s="13"/>
      <c r="AE390" s="13"/>
    </row>
    <row r="391">
      <c r="AB391" s="13"/>
      <c r="AC391" s="13"/>
      <c r="AD391" s="13"/>
      <c r="AE391" s="13"/>
    </row>
    <row r="392">
      <c r="AB392" s="13"/>
      <c r="AC392" s="13"/>
      <c r="AD392" s="13"/>
      <c r="AE392" s="13"/>
    </row>
    <row r="393">
      <c r="AB393" s="13"/>
      <c r="AC393" s="13"/>
      <c r="AD393" s="13"/>
      <c r="AE393" s="13"/>
    </row>
    <row r="394">
      <c r="AB394" s="13"/>
      <c r="AC394" s="13"/>
      <c r="AD394" s="13"/>
      <c r="AE394" s="13"/>
    </row>
    <row r="395">
      <c r="AB395" s="13"/>
      <c r="AC395" s="13"/>
      <c r="AD395" s="13"/>
      <c r="AE395" s="13"/>
    </row>
    <row r="396">
      <c r="AB396" s="13"/>
      <c r="AC396" s="13"/>
      <c r="AD396" s="13"/>
      <c r="AE396" s="13"/>
    </row>
    <row r="397">
      <c r="AB397" s="13"/>
      <c r="AC397" s="13"/>
      <c r="AD397" s="13"/>
      <c r="AE397" s="13"/>
    </row>
    <row r="398">
      <c r="AB398" s="13"/>
      <c r="AC398" s="13"/>
      <c r="AD398" s="13"/>
      <c r="AE398" s="13"/>
    </row>
    <row r="399">
      <c r="AB399" s="13"/>
      <c r="AC399" s="13"/>
      <c r="AD399" s="13"/>
      <c r="AE399" s="13"/>
    </row>
    <row r="400">
      <c r="AB400" s="13"/>
      <c r="AC400" s="13"/>
      <c r="AD400" s="13"/>
      <c r="AE400" s="13"/>
    </row>
    <row r="401">
      <c r="AB401" s="13"/>
      <c r="AC401" s="13"/>
      <c r="AD401" s="13"/>
      <c r="AE401" s="13"/>
    </row>
    <row r="402">
      <c r="AB402" s="13"/>
      <c r="AC402" s="13"/>
      <c r="AD402" s="13"/>
      <c r="AE402" s="13"/>
    </row>
    <row r="403">
      <c r="AB403" s="13"/>
      <c r="AC403" s="13"/>
      <c r="AD403" s="13"/>
      <c r="AE403" s="13"/>
    </row>
    <row r="404">
      <c r="AB404" s="13"/>
      <c r="AC404" s="13"/>
      <c r="AD404" s="13"/>
      <c r="AE404" s="13"/>
    </row>
    <row r="405">
      <c r="AB405" s="13"/>
      <c r="AC405" s="13"/>
      <c r="AD405" s="13"/>
      <c r="AE405" s="13"/>
    </row>
    <row r="406">
      <c r="AB406" s="13"/>
      <c r="AC406" s="13"/>
      <c r="AD406" s="13"/>
      <c r="AE406" s="13"/>
    </row>
    <row r="407">
      <c r="AB407" s="13"/>
      <c r="AC407" s="13"/>
      <c r="AD407" s="13"/>
      <c r="AE407" s="13"/>
    </row>
    <row r="408">
      <c r="AB408" s="13"/>
      <c r="AC408" s="13"/>
      <c r="AD408" s="13"/>
      <c r="AE408" s="13"/>
    </row>
    <row r="409">
      <c r="AB409" s="13"/>
      <c r="AC409" s="13"/>
      <c r="AD409" s="13"/>
      <c r="AE409" s="13"/>
    </row>
    <row r="410">
      <c r="AB410" s="13"/>
      <c r="AC410" s="13"/>
      <c r="AD410" s="13"/>
      <c r="AE410" s="13"/>
    </row>
    <row r="411">
      <c r="AB411" s="13"/>
      <c r="AC411" s="13"/>
      <c r="AD411" s="13"/>
      <c r="AE411" s="13"/>
    </row>
    <row r="412">
      <c r="AB412" s="13"/>
      <c r="AC412" s="13"/>
      <c r="AD412" s="13"/>
      <c r="AE412" s="13"/>
    </row>
    <row r="413">
      <c r="AB413" s="13"/>
      <c r="AC413" s="13"/>
      <c r="AD413" s="13"/>
      <c r="AE413" s="13"/>
    </row>
    <row r="414">
      <c r="AB414" s="13"/>
      <c r="AC414" s="13"/>
      <c r="AD414" s="13"/>
      <c r="AE414" s="13"/>
    </row>
    <row r="415">
      <c r="AB415" s="13"/>
      <c r="AC415" s="13"/>
      <c r="AD415" s="13"/>
      <c r="AE415" s="13"/>
    </row>
    <row r="416">
      <c r="AB416" s="13"/>
      <c r="AC416" s="13"/>
      <c r="AD416" s="13"/>
      <c r="AE416" s="13"/>
    </row>
    <row r="417">
      <c r="AB417" s="13"/>
      <c r="AC417" s="13"/>
      <c r="AD417" s="13"/>
      <c r="AE417" s="13"/>
    </row>
    <row r="418">
      <c r="AB418" s="13"/>
      <c r="AC418" s="13"/>
      <c r="AD418" s="13"/>
      <c r="AE418" s="13"/>
    </row>
    <row r="419">
      <c r="AB419" s="13"/>
      <c r="AC419" s="13"/>
      <c r="AD419" s="13"/>
      <c r="AE419" s="13"/>
    </row>
    <row r="420">
      <c r="AB420" s="13"/>
      <c r="AC420" s="13"/>
      <c r="AD420" s="13"/>
      <c r="AE420" s="13"/>
    </row>
    <row r="421">
      <c r="AB421" s="13"/>
      <c r="AC421" s="13"/>
      <c r="AD421" s="13"/>
      <c r="AE421" s="13"/>
    </row>
    <row r="422">
      <c r="AB422" s="13"/>
      <c r="AC422" s="13"/>
      <c r="AD422" s="13"/>
      <c r="AE422" s="13"/>
    </row>
    <row r="423">
      <c r="AB423" s="13"/>
      <c r="AC423" s="13"/>
      <c r="AD423" s="13"/>
      <c r="AE423" s="13"/>
    </row>
    <row r="424">
      <c r="AB424" s="13"/>
      <c r="AC424" s="13"/>
      <c r="AD424" s="13"/>
      <c r="AE424" s="13"/>
    </row>
    <row r="425">
      <c r="AB425" s="13"/>
      <c r="AC425" s="13"/>
      <c r="AD425" s="13"/>
      <c r="AE425" s="13"/>
    </row>
    <row r="426">
      <c r="AB426" s="13"/>
      <c r="AC426" s="13"/>
      <c r="AD426" s="13"/>
      <c r="AE426" s="13"/>
    </row>
    <row r="427">
      <c r="AB427" s="13"/>
      <c r="AC427" s="13"/>
      <c r="AD427" s="13"/>
      <c r="AE427" s="13"/>
    </row>
    <row r="428">
      <c r="AB428" s="13"/>
      <c r="AC428" s="13"/>
      <c r="AD428" s="13"/>
      <c r="AE428" s="13"/>
    </row>
    <row r="429">
      <c r="AB429" s="13"/>
      <c r="AC429" s="13"/>
      <c r="AD429" s="13"/>
      <c r="AE429" s="13"/>
    </row>
    <row r="430">
      <c r="AB430" s="13"/>
      <c r="AC430" s="13"/>
      <c r="AD430" s="13"/>
      <c r="AE430" s="13"/>
    </row>
    <row r="431">
      <c r="AB431" s="13"/>
      <c r="AC431" s="13"/>
      <c r="AD431" s="13"/>
      <c r="AE431" s="13"/>
    </row>
    <row r="432">
      <c r="AB432" s="13"/>
      <c r="AC432" s="13"/>
      <c r="AD432" s="13"/>
      <c r="AE432" s="13"/>
    </row>
    <row r="433">
      <c r="AB433" s="13"/>
      <c r="AC433" s="13"/>
      <c r="AD433" s="13"/>
      <c r="AE433" s="13"/>
    </row>
    <row r="434">
      <c r="AB434" s="13"/>
      <c r="AC434" s="13"/>
      <c r="AD434" s="13"/>
      <c r="AE434" s="13"/>
    </row>
    <row r="435">
      <c r="AB435" s="13"/>
      <c r="AC435" s="13"/>
      <c r="AD435" s="13"/>
      <c r="AE435" s="13"/>
    </row>
    <row r="436">
      <c r="AB436" s="13"/>
      <c r="AC436" s="13"/>
      <c r="AD436" s="13"/>
      <c r="AE436" s="13"/>
    </row>
    <row r="437">
      <c r="AB437" s="13"/>
      <c r="AC437" s="13"/>
      <c r="AD437" s="13"/>
      <c r="AE437" s="13"/>
    </row>
    <row r="438">
      <c r="AB438" s="13"/>
      <c r="AC438" s="13"/>
      <c r="AD438" s="13"/>
      <c r="AE438" s="13"/>
    </row>
    <row r="439">
      <c r="AB439" s="13"/>
      <c r="AC439" s="13"/>
      <c r="AD439" s="13"/>
      <c r="AE439" s="13"/>
    </row>
    <row r="440">
      <c r="AB440" s="13"/>
      <c r="AC440" s="13"/>
      <c r="AD440" s="13"/>
      <c r="AE440" s="13"/>
    </row>
    <row r="441">
      <c r="AB441" s="13"/>
      <c r="AC441" s="13"/>
      <c r="AD441" s="13"/>
      <c r="AE441" s="13"/>
    </row>
    <row r="442">
      <c r="AB442" s="13"/>
      <c r="AC442" s="13"/>
      <c r="AD442" s="13"/>
      <c r="AE442" s="13"/>
    </row>
    <row r="443">
      <c r="AB443" s="13"/>
      <c r="AC443" s="13"/>
      <c r="AD443" s="13"/>
      <c r="AE443" s="13"/>
    </row>
    <row r="444">
      <c r="AB444" s="13"/>
      <c r="AC444" s="13"/>
      <c r="AD444" s="13"/>
      <c r="AE444" s="13"/>
    </row>
    <row r="445">
      <c r="AB445" s="13"/>
      <c r="AC445" s="13"/>
      <c r="AD445" s="13"/>
      <c r="AE445" s="13"/>
    </row>
    <row r="446">
      <c r="AB446" s="13"/>
      <c r="AC446" s="13"/>
      <c r="AD446" s="13"/>
      <c r="AE446" s="13"/>
    </row>
    <row r="447">
      <c r="AB447" s="13"/>
      <c r="AC447" s="13"/>
      <c r="AD447" s="13"/>
      <c r="AE447" s="13"/>
    </row>
    <row r="448">
      <c r="AB448" s="13"/>
      <c r="AC448" s="13"/>
      <c r="AD448" s="13"/>
      <c r="AE448" s="13"/>
    </row>
    <row r="449">
      <c r="AB449" s="13"/>
      <c r="AC449" s="13"/>
      <c r="AD449" s="13"/>
      <c r="AE449" s="13"/>
    </row>
    <row r="450">
      <c r="AB450" s="13"/>
      <c r="AC450" s="13"/>
      <c r="AD450" s="13"/>
      <c r="AE450" s="13"/>
    </row>
    <row r="451">
      <c r="AB451" s="13"/>
      <c r="AC451" s="13"/>
      <c r="AD451" s="13"/>
      <c r="AE451" s="13"/>
    </row>
    <row r="452">
      <c r="AB452" s="13"/>
      <c r="AC452" s="13"/>
      <c r="AD452" s="13"/>
      <c r="AE452" s="13"/>
    </row>
    <row r="453">
      <c r="AB453" s="13"/>
      <c r="AC453" s="13"/>
      <c r="AD453" s="13"/>
      <c r="AE453" s="13"/>
    </row>
    <row r="454">
      <c r="AB454" s="13"/>
      <c r="AC454" s="13"/>
      <c r="AD454" s="13"/>
      <c r="AE454" s="13"/>
    </row>
    <row r="455">
      <c r="AB455" s="13"/>
      <c r="AC455" s="13"/>
      <c r="AD455" s="13"/>
      <c r="AE455" s="13"/>
    </row>
    <row r="456">
      <c r="AB456" s="13"/>
      <c r="AC456" s="13"/>
      <c r="AD456" s="13"/>
      <c r="AE456" s="13"/>
    </row>
    <row r="457">
      <c r="AB457" s="13"/>
      <c r="AC457" s="13"/>
      <c r="AD457" s="13"/>
      <c r="AE457" s="13"/>
    </row>
    <row r="458">
      <c r="AB458" s="13"/>
      <c r="AC458" s="13"/>
      <c r="AD458" s="13"/>
      <c r="AE458" s="13"/>
    </row>
    <row r="459">
      <c r="AB459" s="13"/>
      <c r="AC459" s="13"/>
      <c r="AD459" s="13"/>
      <c r="AE459" s="13"/>
    </row>
    <row r="460">
      <c r="AB460" s="13"/>
      <c r="AC460" s="13"/>
      <c r="AD460" s="13"/>
      <c r="AE460" s="13"/>
    </row>
    <row r="461">
      <c r="AB461" s="13"/>
      <c r="AC461" s="13"/>
      <c r="AD461" s="13"/>
      <c r="AE461" s="13"/>
    </row>
    <row r="462">
      <c r="AB462" s="13"/>
      <c r="AC462" s="13"/>
      <c r="AD462" s="13"/>
      <c r="AE462" s="13"/>
    </row>
    <row r="463">
      <c r="AB463" s="13"/>
      <c r="AC463" s="13"/>
      <c r="AD463" s="13"/>
      <c r="AE463" s="13"/>
    </row>
    <row r="464">
      <c r="AB464" s="13"/>
      <c r="AC464" s="13"/>
      <c r="AD464" s="13"/>
      <c r="AE464" s="13"/>
    </row>
    <row r="465">
      <c r="AB465" s="13"/>
      <c r="AC465" s="13"/>
      <c r="AD465" s="13"/>
      <c r="AE465" s="13"/>
    </row>
    <row r="466">
      <c r="AB466" s="13"/>
      <c r="AC466" s="13"/>
      <c r="AD466" s="13"/>
      <c r="AE466" s="13"/>
    </row>
    <row r="467">
      <c r="AB467" s="13"/>
      <c r="AC467" s="13"/>
      <c r="AD467" s="13"/>
      <c r="AE467" s="13"/>
    </row>
    <row r="468">
      <c r="AB468" s="13"/>
      <c r="AC468" s="13"/>
      <c r="AD468" s="13"/>
      <c r="AE468" s="13"/>
    </row>
    <row r="469">
      <c r="AB469" s="13"/>
      <c r="AC469" s="13"/>
      <c r="AD469" s="13"/>
      <c r="AE469" s="13"/>
    </row>
    <row r="470">
      <c r="AB470" s="13"/>
      <c r="AC470" s="13"/>
      <c r="AD470" s="13"/>
      <c r="AE470" s="13"/>
    </row>
    <row r="471">
      <c r="AB471" s="13"/>
      <c r="AC471" s="13"/>
      <c r="AD471" s="13"/>
      <c r="AE471" s="13"/>
    </row>
    <row r="472">
      <c r="AB472" s="13"/>
      <c r="AC472" s="13"/>
      <c r="AD472" s="13"/>
      <c r="AE472" s="13"/>
    </row>
    <row r="473">
      <c r="AB473" s="13"/>
      <c r="AC473" s="13"/>
      <c r="AD473" s="13"/>
      <c r="AE473" s="13"/>
    </row>
    <row r="474">
      <c r="AB474" s="13"/>
      <c r="AC474" s="13"/>
      <c r="AD474" s="13"/>
      <c r="AE474" s="13"/>
    </row>
    <row r="475">
      <c r="AB475" s="13"/>
      <c r="AC475" s="13"/>
      <c r="AD475" s="13"/>
      <c r="AE475" s="13"/>
    </row>
    <row r="476">
      <c r="AB476" s="13"/>
      <c r="AC476" s="13"/>
      <c r="AD476" s="13"/>
      <c r="AE476" s="13"/>
    </row>
    <row r="477">
      <c r="AB477" s="13"/>
      <c r="AC477" s="13"/>
      <c r="AD477" s="13"/>
      <c r="AE477" s="13"/>
    </row>
    <row r="478">
      <c r="AB478" s="13"/>
      <c r="AC478" s="13"/>
      <c r="AD478" s="13"/>
      <c r="AE478" s="13"/>
    </row>
    <row r="479">
      <c r="AB479" s="13"/>
      <c r="AC479" s="13"/>
      <c r="AD479" s="13"/>
      <c r="AE479" s="13"/>
    </row>
    <row r="480">
      <c r="AB480" s="13"/>
      <c r="AC480" s="13"/>
      <c r="AD480" s="13"/>
      <c r="AE480" s="13"/>
    </row>
    <row r="481">
      <c r="AB481" s="13"/>
      <c r="AC481" s="13"/>
      <c r="AD481" s="13"/>
      <c r="AE481" s="13"/>
    </row>
    <row r="482">
      <c r="AB482" s="13"/>
      <c r="AC482" s="13"/>
      <c r="AD482" s="13"/>
      <c r="AE482" s="13"/>
    </row>
    <row r="483">
      <c r="AB483" s="13"/>
      <c r="AC483" s="13"/>
      <c r="AD483" s="13"/>
      <c r="AE483" s="13"/>
    </row>
    <row r="484">
      <c r="AB484" s="13"/>
      <c r="AC484" s="13"/>
      <c r="AD484" s="13"/>
      <c r="AE484" s="13"/>
    </row>
    <row r="485">
      <c r="AB485" s="13"/>
      <c r="AC485" s="13"/>
      <c r="AD485" s="13"/>
      <c r="AE485" s="13"/>
    </row>
    <row r="486">
      <c r="AB486" s="13"/>
      <c r="AC486" s="13"/>
      <c r="AD486" s="13"/>
      <c r="AE486" s="13"/>
    </row>
    <row r="487">
      <c r="AB487" s="13"/>
      <c r="AC487" s="13"/>
      <c r="AD487" s="13"/>
      <c r="AE487" s="13"/>
    </row>
    <row r="488">
      <c r="AB488" s="13"/>
      <c r="AC488" s="13"/>
      <c r="AD488" s="13"/>
      <c r="AE488" s="13"/>
    </row>
    <row r="489">
      <c r="AB489" s="13"/>
      <c r="AC489" s="13"/>
      <c r="AD489" s="13"/>
      <c r="AE489" s="13"/>
    </row>
    <row r="490">
      <c r="AB490" s="13"/>
      <c r="AC490" s="13"/>
      <c r="AD490" s="13"/>
      <c r="AE490" s="13"/>
    </row>
    <row r="491">
      <c r="AB491" s="13"/>
      <c r="AC491" s="13"/>
      <c r="AD491" s="13"/>
      <c r="AE491" s="13"/>
    </row>
    <row r="492">
      <c r="AB492" s="13"/>
      <c r="AC492" s="13"/>
      <c r="AD492" s="13"/>
      <c r="AE492" s="13"/>
    </row>
    <row r="493">
      <c r="AB493" s="13"/>
      <c r="AC493" s="13"/>
      <c r="AD493" s="13"/>
      <c r="AE493" s="13"/>
    </row>
    <row r="494">
      <c r="AB494" s="13"/>
      <c r="AC494" s="13"/>
      <c r="AD494" s="13"/>
      <c r="AE494" s="13"/>
    </row>
    <row r="495">
      <c r="AB495" s="13"/>
      <c r="AC495" s="13"/>
      <c r="AD495" s="13"/>
      <c r="AE495" s="13"/>
    </row>
    <row r="496">
      <c r="AB496" s="13"/>
      <c r="AC496" s="13"/>
      <c r="AD496" s="13"/>
      <c r="AE496" s="13"/>
    </row>
    <row r="497">
      <c r="AB497" s="13"/>
      <c r="AC497" s="13"/>
      <c r="AD497" s="13"/>
      <c r="AE497" s="13"/>
    </row>
    <row r="498">
      <c r="AB498" s="13"/>
      <c r="AC498" s="13"/>
      <c r="AD498" s="13"/>
      <c r="AE498" s="13"/>
    </row>
    <row r="499">
      <c r="AB499" s="13"/>
      <c r="AC499" s="13"/>
      <c r="AD499" s="13"/>
      <c r="AE499" s="13"/>
    </row>
    <row r="500">
      <c r="AB500" s="13"/>
      <c r="AC500" s="13"/>
      <c r="AD500" s="13"/>
      <c r="AE500" s="13"/>
    </row>
    <row r="501">
      <c r="AB501" s="13"/>
      <c r="AC501" s="13"/>
      <c r="AD501" s="13"/>
      <c r="AE501" s="13"/>
    </row>
    <row r="502">
      <c r="AB502" s="13"/>
      <c r="AC502" s="13"/>
      <c r="AD502" s="13"/>
      <c r="AE502" s="13"/>
    </row>
    <row r="503">
      <c r="AB503" s="13"/>
      <c r="AC503" s="13"/>
      <c r="AD503" s="13"/>
      <c r="AE503" s="13"/>
    </row>
    <row r="504">
      <c r="AB504" s="13"/>
      <c r="AC504" s="13"/>
      <c r="AD504" s="13"/>
      <c r="AE504" s="13"/>
    </row>
    <row r="505">
      <c r="AB505" s="13"/>
      <c r="AC505" s="13"/>
      <c r="AD505" s="13"/>
      <c r="AE505" s="13"/>
    </row>
    <row r="506">
      <c r="AB506" s="13"/>
      <c r="AC506" s="13"/>
      <c r="AD506" s="13"/>
      <c r="AE506" s="13"/>
    </row>
    <row r="507">
      <c r="AB507" s="13"/>
      <c r="AC507" s="13"/>
      <c r="AD507" s="13"/>
      <c r="AE507" s="13"/>
    </row>
    <row r="508">
      <c r="AB508" s="13"/>
      <c r="AC508" s="13"/>
      <c r="AD508" s="13"/>
      <c r="AE508" s="13"/>
    </row>
    <row r="509">
      <c r="AB509" s="13"/>
      <c r="AC509" s="13"/>
      <c r="AD509" s="13"/>
      <c r="AE509" s="13"/>
    </row>
    <row r="510">
      <c r="AB510" s="13"/>
      <c r="AC510" s="13"/>
      <c r="AD510" s="13"/>
      <c r="AE510" s="13"/>
    </row>
    <row r="511">
      <c r="AB511" s="13"/>
      <c r="AC511" s="13"/>
      <c r="AD511" s="13"/>
      <c r="AE511" s="13"/>
    </row>
    <row r="512">
      <c r="AB512" s="13"/>
      <c r="AC512" s="13"/>
      <c r="AD512" s="13"/>
      <c r="AE512" s="13"/>
    </row>
    <row r="513">
      <c r="AB513" s="13"/>
      <c r="AC513" s="13"/>
      <c r="AD513" s="13"/>
      <c r="AE513" s="13"/>
    </row>
    <row r="514">
      <c r="AB514" s="13"/>
      <c r="AC514" s="13"/>
      <c r="AD514" s="13"/>
      <c r="AE514" s="13"/>
    </row>
    <row r="515">
      <c r="AB515" s="13"/>
      <c r="AC515" s="13"/>
      <c r="AD515" s="13"/>
      <c r="AE515" s="13"/>
    </row>
    <row r="516">
      <c r="AB516" s="13"/>
      <c r="AC516" s="13"/>
      <c r="AD516" s="13"/>
      <c r="AE516" s="13"/>
    </row>
    <row r="517">
      <c r="AB517" s="13"/>
      <c r="AC517" s="13"/>
      <c r="AD517" s="13"/>
      <c r="AE517" s="13"/>
    </row>
    <row r="518">
      <c r="AB518" s="13"/>
      <c r="AC518" s="13"/>
      <c r="AD518" s="13"/>
      <c r="AE518" s="13"/>
    </row>
    <row r="519">
      <c r="AB519" s="13"/>
      <c r="AC519" s="13"/>
      <c r="AD519" s="13"/>
      <c r="AE519" s="13"/>
    </row>
    <row r="520">
      <c r="AB520" s="13"/>
      <c r="AC520" s="13"/>
      <c r="AD520" s="13"/>
      <c r="AE520" s="13"/>
    </row>
    <row r="521">
      <c r="AB521" s="13"/>
      <c r="AC521" s="13"/>
      <c r="AD521" s="13"/>
      <c r="AE521" s="13"/>
    </row>
    <row r="522">
      <c r="AB522" s="13"/>
      <c r="AC522" s="13"/>
      <c r="AD522" s="13"/>
      <c r="AE522" s="13"/>
    </row>
    <row r="523">
      <c r="AB523" s="13"/>
      <c r="AC523" s="13"/>
      <c r="AD523" s="13"/>
      <c r="AE523" s="13"/>
    </row>
    <row r="524">
      <c r="AB524" s="13"/>
      <c r="AC524" s="13"/>
      <c r="AD524" s="13"/>
      <c r="AE524" s="13"/>
    </row>
    <row r="525">
      <c r="AB525" s="13"/>
      <c r="AC525" s="13"/>
      <c r="AD525" s="13"/>
      <c r="AE525" s="13"/>
    </row>
    <row r="526">
      <c r="AB526" s="13"/>
      <c r="AC526" s="13"/>
      <c r="AD526" s="13"/>
      <c r="AE526" s="13"/>
    </row>
    <row r="527">
      <c r="AB527" s="13"/>
      <c r="AC527" s="13"/>
      <c r="AD527" s="13"/>
      <c r="AE527" s="13"/>
    </row>
    <row r="528">
      <c r="AB528" s="13"/>
      <c r="AC528" s="13"/>
      <c r="AD528" s="13"/>
      <c r="AE528" s="13"/>
    </row>
    <row r="529">
      <c r="AB529" s="13"/>
      <c r="AC529" s="13"/>
      <c r="AD529" s="13"/>
      <c r="AE529" s="13"/>
    </row>
    <row r="530">
      <c r="AB530" s="13"/>
      <c r="AC530" s="13"/>
      <c r="AD530" s="13"/>
      <c r="AE530" s="13"/>
    </row>
    <row r="531">
      <c r="AB531" s="13"/>
      <c r="AC531" s="13"/>
      <c r="AD531" s="13"/>
      <c r="AE531" s="13"/>
    </row>
    <row r="532">
      <c r="AB532" s="13"/>
      <c r="AC532" s="13"/>
      <c r="AD532" s="13"/>
      <c r="AE532" s="13"/>
    </row>
    <row r="533">
      <c r="AB533" s="13"/>
      <c r="AC533" s="13"/>
      <c r="AD533" s="13"/>
      <c r="AE533" s="13"/>
    </row>
    <row r="534">
      <c r="AB534" s="13"/>
      <c r="AC534" s="13"/>
      <c r="AD534" s="13"/>
      <c r="AE534" s="13"/>
    </row>
    <row r="535">
      <c r="AB535" s="13"/>
      <c r="AC535" s="13"/>
      <c r="AD535" s="13"/>
      <c r="AE535" s="13"/>
    </row>
    <row r="536">
      <c r="AB536" s="13"/>
      <c r="AC536" s="13"/>
      <c r="AD536" s="13"/>
      <c r="AE536" s="13"/>
    </row>
    <row r="537">
      <c r="AB537" s="13"/>
      <c r="AC537" s="13"/>
      <c r="AD537" s="13"/>
      <c r="AE537" s="13"/>
    </row>
    <row r="538">
      <c r="AB538" s="13"/>
      <c r="AC538" s="13"/>
      <c r="AD538" s="13"/>
      <c r="AE538" s="13"/>
    </row>
    <row r="539">
      <c r="AB539" s="13"/>
      <c r="AC539" s="13"/>
      <c r="AD539" s="13"/>
      <c r="AE539" s="13"/>
    </row>
    <row r="540">
      <c r="AB540" s="13"/>
      <c r="AC540" s="13"/>
      <c r="AD540" s="13"/>
      <c r="AE540" s="13"/>
    </row>
    <row r="541">
      <c r="AB541" s="13"/>
      <c r="AC541" s="13"/>
      <c r="AD541" s="13"/>
      <c r="AE541" s="13"/>
    </row>
    <row r="542">
      <c r="AB542" s="13"/>
      <c r="AC542" s="13"/>
      <c r="AD542" s="13"/>
      <c r="AE542" s="13"/>
    </row>
    <row r="543">
      <c r="AB543" s="13"/>
      <c r="AC543" s="13"/>
      <c r="AD543" s="13"/>
      <c r="AE543" s="13"/>
    </row>
    <row r="544">
      <c r="AB544" s="13"/>
      <c r="AC544" s="13"/>
      <c r="AD544" s="13"/>
      <c r="AE544" s="13"/>
    </row>
    <row r="545">
      <c r="AB545" s="13"/>
      <c r="AC545" s="13"/>
      <c r="AD545" s="13"/>
      <c r="AE545" s="13"/>
    </row>
    <row r="546">
      <c r="AB546" s="13"/>
      <c r="AC546" s="13"/>
      <c r="AD546" s="13"/>
      <c r="AE546" s="13"/>
    </row>
    <row r="547">
      <c r="AB547" s="13"/>
      <c r="AC547" s="13"/>
      <c r="AD547" s="13"/>
      <c r="AE547" s="13"/>
    </row>
    <row r="548">
      <c r="AB548" s="13"/>
      <c r="AC548" s="13"/>
      <c r="AD548" s="13"/>
      <c r="AE548" s="13"/>
    </row>
    <row r="549">
      <c r="AB549" s="13"/>
      <c r="AC549" s="13"/>
      <c r="AD549" s="13"/>
      <c r="AE549" s="13"/>
    </row>
    <row r="550">
      <c r="AB550" s="13"/>
      <c r="AC550" s="13"/>
      <c r="AD550" s="13"/>
      <c r="AE550" s="13"/>
    </row>
    <row r="551">
      <c r="AB551" s="13"/>
      <c r="AC551" s="13"/>
      <c r="AD551" s="13"/>
      <c r="AE551" s="13"/>
    </row>
    <row r="552">
      <c r="AB552" s="13"/>
      <c r="AC552" s="13"/>
      <c r="AD552" s="13"/>
      <c r="AE552" s="13"/>
    </row>
    <row r="553">
      <c r="AB553" s="13"/>
      <c r="AC553" s="13"/>
      <c r="AD553" s="13"/>
      <c r="AE553" s="13"/>
    </row>
    <row r="554">
      <c r="AB554" s="13"/>
      <c r="AC554" s="13"/>
      <c r="AD554" s="13"/>
      <c r="AE554" s="13"/>
    </row>
    <row r="555">
      <c r="AB555" s="13"/>
      <c r="AC555" s="13"/>
      <c r="AD555" s="13"/>
      <c r="AE555" s="13"/>
    </row>
    <row r="556">
      <c r="AB556" s="13"/>
      <c r="AC556" s="13"/>
      <c r="AD556" s="13"/>
      <c r="AE556" s="13"/>
    </row>
    <row r="557">
      <c r="AB557" s="13"/>
      <c r="AC557" s="13"/>
      <c r="AD557" s="13"/>
      <c r="AE557" s="13"/>
    </row>
    <row r="558">
      <c r="AB558" s="13"/>
      <c r="AC558" s="13"/>
      <c r="AD558" s="13"/>
      <c r="AE558" s="13"/>
    </row>
    <row r="559">
      <c r="AB559" s="13"/>
      <c r="AC559" s="13"/>
      <c r="AD559" s="13"/>
      <c r="AE559" s="13"/>
    </row>
    <row r="560">
      <c r="AB560" s="13"/>
      <c r="AC560" s="13"/>
      <c r="AD560" s="13"/>
      <c r="AE560" s="13"/>
    </row>
    <row r="561">
      <c r="AB561" s="13"/>
      <c r="AC561" s="13"/>
      <c r="AD561" s="13"/>
      <c r="AE561" s="13"/>
    </row>
    <row r="562">
      <c r="AB562" s="13"/>
      <c r="AC562" s="13"/>
      <c r="AD562" s="13"/>
      <c r="AE562" s="13"/>
    </row>
    <row r="563">
      <c r="AB563" s="13"/>
      <c r="AC563" s="13"/>
      <c r="AD563" s="13"/>
      <c r="AE563" s="13"/>
    </row>
    <row r="564">
      <c r="AB564" s="13"/>
      <c r="AC564" s="13"/>
      <c r="AD564" s="13"/>
      <c r="AE564" s="13"/>
    </row>
    <row r="565">
      <c r="AB565" s="13"/>
      <c r="AC565" s="13"/>
      <c r="AD565" s="13"/>
      <c r="AE565" s="13"/>
    </row>
    <row r="566">
      <c r="AB566" s="13"/>
      <c r="AC566" s="13"/>
      <c r="AD566" s="13"/>
      <c r="AE566" s="13"/>
    </row>
    <row r="567">
      <c r="AB567" s="13"/>
      <c r="AC567" s="13"/>
      <c r="AD567" s="13"/>
      <c r="AE567" s="13"/>
    </row>
    <row r="568">
      <c r="AB568" s="13"/>
      <c r="AC568" s="13"/>
      <c r="AD568" s="13"/>
      <c r="AE568" s="13"/>
    </row>
    <row r="569">
      <c r="AB569" s="13"/>
      <c r="AC569" s="13"/>
      <c r="AD569" s="13"/>
      <c r="AE569" s="13"/>
    </row>
    <row r="570">
      <c r="AB570" s="13"/>
      <c r="AC570" s="13"/>
      <c r="AD570" s="13"/>
      <c r="AE570" s="13"/>
    </row>
    <row r="571">
      <c r="AB571" s="13"/>
      <c r="AC571" s="13"/>
      <c r="AD571" s="13"/>
      <c r="AE571" s="13"/>
    </row>
    <row r="572">
      <c r="AB572" s="13"/>
      <c r="AC572" s="13"/>
      <c r="AD572" s="13"/>
      <c r="AE572" s="13"/>
    </row>
    <row r="573">
      <c r="AB573" s="13"/>
      <c r="AC573" s="13"/>
      <c r="AD573" s="13"/>
      <c r="AE573" s="13"/>
    </row>
    <row r="574">
      <c r="AB574" s="13"/>
      <c r="AC574" s="13"/>
      <c r="AD574" s="13"/>
      <c r="AE574" s="13"/>
    </row>
    <row r="575">
      <c r="AB575" s="13"/>
      <c r="AC575" s="13"/>
      <c r="AD575" s="13"/>
      <c r="AE575" s="13"/>
    </row>
    <row r="576">
      <c r="AB576" s="13"/>
      <c r="AC576" s="13"/>
      <c r="AD576" s="13"/>
      <c r="AE576" s="13"/>
    </row>
    <row r="577">
      <c r="AB577" s="13"/>
      <c r="AC577" s="13"/>
      <c r="AD577" s="13"/>
      <c r="AE577" s="13"/>
    </row>
    <row r="578">
      <c r="AB578" s="13"/>
      <c r="AC578" s="13"/>
      <c r="AD578" s="13"/>
      <c r="AE578" s="13"/>
    </row>
    <row r="579">
      <c r="AB579" s="13"/>
      <c r="AC579" s="13"/>
      <c r="AD579" s="13"/>
      <c r="AE579" s="13"/>
    </row>
    <row r="580">
      <c r="AB580" s="13"/>
      <c r="AC580" s="13"/>
      <c r="AD580" s="13"/>
      <c r="AE580" s="13"/>
    </row>
    <row r="581">
      <c r="AB581" s="13"/>
      <c r="AC581" s="13"/>
      <c r="AD581" s="13"/>
      <c r="AE581" s="13"/>
    </row>
    <row r="582">
      <c r="AB582" s="13"/>
      <c r="AC582" s="13"/>
      <c r="AD582" s="13"/>
      <c r="AE582" s="13"/>
    </row>
    <row r="583">
      <c r="AB583" s="13"/>
      <c r="AC583" s="13"/>
      <c r="AD583" s="13"/>
      <c r="AE583" s="13"/>
    </row>
    <row r="584">
      <c r="AB584" s="13"/>
      <c r="AC584" s="13"/>
      <c r="AD584" s="13"/>
      <c r="AE584" s="13"/>
    </row>
    <row r="585">
      <c r="AB585" s="13"/>
      <c r="AC585" s="13"/>
      <c r="AD585" s="13"/>
      <c r="AE585" s="13"/>
    </row>
    <row r="586">
      <c r="AB586" s="13"/>
      <c r="AC586" s="13"/>
      <c r="AD586" s="13"/>
      <c r="AE586" s="13"/>
    </row>
    <row r="587">
      <c r="AB587" s="13"/>
      <c r="AC587" s="13"/>
      <c r="AD587" s="13"/>
      <c r="AE587" s="13"/>
    </row>
    <row r="588">
      <c r="AB588" s="13"/>
      <c r="AC588" s="13"/>
      <c r="AD588" s="13"/>
      <c r="AE588" s="13"/>
    </row>
    <row r="589">
      <c r="AB589" s="13"/>
      <c r="AC589" s="13"/>
      <c r="AD589" s="13"/>
      <c r="AE589" s="13"/>
    </row>
    <row r="590">
      <c r="AB590" s="13"/>
      <c r="AC590" s="13"/>
      <c r="AD590" s="13"/>
      <c r="AE590" s="13"/>
    </row>
    <row r="591">
      <c r="AB591" s="13"/>
      <c r="AC591" s="13"/>
      <c r="AD591" s="13"/>
      <c r="AE591" s="13"/>
    </row>
    <row r="592">
      <c r="AB592" s="13"/>
      <c r="AC592" s="13"/>
      <c r="AD592" s="13"/>
      <c r="AE592" s="13"/>
    </row>
    <row r="593">
      <c r="AB593" s="13"/>
      <c r="AC593" s="13"/>
      <c r="AD593" s="13"/>
      <c r="AE593" s="13"/>
    </row>
    <row r="594">
      <c r="AB594" s="13"/>
      <c r="AC594" s="13"/>
      <c r="AD594" s="13"/>
      <c r="AE594" s="13"/>
    </row>
    <row r="595">
      <c r="AB595" s="13"/>
      <c r="AC595" s="13"/>
      <c r="AD595" s="13"/>
      <c r="AE595" s="13"/>
    </row>
    <row r="596">
      <c r="AB596" s="13"/>
      <c r="AC596" s="13"/>
      <c r="AD596" s="13"/>
      <c r="AE596" s="13"/>
    </row>
    <row r="597">
      <c r="AB597" s="13"/>
      <c r="AC597" s="13"/>
      <c r="AD597" s="13"/>
      <c r="AE597" s="13"/>
    </row>
    <row r="598">
      <c r="AB598" s="13"/>
      <c r="AC598" s="13"/>
      <c r="AD598" s="13"/>
      <c r="AE598" s="13"/>
    </row>
    <row r="599">
      <c r="AB599" s="13"/>
      <c r="AC599" s="13"/>
      <c r="AD599" s="13"/>
      <c r="AE599" s="13"/>
    </row>
    <row r="600">
      <c r="AB600" s="13"/>
      <c r="AC600" s="13"/>
      <c r="AD600" s="13"/>
      <c r="AE600" s="13"/>
    </row>
    <row r="601">
      <c r="AB601" s="13"/>
      <c r="AC601" s="13"/>
      <c r="AD601" s="13"/>
      <c r="AE601" s="13"/>
    </row>
    <row r="602">
      <c r="AB602" s="13"/>
      <c r="AC602" s="13"/>
      <c r="AD602" s="13"/>
      <c r="AE602" s="13"/>
    </row>
    <row r="603">
      <c r="AB603" s="13"/>
      <c r="AC603" s="13"/>
      <c r="AD603" s="13"/>
      <c r="AE603" s="13"/>
    </row>
    <row r="604">
      <c r="AB604" s="13"/>
      <c r="AC604" s="13"/>
      <c r="AD604" s="13"/>
      <c r="AE604" s="13"/>
    </row>
    <row r="605">
      <c r="AB605" s="13"/>
      <c r="AC605" s="13"/>
      <c r="AD605" s="13"/>
      <c r="AE605" s="13"/>
    </row>
    <row r="606">
      <c r="AB606" s="13"/>
      <c r="AC606" s="13"/>
      <c r="AD606" s="13"/>
      <c r="AE606" s="13"/>
    </row>
    <row r="607">
      <c r="AB607" s="13"/>
      <c r="AC607" s="13"/>
      <c r="AD607" s="13"/>
      <c r="AE607" s="13"/>
    </row>
    <row r="608">
      <c r="AB608" s="13"/>
      <c r="AC608" s="13"/>
      <c r="AD608" s="13"/>
      <c r="AE608" s="13"/>
    </row>
    <row r="609">
      <c r="AB609" s="13"/>
      <c r="AC609" s="13"/>
      <c r="AD609" s="13"/>
      <c r="AE609" s="13"/>
    </row>
    <row r="610">
      <c r="AB610" s="13"/>
      <c r="AC610" s="13"/>
      <c r="AD610" s="13"/>
      <c r="AE610" s="13"/>
    </row>
    <row r="611">
      <c r="AB611" s="13"/>
      <c r="AC611" s="13"/>
      <c r="AD611" s="13"/>
      <c r="AE611" s="13"/>
    </row>
    <row r="612">
      <c r="AB612" s="13"/>
      <c r="AC612" s="13"/>
      <c r="AD612" s="13"/>
      <c r="AE612" s="13"/>
    </row>
    <row r="613">
      <c r="AB613" s="13"/>
      <c r="AC613" s="13"/>
      <c r="AD613" s="13"/>
      <c r="AE613" s="13"/>
    </row>
    <row r="614">
      <c r="AB614" s="13"/>
      <c r="AC614" s="13"/>
      <c r="AD614" s="13"/>
      <c r="AE614" s="13"/>
    </row>
    <row r="615">
      <c r="AB615" s="13"/>
      <c r="AC615" s="13"/>
      <c r="AD615" s="13"/>
      <c r="AE615" s="13"/>
    </row>
    <row r="616">
      <c r="AB616" s="13"/>
      <c r="AC616" s="13"/>
      <c r="AD616" s="13"/>
      <c r="AE616" s="13"/>
    </row>
    <row r="617">
      <c r="AB617" s="13"/>
      <c r="AC617" s="13"/>
      <c r="AD617" s="13"/>
      <c r="AE617" s="13"/>
    </row>
    <row r="618">
      <c r="AB618" s="13"/>
      <c r="AC618" s="13"/>
      <c r="AD618" s="13"/>
      <c r="AE618" s="13"/>
    </row>
    <row r="619">
      <c r="AB619" s="13"/>
      <c r="AC619" s="13"/>
      <c r="AD619" s="13"/>
      <c r="AE619" s="13"/>
    </row>
    <row r="620">
      <c r="AB620" s="13"/>
      <c r="AC620" s="13"/>
      <c r="AD620" s="13"/>
      <c r="AE620" s="13"/>
    </row>
    <row r="621">
      <c r="AB621" s="13"/>
      <c r="AC621" s="13"/>
      <c r="AD621" s="13"/>
      <c r="AE621" s="13"/>
    </row>
    <row r="622">
      <c r="AB622" s="13"/>
      <c r="AC622" s="13"/>
      <c r="AD622" s="13"/>
      <c r="AE622" s="13"/>
    </row>
    <row r="623">
      <c r="AB623" s="13"/>
      <c r="AC623" s="13"/>
      <c r="AD623" s="13"/>
      <c r="AE623" s="13"/>
    </row>
    <row r="624">
      <c r="AB624" s="13"/>
      <c r="AC624" s="13"/>
      <c r="AD624" s="13"/>
      <c r="AE624" s="13"/>
    </row>
    <row r="625">
      <c r="AB625" s="13"/>
      <c r="AC625" s="13"/>
      <c r="AD625" s="13"/>
      <c r="AE625" s="13"/>
    </row>
    <row r="626">
      <c r="AB626" s="13"/>
      <c r="AC626" s="13"/>
      <c r="AD626" s="13"/>
      <c r="AE626" s="13"/>
    </row>
    <row r="627">
      <c r="AB627" s="13"/>
      <c r="AC627" s="13"/>
      <c r="AD627" s="13"/>
      <c r="AE627" s="13"/>
    </row>
    <row r="628">
      <c r="AB628" s="13"/>
      <c r="AC628" s="13"/>
      <c r="AD628" s="13"/>
      <c r="AE628" s="13"/>
    </row>
    <row r="629">
      <c r="AB629" s="13"/>
      <c r="AC629" s="13"/>
      <c r="AD629" s="13"/>
      <c r="AE629" s="13"/>
    </row>
    <row r="630">
      <c r="AB630" s="13"/>
      <c r="AC630" s="13"/>
      <c r="AD630" s="13"/>
      <c r="AE630" s="13"/>
    </row>
    <row r="631">
      <c r="AB631" s="13"/>
      <c r="AC631" s="13"/>
      <c r="AD631" s="13"/>
      <c r="AE631" s="13"/>
    </row>
    <row r="632">
      <c r="AB632" s="13"/>
      <c r="AC632" s="13"/>
      <c r="AD632" s="13"/>
      <c r="AE632" s="13"/>
    </row>
    <row r="633">
      <c r="AB633" s="13"/>
      <c r="AC633" s="13"/>
      <c r="AD633" s="13"/>
      <c r="AE633" s="13"/>
    </row>
    <row r="634">
      <c r="AB634" s="13"/>
      <c r="AC634" s="13"/>
      <c r="AD634" s="13"/>
      <c r="AE634" s="13"/>
    </row>
    <row r="635">
      <c r="AB635" s="13"/>
      <c r="AC635" s="13"/>
      <c r="AD635" s="13"/>
      <c r="AE635" s="13"/>
    </row>
    <row r="636">
      <c r="AB636" s="13"/>
      <c r="AC636" s="13"/>
      <c r="AD636" s="13"/>
      <c r="AE636" s="13"/>
    </row>
    <row r="637">
      <c r="AB637" s="13"/>
      <c r="AC637" s="13"/>
      <c r="AD637" s="13"/>
      <c r="AE637" s="13"/>
    </row>
    <row r="638">
      <c r="AB638" s="13"/>
      <c r="AC638" s="13"/>
      <c r="AD638" s="13"/>
      <c r="AE638" s="13"/>
    </row>
    <row r="639">
      <c r="AB639" s="13"/>
      <c r="AC639" s="13"/>
      <c r="AD639" s="13"/>
      <c r="AE639" s="13"/>
    </row>
    <row r="640">
      <c r="AB640" s="13"/>
      <c r="AC640" s="13"/>
      <c r="AD640" s="13"/>
      <c r="AE640" s="13"/>
    </row>
    <row r="641">
      <c r="AB641" s="13"/>
      <c r="AC641" s="13"/>
      <c r="AD641" s="13"/>
      <c r="AE641" s="13"/>
    </row>
    <row r="642">
      <c r="AB642" s="13"/>
      <c r="AC642" s="13"/>
      <c r="AD642" s="13"/>
      <c r="AE642" s="13"/>
    </row>
    <row r="643">
      <c r="AB643" s="13"/>
      <c r="AC643" s="13"/>
      <c r="AD643" s="13"/>
      <c r="AE643" s="13"/>
    </row>
    <row r="644">
      <c r="AB644" s="13"/>
      <c r="AC644" s="13"/>
      <c r="AD644" s="13"/>
      <c r="AE644" s="13"/>
    </row>
    <row r="645">
      <c r="AB645" s="13"/>
      <c r="AC645" s="13"/>
      <c r="AD645" s="13"/>
      <c r="AE645" s="13"/>
    </row>
    <row r="646">
      <c r="AB646" s="13"/>
      <c r="AC646" s="13"/>
      <c r="AD646" s="13"/>
      <c r="AE646" s="13"/>
    </row>
    <row r="647">
      <c r="AB647" s="13"/>
      <c r="AC647" s="13"/>
      <c r="AD647" s="13"/>
      <c r="AE647" s="13"/>
    </row>
    <row r="648">
      <c r="AB648" s="13"/>
      <c r="AC648" s="13"/>
      <c r="AD648" s="13"/>
      <c r="AE648" s="13"/>
    </row>
    <row r="649">
      <c r="AB649" s="13"/>
      <c r="AC649" s="13"/>
      <c r="AD649" s="13"/>
      <c r="AE649" s="13"/>
    </row>
    <row r="650">
      <c r="AB650" s="13"/>
      <c r="AC650" s="13"/>
      <c r="AD650" s="13"/>
      <c r="AE650" s="13"/>
    </row>
    <row r="651">
      <c r="AB651" s="13"/>
      <c r="AC651" s="13"/>
      <c r="AD651" s="13"/>
      <c r="AE651" s="13"/>
    </row>
    <row r="652">
      <c r="AB652" s="13"/>
      <c r="AC652" s="13"/>
      <c r="AD652" s="13"/>
      <c r="AE652" s="13"/>
    </row>
    <row r="653">
      <c r="AB653" s="13"/>
      <c r="AC653" s="13"/>
      <c r="AD653" s="13"/>
      <c r="AE653" s="13"/>
    </row>
    <row r="654">
      <c r="AB654" s="13"/>
      <c r="AC654" s="13"/>
      <c r="AD654" s="13"/>
      <c r="AE654" s="13"/>
    </row>
    <row r="655">
      <c r="AB655" s="13"/>
      <c r="AC655" s="13"/>
      <c r="AD655" s="13"/>
      <c r="AE655" s="13"/>
    </row>
    <row r="656">
      <c r="AB656" s="13"/>
      <c r="AC656" s="13"/>
      <c r="AD656" s="13"/>
      <c r="AE656" s="13"/>
    </row>
    <row r="657">
      <c r="AB657" s="13"/>
      <c r="AC657" s="13"/>
      <c r="AD657" s="13"/>
      <c r="AE657" s="13"/>
    </row>
    <row r="658">
      <c r="AB658" s="13"/>
      <c r="AC658" s="13"/>
      <c r="AD658" s="13"/>
      <c r="AE658" s="13"/>
    </row>
    <row r="659">
      <c r="AB659" s="13"/>
      <c r="AC659" s="13"/>
      <c r="AD659" s="13"/>
      <c r="AE659" s="13"/>
    </row>
    <row r="660">
      <c r="AB660" s="13"/>
      <c r="AC660" s="13"/>
      <c r="AD660" s="13"/>
      <c r="AE660" s="13"/>
    </row>
    <row r="661">
      <c r="AB661" s="13"/>
      <c r="AC661" s="13"/>
      <c r="AD661" s="13"/>
      <c r="AE661" s="13"/>
    </row>
    <row r="662">
      <c r="AB662" s="13"/>
      <c r="AC662" s="13"/>
      <c r="AD662" s="13"/>
      <c r="AE662" s="13"/>
    </row>
    <row r="663">
      <c r="AB663" s="13"/>
      <c r="AC663" s="13"/>
      <c r="AD663" s="13"/>
      <c r="AE663" s="13"/>
    </row>
    <row r="664">
      <c r="AB664" s="13"/>
      <c r="AC664" s="13"/>
      <c r="AD664" s="13"/>
      <c r="AE664" s="13"/>
    </row>
    <row r="665">
      <c r="AB665" s="13"/>
      <c r="AC665" s="13"/>
      <c r="AD665" s="13"/>
      <c r="AE665" s="13"/>
    </row>
    <row r="666">
      <c r="AB666" s="13"/>
      <c r="AC666" s="13"/>
      <c r="AD666" s="13"/>
      <c r="AE666" s="13"/>
    </row>
    <row r="667">
      <c r="AB667" s="13"/>
      <c r="AC667" s="13"/>
      <c r="AD667" s="13"/>
      <c r="AE667" s="13"/>
    </row>
    <row r="668">
      <c r="AB668" s="13"/>
      <c r="AC668" s="13"/>
      <c r="AD668" s="13"/>
      <c r="AE668" s="13"/>
    </row>
    <row r="669">
      <c r="AB669" s="13"/>
      <c r="AC669" s="13"/>
      <c r="AD669" s="13"/>
      <c r="AE669" s="13"/>
    </row>
    <row r="670">
      <c r="AB670" s="13"/>
      <c r="AC670" s="13"/>
      <c r="AD670" s="13"/>
      <c r="AE670" s="13"/>
    </row>
    <row r="671">
      <c r="AB671" s="13"/>
      <c r="AC671" s="13"/>
      <c r="AD671" s="13"/>
      <c r="AE671" s="13"/>
    </row>
    <row r="672">
      <c r="AB672" s="13"/>
      <c r="AC672" s="13"/>
      <c r="AD672" s="13"/>
      <c r="AE672" s="13"/>
    </row>
    <row r="673">
      <c r="AB673" s="13"/>
      <c r="AC673" s="13"/>
      <c r="AD673" s="13"/>
      <c r="AE673" s="13"/>
    </row>
    <row r="674">
      <c r="AB674" s="13"/>
      <c r="AC674" s="13"/>
      <c r="AD674" s="13"/>
      <c r="AE674" s="13"/>
    </row>
    <row r="675">
      <c r="AB675" s="13"/>
      <c r="AC675" s="13"/>
      <c r="AD675" s="13"/>
      <c r="AE675" s="13"/>
    </row>
    <row r="676">
      <c r="AB676" s="13"/>
      <c r="AC676" s="13"/>
      <c r="AD676" s="13"/>
      <c r="AE676" s="13"/>
    </row>
    <row r="677">
      <c r="AB677" s="13"/>
      <c r="AC677" s="13"/>
      <c r="AD677" s="13"/>
      <c r="AE677" s="13"/>
    </row>
    <row r="678">
      <c r="AB678" s="13"/>
      <c r="AC678" s="13"/>
      <c r="AD678" s="13"/>
      <c r="AE678" s="13"/>
    </row>
    <row r="679">
      <c r="AB679" s="13"/>
      <c r="AC679" s="13"/>
      <c r="AD679" s="13"/>
      <c r="AE679" s="13"/>
    </row>
    <row r="680">
      <c r="AB680" s="13"/>
      <c r="AC680" s="13"/>
      <c r="AD680" s="13"/>
      <c r="AE680" s="13"/>
    </row>
    <row r="681">
      <c r="AB681" s="13"/>
      <c r="AC681" s="13"/>
      <c r="AD681" s="13"/>
      <c r="AE681" s="13"/>
    </row>
    <row r="682">
      <c r="AB682" s="13"/>
      <c r="AC682" s="13"/>
      <c r="AD682" s="13"/>
      <c r="AE682" s="13"/>
    </row>
    <row r="683">
      <c r="AB683" s="13"/>
      <c r="AC683" s="13"/>
      <c r="AD683" s="13"/>
      <c r="AE683" s="13"/>
    </row>
    <row r="684">
      <c r="AB684" s="13"/>
      <c r="AC684" s="13"/>
      <c r="AD684" s="13"/>
      <c r="AE684" s="13"/>
    </row>
    <row r="685">
      <c r="AB685" s="13"/>
      <c r="AC685" s="13"/>
      <c r="AD685" s="13"/>
      <c r="AE685" s="13"/>
    </row>
    <row r="686">
      <c r="AB686" s="13"/>
      <c r="AC686" s="13"/>
      <c r="AD686" s="13"/>
      <c r="AE686" s="13"/>
    </row>
    <row r="687">
      <c r="AB687" s="13"/>
      <c r="AC687" s="13"/>
      <c r="AD687" s="13"/>
      <c r="AE687" s="13"/>
    </row>
    <row r="688">
      <c r="AB688" s="13"/>
      <c r="AC688" s="13"/>
      <c r="AD688" s="13"/>
      <c r="AE688" s="13"/>
    </row>
    <row r="689">
      <c r="AB689" s="13"/>
      <c r="AC689" s="13"/>
      <c r="AD689" s="13"/>
      <c r="AE689" s="13"/>
    </row>
    <row r="690">
      <c r="AB690" s="13"/>
      <c r="AC690" s="13"/>
      <c r="AD690" s="13"/>
      <c r="AE690" s="13"/>
    </row>
    <row r="691">
      <c r="AB691" s="13"/>
      <c r="AC691" s="13"/>
      <c r="AD691" s="13"/>
      <c r="AE691" s="13"/>
    </row>
    <row r="692">
      <c r="AB692" s="13"/>
      <c r="AC692" s="13"/>
      <c r="AD692" s="13"/>
      <c r="AE692" s="13"/>
    </row>
    <row r="693">
      <c r="AB693" s="13"/>
      <c r="AC693" s="13"/>
      <c r="AD693" s="13"/>
      <c r="AE693" s="13"/>
    </row>
    <row r="694">
      <c r="AB694" s="13"/>
      <c r="AC694" s="13"/>
      <c r="AD694" s="13"/>
      <c r="AE694" s="13"/>
    </row>
    <row r="695">
      <c r="AB695" s="13"/>
      <c r="AC695" s="13"/>
      <c r="AD695" s="13"/>
      <c r="AE695" s="13"/>
    </row>
    <row r="696">
      <c r="AB696" s="13"/>
      <c r="AC696" s="13"/>
      <c r="AD696" s="13"/>
      <c r="AE696" s="13"/>
    </row>
    <row r="697">
      <c r="AB697" s="13"/>
      <c r="AC697" s="13"/>
      <c r="AD697" s="13"/>
      <c r="AE697" s="13"/>
    </row>
    <row r="698">
      <c r="AB698" s="13"/>
      <c r="AC698" s="13"/>
      <c r="AD698" s="13"/>
      <c r="AE698" s="13"/>
    </row>
    <row r="699">
      <c r="AB699" s="13"/>
      <c r="AC699" s="13"/>
      <c r="AD699" s="13"/>
      <c r="AE699" s="13"/>
    </row>
    <row r="700">
      <c r="AB700" s="13"/>
      <c r="AC700" s="13"/>
      <c r="AD700" s="13"/>
      <c r="AE700" s="13"/>
    </row>
    <row r="701">
      <c r="AB701" s="13"/>
      <c r="AC701" s="13"/>
      <c r="AD701" s="13"/>
      <c r="AE701" s="13"/>
    </row>
    <row r="702">
      <c r="AB702" s="13"/>
      <c r="AC702" s="13"/>
      <c r="AD702" s="13"/>
      <c r="AE702" s="13"/>
    </row>
    <row r="703">
      <c r="AB703" s="13"/>
      <c r="AC703" s="13"/>
      <c r="AD703" s="13"/>
      <c r="AE703" s="13"/>
    </row>
    <row r="704">
      <c r="AB704" s="13"/>
      <c r="AC704" s="13"/>
      <c r="AD704" s="13"/>
      <c r="AE704" s="13"/>
    </row>
    <row r="705">
      <c r="AB705" s="13"/>
      <c r="AC705" s="13"/>
      <c r="AD705" s="13"/>
      <c r="AE705" s="13"/>
    </row>
    <row r="706">
      <c r="AB706" s="13"/>
      <c r="AC706" s="13"/>
      <c r="AD706" s="13"/>
      <c r="AE706" s="13"/>
    </row>
    <row r="707">
      <c r="AB707" s="13"/>
      <c r="AC707" s="13"/>
      <c r="AD707" s="13"/>
      <c r="AE707" s="13"/>
    </row>
    <row r="708">
      <c r="AB708" s="13"/>
      <c r="AC708" s="13"/>
      <c r="AD708" s="13"/>
      <c r="AE708" s="13"/>
    </row>
    <row r="709">
      <c r="AB709" s="13"/>
      <c r="AC709" s="13"/>
      <c r="AD709" s="13"/>
      <c r="AE709" s="13"/>
    </row>
    <row r="710">
      <c r="AB710" s="13"/>
      <c r="AC710" s="13"/>
      <c r="AD710" s="13"/>
      <c r="AE710" s="13"/>
    </row>
    <row r="711">
      <c r="AB711" s="13"/>
      <c r="AC711" s="13"/>
      <c r="AD711" s="13"/>
      <c r="AE711" s="13"/>
    </row>
    <row r="712">
      <c r="AB712" s="13"/>
      <c r="AC712" s="13"/>
      <c r="AD712" s="13"/>
      <c r="AE712" s="13"/>
    </row>
    <row r="713">
      <c r="AB713" s="13"/>
      <c r="AC713" s="13"/>
      <c r="AD713" s="13"/>
      <c r="AE713" s="13"/>
    </row>
    <row r="714">
      <c r="AB714" s="13"/>
      <c r="AC714" s="13"/>
      <c r="AD714" s="13"/>
      <c r="AE714" s="13"/>
    </row>
    <row r="715">
      <c r="AB715" s="13"/>
      <c r="AC715" s="13"/>
      <c r="AD715" s="13"/>
      <c r="AE715" s="13"/>
    </row>
    <row r="716">
      <c r="AB716" s="13"/>
      <c r="AC716" s="13"/>
      <c r="AD716" s="13"/>
      <c r="AE716" s="13"/>
    </row>
    <row r="717">
      <c r="AB717" s="13"/>
      <c r="AC717" s="13"/>
      <c r="AD717" s="13"/>
      <c r="AE717" s="13"/>
    </row>
    <row r="718">
      <c r="AB718" s="13"/>
      <c r="AC718" s="13"/>
      <c r="AD718" s="13"/>
      <c r="AE718" s="13"/>
    </row>
    <row r="719">
      <c r="AB719" s="13"/>
      <c r="AC719" s="13"/>
      <c r="AD719" s="13"/>
      <c r="AE719" s="13"/>
    </row>
    <row r="720">
      <c r="AB720" s="13"/>
      <c r="AC720" s="13"/>
      <c r="AD720" s="13"/>
      <c r="AE720" s="13"/>
    </row>
    <row r="721">
      <c r="AB721" s="13"/>
      <c r="AC721" s="13"/>
      <c r="AD721" s="13"/>
      <c r="AE721" s="13"/>
    </row>
    <row r="722">
      <c r="AB722" s="13"/>
      <c r="AC722" s="13"/>
      <c r="AD722" s="13"/>
      <c r="AE722" s="13"/>
    </row>
    <row r="723">
      <c r="AB723" s="13"/>
      <c r="AC723" s="13"/>
      <c r="AD723" s="13"/>
      <c r="AE723" s="13"/>
    </row>
    <row r="724">
      <c r="AB724" s="13"/>
      <c r="AC724" s="13"/>
      <c r="AD724" s="13"/>
      <c r="AE724" s="13"/>
    </row>
    <row r="725">
      <c r="AB725" s="13"/>
      <c r="AC725" s="13"/>
      <c r="AD725" s="13"/>
      <c r="AE725" s="13"/>
    </row>
    <row r="726">
      <c r="AB726" s="13"/>
      <c r="AC726" s="13"/>
      <c r="AD726" s="13"/>
      <c r="AE726" s="13"/>
    </row>
    <row r="727">
      <c r="AB727" s="13"/>
      <c r="AC727" s="13"/>
      <c r="AD727" s="13"/>
      <c r="AE727" s="13"/>
    </row>
    <row r="728">
      <c r="AB728" s="13"/>
      <c r="AC728" s="13"/>
      <c r="AD728" s="13"/>
      <c r="AE728" s="13"/>
    </row>
    <row r="729">
      <c r="AB729" s="13"/>
      <c r="AC729" s="13"/>
      <c r="AD729" s="13"/>
      <c r="AE729" s="13"/>
    </row>
    <row r="730">
      <c r="AB730" s="13"/>
      <c r="AC730" s="13"/>
      <c r="AD730" s="13"/>
      <c r="AE730" s="13"/>
    </row>
    <row r="731">
      <c r="AB731" s="13"/>
      <c r="AC731" s="13"/>
      <c r="AD731" s="13"/>
      <c r="AE731" s="13"/>
    </row>
    <row r="732">
      <c r="AB732" s="13"/>
      <c r="AC732" s="13"/>
      <c r="AD732" s="13"/>
      <c r="AE732" s="13"/>
    </row>
    <row r="733">
      <c r="AB733" s="13"/>
      <c r="AC733" s="13"/>
      <c r="AD733" s="13"/>
      <c r="AE733" s="13"/>
    </row>
    <row r="734">
      <c r="AB734" s="13"/>
      <c r="AC734" s="13"/>
      <c r="AD734" s="13"/>
      <c r="AE734" s="13"/>
    </row>
    <row r="735">
      <c r="AB735" s="13"/>
      <c r="AC735" s="13"/>
      <c r="AD735" s="13"/>
      <c r="AE735" s="13"/>
    </row>
    <row r="736">
      <c r="AB736" s="13"/>
      <c r="AC736" s="13"/>
      <c r="AD736" s="13"/>
      <c r="AE736" s="13"/>
    </row>
    <row r="737">
      <c r="AB737" s="13"/>
      <c r="AC737" s="13"/>
      <c r="AD737" s="13"/>
      <c r="AE737" s="13"/>
    </row>
    <row r="738">
      <c r="AB738" s="13"/>
      <c r="AC738" s="13"/>
      <c r="AD738" s="13"/>
      <c r="AE738" s="13"/>
    </row>
    <row r="739">
      <c r="AB739" s="13"/>
      <c r="AC739" s="13"/>
      <c r="AD739" s="13"/>
      <c r="AE739" s="13"/>
    </row>
    <row r="740">
      <c r="AB740" s="13"/>
      <c r="AC740" s="13"/>
      <c r="AD740" s="13"/>
      <c r="AE740" s="13"/>
    </row>
    <row r="741">
      <c r="AB741" s="13"/>
      <c r="AC741" s="13"/>
      <c r="AD741" s="13"/>
      <c r="AE741" s="13"/>
    </row>
    <row r="742">
      <c r="AB742" s="13"/>
      <c r="AC742" s="13"/>
      <c r="AD742" s="13"/>
      <c r="AE742" s="13"/>
    </row>
    <row r="743">
      <c r="AB743" s="13"/>
      <c r="AC743" s="13"/>
      <c r="AD743" s="13"/>
      <c r="AE743" s="13"/>
    </row>
    <row r="744">
      <c r="AB744" s="13"/>
      <c r="AC744" s="13"/>
      <c r="AD744" s="13"/>
      <c r="AE744" s="13"/>
    </row>
    <row r="745">
      <c r="AB745" s="13"/>
      <c r="AC745" s="13"/>
      <c r="AD745" s="13"/>
      <c r="AE745" s="13"/>
    </row>
    <row r="746">
      <c r="AB746" s="13"/>
      <c r="AC746" s="13"/>
      <c r="AD746" s="13"/>
      <c r="AE746" s="13"/>
    </row>
    <row r="747">
      <c r="AB747" s="13"/>
      <c r="AC747" s="13"/>
      <c r="AD747" s="13"/>
      <c r="AE747" s="13"/>
    </row>
    <row r="748">
      <c r="AB748" s="13"/>
      <c r="AC748" s="13"/>
      <c r="AD748" s="13"/>
      <c r="AE748" s="13"/>
    </row>
    <row r="749">
      <c r="AB749" s="13"/>
      <c r="AC749" s="13"/>
      <c r="AD749" s="13"/>
      <c r="AE749" s="13"/>
    </row>
    <row r="750">
      <c r="AB750" s="13"/>
      <c r="AC750" s="13"/>
      <c r="AD750" s="13"/>
      <c r="AE750" s="13"/>
    </row>
    <row r="751">
      <c r="AB751" s="13"/>
      <c r="AC751" s="13"/>
      <c r="AD751" s="13"/>
      <c r="AE751" s="13"/>
    </row>
    <row r="752">
      <c r="AB752" s="13"/>
      <c r="AC752" s="13"/>
      <c r="AD752" s="13"/>
      <c r="AE752" s="13"/>
    </row>
    <row r="753">
      <c r="AB753" s="13"/>
      <c r="AC753" s="13"/>
      <c r="AD753" s="13"/>
      <c r="AE753" s="13"/>
    </row>
    <row r="754">
      <c r="AB754" s="13"/>
      <c r="AC754" s="13"/>
      <c r="AD754" s="13"/>
      <c r="AE754" s="13"/>
    </row>
    <row r="755">
      <c r="AB755" s="13"/>
      <c r="AC755" s="13"/>
      <c r="AD755" s="13"/>
      <c r="AE755" s="13"/>
    </row>
    <row r="756">
      <c r="AB756" s="13"/>
      <c r="AC756" s="13"/>
      <c r="AD756" s="13"/>
      <c r="AE756" s="13"/>
    </row>
    <row r="757">
      <c r="AB757" s="13"/>
      <c r="AC757" s="13"/>
      <c r="AD757" s="13"/>
      <c r="AE757" s="13"/>
    </row>
    <row r="758">
      <c r="AB758" s="13"/>
      <c r="AC758" s="13"/>
      <c r="AD758" s="13"/>
      <c r="AE758" s="13"/>
    </row>
    <row r="759">
      <c r="AB759" s="13"/>
      <c r="AC759" s="13"/>
      <c r="AD759" s="13"/>
      <c r="AE759" s="13"/>
    </row>
    <row r="760">
      <c r="AB760" s="13"/>
      <c r="AC760" s="13"/>
      <c r="AD760" s="13"/>
      <c r="AE760" s="13"/>
    </row>
    <row r="761">
      <c r="AB761" s="13"/>
      <c r="AC761" s="13"/>
      <c r="AD761" s="13"/>
      <c r="AE761" s="13"/>
    </row>
    <row r="762">
      <c r="AB762" s="13"/>
      <c r="AC762" s="13"/>
      <c r="AD762" s="13"/>
      <c r="AE762" s="13"/>
    </row>
    <row r="763">
      <c r="AB763" s="13"/>
      <c r="AC763" s="13"/>
      <c r="AD763" s="13"/>
      <c r="AE763" s="13"/>
    </row>
    <row r="764">
      <c r="AB764" s="13"/>
      <c r="AC764" s="13"/>
      <c r="AD764" s="13"/>
      <c r="AE764" s="13"/>
    </row>
    <row r="765">
      <c r="AB765" s="13"/>
      <c r="AC765" s="13"/>
      <c r="AD765" s="13"/>
      <c r="AE765" s="13"/>
    </row>
    <row r="766">
      <c r="AB766" s="13"/>
      <c r="AC766" s="13"/>
      <c r="AD766" s="13"/>
      <c r="AE766" s="13"/>
    </row>
    <row r="767">
      <c r="AB767" s="13"/>
      <c r="AC767" s="13"/>
      <c r="AD767" s="13"/>
      <c r="AE767" s="13"/>
    </row>
    <row r="768">
      <c r="AB768" s="13"/>
      <c r="AC768" s="13"/>
      <c r="AD768" s="13"/>
      <c r="AE768" s="13"/>
    </row>
    <row r="769">
      <c r="AB769" s="13"/>
      <c r="AC769" s="13"/>
      <c r="AD769" s="13"/>
      <c r="AE769" s="13"/>
    </row>
    <row r="770">
      <c r="AB770" s="13"/>
      <c r="AC770" s="13"/>
      <c r="AD770" s="13"/>
      <c r="AE770" s="13"/>
    </row>
    <row r="771">
      <c r="AB771" s="13"/>
      <c r="AC771" s="13"/>
      <c r="AD771" s="13"/>
      <c r="AE771" s="13"/>
    </row>
    <row r="772">
      <c r="AB772" s="13"/>
      <c r="AC772" s="13"/>
      <c r="AD772" s="13"/>
      <c r="AE772" s="13"/>
    </row>
    <row r="773">
      <c r="AB773" s="13"/>
      <c r="AC773" s="13"/>
      <c r="AD773" s="13"/>
      <c r="AE773" s="13"/>
    </row>
    <row r="774">
      <c r="AB774" s="13"/>
      <c r="AC774" s="13"/>
      <c r="AD774" s="13"/>
      <c r="AE774" s="13"/>
    </row>
    <row r="775">
      <c r="AB775" s="13"/>
      <c r="AC775" s="13"/>
      <c r="AD775" s="13"/>
      <c r="AE775" s="13"/>
    </row>
    <row r="776">
      <c r="AB776" s="13"/>
      <c r="AC776" s="13"/>
      <c r="AD776" s="13"/>
      <c r="AE776" s="13"/>
    </row>
    <row r="777">
      <c r="AB777" s="13"/>
      <c r="AC777" s="13"/>
      <c r="AD777" s="13"/>
      <c r="AE777" s="13"/>
    </row>
    <row r="778">
      <c r="AB778" s="13"/>
      <c r="AC778" s="13"/>
      <c r="AD778" s="13"/>
      <c r="AE778" s="13"/>
    </row>
    <row r="779">
      <c r="AB779" s="13"/>
      <c r="AC779" s="13"/>
      <c r="AD779" s="13"/>
      <c r="AE779" s="13"/>
    </row>
    <row r="780">
      <c r="AB780" s="13"/>
      <c r="AC780" s="13"/>
      <c r="AD780" s="13"/>
      <c r="AE780" s="13"/>
    </row>
    <row r="781">
      <c r="AB781" s="13"/>
      <c r="AC781" s="13"/>
      <c r="AD781" s="13"/>
      <c r="AE781" s="13"/>
    </row>
    <row r="782">
      <c r="AB782" s="13"/>
      <c r="AC782" s="13"/>
      <c r="AD782" s="13"/>
      <c r="AE782" s="13"/>
    </row>
    <row r="783">
      <c r="AB783" s="13"/>
      <c r="AC783" s="13"/>
      <c r="AD783" s="13"/>
      <c r="AE783" s="13"/>
    </row>
    <row r="784">
      <c r="AB784" s="13"/>
      <c r="AC784" s="13"/>
      <c r="AD784" s="13"/>
      <c r="AE784" s="13"/>
    </row>
    <row r="785">
      <c r="AB785" s="13"/>
      <c r="AC785" s="13"/>
      <c r="AD785" s="13"/>
      <c r="AE785" s="13"/>
    </row>
    <row r="786">
      <c r="AB786" s="13"/>
      <c r="AC786" s="13"/>
      <c r="AD786" s="13"/>
      <c r="AE786" s="13"/>
    </row>
    <row r="787">
      <c r="AB787" s="13"/>
      <c r="AC787" s="13"/>
      <c r="AD787" s="13"/>
      <c r="AE787" s="13"/>
    </row>
    <row r="788">
      <c r="AB788" s="13"/>
      <c r="AC788" s="13"/>
      <c r="AD788" s="13"/>
      <c r="AE788" s="13"/>
    </row>
    <row r="789">
      <c r="AB789" s="13"/>
      <c r="AC789" s="13"/>
      <c r="AD789" s="13"/>
      <c r="AE789" s="13"/>
    </row>
    <row r="790">
      <c r="AB790" s="13"/>
      <c r="AC790" s="13"/>
      <c r="AD790" s="13"/>
      <c r="AE790" s="13"/>
    </row>
    <row r="791">
      <c r="AB791" s="13"/>
      <c r="AC791" s="13"/>
      <c r="AD791" s="13"/>
      <c r="AE791" s="13"/>
    </row>
    <row r="792">
      <c r="AB792" s="13"/>
      <c r="AC792" s="13"/>
      <c r="AD792" s="13"/>
      <c r="AE792" s="13"/>
    </row>
    <row r="793">
      <c r="AB793" s="13"/>
      <c r="AC793" s="13"/>
      <c r="AD793" s="13"/>
      <c r="AE793" s="13"/>
    </row>
    <row r="794">
      <c r="AB794" s="13"/>
      <c r="AC794" s="13"/>
      <c r="AD794" s="13"/>
      <c r="AE794" s="13"/>
    </row>
    <row r="795">
      <c r="AB795" s="13"/>
      <c r="AC795" s="13"/>
      <c r="AD795" s="13"/>
      <c r="AE795" s="13"/>
    </row>
    <row r="796">
      <c r="AB796" s="13"/>
      <c r="AC796" s="13"/>
      <c r="AD796" s="13"/>
      <c r="AE796" s="13"/>
    </row>
    <row r="797">
      <c r="AB797" s="13"/>
      <c r="AC797" s="13"/>
      <c r="AD797" s="13"/>
      <c r="AE797" s="13"/>
    </row>
    <row r="798">
      <c r="AB798" s="13"/>
      <c r="AC798" s="13"/>
      <c r="AD798" s="13"/>
      <c r="AE798" s="13"/>
    </row>
    <row r="799">
      <c r="AB799" s="13"/>
      <c r="AC799" s="13"/>
      <c r="AD799" s="13"/>
      <c r="AE799" s="13"/>
    </row>
    <row r="800">
      <c r="AB800" s="13"/>
      <c r="AC800" s="13"/>
      <c r="AD800" s="13"/>
      <c r="AE800" s="13"/>
    </row>
    <row r="801">
      <c r="AB801" s="13"/>
      <c r="AC801" s="13"/>
      <c r="AD801" s="13"/>
      <c r="AE801" s="13"/>
    </row>
    <row r="802">
      <c r="AB802" s="13"/>
      <c r="AC802" s="13"/>
      <c r="AD802" s="13"/>
      <c r="AE802" s="13"/>
    </row>
    <row r="803">
      <c r="AB803" s="13"/>
      <c r="AC803" s="13"/>
      <c r="AD803" s="13"/>
      <c r="AE803" s="13"/>
    </row>
    <row r="804">
      <c r="AB804" s="13"/>
      <c r="AC804" s="13"/>
      <c r="AD804" s="13"/>
      <c r="AE804" s="13"/>
    </row>
    <row r="805">
      <c r="AB805" s="13"/>
      <c r="AC805" s="13"/>
      <c r="AD805" s="13"/>
      <c r="AE805" s="13"/>
    </row>
    <row r="806">
      <c r="AB806" s="13"/>
      <c r="AC806" s="13"/>
      <c r="AD806" s="13"/>
      <c r="AE806" s="13"/>
    </row>
    <row r="807">
      <c r="AB807" s="13"/>
      <c r="AC807" s="13"/>
      <c r="AD807" s="13"/>
      <c r="AE807" s="13"/>
    </row>
    <row r="808">
      <c r="AB808" s="13"/>
      <c r="AC808" s="13"/>
      <c r="AD808" s="13"/>
      <c r="AE808" s="13"/>
    </row>
    <row r="809">
      <c r="AB809" s="13"/>
      <c r="AC809" s="13"/>
      <c r="AD809" s="13"/>
      <c r="AE809" s="13"/>
    </row>
    <row r="810">
      <c r="AB810" s="13"/>
      <c r="AC810" s="13"/>
      <c r="AD810" s="13"/>
      <c r="AE810" s="13"/>
    </row>
    <row r="811">
      <c r="AB811" s="13"/>
      <c r="AC811" s="13"/>
      <c r="AD811" s="13"/>
      <c r="AE811" s="13"/>
    </row>
    <row r="812">
      <c r="AB812" s="13"/>
      <c r="AC812" s="13"/>
      <c r="AD812" s="13"/>
      <c r="AE812" s="13"/>
    </row>
    <row r="813">
      <c r="AB813" s="13"/>
      <c r="AC813" s="13"/>
      <c r="AD813" s="13"/>
      <c r="AE813" s="13"/>
    </row>
    <row r="814">
      <c r="AB814" s="13"/>
      <c r="AC814" s="13"/>
      <c r="AD814" s="13"/>
      <c r="AE814" s="13"/>
    </row>
    <row r="815">
      <c r="AB815" s="13"/>
      <c r="AC815" s="13"/>
      <c r="AD815" s="13"/>
      <c r="AE815" s="13"/>
    </row>
    <row r="816">
      <c r="AB816" s="13"/>
      <c r="AC816" s="13"/>
      <c r="AD816" s="13"/>
      <c r="AE816" s="13"/>
    </row>
    <row r="817">
      <c r="AB817" s="13"/>
      <c r="AC817" s="13"/>
      <c r="AD817" s="13"/>
      <c r="AE817" s="13"/>
    </row>
    <row r="818">
      <c r="AB818" s="13"/>
      <c r="AC818" s="13"/>
      <c r="AD818" s="13"/>
      <c r="AE818" s="13"/>
    </row>
    <row r="819">
      <c r="AB819" s="13"/>
      <c r="AC819" s="13"/>
      <c r="AD819" s="13"/>
      <c r="AE819" s="13"/>
    </row>
    <row r="820">
      <c r="AB820" s="13"/>
      <c r="AC820" s="13"/>
      <c r="AD820" s="13"/>
      <c r="AE820" s="13"/>
    </row>
    <row r="821">
      <c r="AB821" s="13"/>
      <c r="AC821" s="13"/>
      <c r="AD821" s="13"/>
      <c r="AE821" s="13"/>
    </row>
    <row r="822">
      <c r="AB822" s="13"/>
      <c r="AC822" s="13"/>
      <c r="AD822" s="13"/>
      <c r="AE822" s="13"/>
    </row>
    <row r="823">
      <c r="AB823" s="13"/>
      <c r="AC823" s="13"/>
      <c r="AD823" s="13"/>
      <c r="AE823" s="13"/>
    </row>
    <row r="824">
      <c r="AB824" s="13"/>
      <c r="AC824" s="13"/>
      <c r="AD824" s="13"/>
      <c r="AE824" s="13"/>
    </row>
    <row r="825">
      <c r="AB825" s="13"/>
      <c r="AC825" s="13"/>
      <c r="AD825" s="13"/>
      <c r="AE825" s="13"/>
    </row>
    <row r="826">
      <c r="AB826" s="13"/>
      <c r="AC826" s="13"/>
      <c r="AD826" s="13"/>
      <c r="AE826" s="13"/>
    </row>
    <row r="827">
      <c r="AB827" s="13"/>
      <c r="AC827" s="13"/>
      <c r="AD827" s="13"/>
      <c r="AE827" s="13"/>
    </row>
    <row r="828">
      <c r="AB828" s="13"/>
      <c r="AC828" s="13"/>
      <c r="AD828" s="13"/>
      <c r="AE828" s="13"/>
    </row>
    <row r="829">
      <c r="AB829" s="13"/>
      <c r="AC829" s="13"/>
      <c r="AD829" s="13"/>
      <c r="AE829" s="13"/>
    </row>
    <row r="830">
      <c r="AB830" s="13"/>
      <c r="AC830" s="13"/>
      <c r="AD830" s="13"/>
      <c r="AE830" s="13"/>
    </row>
    <row r="831">
      <c r="AB831" s="13"/>
      <c r="AC831" s="13"/>
      <c r="AD831" s="13"/>
      <c r="AE831" s="13"/>
    </row>
    <row r="832">
      <c r="AB832" s="13"/>
      <c r="AC832" s="13"/>
      <c r="AD832" s="13"/>
      <c r="AE832" s="13"/>
    </row>
    <row r="833">
      <c r="AB833" s="13"/>
      <c r="AC833" s="13"/>
      <c r="AD833" s="13"/>
      <c r="AE833" s="13"/>
    </row>
    <row r="834">
      <c r="AB834" s="13"/>
      <c r="AC834" s="13"/>
      <c r="AD834" s="13"/>
      <c r="AE834" s="13"/>
    </row>
    <row r="835">
      <c r="AB835" s="13"/>
      <c r="AC835" s="13"/>
      <c r="AD835" s="13"/>
      <c r="AE835" s="13"/>
    </row>
    <row r="836">
      <c r="AB836" s="13"/>
      <c r="AC836" s="13"/>
      <c r="AD836" s="13"/>
      <c r="AE836" s="13"/>
    </row>
    <row r="837">
      <c r="AB837" s="13"/>
      <c r="AC837" s="13"/>
      <c r="AD837" s="13"/>
      <c r="AE837" s="13"/>
    </row>
    <row r="838">
      <c r="AB838" s="13"/>
      <c r="AC838" s="13"/>
      <c r="AD838" s="13"/>
      <c r="AE838" s="13"/>
    </row>
    <row r="839">
      <c r="AB839" s="13"/>
      <c r="AC839" s="13"/>
      <c r="AD839" s="13"/>
      <c r="AE839" s="13"/>
    </row>
    <row r="840">
      <c r="AB840" s="13"/>
      <c r="AC840" s="13"/>
      <c r="AD840" s="13"/>
      <c r="AE840" s="13"/>
    </row>
    <row r="841">
      <c r="AB841" s="13"/>
      <c r="AC841" s="13"/>
      <c r="AD841" s="13"/>
      <c r="AE841" s="13"/>
    </row>
    <row r="842">
      <c r="AB842" s="13"/>
      <c r="AC842" s="13"/>
      <c r="AD842" s="13"/>
      <c r="AE842" s="13"/>
    </row>
    <row r="843">
      <c r="AB843" s="13"/>
      <c r="AC843" s="13"/>
      <c r="AD843" s="13"/>
      <c r="AE843" s="13"/>
    </row>
    <row r="844">
      <c r="AB844" s="13"/>
      <c r="AC844" s="13"/>
      <c r="AD844" s="13"/>
      <c r="AE844" s="13"/>
    </row>
    <row r="845">
      <c r="AB845" s="13"/>
      <c r="AC845" s="13"/>
      <c r="AD845" s="13"/>
      <c r="AE845" s="13"/>
    </row>
    <row r="846">
      <c r="AB846" s="13"/>
      <c r="AC846" s="13"/>
      <c r="AD846" s="13"/>
      <c r="AE846" s="13"/>
    </row>
    <row r="847">
      <c r="AB847" s="13"/>
      <c r="AC847" s="13"/>
      <c r="AD847" s="13"/>
      <c r="AE847" s="13"/>
    </row>
    <row r="848">
      <c r="AB848" s="13"/>
      <c r="AC848" s="13"/>
      <c r="AD848" s="13"/>
      <c r="AE848" s="13"/>
    </row>
    <row r="849">
      <c r="AB849" s="13"/>
      <c r="AC849" s="13"/>
      <c r="AD849" s="13"/>
      <c r="AE849" s="13"/>
    </row>
    <row r="850">
      <c r="AB850" s="13"/>
      <c r="AC850" s="13"/>
      <c r="AD850" s="13"/>
      <c r="AE850" s="13"/>
    </row>
    <row r="851">
      <c r="AB851" s="13"/>
      <c r="AC851" s="13"/>
      <c r="AD851" s="13"/>
      <c r="AE851" s="13"/>
    </row>
    <row r="852">
      <c r="AB852" s="13"/>
      <c r="AC852" s="13"/>
      <c r="AD852" s="13"/>
      <c r="AE852" s="13"/>
    </row>
    <row r="853">
      <c r="AB853" s="13"/>
      <c r="AC853" s="13"/>
      <c r="AD853" s="13"/>
      <c r="AE853" s="13"/>
    </row>
    <row r="854">
      <c r="AB854" s="13"/>
      <c r="AC854" s="13"/>
      <c r="AD854" s="13"/>
      <c r="AE854" s="13"/>
    </row>
    <row r="855">
      <c r="AB855" s="13"/>
      <c r="AC855" s="13"/>
      <c r="AD855" s="13"/>
      <c r="AE855" s="13"/>
    </row>
    <row r="856">
      <c r="AB856" s="13"/>
      <c r="AC856" s="13"/>
      <c r="AD856" s="13"/>
      <c r="AE856" s="13"/>
    </row>
    <row r="857">
      <c r="AB857" s="13"/>
      <c r="AC857" s="13"/>
      <c r="AD857" s="13"/>
      <c r="AE857" s="13"/>
    </row>
    <row r="858">
      <c r="AB858" s="13"/>
      <c r="AC858" s="13"/>
      <c r="AD858" s="13"/>
      <c r="AE858" s="13"/>
    </row>
    <row r="859">
      <c r="AB859" s="13"/>
      <c r="AC859" s="13"/>
      <c r="AD859" s="13"/>
      <c r="AE859" s="13"/>
    </row>
    <row r="860">
      <c r="AB860" s="13"/>
      <c r="AC860" s="13"/>
      <c r="AD860" s="13"/>
      <c r="AE860" s="13"/>
    </row>
    <row r="861">
      <c r="AB861" s="13"/>
      <c r="AC861" s="13"/>
      <c r="AD861" s="13"/>
      <c r="AE861" s="13"/>
    </row>
    <row r="862">
      <c r="AB862" s="13"/>
      <c r="AC862" s="13"/>
      <c r="AD862" s="13"/>
      <c r="AE862" s="13"/>
    </row>
    <row r="863">
      <c r="AB863" s="13"/>
      <c r="AC863" s="13"/>
      <c r="AD863" s="13"/>
      <c r="AE863" s="13"/>
    </row>
    <row r="864">
      <c r="AB864" s="13"/>
      <c r="AC864" s="13"/>
      <c r="AD864" s="13"/>
      <c r="AE864" s="13"/>
    </row>
    <row r="865">
      <c r="AB865" s="13"/>
      <c r="AC865" s="13"/>
      <c r="AD865" s="13"/>
      <c r="AE865" s="13"/>
    </row>
    <row r="866">
      <c r="AB866" s="13"/>
      <c r="AC866" s="13"/>
      <c r="AD866" s="13"/>
      <c r="AE866" s="13"/>
    </row>
    <row r="867">
      <c r="AB867" s="13"/>
      <c r="AC867" s="13"/>
      <c r="AD867" s="13"/>
      <c r="AE867" s="13"/>
    </row>
    <row r="868">
      <c r="AB868" s="13"/>
      <c r="AC868" s="13"/>
      <c r="AD868" s="13"/>
      <c r="AE868" s="13"/>
    </row>
    <row r="869">
      <c r="AB869" s="13"/>
      <c r="AC869" s="13"/>
      <c r="AD869" s="13"/>
      <c r="AE869" s="13"/>
    </row>
    <row r="870">
      <c r="AB870" s="13"/>
      <c r="AC870" s="13"/>
      <c r="AD870" s="13"/>
      <c r="AE870" s="13"/>
    </row>
    <row r="871">
      <c r="AB871" s="13"/>
      <c r="AC871" s="13"/>
      <c r="AD871" s="13"/>
      <c r="AE871" s="13"/>
    </row>
    <row r="872">
      <c r="AB872" s="13"/>
      <c r="AC872" s="13"/>
      <c r="AD872" s="13"/>
      <c r="AE872" s="13"/>
    </row>
    <row r="873">
      <c r="AB873" s="13"/>
      <c r="AC873" s="13"/>
      <c r="AD873" s="13"/>
      <c r="AE873" s="13"/>
    </row>
    <row r="874">
      <c r="AB874" s="13"/>
      <c r="AC874" s="13"/>
      <c r="AD874" s="13"/>
      <c r="AE874" s="13"/>
    </row>
    <row r="875">
      <c r="AB875" s="13"/>
      <c r="AC875" s="13"/>
      <c r="AD875" s="13"/>
      <c r="AE875" s="13"/>
    </row>
    <row r="876">
      <c r="AB876" s="13"/>
      <c r="AC876" s="13"/>
      <c r="AD876" s="13"/>
      <c r="AE876" s="13"/>
    </row>
    <row r="877">
      <c r="AB877" s="13"/>
      <c r="AC877" s="13"/>
      <c r="AD877" s="13"/>
      <c r="AE877" s="13"/>
    </row>
    <row r="878">
      <c r="AB878" s="13"/>
      <c r="AC878" s="13"/>
      <c r="AD878" s="13"/>
      <c r="AE878" s="13"/>
    </row>
    <row r="879">
      <c r="AB879" s="13"/>
      <c r="AC879" s="13"/>
      <c r="AD879" s="13"/>
      <c r="AE879" s="13"/>
    </row>
    <row r="880">
      <c r="AB880" s="13"/>
      <c r="AC880" s="13"/>
      <c r="AD880" s="13"/>
      <c r="AE880" s="13"/>
    </row>
    <row r="881">
      <c r="AB881" s="13"/>
      <c r="AC881" s="13"/>
      <c r="AD881" s="13"/>
      <c r="AE881" s="13"/>
    </row>
    <row r="882">
      <c r="AB882" s="13"/>
      <c r="AC882" s="13"/>
      <c r="AD882" s="13"/>
      <c r="AE882" s="13"/>
    </row>
    <row r="883">
      <c r="AB883" s="13"/>
      <c r="AC883" s="13"/>
      <c r="AD883" s="13"/>
      <c r="AE883" s="13"/>
    </row>
    <row r="884">
      <c r="AB884" s="13"/>
      <c r="AC884" s="13"/>
      <c r="AD884" s="13"/>
      <c r="AE884" s="13"/>
    </row>
    <row r="885">
      <c r="AB885" s="13"/>
      <c r="AC885" s="13"/>
      <c r="AD885" s="13"/>
      <c r="AE885" s="13"/>
    </row>
    <row r="886">
      <c r="AB886" s="13"/>
      <c r="AC886" s="13"/>
      <c r="AD886" s="13"/>
      <c r="AE886" s="13"/>
    </row>
    <row r="887">
      <c r="AB887" s="13"/>
      <c r="AC887" s="13"/>
      <c r="AD887" s="13"/>
      <c r="AE887" s="13"/>
    </row>
    <row r="888">
      <c r="AB888" s="13"/>
      <c r="AC888" s="13"/>
      <c r="AD888" s="13"/>
      <c r="AE888" s="13"/>
    </row>
    <row r="889">
      <c r="AB889" s="13"/>
      <c r="AC889" s="13"/>
      <c r="AD889" s="13"/>
      <c r="AE889" s="13"/>
    </row>
    <row r="890">
      <c r="AB890" s="13"/>
      <c r="AC890" s="13"/>
      <c r="AD890" s="13"/>
      <c r="AE890" s="13"/>
    </row>
    <row r="891">
      <c r="AB891" s="13"/>
      <c r="AC891" s="13"/>
      <c r="AD891" s="13"/>
      <c r="AE891" s="13"/>
    </row>
    <row r="892">
      <c r="AB892" s="13"/>
      <c r="AC892" s="13"/>
      <c r="AD892" s="13"/>
      <c r="AE892" s="13"/>
    </row>
    <row r="893">
      <c r="AB893" s="13"/>
      <c r="AC893" s="13"/>
      <c r="AD893" s="13"/>
      <c r="AE893" s="13"/>
    </row>
    <row r="894">
      <c r="AB894" s="13"/>
      <c r="AC894" s="13"/>
      <c r="AD894" s="13"/>
      <c r="AE894" s="13"/>
    </row>
    <row r="895">
      <c r="AB895" s="13"/>
      <c r="AC895" s="13"/>
      <c r="AD895" s="13"/>
      <c r="AE895" s="13"/>
    </row>
    <row r="896">
      <c r="AB896" s="13"/>
      <c r="AC896" s="13"/>
      <c r="AD896" s="13"/>
      <c r="AE896" s="13"/>
    </row>
    <row r="897">
      <c r="AB897" s="13"/>
      <c r="AC897" s="13"/>
      <c r="AD897" s="13"/>
      <c r="AE897" s="13"/>
    </row>
    <row r="898">
      <c r="AB898" s="13"/>
      <c r="AC898" s="13"/>
      <c r="AD898" s="13"/>
      <c r="AE898" s="13"/>
    </row>
    <row r="899">
      <c r="AB899" s="13"/>
      <c r="AC899" s="13"/>
      <c r="AD899" s="13"/>
      <c r="AE899" s="13"/>
    </row>
    <row r="900">
      <c r="AB900" s="13"/>
      <c r="AC900" s="13"/>
      <c r="AD900" s="13"/>
      <c r="AE900" s="13"/>
    </row>
    <row r="901">
      <c r="AB901" s="13"/>
      <c r="AC901" s="13"/>
      <c r="AD901" s="13"/>
      <c r="AE901" s="13"/>
    </row>
    <row r="902">
      <c r="AB902" s="13"/>
      <c r="AC902" s="13"/>
      <c r="AD902" s="13"/>
      <c r="AE902" s="13"/>
    </row>
    <row r="903">
      <c r="AB903" s="13"/>
      <c r="AC903" s="13"/>
      <c r="AD903" s="13"/>
      <c r="AE903" s="13"/>
    </row>
    <row r="904">
      <c r="AB904" s="13"/>
      <c r="AC904" s="13"/>
      <c r="AD904" s="13"/>
      <c r="AE904" s="13"/>
    </row>
    <row r="905">
      <c r="AB905" s="13"/>
      <c r="AC905" s="13"/>
      <c r="AD905" s="13"/>
      <c r="AE905" s="13"/>
    </row>
    <row r="906">
      <c r="AB906" s="13"/>
      <c r="AC906" s="13"/>
      <c r="AD906" s="13"/>
      <c r="AE906" s="13"/>
    </row>
    <row r="907">
      <c r="AB907" s="13"/>
      <c r="AC907" s="13"/>
      <c r="AD907" s="13"/>
      <c r="AE907" s="13"/>
    </row>
    <row r="908">
      <c r="AB908" s="13"/>
      <c r="AC908" s="13"/>
      <c r="AD908" s="13"/>
      <c r="AE908" s="13"/>
    </row>
    <row r="909">
      <c r="AB909" s="13"/>
      <c r="AC909" s="13"/>
      <c r="AD909" s="13"/>
      <c r="AE909" s="13"/>
    </row>
    <row r="910">
      <c r="AB910" s="13"/>
      <c r="AC910" s="13"/>
      <c r="AD910" s="13"/>
      <c r="AE910" s="13"/>
    </row>
    <row r="911">
      <c r="AB911" s="13"/>
      <c r="AC911" s="13"/>
      <c r="AD911" s="13"/>
      <c r="AE911" s="13"/>
    </row>
    <row r="912">
      <c r="AB912" s="13"/>
      <c r="AC912" s="13"/>
      <c r="AD912" s="13"/>
      <c r="AE912" s="13"/>
    </row>
    <row r="913">
      <c r="AB913" s="13"/>
      <c r="AC913" s="13"/>
      <c r="AD913" s="13"/>
      <c r="AE913" s="13"/>
    </row>
    <row r="914">
      <c r="AB914" s="13"/>
      <c r="AC914" s="13"/>
      <c r="AD914" s="13"/>
      <c r="AE914" s="13"/>
    </row>
    <row r="915">
      <c r="AB915" s="13"/>
      <c r="AC915" s="13"/>
      <c r="AD915" s="13"/>
      <c r="AE915" s="13"/>
    </row>
    <row r="916">
      <c r="AB916" s="13"/>
      <c r="AC916" s="13"/>
      <c r="AD916" s="13"/>
      <c r="AE916" s="13"/>
    </row>
    <row r="917">
      <c r="AB917" s="13"/>
      <c r="AC917" s="13"/>
      <c r="AD917" s="13"/>
      <c r="AE917" s="13"/>
    </row>
    <row r="918">
      <c r="AB918" s="13"/>
      <c r="AC918" s="13"/>
      <c r="AD918" s="13"/>
      <c r="AE918" s="13"/>
    </row>
    <row r="919">
      <c r="AB919" s="13"/>
      <c r="AC919" s="13"/>
      <c r="AD919" s="13"/>
      <c r="AE919" s="13"/>
    </row>
    <row r="920">
      <c r="AB920" s="13"/>
      <c r="AC920" s="13"/>
      <c r="AD920" s="13"/>
      <c r="AE920" s="13"/>
    </row>
    <row r="921">
      <c r="AB921" s="13"/>
      <c r="AC921" s="13"/>
      <c r="AD921" s="13"/>
      <c r="AE921" s="13"/>
    </row>
    <row r="922">
      <c r="AB922" s="13"/>
      <c r="AC922" s="13"/>
      <c r="AD922" s="13"/>
      <c r="AE922" s="13"/>
    </row>
    <row r="923">
      <c r="AB923" s="13"/>
      <c r="AC923" s="13"/>
      <c r="AD923" s="13"/>
      <c r="AE923" s="13"/>
    </row>
    <row r="924">
      <c r="AB924" s="13"/>
      <c r="AC924" s="13"/>
      <c r="AD924" s="13"/>
      <c r="AE924" s="13"/>
    </row>
    <row r="925">
      <c r="AB925" s="13"/>
      <c r="AC925" s="13"/>
      <c r="AD925" s="13"/>
      <c r="AE925" s="13"/>
    </row>
    <row r="926">
      <c r="AB926" s="13"/>
      <c r="AC926" s="13"/>
      <c r="AD926" s="13"/>
      <c r="AE926" s="13"/>
    </row>
    <row r="927">
      <c r="AB927" s="13"/>
      <c r="AC927" s="13"/>
      <c r="AD927" s="13"/>
      <c r="AE927" s="13"/>
    </row>
    <row r="928">
      <c r="AB928" s="13"/>
      <c r="AC928" s="13"/>
      <c r="AD928" s="13"/>
      <c r="AE928" s="13"/>
    </row>
    <row r="929">
      <c r="AB929" s="13"/>
      <c r="AC929" s="13"/>
      <c r="AD929" s="13"/>
      <c r="AE929" s="13"/>
    </row>
    <row r="930">
      <c r="AB930" s="13"/>
      <c r="AC930" s="13"/>
      <c r="AD930" s="13"/>
      <c r="AE930" s="13"/>
    </row>
    <row r="931">
      <c r="AB931" s="13"/>
      <c r="AC931" s="13"/>
      <c r="AD931" s="13"/>
      <c r="AE931" s="13"/>
    </row>
    <row r="932">
      <c r="AB932" s="13"/>
      <c r="AC932" s="13"/>
      <c r="AD932" s="13"/>
      <c r="AE932" s="13"/>
    </row>
    <row r="933">
      <c r="AB933" s="13"/>
      <c r="AC933" s="13"/>
      <c r="AD933" s="13"/>
      <c r="AE933" s="13"/>
    </row>
    <row r="934">
      <c r="AB934" s="13"/>
      <c r="AC934" s="13"/>
      <c r="AD934" s="13"/>
      <c r="AE934" s="13"/>
    </row>
    <row r="935">
      <c r="AB935" s="13"/>
      <c r="AC935" s="13"/>
      <c r="AD935" s="13"/>
      <c r="AE935" s="13"/>
    </row>
    <row r="936">
      <c r="AB936" s="13"/>
      <c r="AC936" s="13"/>
      <c r="AD936" s="13"/>
      <c r="AE936" s="13"/>
    </row>
    <row r="937">
      <c r="AB937" s="13"/>
      <c r="AC937" s="13"/>
      <c r="AD937" s="13"/>
      <c r="AE937" s="13"/>
    </row>
    <row r="938">
      <c r="AB938" s="13"/>
      <c r="AC938" s="13"/>
      <c r="AD938" s="13"/>
      <c r="AE938" s="13"/>
    </row>
    <row r="939">
      <c r="AB939" s="13"/>
      <c r="AC939" s="13"/>
      <c r="AD939" s="13"/>
      <c r="AE939" s="13"/>
    </row>
    <row r="940">
      <c r="AB940" s="13"/>
      <c r="AC940" s="13"/>
      <c r="AD940" s="13"/>
      <c r="AE940" s="13"/>
    </row>
    <row r="941">
      <c r="AB941" s="13"/>
      <c r="AC941" s="13"/>
      <c r="AD941" s="13"/>
      <c r="AE941" s="13"/>
    </row>
    <row r="942">
      <c r="AB942" s="13"/>
      <c r="AC942" s="13"/>
      <c r="AD942" s="13"/>
      <c r="AE942" s="13"/>
    </row>
    <row r="943">
      <c r="AB943" s="13"/>
      <c r="AC943" s="13"/>
      <c r="AD943" s="13"/>
      <c r="AE943" s="13"/>
    </row>
    <row r="944">
      <c r="AB944" s="13"/>
      <c r="AC944" s="13"/>
      <c r="AD944" s="13"/>
      <c r="AE944" s="13"/>
    </row>
    <row r="945">
      <c r="AB945" s="13"/>
      <c r="AC945" s="13"/>
      <c r="AD945" s="13"/>
      <c r="AE945" s="13"/>
    </row>
    <row r="946">
      <c r="AB946" s="13"/>
      <c r="AC946" s="13"/>
      <c r="AD946" s="13"/>
      <c r="AE946" s="13"/>
    </row>
    <row r="947">
      <c r="AB947" s="13"/>
      <c r="AC947" s="13"/>
      <c r="AD947" s="13"/>
      <c r="AE947" s="13"/>
    </row>
    <row r="948">
      <c r="AB948" s="13"/>
      <c r="AC948" s="13"/>
      <c r="AD948" s="13"/>
      <c r="AE948" s="13"/>
    </row>
    <row r="949">
      <c r="AB949" s="13"/>
      <c r="AC949" s="13"/>
      <c r="AD949" s="13"/>
      <c r="AE949" s="13"/>
    </row>
    <row r="950">
      <c r="AB950" s="13"/>
      <c r="AC950" s="13"/>
      <c r="AD950" s="13"/>
      <c r="AE950" s="13"/>
    </row>
    <row r="951">
      <c r="AB951" s="13"/>
      <c r="AC951" s="13"/>
      <c r="AD951" s="13"/>
      <c r="AE951" s="13"/>
    </row>
    <row r="952">
      <c r="AB952" s="13"/>
      <c r="AC952" s="13"/>
      <c r="AD952" s="13"/>
      <c r="AE952" s="13"/>
    </row>
    <row r="953">
      <c r="AB953" s="13"/>
      <c r="AC953" s="13"/>
      <c r="AD953" s="13"/>
      <c r="AE953" s="13"/>
    </row>
    <row r="954">
      <c r="AB954" s="13"/>
      <c r="AC954" s="13"/>
      <c r="AD954" s="13"/>
      <c r="AE954" s="13"/>
    </row>
    <row r="955">
      <c r="AB955" s="13"/>
      <c r="AC955" s="13"/>
      <c r="AD955" s="13"/>
      <c r="AE955" s="13"/>
    </row>
    <row r="956">
      <c r="AB956" s="13"/>
      <c r="AC956" s="13"/>
      <c r="AD956" s="13"/>
      <c r="AE956" s="13"/>
    </row>
    <row r="957">
      <c r="AB957" s="13"/>
      <c r="AC957" s="13"/>
      <c r="AD957" s="13"/>
      <c r="AE957" s="13"/>
    </row>
    <row r="958">
      <c r="AB958" s="13"/>
      <c r="AC958" s="13"/>
      <c r="AD958" s="13"/>
      <c r="AE958" s="13"/>
    </row>
    <row r="959">
      <c r="AB959" s="13"/>
      <c r="AC959" s="13"/>
      <c r="AD959" s="13"/>
      <c r="AE959" s="13"/>
    </row>
    <row r="960">
      <c r="AB960" s="13"/>
      <c r="AC960" s="13"/>
      <c r="AD960" s="13"/>
      <c r="AE960" s="13"/>
    </row>
    <row r="961">
      <c r="AB961" s="13"/>
      <c r="AC961" s="13"/>
      <c r="AD961" s="13"/>
      <c r="AE961" s="13"/>
    </row>
    <row r="962">
      <c r="AB962" s="13"/>
      <c r="AC962" s="13"/>
      <c r="AD962" s="13"/>
      <c r="AE962" s="13"/>
    </row>
    <row r="963">
      <c r="AB963" s="13"/>
      <c r="AC963" s="13"/>
      <c r="AD963" s="13"/>
      <c r="AE963" s="13"/>
    </row>
    <row r="964">
      <c r="AB964" s="13"/>
      <c r="AC964" s="13"/>
      <c r="AD964" s="13"/>
      <c r="AE964" s="13"/>
    </row>
    <row r="965">
      <c r="AB965" s="13"/>
      <c r="AC965" s="13"/>
      <c r="AD965" s="13"/>
      <c r="AE965" s="13"/>
    </row>
    <row r="966">
      <c r="AB966" s="13"/>
      <c r="AC966" s="13"/>
      <c r="AD966" s="13"/>
      <c r="AE966" s="13"/>
    </row>
    <row r="967">
      <c r="AB967" s="13"/>
      <c r="AC967" s="13"/>
      <c r="AD967" s="13"/>
      <c r="AE967" s="13"/>
    </row>
    <row r="968">
      <c r="AB968" s="13"/>
      <c r="AC968" s="13"/>
      <c r="AD968" s="13"/>
      <c r="AE968" s="13"/>
    </row>
    <row r="969">
      <c r="AB969" s="13"/>
      <c r="AC969" s="13"/>
      <c r="AD969" s="13"/>
      <c r="AE969" s="13"/>
    </row>
    <row r="970">
      <c r="AB970" s="13"/>
      <c r="AC970" s="13"/>
      <c r="AD970" s="13"/>
      <c r="AE970" s="13"/>
    </row>
    <row r="971">
      <c r="AB971" s="13"/>
      <c r="AC971" s="13"/>
      <c r="AD971" s="13"/>
      <c r="AE971" s="13"/>
    </row>
    <row r="972">
      <c r="AB972" s="13"/>
      <c r="AC972" s="13"/>
      <c r="AD972" s="13"/>
      <c r="AE972" s="13"/>
    </row>
    <row r="973">
      <c r="AB973" s="13"/>
      <c r="AC973" s="13"/>
      <c r="AD973" s="13"/>
      <c r="AE973" s="13"/>
    </row>
    <row r="974">
      <c r="AB974" s="13"/>
      <c r="AC974" s="13"/>
      <c r="AD974" s="13"/>
      <c r="AE974" s="13"/>
    </row>
    <row r="975">
      <c r="AB975" s="13"/>
      <c r="AC975" s="13"/>
      <c r="AD975" s="13"/>
      <c r="AE975" s="13"/>
    </row>
    <row r="976">
      <c r="AB976" s="13"/>
      <c r="AC976" s="13"/>
      <c r="AD976" s="13"/>
      <c r="AE976" s="13"/>
    </row>
    <row r="977">
      <c r="AB977" s="13"/>
      <c r="AC977" s="13"/>
      <c r="AD977" s="13"/>
      <c r="AE977" s="13"/>
    </row>
    <row r="978">
      <c r="AB978" s="13"/>
      <c r="AC978" s="13"/>
      <c r="AD978" s="13"/>
      <c r="AE978" s="13"/>
    </row>
    <row r="979">
      <c r="AB979" s="13"/>
      <c r="AC979" s="13"/>
      <c r="AD979" s="13"/>
      <c r="AE979" s="13"/>
    </row>
    <row r="980">
      <c r="AB980" s="13"/>
      <c r="AC980" s="13"/>
      <c r="AD980" s="13"/>
      <c r="AE980" s="13"/>
    </row>
    <row r="981">
      <c r="AB981" s="13"/>
      <c r="AC981" s="13"/>
      <c r="AD981" s="13"/>
      <c r="AE981" s="13"/>
    </row>
    <row r="982">
      <c r="AB982" s="13"/>
      <c r="AC982" s="13"/>
      <c r="AD982" s="13"/>
      <c r="AE982" s="13"/>
    </row>
    <row r="983">
      <c r="AB983" s="13"/>
      <c r="AC983" s="13"/>
      <c r="AD983" s="13"/>
      <c r="AE983" s="13"/>
    </row>
    <row r="984">
      <c r="AB984" s="13"/>
      <c r="AC984" s="13"/>
      <c r="AD984" s="13"/>
      <c r="AE984" s="13"/>
    </row>
    <row r="985">
      <c r="AB985" s="13"/>
      <c r="AC985" s="13"/>
      <c r="AD985" s="13"/>
      <c r="AE985" s="13"/>
    </row>
    <row r="986">
      <c r="AB986" s="13"/>
      <c r="AC986" s="13"/>
      <c r="AD986" s="13"/>
      <c r="AE986" s="13"/>
    </row>
    <row r="987">
      <c r="AB987" s="13"/>
      <c r="AC987" s="13"/>
      <c r="AD987" s="13"/>
      <c r="AE987" s="13"/>
    </row>
    <row r="988">
      <c r="AB988" s="13"/>
      <c r="AC988" s="13"/>
      <c r="AD988" s="13"/>
      <c r="AE988" s="13"/>
    </row>
    <row r="989">
      <c r="AB989" s="13"/>
      <c r="AC989" s="13"/>
      <c r="AD989" s="13"/>
      <c r="AE989" s="13"/>
    </row>
    <row r="990">
      <c r="AB990" s="13"/>
      <c r="AC990" s="13"/>
      <c r="AD990" s="13"/>
      <c r="AE990" s="13"/>
    </row>
    <row r="991">
      <c r="AB991" s="13"/>
      <c r="AC991" s="13"/>
      <c r="AD991" s="13"/>
      <c r="AE991" s="13"/>
    </row>
    <row r="992">
      <c r="AB992" s="13"/>
      <c r="AC992" s="13"/>
      <c r="AD992" s="13"/>
      <c r="AE992" s="13"/>
    </row>
    <row r="993">
      <c r="AB993" s="13"/>
      <c r="AC993" s="13"/>
      <c r="AD993" s="13"/>
      <c r="AE993" s="13"/>
    </row>
    <row r="994">
      <c r="AB994" s="13"/>
      <c r="AC994" s="13"/>
      <c r="AD994" s="13"/>
      <c r="AE994" s="13"/>
    </row>
    <row r="995">
      <c r="AB995" s="13"/>
      <c r="AC995" s="13"/>
      <c r="AD995" s="13"/>
      <c r="AE995" s="13"/>
    </row>
    <row r="996">
      <c r="AB996" s="13"/>
      <c r="AC996" s="13"/>
      <c r="AD996" s="13"/>
      <c r="AE996" s="13"/>
    </row>
    <row r="997">
      <c r="AB997" s="13"/>
      <c r="AC997" s="13"/>
      <c r="AD997" s="13"/>
      <c r="AE997" s="13"/>
    </row>
    <row r="998">
      <c r="AB998" s="13"/>
      <c r="AC998" s="13"/>
      <c r="AD998" s="13"/>
      <c r="AE998" s="13"/>
    </row>
    <row r="999">
      <c r="AB999" s="13"/>
      <c r="AC999" s="13"/>
      <c r="AD999" s="13"/>
      <c r="AE999" s="13"/>
    </row>
    <row r="1000">
      <c r="AB1000" s="13"/>
      <c r="AC1000" s="13"/>
      <c r="AD1000" s="13"/>
      <c r="AE1000" s="13"/>
    </row>
    <row r="1001">
      <c r="AB1001" s="13"/>
      <c r="AC1001" s="13"/>
      <c r="AD1001" s="13"/>
      <c r="AE1001" s="13"/>
    </row>
    <row r="1002">
      <c r="AB1002" s="13"/>
      <c r="AC1002" s="13"/>
      <c r="AD1002" s="13"/>
      <c r="AE1002" s="13"/>
    </row>
    <row r="1003">
      <c r="AB1003" s="13"/>
      <c r="AC1003" s="13"/>
      <c r="AD1003" s="13"/>
      <c r="AE1003" s="13"/>
    </row>
    <row r="1004">
      <c r="AB1004" s="13"/>
      <c r="AC1004" s="13"/>
      <c r="AD1004" s="13"/>
      <c r="AE1004" s="13"/>
    </row>
    <row r="1005">
      <c r="AB1005" s="13"/>
      <c r="AC1005" s="13"/>
      <c r="AD1005" s="13"/>
      <c r="AE1005" s="13"/>
    </row>
    <row r="1006">
      <c r="AB1006" s="13"/>
      <c r="AC1006" s="13"/>
      <c r="AD1006" s="13"/>
      <c r="AE1006" s="13"/>
    </row>
    <row r="1007">
      <c r="AB1007" s="13"/>
      <c r="AC1007" s="13"/>
      <c r="AD1007" s="13"/>
      <c r="AE1007" s="13"/>
    </row>
    <row r="1008">
      <c r="AB1008" s="13"/>
      <c r="AC1008" s="13"/>
      <c r="AD1008" s="13"/>
      <c r="AE1008" s="13"/>
    </row>
    <row r="1009">
      <c r="AB1009" s="13"/>
      <c r="AC1009" s="13"/>
      <c r="AD1009" s="13"/>
      <c r="AE1009" s="13"/>
    </row>
    <row r="1010">
      <c r="AB1010" s="13"/>
      <c r="AC1010" s="13"/>
      <c r="AD1010" s="13"/>
      <c r="AE1010" s="13"/>
    </row>
    <row r="1011">
      <c r="AB1011" s="13"/>
      <c r="AC1011" s="13"/>
      <c r="AD1011" s="13"/>
      <c r="AE1011" s="13"/>
    </row>
    <row r="1012">
      <c r="AB1012" s="13"/>
      <c r="AC1012" s="13"/>
      <c r="AD1012" s="13"/>
      <c r="AE1012" s="13"/>
    </row>
    <row r="1013">
      <c r="AB1013" s="13"/>
      <c r="AC1013" s="13"/>
      <c r="AD1013" s="13"/>
      <c r="AE1013" s="13"/>
    </row>
    <row r="1014">
      <c r="AB1014" s="13"/>
      <c r="AC1014" s="13"/>
      <c r="AD1014" s="13"/>
      <c r="AE1014" s="13"/>
    </row>
    <row r="1015">
      <c r="AB1015" s="13"/>
      <c r="AC1015" s="13"/>
      <c r="AD1015" s="13"/>
      <c r="AE1015" s="13"/>
    </row>
    <row r="1016">
      <c r="AB1016" s="13"/>
      <c r="AC1016" s="13"/>
      <c r="AD1016" s="13"/>
      <c r="AE1016" s="13"/>
    </row>
    <row r="1017">
      <c r="AB1017" s="13"/>
      <c r="AC1017" s="13"/>
      <c r="AD1017" s="13"/>
      <c r="AE1017" s="13"/>
    </row>
    <row r="1018">
      <c r="AB1018" s="13"/>
      <c r="AC1018" s="13"/>
      <c r="AD1018" s="13"/>
      <c r="AE1018" s="13"/>
    </row>
    <row r="1019">
      <c r="AB1019" s="13"/>
      <c r="AC1019" s="13"/>
      <c r="AD1019" s="13"/>
      <c r="AE1019" s="13"/>
    </row>
    <row r="1020">
      <c r="AB1020" s="13"/>
      <c r="AC1020" s="13"/>
      <c r="AD1020" s="13"/>
      <c r="AE1020" s="13"/>
    </row>
    <row r="1021">
      <c r="AB1021" s="13"/>
      <c r="AC1021" s="13"/>
      <c r="AD1021" s="13"/>
      <c r="AE1021" s="13"/>
    </row>
    <row r="1022">
      <c r="AB1022" s="13"/>
      <c r="AC1022" s="13"/>
      <c r="AD1022" s="13"/>
      <c r="AE1022" s="13"/>
    </row>
    <row r="1023">
      <c r="AB1023" s="13"/>
      <c r="AC1023" s="13"/>
      <c r="AD1023" s="13"/>
      <c r="AE1023" s="13"/>
    </row>
    <row r="1024">
      <c r="AB1024" s="13"/>
      <c r="AC1024" s="13"/>
      <c r="AD1024" s="13"/>
      <c r="AE1024" s="13"/>
    </row>
    <row r="1025">
      <c r="AB1025" s="13"/>
      <c r="AC1025" s="13"/>
      <c r="AD1025" s="13"/>
      <c r="AE1025" s="13"/>
    </row>
    <row r="1026">
      <c r="AB1026" s="13"/>
      <c r="AC1026" s="13"/>
      <c r="AD1026" s="13"/>
      <c r="AE1026" s="13"/>
    </row>
    <row r="1027">
      <c r="AB1027" s="13"/>
      <c r="AC1027" s="13"/>
      <c r="AD1027" s="13"/>
      <c r="AE1027" s="13"/>
    </row>
    <row r="1028">
      <c r="AB1028" s="13"/>
      <c r="AC1028" s="13"/>
      <c r="AD1028" s="13"/>
      <c r="AE1028" s="13"/>
    </row>
    <row r="1029">
      <c r="AB1029" s="13"/>
      <c r="AC1029" s="13"/>
      <c r="AD1029" s="13"/>
      <c r="AE1029" s="13"/>
    </row>
    <row r="1030">
      <c r="AB1030" s="13"/>
      <c r="AC1030" s="13"/>
      <c r="AD1030" s="13"/>
      <c r="AE1030" s="13"/>
    </row>
    <row r="1031">
      <c r="AB1031" s="13"/>
      <c r="AC1031" s="13"/>
      <c r="AD1031" s="13"/>
      <c r="AE1031" s="13"/>
    </row>
    <row r="1032">
      <c r="AB1032" s="13"/>
      <c r="AC1032" s="13"/>
      <c r="AD1032" s="13"/>
      <c r="AE1032" s="13"/>
    </row>
    <row r="1033">
      <c r="AB1033" s="13"/>
      <c r="AC1033" s="13"/>
      <c r="AD1033" s="13"/>
      <c r="AE1033" s="13"/>
    </row>
    <row r="1034">
      <c r="AB1034" s="13"/>
      <c r="AC1034" s="13"/>
      <c r="AD1034" s="13"/>
      <c r="AE1034" s="13"/>
    </row>
    <row r="1035">
      <c r="AB1035" s="13"/>
      <c r="AC1035" s="13"/>
      <c r="AD1035" s="13"/>
      <c r="AE1035" s="13"/>
    </row>
    <row r="1036">
      <c r="AB1036" s="13"/>
      <c r="AC1036" s="13"/>
      <c r="AD1036" s="13"/>
      <c r="AE1036" s="13"/>
    </row>
    <row r="1037">
      <c r="AB1037" s="13"/>
      <c r="AC1037" s="13"/>
      <c r="AD1037" s="13"/>
      <c r="AE1037" s="13"/>
    </row>
    <row r="1038">
      <c r="AB1038" s="13"/>
      <c r="AC1038" s="13"/>
      <c r="AD1038" s="13"/>
      <c r="AE1038" s="13"/>
    </row>
    <row r="1039">
      <c r="AB1039" s="13"/>
      <c r="AC1039" s="13"/>
      <c r="AD1039" s="13"/>
      <c r="AE1039" s="13"/>
    </row>
    <row r="1040">
      <c r="AB1040" s="13"/>
      <c r="AC1040" s="13"/>
      <c r="AD1040" s="13"/>
      <c r="AE1040" s="13"/>
    </row>
    <row r="1041">
      <c r="AB1041" s="13"/>
      <c r="AC1041" s="13"/>
      <c r="AD1041" s="13"/>
      <c r="AE1041" s="13"/>
    </row>
    <row r="1042">
      <c r="AB1042" s="13"/>
      <c r="AC1042" s="13"/>
      <c r="AD1042" s="13"/>
      <c r="AE1042" s="13"/>
    </row>
    <row r="1043">
      <c r="AB1043" s="13"/>
      <c r="AC1043" s="13"/>
      <c r="AD1043" s="13"/>
      <c r="AE1043" s="13"/>
    </row>
    <row r="1044">
      <c r="AB1044" s="13"/>
      <c r="AC1044" s="13"/>
      <c r="AD1044" s="13"/>
      <c r="AE1044" s="13"/>
    </row>
    <row r="1045">
      <c r="AB1045" s="13"/>
      <c r="AC1045" s="13"/>
      <c r="AD1045" s="13"/>
      <c r="AE1045" s="13"/>
    </row>
    <row r="1046">
      <c r="AB1046" s="13"/>
      <c r="AC1046" s="13"/>
      <c r="AD1046" s="13"/>
      <c r="AE1046" s="13"/>
    </row>
    <row r="1047">
      <c r="AB1047" s="13"/>
      <c r="AC1047" s="13"/>
      <c r="AD1047" s="13"/>
      <c r="AE1047" s="13"/>
    </row>
    <row r="1048">
      <c r="AB1048" s="13"/>
      <c r="AC1048" s="13"/>
      <c r="AD1048" s="13"/>
      <c r="AE1048" s="13"/>
    </row>
    <row r="1049">
      <c r="AB1049" s="13"/>
      <c r="AC1049" s="13"/>
      <c r="AD1049" s="13"/>
      <c r="AE1049" s="13"/>
    </row>
    <row r="1050">
      <c r="AB1050" s="13"/>
      <c r="AC1050" s="13"/>
      <c r="AD1050" s="13"/>
      <c r="AE1050" s="13"/>
    </row>
    <row r="1051">
      <c r="AB1051" s="13"/>
      <c r="AC1051" s="13"/>
      <c r="AD1051" s="13"/>
      <c r="AE1051" s="13"/>
    </row>
    <row r="1052">
      <c r="AB1052" s="13"/>
      <c r="AC1052" s="13"/>
      <c r="AD1052" s="13"/>
      <c r="AE1052" s="13"/>
    </row>
    <row r="1053">
      <c r="AB1053" s="13"/>
      <c r="AC1053" s="13"/>
      <c r="AD1053" s="13"/>
      <c r="AE1053" s="13"/>
    </row>
    <row r="1054">
      <c r="AB1054" s="13"/>
      <c r="AC1054" s="13"/>
      <c r="AD1054" s="13"/>
      <c r="AE1054" s="13"/>
    </row>
    <row r="1055">
      <c r="AB1055" s="13"/>
      <c r="AC1055" s="13"/>
      <c r="AD1055" s="13"/>
      <c r="AE1055" s="13"/>
    </row>
    <row r="1056">
      <c r="AB1056" s="13"/>
      <c r="AC1056" s="13"/>
      <c r="AD1056" s="13"/>
      <c r="AE1056" s="13"/>
    </row>
    <row r="1057">
      <c r="AB1057" s="13"/>
      <c r="AC1057" s="13"/>
      <c r="AD1057" s="13"/>
      <c r="AE1057" s="13"/>
    </row>
    <row r="1058">
      <c r="AB1058" s="13"/>
      <c r="AC1058" s="13"/>
      <c r="AD1058" s="13"/>
      <c r="AE1058" s="13"/>
    </row>
    <row r="1059">
      <c r="AB1059" s="13"/>
      <c r="AC1059" s="13"/>
      <c r="AD1059" s="13"/>
      <c r="AE1059" s="13"/>
    </row>
    <row r="1060">
      <c r="AB1060" s="13"/>
      <c r="AC1060" s="13"/>
      <c r="AD1060" s="13"/>
      <c r="AE1060" s="13"/>
    </row>
    <row r="1061">
      <c r="AB1061" s="13"/>
      <c r="AC1061" s="13"/>
      <c r="AD1061" s="13"/>
      <c r="AE1061" s="13"/>
    </row>
    <row r="1062">
      <c r="AB1062" s="13"/>
      <c r="AC1062" s="13"/>
      <c r="AD1062" s="13"/>
      <c r="AE1062" s="13"/>
    </row>
    <row r="1063">
      <c r="AB1063" s="13"/>
      <c r="AC1063" s="13"/>
      <c r="AD1063" s="13"/>
      <c r="AE1063" s="13"/>
    </row>
    <row r="1064">
      <c r="AB1064" s="13"/>
      <c r="AC1064" s="13"/>
      <c r="AD1064" s="13"/>
      <c r="AE1064" s="13"/>
    </row>
    <row r="1065">
      <c r="AB1065" s="13"/>
      <c r="AC1065" s="13"/>
      <c r="AD1065" s="13"/>
      <c r="AE1065" s="13"/>
    </row>
    <row r="1066">
      <c r="AB1066" s="13"/>
      <c r="AC1066" s="13"/>
      <c r="AD1066" s="13"/>
      <c r="AE1066" s="13"/>
    </row>
    <row r="1067">
      <c r="AB1067" s="13"/>
      <c r="AC1067" s="13"/>
      <c r="AD1067" s="13"/>
      <c r="AE1067" s="13"/>
    </row>
    <row r="1068">
      <c r="AB1068" s="13"/>
      <c r="AC1068" s="13"/>
      <c r="AD1068" s="13"/>
      <c r="AE1068" s="13"/>
    </row>
    <row r="1069">
      <c r="AB1069" s="13"/>
      <c r="AC1069" s="13"/>
      <c r="AD1069" s="13"/>
      <c r="AE1069" s="13"/>
    </row>
    <row r="1070">
      <c r="AB1070" s="13"/>
      <c r="AC1070" s="13"/>
      <c r="AD1070" s="13"/>
      <c r="AE1070" s="13"/>
    </row>
    <row r="1071">
      <c r="AB1071" s="13"/>
      <c r="AC1071" s="13"/>
      <c r="AD1071" s="13"/>
      <c r="AE1071" s="13"/>
    </row>
    <row r="1072">
      <c r="AB1072" s="13"/>
      <c r="AC1072" s="13"/>
      <c r="AD1072" s="13"/>
      <c r="AE1072" s="13"/>
    </row>
    <row r="1073">
      <c r="AB1073" s="13"/>
      <c r="AC1073" s="13"/>
      <c r="AD1073" s="13"/>
      <c r="AE1073" s="13"/>
    </row>
    <row r="1074">
      <c r="AB1074" s="13"/>
      <c r="AC1074" s="13"/>
      <c r="AD1074" s="13"/>
      <c r="AE1074" s="13"/>
    </row>
    <row r="1075">
      <c r="AB1075" s="13"/>
      <c r="AC1075" s="13"/>
      <c r="AD1075" s="13"/>
      <c r="AE1075" s="13"/>
    </row>
    <row r="1076">
      <c r="AB1076" s="13"/>
      <c r="AC1076" s="13"/>
      <c r="AD1076" s="13"/>
      <c r="AE1076" s="13"/>
    </row>
    <row r="1077">
      <c r="AB1077" s="13"/>
      <c r="AC1077" s="13"/>
      <c r="AD1077" s="13"/>
      <c r="AE1077" s="13"/>
    </row>
    <row r="1078">
      <c r="AB1078" s="13"/>
      <c r="AC1078" s="13"/>
      <c r="AD1078" s="13"/>
      <c r="AE1078" s="13"/>
    </row>
    <row r="1079">
      <c r="AB1079" s="13"/>
      <c r="AC1079" s="13"/>
      <c r="AD1079" s="13"/>
      <c r="AE1079" s="13"/>
    </row>
    <row r="1080">
      <c r="AB1080" s="13"/>
      <c r="AC1080" s="13"/>
      <c r="AD1080" s="13"/>
      <c r="AE1080" s="13"/>
    </row>
    <row r="1081">
      <c r="AB1081" s="13"/>
      <c r="AC1081" s="13"/>
      <c r="AD1081" s="13"/>
      <c r="AE1081" s="13"/>
    </row>
    <row r="1082">
      <c r="AB1082" s="13"/>
      <c r="AC1082" s="13"/>
      <c r="AD1082" s="13"/>
      <c r="AE1082" s="13"/>
    </row>
    <row r="1083">
      <c r="AB1083" s="13"/>
      <c r="AC1083" s="13"/>
      <c r="AD1083" s="13"/>
      <c r="AE1083" s="13"/>
    </row>
    <row r="1084">
      <c r="AB1084" s="13"/>
      <c r="AC1084" s="13"/>
      <c r="AD1084" s="13"/>
      <c r="AE1084" s="13"/>
    </row>
    <row r="1085">
      <c r="AB1085" s="13"/>
      <c r="AC1085" s="13"/>
      <c r="AD1085" s="13"/>
      <c r="AE1085" s="13"/>
    </row>
    <row r="1086">
      <c r="AB1086" s="13"/>
      <c r="AC1086" s="13"/>
      <c r="AD1086" s="13"/>
      <c r="AE1086" s="13"/>
    </row>
    <row r="1087">
      <c r="AB1087" s="13"/>
      <c r="AC1087" s="13"/>
      <c r="AD1087" s="13"/>
      <c r="AE1087" s="13"/>
    </row>
    <row r="1088">
      <c r="AB1088" s="13"/>
      <c r="AC1088" s="13"/>
      <c r="AD1088" s="13"/>
      <c r="AE1088" s="13"/>
    </row>
    <row r="1089">
      <c r="AB1089" s="13"/>
      <c r="AC1089" s="13"/>
      <c r="AD1089" s="13"/>
      <c r="AE1089" s="13"/>
    </row>
    <row r="1090">
      <c r="AB1090" s="13"/>
      <c r="AC1090" s="13"/>
      <c r="AD1090" s="13"/>
      <c r="AE1090" s="13"/>
    </row>
    <row r="1091">
      <c r="AB1091" s="13"/>
      <c r="AC1091" s="13"/>
      <c r="AD1091" s="13"/>
      <c r="AE1091" s="13"/>
    </row>
    <row r="1092">
      <c r="AB1092" s="13"/>
      <c r="AC1092" s="13"/>
      <c r="AD1092" s="13"/>
      <c r="AE1092" s="13"/>
    </row>
    <row r="1093">
      <c r="AB1093" s="13"/>
      <c r="AC1093" s="13"/>
      <c r="AD1093" s="13"/>
      <c r="AE1093" s="13"/>
    </row>
    <row r="1094">
      <c r="AB1094" s="13"/>
      <c r="AC1094" s="13"/>
      <c r="AD1094" s="13"/>
      <c r="AE1094" s="13"/>
    </row>
    <row r="1095">
      <c r="AB1095" s="13"/>
      <c r="AC1095" s="13"/>
      <c r="AD1095" s="13"/>
      <c r="AE1095" s="13"/>
    </row>
    <row r="1096">
      <c r="AB1096" s="13"/>
      <c r="AC1096" s="13"/>
      <c r="AD1096" s="13"/>
      <c r="AE1096" s="13"/>
    </row>
    <row r="1097">
      <c r="AB1097" s="13"/>
      <c r="AC1097" s="13"/>
      <c r="AD1097" s="13"/>
      <c r="AE1097" s="13"/>
    </row>
    <row r="1098">
      <c r="AB1098" s="13"/>
      <c r="AC1098" s="13"/>
      <c r="AD1098" s="13"/>
      <c r="AE1098" s="13"/>
    </row>
    <row r="1099">
      <c r="AB1099" s="13"/>
      <c r="AC1099" s="13"/>
      <c r="AD1099" s="13"/>
      <c r="AE1099" s="13"/>
    </row>
    <row r="1100">
      <c r="AB1100" s="13"/>
      <c r="AC1100" s="13"/>
      <c r="AD1100" s="13"/>
      <c r="AE1100" s="13"/>
    </row>
    <row r="1101">
      <c r="AB1101" s="13"/>
      <c r="AC1101" s="13"/>
      <c r="AD1101" s="13"/>
      <c r="AE1101" s="13"/>
    </row>
    <row r="1102">
      <c r="AB1102" s="13"/>
      <c r="AC1102" s="13"/>
      <c r="AD1102" s="13"/>
      <c r="AE1102" s="13"/>
    </row>
    <row r="1103">
      <c r="AB1103" s="13"/>
      <c r="AC1103" s="13"/>
      <c r="AD1103" s="13"/>
      <c r="AE1103" s="13"/>
    </row>
    <row r="1104">
      <c r="AB1104" s="13"/>
      <c r="AC1104" s="13"/>
      <c r="AD1104" s="13"/>
      <c r="AE1104" s="13"/>
    </row>
    <row r="1105">
      <c r="AB1105" s="13"/>
      <c r="AC1105" s="13"/>
      <c r="AD1105" s="13"/>
      <c r="AE1105" s="13"/>
    </row>
    <row r="1106">
      <c r="AB1106" s="13"/>
      <c r="AC1106" s="13"/>
      <c r="AD1106" s="13"/>
      <c r="AE1106" s="13"/>
    </row>
    <row r="1107">
      <c r="AB1107" s="13"/>
      <c r="AC1107" s="13"/>
      <c r="AD1107" s="13"/>
      <c r="AE1107" s="13"/>
    </row>
    <row r="1108">
      <c r="AB1108" s="13"/>
      <c r="AC1108" s="13"/>
      <c r="AD1108" s="13"/>
      <c r="AE1108" s="13"/>
    </row>
    <row r="1109">
      <c r="AB1109" s="13"/>
      <c r="AC1109" s="13"/>
      <c r="AD1109" s="13"/>
      <c r="AE1109" s="13"/>
    </row>
    <row r="1110">
      <c r="AB1110" s="13"/>
      <c r="AC1110" s="13"/>
      <c r="AD1110" s="13"/>
      <c r="AE1110" s="13"/>
    </row>
    <row r="1111">
      <c r="AB1111" s="13"/>
      <c r="AC1111" s="13"/>
      <c r="AD1111" s="13"/>
      <c r="AE1111" s="13"/>
    </row>
    <row r="1112">
      <c r="AB1112" s="13"/>
      <c r="AC1112" s="13"/>
      <c r="AD1112" s="13"/>
      <c r="AE1112" s="13"/>
    </row>
    <row r="1113">
      <c r="AB1113" s="13"/>
      <c r="AC1113" s="13"/>
      <c r="AD1113" s="13"/>
      <c r="AE1113" s="13"/>
    </row>
    <row r="1114">
      <c r="AB1114" s="13"/>
      <c r="AC1114" s="13"/>
      <c r="AD1114" s="13"/>
      <c r="AE1114" s="13"/>
    </row>
    <row r="1115">
      <c r="AB1115" s="13"/>
      <c r="AC1115" s="13"/>
      <c r="AD1115" s="13"/>
      <c r="AE1115" s="13"/>
    </row>
    <row r="1116">
      <c r="AB1116" s="13"/>
      <c r="AC1116" s="13"/>
      <c r="AD1116" s="13"/>
      <c r="AE1116" s="13"/>
    </row>
    <row r="1117">
      <c r="AB1117" s="13"/>
      <c r="AC1117" s="13"/>
      <c r="AD1117" s="13"/>
      <c r="AE1117" s="13"/>
    </row>
    <row r="1118">
      <c r="AB1118" s="13"/>
      <c r="AC1118" s="13"/>
      <c r="AD1118" s="13"/>
      <c r="AE1118" s="13"/>
    </row>
    <row r="1119">
      <c r="AB1119" s="13"/>
      <c r="AC1119" s="13"/>
      <c r="AD1119" s="13"/>
      <c r="AE1119" s="13"/>
    </row>
    <row r="1120">
      <c r="AB1120" s="13"/>
      <c r="AC1120" s="13"/>
      <c r="AD1120" s="13"/>
      <c r="AE1120" s="13"/>
    </row>
    <row r="1121">
      <c r="AB1121" s="13"/>
      <c r="AC1121" s="13"/>
      <c r="AD1121" s="13"/>
      <c r="AE1121" s="13"/>
    </row>
    <row r="1122">
      <c r="AB1122" s="13"/>
      <c r="AC1122" s="13"/>
      <c r="AD1122" s="13"/>
      <c r="AE1122" s="13"/>
    </row>
    <row r="1123">
      <c r="AB1123" s="13"/>
      <c r="AC1123" s="13"/>
      <c r="AD1123" s="13"/>
      <c r="AE1123" s="13"/>
    </row>
    <row r="1124">
      <c r="AB1124" s="13"/>
      <c r="AC1124" s="13"/>
      <c r="AD1124" s="13"/>
      <c r="AE1124" s="13"/>
    </row>
    <row r="1125">
      <c r="AB1125" s="13"/>
      <c r="AC1125" s="13"/>
      <c r="AD1125" s="13"/>
      <c r="AE1125" s="13"/>
    </row>
    <row r="1126">
      <c r="AB1126" s="13"/>
      <c r="AC1126" s="13"/>
      <c r="AD1126" s="13"/>
      <c r="AE1126" s="13"/>
    </row>
    <row r="1127">
      <c r="AB1127" s="13"/>
      <c r="AC1127" s="13"/>
      <c r="AD1127" s="13"/>
      <c r="AE1127" s="13"/>
    </row>
    <row r="1128">
      <c r="AB1128" s="13"/>
      <c r="AC1128" s="13"/>
      <c r="AD1128" s="13"/>
      <c r="AE1128" s="13"/>
    </row>
    <row r="1129">
      <c r="AB1129" s="13"/>
      <c r="AC1129" s="13"/>
      <c r="AD1129" s="13"/>
      <c r="AE1129" s="13"/>
    </row>
    <row r="1130">
      <c r="AB1130" s="13"/>
      <c r="AC1130" s="13"/>
      <c r="AD1130" s="13"/>
      <c r="AE1130" s="13"/>
    </row>
    <row r="1131">
      <c r="AB1131" s="13"/>
      <c r="AC1131" s="13"/>
      <c r="AD1131" s="13"/>
      <c r="AE1131" s="13"/>
    </row>
    <row r="1132">
      <c r="AB1132" s="13"/>
      <c r="AC1132" s="13"/>
      <c r="AD1132" s="13"/>
      <c r="AE1132" s="13"/>
    </row>
    <row r="1133">
      <c r="AB1133" s="13"/>
      <c r="AC1133" s="13"/>
      <c r="AD1133" s="13"/>
      <c r="AE1133" s="13"/>
    </row>
    <row r="1134">
      <c r="AB1134" s="13"/>
      <c r="AC1134" s="13"/>
      <c r="AD1134" s="13"/>
      <c r="AE1134" s="13"/>
    </row>
    <row r="1135">
      <c r="AB1135" s="13"/>
      <c r="AC1135" s="13"/>
      <c r="AD1135" s="13"/>
      <c r="AE1135" s="13"/>
    </row>
    <row r="1136">
      <c r="AB1136" s="13"/>
      <c r="AC1136" s="13"/>
      <c r="AD1136" s="13"/>
      <c r="AE1136" s="13"/>
    </row>
    <row r="1137">
      <c r="AB1137" s="13"/>
      <c r="AC1137" s="13"/>
      <c r="AD1137" s="13"/>
      <c r="AE1137" s="13"/>
    </row>
    <row r="1138">
      <c r="AB1138" s="13"/>
      <c r="AC1138" s="13"/>
      <c r="AD1138" s="13"/>
      <c r="AE1138" s="13"/>
    </row>
    <row r="1139">
      <c r="AB1139" s="13"/>
      <c r="AC1139" s="13"/>
      <c r="AD1139" s="13"/>
      <c r="AE1139" s="13"/>
    </row>
    <row r="1140">
      <c r="AB1140" s="13"/>
      <c r="AC1140" s="13"/>
      <c r="AD1140" s="13"/>
      <c r="AE1140" s="13"/>
    </row>
    <row r="1141">
      <c r="AB1141" s="13"/>
      <c r="AC1141" s="13"/>
      <c r="AD1141" s="13"/>
      <c r="AE1141" s="13"/>
    </row>
    <row r="1142">
      <c r="AB1142" s="13"/>
      <c r="AC1142" s="13"/>
      <c r="AD1142" s="13"/>
      <c r="AE1142" s="13"/>
    </row>
    <row r="1143">
      <c r="AB1143" s="13"/>
      <c r="AC1143" s="13"/>
      <c r="AD1143" s="13"/>
      <c r="AE1143" s="13"/>
    </row>
    <row r="1144">
      <c r="AB1144" s="13"/>
      <c r="AC1144" s="13"/>
      <c r="AD1144" s="13"/>
      <c r="AE1144" s="13"/>
    </row>
    <row r="1145">
      <c r="AB1145" s="13"/>
      <c r="AC1145" s="13"/>
      <c r="AD1145" s="13"/>
      <c r="AE1145" s="13"/>
    </row>
    <row r="1146">
      <c r="AB1146" s="13"/>
      <c r="AC1146" s="13"/>
      <c r="AD1146" s="13"/>
      <c r="AE1146" s="13"/>
    </row>
    <row r="1147">
      <c r="AB1147" s="13"/>
      <c r="AC1147" s="13"/>
      <c r="AD1147" s="13"/>
      <c r="AE1147" s="13"/>
    </row>
    <row r="1148">
      <c r="AB1148" s="13"/>
      <c r="AC1148" s="13"/>
      <c r="AD1148" s="13"/>
      <c r="AE1148" s="13"/>
    </row>
    <row r="1149">
      <c r="AB1149" s="13"/>
      <c r="AC1149" s="13"/>
      <c r="AD1149" s="13"/>
      <c r="AE1149" s="13"/>
    </row>
    <row r="1150">
      <c r="AB1150" s="13"/>
      <c r="AC1150" s="13"/>
      <c r="AD1150" s="13"/>
      <c r="AE1150" s="13"/>
    </row>
    <row r="1151">
      <c r="AB1151" s="13"/>
      <c r="AC1151" s="13"/>
      <c r="AD1151" s="13"/>
      <c r="AE1151" s="13"/>
    </row>
    <row r="1152">
      <c r="AB1152" s="13"/>
      <c r="AC1152" s="13"/>
      <c r="AD1152" s="13"/>
      <c r="AE1152" s="13"/>
    </row>
    <row r="1153">
      <c r="AB1153" s="13"/>
      <c r="AC1153" s="13"/>
      <c r="AD1153" s="13"/>
      <c r="AE1153" s="13"/>
    </row>
    <row r="1154">
      <c r="AB1154" s="13"/>
      <c r="AC1154" s="13"/>
      <c r="AD1154" s="13"/>
      <c r="AE1154" s="13"/>
    </row>
    <row r="1155">
      <c r="AB1155" s="13"/>
      <c r="AC1155" s="13"/>
      <c r="AD1155" s="13"/>
      <c r="AE1155" s="13"/>
    </row>
    <row r="1156">
      <c r="AB1156" s="13"/>
      <c r="AC1156" s="13"/>
      <c r="AD1156" s="13"/>
      <c r="AE1156" s="13"/>
    </row>
  </sheetData>
  <mergeCells count="80">
    <mergeCell ref="F80:F83"/>
    <mergeCell ref="G80:G83"/>
    <mergeCell ref="D80:D83"/>
    <mergeCell ref="E80:E83"/>
    <mergeCell ref="C87:C90"/>
    <mergeCell ref="D87:D90"/>
    <mergeCell ref="E87:E90"/>
    <mergeCell ref="F87:F90"/>
    <mergeCell ref="G87:G90"/>
    <mergeCell ref="E130:E133"/>
    <mergeCell ref="F130:F133"/>
    <mergeCell ref="C126:C129"/>
    <mergeCell ref="D126:D129"/>
    <mergeCell ref="E126:E129"/>
    <mergeCell ref="F126:F129"/>
    <mergeCell ref="G126:G129"/>
    <mergeCell ref="D130:D133"/>
    <mergeCell ref="G130:G133"/>
    <mergeCell ref="D138:D141"/>
    <mergeCell ref="E138:E141"/>
    <mergeCell ref="C152:C156"/>
    <mergeCell ref="D152:D156"/>
    <mergeCell ref="E152:E156"/>
    <mergeCell ref="F152:F156"/>
    <mergeCell ref="G152:G156"/>
    <mergeCell ref="F138:F141"/>
    <mergeCell ref="G138:G141"/>
    <mergeCell ref="C130:C133"/>
    <mergeCell ref="C134:C137"/>
    <mergeCell ref="D134:D137"/>
    <mergeCell ref="E134:E137"/>
    <mergeCell ref="F134:F137"/>
    <mergeCell ref="G134:G137"/>
    <mergeCell ref="C138:C141"/>
    <mergeCell ref="F29:F33"/>
    <mergeCell ref="G29:G33"/>
    <mergeCell ref="A2:J2"/>
    <mergeCell ref="C3:C6"/>
    <mergeCell ref="D3:D6"/>
    <mergeCell ref="E3:E6"/>
    <mergeCell ref="F3:F6"/>
    <mergeCell ref="G3:G6"/>
    <mergeCell ref="C29:C33"/>
    <mergeCell ref="A35:J35"/>
    <mergeCell ref="D29:D33"/>
    <mergeCell ref="E29:E33"/>
    <mergeCell ref="C37:C40"/>
    <mergeCell ref="D37:D40"/>
    <mergeCell ref="E37:E40"/>
    <mergeCell ref="F37:F40"/>
    <mergeCell ref="G37:G40"/>
    <mergeCell ref="C41:C44"/>
    <mergeCell ref="D41:D44"/>
    <mergeCell ref="E41:E44"/>
    <mergeCell ref="F41:F44"/>
    <mergeCell ref="G41:G44"/>
    <mergeCell ref="C45:C48"/>
    <mergeCell ref="D45:D48"/>
    <mergeCell ref="G45:G48"/>
    <mergeCell ref="E45:E48"/>
    <mergeCell ref="F45:F48"/>
    <mergeCell ref="C55:C58"/>
    <mergeCell ref="D55:D58"/>
    <mergeCell ref="E55:E58"/>
    <mergeCell ref="F55:F58"/>
    <mergeCell ref="G55:G58"/>
    <mergeCell ref="C73:C77"/>
    <mergeCell ref="D73:D77"/>
    <mergeCell ref="E73:E77"/>
    <mergeCell ref="F73:F77"/>
    <mergeCell ref="G73:G77"/>
    <mergeCell ref="A78:J78"/>
    <mergeCell ref="C80:C83"/>
    <mergeCell ref="C106:C110"/>
    <mergeCell ref="D106:D110"/>
    <mergeCell ref="E106:E110"/>
    <mergeCell ref="F106:F110"/>
    <mergeCell ref="G106:G110"/>
    <mergeCell ref="A111:J111"/>
    <mergeCell ref="A124:J124"/>
  </mergeCells>
  <dataValidations>
    <dataValidation type="list" allowBlank="1" showErrorMessage="1" sqref="B3:B33 B37:B77 B80:B110 B113:B123 B126:B156">
      <formula1>"Modular,Accessories,Civil Services"</formula1>
    </dataValidation>
    <dataValidation type="list" allowBlank="1" showErrorMessage="1" sqref="F3 F7:F29 F37 F41 F45 F49:F55 F59:F73 F80 F84:F87 F91:F106 F113:F123 F126 F130 F134 F138 F142:F152">
      <formula1>"Core Material,Finish Material,Hinges"</formula1>
    </dataValidation>
    <dataValidation type="list" allowBlank="1" showErrorMessage="1" sqref="E3 E7:E21 E24:E29 E37 E41 E45 E49:E55 E59:E65 E68:E73 E80 E84:E87 E91:E99 E102:E106 E113:E116 E119:E123 E126 E130 E134 E138 E142:E145 E148:E152">
      <formula1>"Carcass,Shutter ,Carcass/shutter ,Wallpanel ,Back panel Support ,pelmet ,Ceiling Panel ,Charcoal Panel,Base panel / Side panel ,Frame and Shutter ,Ledge -25mm,Ledge -36mm,Ledge -50mm,Partition -75mm,Curved Shape Panel "</formula1>
    </dataValidation>
    <dataValidation type="list" allowBlank="1" showErrorMessage="1" sqref="G7 G13:G18 G41 G53:G55 G59:G61 G84 G93:G98 G114 G130">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,Carcass  Inner 1mm- BWP / Shutter - Plywood Border with Clear / Tinted Glass ,Carcass inner 1mm - BWP / Shutter -  Plywood Border with Fluted Glass ,Carcass  Inner 1mm- BWP / Shutter - Black / Silver  colour Aluminium"&amp;" Profile with Clear or Tinted Glass ,Carcass Inner 1mm - BWP / Shutter - Black / Silver  colour Aluminium Profile with Fluted Glass,Carcass Inner 1mm  - BWP / Shutter - Gold  / Rose Gold   colour Aluminium Profile with Fluted Glass,Carcass Inner 1mm- BWP "&amp;"/ Shutter - Gold  / Rose Gold   colour Aluminium Profile with Clear or Tinted  Glass"</formula1>
    </dataValidation>
    <dataValidation type="list" allowBlank="1" showErrorMessage="1" sqref="H3:H23 H37:H67 H80:H101 H113:H118 H126:H147">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Dek,ForMica,Carcass - Kit ply Vista Marine / Shutter - Green Panel with Glass ,Carcass - Kit ply Vista Marine ,Carcass -Kitply Vista Marine / Shutter - Imported Aluminium Profile Shutters ,Carcass - Kitply Plus"&amp;" / Shutter - Green Panel,Carcass / Shutter - Kitply Vist Marine with Glass,Frame- Kit ply Vista Marine / Shutter - Green Panel,Frame - Kit ply Plus / Shutter - Green Panel,Carcass - Kitply plus"</formula1>
    </dataValidation>
    <dataValidation type="list" allowBlank="1" showErrorMessage="1" sqref="E22:E23 E66:E67 E100:E101 E117:E118 E146:E147">
      <formula1>"Carcass,Shutter ,Frame /shutter ,Wallpanel ,Back panel Support ,pelmet ,Ceiling Panel ,Charcoal Panel,Base panel / Side panel , Frame and Shutter "</formula1>
    </dataValidation>
    <dataValidation type="list" allowBlank="1" showErrorMessage="1" sqref="C3 C7:C29 C37 C41 C45 C49:C55 C59:C73 C80 C84:C87 C91:C106 C113:C123 C126 C130 C134 C138 C142:C152">
      <formula1>"Wet / Exposed Area,Dry / Inexposed area"</formula1>
    </dataValidation>
    <dataValidation type="list" allowBlank="1" showErrorMessage="1" sqref="D3 D7:D29 D37 D41 D45 D49:D55 D59:D73 D80 D84:D87 D91:D106 D113:D123 D126 D130 D134 D138 D142:D152">
      <formula1>"Base Storage,Wall Storage,Tall Storage,Wardrobe ,Tambour Storage  ,Panel ,Loft ,Curved Shape Base Storage unit ,Ledge,Partition,Arch Shape panel,Curved Shape Drawer Storage unit ,Open Unit - Inner 1mm,Curved Shape Wall Storage unit "</formula1>
    </dataValidation>
    <dataValidation type="list" allowBlank="1" showErrorMessage="1" sqref="G3 G8:G12 G19:G29 G37 G45 G49:G52 G62:G73 G80 G85:G87 G91:G92 G99:G106 G113 G115:G123 G126 G134 G138 G142:G152">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formula1>
    </dataValidation>
    <dataValidation type="list" allowBlank="1" showErrorMessage="1" sqref="A3:A33 A36:A77 A79:A110 A112:A123 A125:A156">
      <formula1>"Economy,Mid Premium,Premium,Luxury"</formula1>
    </dataValidation>
    <dataValidation type="list" allowBlank="1" showErrorMessage="1" sqref="H24:H33 H68:H77 H102:H110 H119:H123 H148:H156">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Dek,ForMica,Ledge - Kit Ply Vista Marine ,Kit Ply Vista Marine ,Ledge - Kitply plus,Kitply plus"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6.13"/>
    <col customWidth="1" hidden="1" min="2" max="2" width="15.88"/>
    <col customWidth="1" min="3" max="3" width="24.63"/>
    <col customWidth="1" min="4" max="4" width="29.88"/>
    <col customWidth="1" min="5" max="5" width="28.88"/>
    <col customWidth="1" hidden="1" min="6" max="6" width="36.63"/>
    <col customWidth="1" min="7" max="7" width="56.75"/>
    <col customWidth="1" hidden="1" min="8" max="8" width="121.13"/>
    <col customWidth="1" min="9" max="9" width="105.0"/>
  </cols>
  <sheetData>
    <row r="1">
      <c r="A1" s="4" t="s">
        <v>0</v>
      </c>
      <c r="B1" s="4" t="s">
        <v>1</v>
      </c>
      <c r="C1" s="4" t="s">
        <v>2</v>
      </c>
      <c r="D1" s="4" t="s">
        <v>3</v>
      </c>
      <c r="E1" s="4" t="s">
        <v>32</v>
      </c>
      <c r="F1" s="4" t="s">
        <v>4</v>
      </c>
      <c r="G1" s="4" t="s">
        <v>6</v>
      </c>
      <c r="H1" s="4" t="s">
        <v>5</v>
      </c>
      <c r="I1" s="4"/>
      <c r="J1" s="4" t="s">
        <v>34</v>
      </c>
      <c r="K1" s="5" t="s">
        <v>591</v>
      </c>
      <c r="L1" s="4" t="s">
        <v>459</v>
      </c>
      <c r="M1" s="4" t="s">
        <v>35</v>
      </c>
      <c r="N1" s="4" t="s">
        <v>36</v>
      </c>
      <c r="O1" s="4" t="s">
        <v>37</v>
      </c>
      <c r="P1" s="4"/>
      <c r="Q1" s="6"/>
      <c r="R1" s="6"/>
      <c r="S1" s="6"/>
      <c r="T1" s="6"/>
      <c r="U1" s="6"/>
      <c r="V1" s="6"/>
      <c r="W1" s="6"/>
      <c r="X1" s="6"/>
      <c r="Y1" s="6"/>
      <c r="Z1" s="6"/>
      <c r="AA1" s="6"/>
      <c r="AB1" s="6"/>
      <c r="AC1" s="6"/>
      <c r="AD1" s="6"/>
    </row>
    <row r="2">
      <c r="A2" s="7" t="s">
        <v>38</v>
      </c>
      <c r="I2" s="7"/>
      <c r="J2" s="4"/>
      <c r="K2" s="5"/>
      <c r="L2" s="4"/>
      <c r="M2" s="4"/>
      <c r="N2" s="4"/>
      <c r="O2" s="4"/>
      <c r="P2" s="4"/>
      <c r="Q2" s="6"/>
      <c r="R2" s="6"/>
      <c r="S2" s="6"/>
      <c r="T2" s="6"/>
      <c r="U2" s="6"/>
      <c r="V2" s="6"/>
      <c r="W2" s="6"/>
      <c r="X2" s="6"/>
      <c r="Y2" s="6"/>
      <c r="Z2" s="6"/>
      <c r="AA2" s="6"/>
      <c r="AB2" s="6"/>
      <c r="AC2" s="6"/>
      <c r="AD2" s="6"/>
    </row>
    <row r="3" ht="37.5" customHeight="1">
      <c r="A3" s="10" t="s">
        <v>29</v>
      </c>
      <c r="B3" s="10" t="s">
        <v>10</v>
      </c>
      <c r="C3" s="10" t="s">
        <v>11</v>
      </c>
      <c r="D3" s="10" t="s">
        <v>40</v>
      </c>
      <c r="E3" s="10" t="s">
        <v>41</v>
      </c>
      <c r="F3" s="10" t="s">
        <v>42</v>
      </c>
      <c r="G3" s="10" t="s">
        <v>460</v>
      </c>
      <c r="H3" s="11" t="s">
        <v>592</v>
      </c>
      <c r="I3" s="10" t="s">
        <v>593</v>
      </c>
      <c r="J3" s="10">
        <v>1790.0</v>
      </c>
      <c r="K3" s="33"/>
      <c r="L3" s="33">
        <f>J3+K3</f>
        <v>1790</v>
      </c>
      <c r="M3" s="34">
        <v>0.25</v>
      </c>
      <c r="N3" s="35">
        <f>L3*M3</f>
        <v>447.5</v>
      </c>
      <c r="O3" s="35">
        <f>L3+N3</f>
        <v>2237.5</v>
      </c>
      <c r="P3" s="13"/>
      <c r="Q3" s="13"/>
      <c r="R3" s="13"/>
      <c r="S3" s="13"/>
      <c r="T3" s="13"/>
      <c r="U3" s="13"/>
      <c r="V3" s="13"/>
      <c r="W3" s="13"/>
      <c r="X3" s="13"/>
      <c r="Y3" s="13"/>
      <c r="Z3" s="13"/>
      <c r="AA3" s="13"/>
      <c r="AB3" s="13"/>
      <c r="AC3" s="13"/>
      <c r="AD3" s="13"/>
    </row>
    <row r="4" ht="37.5" customHeight="1">
      <c r="A4" s="10"/>
      <c r="B4" s="10"/>
      <c r="H4" s="11"/>
      <c r="I4" s="10" t="s">
        <v>594</v>
      </c>
      <c r="J4" s="10"/>
      <c r="K4" s="33"/>
      <c r="L4" s="33"/>
      <c r="M4" s="34"/>
      <c r="N4" s="35"/>
      <c r="O4" s="35"/>
      <c r="P4" s="13"/>
      <c r="Q4" s="13"/>
      <c r="R4" s="13"/>
      <c r="S4" s="13"/>
      <c r="T4" s="13"/>
      <c r="U4" s="13"/>
      <c r="V4" s="13"/>
      <c r="W4" s="13"/>
      <c r="X4" s="13"/>
      <c r="Y4" s="13"/>
      <c r="Z4" s="13"/>
      <c r="AA4" s="13"/>
      <c r="AB4" s="13"/>
      <c r="AC4" s="13"/>
      <c r="AD4" s="13"/>
    </row>
    <row r="5" ht="37.5" customHeight="1">
      <c r="A5" s="10"/>
      <c r="B5" s="10"/>
      <c r="H5" s="11"/>
      <c r="I5" s="10" t="s">
        <v>595</v>
      </c>
      <c r="J5" s="10"/>
      <c r="K5" s="33"/>
      <c r="L5" s="33"/>
      <c r="M5" s="34"/>
      <c r="N5" s="35"/>
      <c r="O5" s="35"/>
      <c r="P5" s="13"/>
      <c r="Q5" s="13"/>
      <c r="R5" s="13"/>
      <c r="S5" s="13"/>
      <c r="T5" s="13"/>
      <c r="U5" s="13"/>
      <c r="V5" s="13"/>
      <c r="W5" s="13"/>
      <c r="X5" s="13"/>
      <c r="Y5" s="13"/>
      <c r="Z5" s="13"/>
      <c r="AA5" s="13"/>
      <c r="AB5" s="13"/>
      <c r="AC5" s="13"/>
      <c r="AD5" s="13"/>
    </row>
    <row r="6" ht="37.5" customHeight="1">
      <c r="A6" s="10"/>
      <c r="B6" s="10"/>
      <c r="H6" s="11"/>
      <c r="I6" s="10" t="s">
        <v>596</v>
      </c>
      <c r="J6" s="10"/>
      <c r="K6" s="33"/>
      <c r="L6" s="33"/>
      <c r="M6" s="34"/>
      <c r="N6" s="35"/>
      <c r="O6" s="35"/>
      <c r="P6" s="13"/>
      <c r="Q6" s="13"/>
      <c r="R6" s="13"/>
      <c r="S6" s="13"/>
      <c r="T6" s="13"/>
      <c r="U6" s="13"/>
      <c r="V6" s="13"/>
      <c r="W6" s="13"/>
      <c r="X6" s="13"/>
      <c r="Y6" s="13"/>
      <c r="Z6" s="13"/>
      <c r="AA6" s="13"/>
      <c r="AB6" s="13"/>
      <c r="AC6" s="13"/>
      <c r="AD6" s="13"/>
    </row>
    <row r="7">
      <c r="A7" s="10" t="s">
        <v>29</v>
      </c>
      <c r="B7" s="10" t="s">
        <v>10</v>
      </c>
      <c r="C7" s="10" t="s">
        <v>11</v>
      </c>
      <c r="D7" s="10" t="s">
        <v>40</v>
      </c>
      <c r="E7" s="10" t="s">
        <v>41</v>
      </c>
      <c r="F7" s="10" t="s">
        <v>42</v>
      </c>
      <c r="G7" s="11" t="s">
        <v>55</v>
      </c>
      <c r="H7" s="11" t="s">
        <v>597</v>
      </c>
      <c r="I7" s="11"/>
      <c r="J7" s="10">
        <v>2170.0</v>
      </c>
      <c r="K7" s="33"/>
      <c r="L7" s="33">
        <f t="shared" ref="L7:L17" si="1">J7+K7</f>
        <v>2170</v>
      </c>
      <c r="M7" s="34">
        <v>0.25</v>
      </c>
      <c r="N7" s="35">
        <f t="shared" ref="N7:N17" si="2">L7*M7</f>
        <v>542.5</v>
      </c>
      <c r="O7" s="35">
        <f t="shared" ref="O7:O17" si="3">L7+N7</f>
        <v>2712.5</v>
      </c>
      <c r="P7" s="13"/>
      <c r="Q7" s="13"/>
      <c r="R7" s="13"/>
      <c r="S7" s="13"/>
      <c r="T7" s="13"/>
      <c r="U7" s="13"/>
      <c r="V7" s="13"/>
      <c r="W7" s="13"/>
      <c r="X7" s="13"/>
      <c r="Y7" s="13"/>
      <c r="Z7" s="13"/>
      <c r="AA7" s="13"/>
      <c r="AB7" s="13"/>
      <c r="AC7" s="13"/>
      <c r="AD7" s="13"/>
    </row>
    <row r="8">
      <c r="A8" s="10" t="s">
        <v>29</v>
      </c>
      <c r="B8" s="10" t="s">
        <v>10</v>
      </c>
      <c r="C8" s="10" t="s">
        <v>11</v>
      </c>
      <c r="D8" s="10" t="s">
        <v>40</v>
      </c>
      <c r="E8" s="10" t="s">
        <v>41</v>
      </c>
      <c r="F8" s="10" t="s">
        <v>42</v>
      </c>
      <c r="G8" s="11" t="s">
        <v>61</v>
      </c>
      <c r="H8" s="11" t="s">
        <v>597</v>
      </c>
      <c r="I8" s="11"/>
      <c r="J8" s="10">
        <v>2290.0</v>
      </c>
      <c r="K8" s="33"/>
      <c r="L8" s="33">
        <f t="shared" si="1"/>
        <v>2290</v>
      </c>
      <c r="M8" s="34">
        <v>0.25</v>
      </c>
      <c r="N8" s="35">
        <f t="shared" si="2"/>
        <v>572.5</v>
      </c>
      <c r="O8" s="35">
        <f t="shared" si="3"/>
        <v>2862.5</v>
      </c>
      <c r="P8" s="13"/>
      <c r="Q8" s="13"/>
      <c r="R8" s="13"/>
      <c r="S8" s="13"/>
      <c r="T8" s="13"/>
      <c r="U8" s="13"/>
      <c r="V8" s="13"/>
      <c r="W8" s="13"/>
      <c r="X8" s="13"/>
      <c r="Y8" s="13"/>
      <c r="Z8" s="13"/>
      <c r="AA8" s="13"/>
      <c r="AB8" s="13"/>
      <c r="AC8" s="13"/>
      <c r="AD8" s="13"/>
    </row>
    <row r="9">
      <c r="A9" s="10" t="s">
        <v>29</v>
      </c>
      <c r="B9" s="10" t="s">
        <v>10</v>
      </c>
      <c r="C9" s="10" t="s">
        <v>11</v>
      </c>
      <c r="D9" s="10" t="s">
        <v>40</v>
      </c>
      <c r="E9" s="10" t="s">
        <v>41</v>
      </c>
      <c r="F9" s="10" t="s">
        <v>42</v>
      </c>
      <c r="G9" s="11" t="s">
        <v>66</v>
      </c>
      <c r="H9" s="11" t="s">
        <v>598</v>
      </c>
      <c r="I9" s="11"/>
      <c r="J9" s="10">
        <v>2325.0</v>
      </c>
      <c r="K9" s="33"/>
      <c r="L9" s="33">
        <f t="shared" si="1"/>
        <v>2325</v>
      </c>
      <c r="M9" s="34">
        <v>0.25</v>
      </c>
      <c r="N9" s="35">
        <f t="shared" si="2"/>
        <v>581.25</v>
      </c>
      <c r="O9" s="35">
        <f t="shared" si="3"/>
        <v>2906.25</v>
      </c>
      <c r="P9" s="13"/>
      <c r="Q9" s="13"/>
      <c r="R9" s="13"/>
      <c r="S9" s="13"/>
      <c r="T9" s="13"/>
      <c r="U9" s="13"/>
      <c r="V9" s="13"/>
      <c r="W9" s="13"/>
      <c r="X9" s="13"/>
      <c r="Y9" s="13"/>
      <c r="Z9" s="13"/>
      <c r="AA9" s="13"/>
      <c r="AB9" s="13"/>
      <c r="AC9" s="13"/>
      <c r="AD9" s="13"/>
    </row>
    <row r="10">
      <c r="A10" s="10" t="s">
        <v>29</v>
      </c>
      <c r="B10" s="10" t="s">
        <v>10</v>
      </c>
      <c r="C10" s="10" t="s">
        <v>11</v>
      </c>
      <c r="D10" s="10" t="s">
        <v>40</v>
      </c>
      <c r="E10" s="10" t="s">
        <v>41</v>
      </c>
      <c r="F10" s="10" t="s">
        <v>42</v>
      </c>
      <c r="G10" s="11" t="s">
        <v>72</v>
      </c>
      <c r="H10" s="11" t="s">
        <v>598</v>
      </c>
      <c r="I10" s="11"/>
      <c r="J10" s="10">
        <v>2425.0</v>
      </c>
      <c r="K10" s="33"/>
      <c r="L10" s="33">
        <f t="shared" si="1"/>
        <v>2425</v>
      </c>
      <c r="M10" s="34">
        <v>0.25</v>
      </c>
      <c r="N10" s="35">
        <f t="shared" si="2"/>
        <v>606.25</v>
      </c>
      <c r="O10" s="35">
        <f t="shared" si="3"/>
        <v>3031.25</v>
      </c>
      <c r="P10" s="13"/>
      <c r="Q10" s="13"/>
      <c r="R10" s="13"/>
      <c r="S10" s="13"/>
      <c r="T10" s="13"/>
      <c r="U10" s="13"/>
      <c r="V10" s="13"/>
      <c r="W10" s="13"/>
      <c r="X10" s="13"/>
      <c r="Y10" s="13"/>
      <c r="Z10" s="13"/>
      <c r="AA10" s="13"/>
      <c r="AB10" s="13"/>
      <c r="AC10" s="13"/>
      <c r="AD10" s="13"/>
    </row>
    <row r="11">
      <c r="A11" s="10" t="s">
        <v>29</v>
      </c>
      <c r="B11" s="10" t="s">
        <v>10</v>
      </c>
      <c r="C11" s="10" t="s">
        <v>11</v>
      </c>
      <c r="D11" s="10" t="s">
        <v>40</v>
      </c>
      <c r="E11" s="10" t="s">
        <v>41</v>
      </c>
      <c r="F11" s="10" t="s">
        <v>42</v>
      </c>
      <c r="G11" s="11" t="s">
        <v>468</v>
      </c>
      <c r="H11" s="11" t="s">
        <v>598</v>
      </c>
      <c r="I11" s="11"/>
      <c r="J11" s="10">
        <v>2425.0</v>
      </c>
      <c r="K11" s="33"/>
      <c r="L11" s="33">
        <f t="shared" si="1"/>
        <v>2425</v>
      </c>
      <c r="M11" s="34">
        <v>0.25</v>
      </c>
      <c r="N11" s="35">
        <f t="shared" si="2"/>
        <v>606.25</v>
      </c>
      <c r="O11" s="35">
        <f t="shared" si="3"/>
        <v>3031.25</v>
      </c>
      <c r="P11" s="13"/>
      <c r="Q11" s="13"/>
      <c r="R11" s="13"/>
      <c r="S11" s="13"/>
      <c r="T11" s="13"/>
      <c r="U11" s="13"/>
      <c r="V11" s="13"/>
      <c r="W11" s="13"/>
      <c r="X11" s="13"/>
      <c r="Y11" s="13"/>
      <c r="Z11" s="13"/>
      <c r="AA11" s="13"/>
      <c r="AB11" s="13"/>
      <c r="AC11" s="13"/>
      <c r="AD11" s="13"/>
    </row>
    <row r="12">
      <c r="A12" s="10" t="s">
        <v>29</v>
      </c>
      <c r="B12" s="10" t="s">
        <v>10</v>
      </c>
      <c r="C12" s="10" t="s">
        <v>11</v>
      </c>
      <c r="D12" s="10" t="s">
        <v>40</v>
      </c>
      <c r="E12" s="10" t="s">
        <v>41</v>
      </c>
      <c r="F12" s="10" t="s">
        <v>42</v>
      </c>
      <c r="G12" s="11" t="s">
        <v>469</v>
      </c>
      <c r="H12" s="11" t="s">
        <v>598</v>
      </c>
      <c r="I12" s="11"/>
      <c r="J12" s="10">
        <v>2525.0</v>
      </c>
      <c r="K12" s="33"/>
      <c r="L12" s="33">
        <f t="shared" si="1"/>
        <v>2525</v>
      </c>
      <c r="M12" s="34">
        <v>0.25</v>
      </c>
      <c r="N12" s="35">
        <f t="shared" si="2"/>
        <v>631.25</v>
      </c>
      <c r="O12" s="35">
        <f t="shared" si="3"/>
        <v>3156.25</v>
      </c>
      <c r="P12" s="13"/>
      <c r="Q12" s="13"/>
      <c r="R12" s="13"/>
      <c r="S12" s="13"/>
      <c r="T12" s="13"/>
      <c r="U12" s="13"/>
      <c r="V12" s="13"/>
      <c r="W12" s="13"/>
      <c r="X12" s="13"/>
      <c r="Y12" s="13"/>
      <c r="Z12" s="13"/>
      <c r="AA12" s="13"/>
      <c r="AB12" s="13"/>
      <c r="AC12" s="13"/>
      <c r="AD12" s="13"/>
    </row>
    <row r="13">
      <c r="A13" s="10" t="s">
        <v>29</v>
      </c>
      <c r="B13" s="10" t="s">
        <v>10</v>
      </c>
      <c r="C13" s="10" t="s">
        <v>11</v>
      </c>
      <c r="D13" s="10" t="s">
        <v>40</v>
      </c>
      <c r="E13" s="10" t="s">
        <v>41</v>
      </c>
      <c r="F13" s="10" t="s">
        <v>42</v>
      </c>
      <c r="G13" s="11" t="s">
        <v>75</v>
      </c>
      <c r="H13" s="11" t="s">
        <v>597</v>
      </c>
      <c r="I13" s="11"/>
      <c r="J13" s="10">
        <v>2420.0</v>
      </c>
      <c r="K13" s="33"/>
      <c r="L13" s="33">
        <f t="shared" si="1"/>
        <v>2420</v>
      </c>
      <c r="M13" s="34">
        <v>0.25</v>
      </c>
      <c r="N13" s="35">
        <f t="shared" si="2"/>
        <v>605</v>
      </c>
      <c r="O13" s="35">
        <f t="shared" si="3"/>
        <v>3025</v>
      </c>
      <c r="P13" s="13"/>
      <c r="Q13" s="13"/>
      <c r="R13" s="13"/>
      <c r="S13" s="13"/>
      <c r="T13" s="13"/>
      <c r="U13" s="13"/>
      <c r="V13" s="13"/>
      <c r="W13" s="13"/>
      <c r="X13" s="13"/>
      <c r="Y13" s="13"/>
      <c r="Z13" s="13"/>
      <c r="AA13" s="13"/>
      <c r="AB13" s="13"/>
      <c r="AC13" s="13"/>
      <c r="AD13" s="13"/>
    </row>
    <row r="14">
      <c r="A14" s="10" t="s">
        <v>29</v>
      </c>
      <c r="B14" s="10" t="s">
        <v>10</v>
      </c>
      <c r="C14" s="10" t="s">
        <v>11</v>
      </c>
      <c r="D14" s="10" t="s">
        <v>40</v>
      </c>
      <c r="E14" s="10" t="s">
        <v>41</v>
      </c>
      <c r="F14" s="10" t="s">
        <v>42</v>
      </c>
      <c r="G14" s="11" t="s">
        <v>76</v>
      </c>
      <c r="H14" s="11" t="s">
        <v>597</v>
      </c>
      <c r="I14" s="11"/>
      <c r="J14" s="10">
        <v>2540.0</v>
      </c>
      <c r="K14" s="33"/>
      <c r="L14" s="33">
        <f t="shared" si="1"/>
        <v>2540</v>
      </c>
      <c r="M14" s="34">
        <v>0.25</v>
      </c>
      <c r="N14" s="35">
        <f t="shared" si="2"/>
        <v>635</v>
      </c>
      <c r="O14" s="35">
        <f t="shared" si="3"/>
        <v>3175</v>
      </c>
      <c r="P14" s="13"/>
      <c r="Q14" s="13"/>
      <c r="R14" s="13"/>
      <c r="S14" s="13"/>
      <c r="T14" s="13"/>
      <c r="U14" s="13"/>
      <c r="V14" s="13"/>
      <c r="W14" s="13"/>
      <c r="X14" s="13"/>
      <c r="Y14" s="13"/>
      <c r="Z14" s="13"/>
      <c r="AA14" s="13"/>
      <c r="AB14" s="13"/>
      <c r="AC14" s="13"/>
      <c r="AD14" s="13"/>
    </row>
    <row r="15" ht="40.5" customHeight="1">
      <c r="A15" s="10" t="s">
        <v>29</v>
      </c>
      <c r="B15" s="10" t="s">
        <v>10</v>
      </c>
      <c r="C15" s="10" t="s">
        <v>11</v>
      </c>
      <c r="D15" s="10" t="s">
        <v>40</v>
      </c>
      <c r="E15" s="10" t="s">
        <v>41</v>
      </c>
      <c r="F15" s="10" t="s">
        <v>42</v>
      </c>
      <c r="G15" s="11" t="s">
        <v>77</v>
      </c>
      <c r="H15" s="11" t="s">
        <v>598</v>
      </c>
      <c r="I15" s="11"/>
      <c r="J15" s="10">
        <v>2575.0</v>
      </c>
      <c r="K15" s="33"/>
      <c r="L15" s="33">
        <f t="shared" si="1"/>
        <v>2575</v>
      </c>
      <c r="M15" s="34">
        <v>0.25</v>
      </c>
      <c r="N15" s="35">
        <f t="shared" si="2"/>
        <v>643.75</v>
      </c>
      <c r="O15" s="35">
        <f t="shared" si="3"/>
        <v>3218.75</v>
      </c>
      <c r="P15" s="13"/>
      <c r="Q15" s="13"/>
      <c r="R15" s="13"/>
      <c r="S15" s="13"/>
      <c r="T15" s="13"/>
      <c r="U15" s="13"/>
      <c r="V15" s="13"/>
      <c r="W15" s="13"/>
      <c r="X15" s="13"/>
      <c r="Y15" s="13"/>
      <c r="Z15" s="13"/>
      <c r="AA15" s="13"/>
      <c r="AB15" s="13"/>
      <c r="AC15" s="13"/>
      <c r="AD15" s="13"/>
    </row>
    <row r="16">
      <c r="A16" s="10" t="s">
        <v>29</v>
      </c>
      <c r="B16" s="10" t="s">
        <v>10</v>
      </c>
      <c r="C16" s="10" t="s">
        <v>11</v>
      </c>
      <c r="D16" s="10" t="s">
        <v>40</v>
      </c>
      <c r="E16" s="10" t="s">
        <v>41</v>
      </c>
      <c r="F16" s="10" t="s">
        <v>42</v>
      </c>
      <c r="G16" s="11" t="s">
        <v>78</v>
      </c>
      <c r="H16" s="11" t="s">
        <v>598</v>
      </c>
      <c r="I16" s="11"/>
      <c r="J16" s="10">
        <v>2675.0</v>
      </c>
      <c r="K16" s="33"/>
      <c r="L16" s="33">
        <f t="shared" si="1"/>
        <v>2675</v>
      </c>
      <c r="M16" s="34">
        <v>0.25</v>
      </c>
      <c r="N16" s="35">
        <f t="shared" si="2"/>
        <v>668.75</v>
      </c>
      <c r="O16" s="35">
        <f t="shared" si="3"/>
        <v>3343.75</v>
      </c>
      <c r="P16" s="13"/>
      <c r="Q16" s="13"/>
      <c r="R16" s="13"/>
      <c r="S16" s="13"/>
      <c r="T16" s="13"/>
      <c r="U16" s="13"/>
      <c r="V16" s="13"/>
      <c r="W16" s="13"/>
      <c r="X16" s="13"/>
      <c r="Y16" s="13"/>
      <c r="Z16" s="13"/>
      <c r="AA16" s="13"/>
      <c r="AB16" s="13"/>
      <c r="AC16" s="13"/>
      <c r="AD16" s="13"/>
    </row>
    <row r="17">
      <c r="A17" s="10" t="s">
        <v>29</v>
      </c>
      <c r="B17" s="10" t="s">
        <v>10</v>
      </c>
      <c r="C17" s="10" t="s">
        <v>11</v>
      </c>
      <c r="D17" s="10" t="s">
        <v>40</v>
      </c>
      <c r="E17" s="10" t="s">
        <v>41</v>
      </c>
      <c r="F17" s="10" t="s">
        <v>42</v>
      </c>
      <c r="G17" s="11" t="s">
        <v>470</v>
      </c>
      <c r="H17" s="11" t="s">
        <v>598</v>
      </c>
      <c r="I17" s="10" t="s">
        <v>599</v>
      </c>
      <c r="J17" s="10">
        <v>2675.0</v>
      </c>
      <c r="K17" s="33"/>
      <c r="L17" s="33">
        <f t="shared" si="1"/>
        <v>2675</v>
      </c>
      <c r="M17" s="34">
        <v>0.25</v>
      </c>
      <c r="N17" s="35">
        <f t="shared" si="2"/>
        <v>668.75</v>
      </c>
      <c r="O17" s="35">
        <f t="shared" si="3"/>
        <v>3343.75</v>
      </c>
      <c r="P17" s="13"/>
      <c r="Q17" s="13"/>
      <c r="R17" s="13"/>
      <c r="S17" s="13"/>
      <c r="T17" s="13"/>
      <c r="U17" s="13"/>
      <c r="V17" s="13"/>
      <c r="W17" s="13"/>
      <c r="X17" s="13"/>
      <c r="Y17" s="13"/>
      <c r="Z17" s="13"/>
      <c r="AA17" s="13"/>
      <c r="AB17" s="13"/>
      <c r="AC17" s="13"/>
      <c r="AD17" s="13"/>
    </row>
    <row r="18">
      <c r="A18" s="10"/>
      <c r="B18" s="10"/>
      <c r="H18" s="11"/>
      <c r="I18" s="10" t="s">
        <v>600</v>
      </c>
      <c r="J18" s="10"/>
      <c r="K18" s="33"/>
      <c r="L18" s="33"/>
      <c r="M18" s="34"/>
      <c r="N18" s="35"/>
      <c r="O18" s="35"/>
      <c r="P18" s="13"/>
      <c r="Q18" s="13"/>
      <c r="R18" s="13"/>
      <c r="S18" s="13"/>
      <c r="T18" s="13"/>
      <c r="U18" s="13"/>
      <c r="V18" s="13"/>
      <c r="W18" s="13"/>
      <c r="X18" s="13"/>
      <c r="Y18" s="13"/>
      <c r="Z18" s="13"/>
      <c r="AA18" s="13"/>
      <c r="AB18" s="13"/>
      <c r="AC18" s="13"/>
      <c r="AD18" s="13"/>
    </row>
    <row r="19">
      <c r="A19" s="10"/>
      <c r="B19" s="10"/>
      <c r="H19" s="11"/>
      <c r="I19" s="10" t="s">
        <v>601</v>
      </c>
      <c r="J19" s="10"/>
      <c r="K19" s="33"/>
      <c r="L19" s="33"/>
      <c r="M19" s="34"/>
      <c r="N19" s="35"/>
      <c r="O19" s="35"/>
      <c r="P19" s="13"/>
      <c r="Q19" s="13"/>
      <c r="R19" s="13"/>
      <c r="S19" s="13"/>
      <c r="T19" s="13"/>
      <c r="U19" s="13"/>
      <c r="V19" s="13"/>
      <c r="W19" s="13"/>
      <c r="X19" s="13"/>
      <c r="Y19" s="13"/>
      <c r="Z19" s="13"/>
      <c r="AA19" s="13"/>
      <c r="AB19" s="13"/>
      <c r="AC19" s="13"/>
      <c r="AD19" s="13"/>
    </row>
    <row r="20">
      <c r="A20" s="10"/>
      <c r="B20" s="10"/>
      <c r="H20" s="11"/>
      <c r="I20" s="10" t="s">
        <v>602</v>
      </c>
      <c r="J20" s="10"/>
      <c r="K20" s="33"/>
      <c r="L20" s="33"/>
      <c r="M20" s="34"/>
      <c r="N20" s="35"/>
      <c r="O20" s="35"/>
      <c r="P20" s="13"/>
      <c r="Q20" s="13"/>
      <c r="R20" s="13"/>
      <c r="S20" s="13"/>
      <c r="T20" s="13"/>
      <c r="U20" s="13"/>
      <c r="V20" s="13"/>
      <c r="W20" s="13"/>
      <c r="X20" s="13"/>
      <c r="Y20" s="13"/>
      <c r="Z20" s="13"/>
      <c r="AA20" s="13"/>
      <c r="AB20" s="13"/>
      <c r="AC20" s="13"/>
      <c r="AD20" s="13"/>
    </row>
    <row r="21">
      <c r="A21" s="10" t="s">
        <v>29</v>
      </c>
      <c r="B21" s="10" t="s">
        <v>10</v>
      </c>
      <c r="C21" s="10" t="s">
        <v>11</v>
      </c>
      <c r="D21" s="10" t="s">
        <v>40</v>
      </c>
      <c r="E21" s="10" t="s">
        <v>41</v>
      </c>
      <c r="F21" s="10" t="s">
        <v>42</v>
      </c>
      <c r="G21" s="11" t="s">
        <v>471</v>
      </c>
      <c r="H21" s="11" t="s">
        <v>598</v>
      </c>
      <c r="I21" s="11"/>
      <c r="J21" s="10">
        <v>2775.0</v>
      </c>
      <c r="K21" s="33"/>
      <c r="L21" s="33">
        <f t="shared" ref="L21:L32" si="4">J21+K21</f>
        <v>2775</v>
      </c>
      <c r="M21" s="34">
        <v>0.25</v>
      </c>
      <c r="N21" s="35">
        <f t="shared" ref="N21:N32" si="5">L21*M21</f>
        <v>693.75</v>
      </c>
      <c r="O21" s="35">
        <f t="shared" ref="O21:O32" si="6">L21+N21</f>
        <v>3468.75</v>
      </c>
      <c r="P21" s="13"/>
      <c r="Q21" s="13"/>
      <c r="R21" s="13"/>
      <c r="S21" s="13"/>
      <c r="T21" s="13"/>
      <c r="U21" s="13"/>
      <c r="V21" s="13"/>
      <c r="W21" s="13"/>
      <c r="X21" s="13"/>
      <c r="Y21" s="13"/>
      <c r="Z21" s="13"/>
      <c r="AA21" s="13"/>
      <c r="AB21" s="13"/>
      <c r="AC21" s="13"/>
      <c r="AD21" s="13"/>
    </row>
    <row r="22">
      <c r="A22" s="10" t="s">
        <v>29</v>
      </c>
      <c r="B22" s="10" t="s">
        <v>10</v>
      </c>
      <c r="C22" s="10" t="s">
        <v>11</v>
      </c>
      <c r="D22" s="10" t="s">
        <v>81</v>
      </c>
      <c r="E22" s="10" t="s">
        <v>41</v>
      </c>
      <c r="F22" s="10" t="s">
        <v>42</v>
      </c>
      <c r="G22" s="11" t="s">
        <v>472</v>
      </c>
      <c r="H22" s="11" t="s">
        <v>592</v>
      </c>
      <c r="I22" s="11"/>
      <c r="J22" s="10">
        <v>2140.0</v>
      </c>
      <c r="K22" s="33"/>
      <c r="L22" s="33">
        <f t="shared" si="4"/>
        <v>2140</v>
      </c>
      <c r="M22" s="34">
        <v>0.25</v>
      </c>
      <c r="N22" s="35">
        <f t="shared" si="5"/>
        <v>535</v>
      </c>
      <c r="O22" s="35">
        <f t="shared" si="6"/>
        <v>2675</v>
      </c>
      <c r="P22" s="13"/>
      <c r="Q22" s="13"/>
      <c r="R22" s="13"/>
      <c r="S22" s="13"/>
      <c r="T22" s="13"/>
      <c r="U22" s="13"/>
      <c r="V22" s="13"/>
      <c r="W22" s="13"/>
      <c r="X22" s="13"/>
      <c r="Y22" s="13"/>
      <c r="Z22" s="13"/>
      <c r="AA22" s="13"/>
      <c r="AB22" s="13"/>
      <c r="AC22" s="13"/>
      <c r="AD22" s="13"/>
    </row>
    <row r="23">
      <c r="A23" s="10" t="s">
        <v>29</v>
      </c>
      <c r="B23" s="10" t="s">
        <v>10</v>
      </c>
      <c r="C23" s="10" t="s">
        <v>11</v>
      </c>
      <c r="D23" s="10" t="s">
        <v>82</v>
      </c>
      <c r="E23" s="10" t="s">
        <v>41</v>
      </c>
      <c r="F23" s="10" t="s">
        <v>83</v>
      </c>
      <c r="G23" s="11" t="s">
        <v>474</v>
      </c>
      <c r="H23" s="11" t="s">
        <v>603</v>
      </c>
      <c r="I23" s="11"/>
      <c r="J23" s="10">
        <v>2140.0</v>
      </c>
      <c r="K23" s="33"/>
      <c r="L23" s="33">
        <f t="shared" si="4"/>
        <v>2140</v>
      </c>
      <c r="M23" s="34">
        <v>0.25</v>
      </c>
      <c r="N23" s="35">
        <f t="shared" si="5"/>
        <v>535</v>
      </c>
      <c r="O23" s="35">
        <f t="shared" si="6"/>
        <v>2675</v>
      </c>
      <c r="P23" s="13"/>
      <c r="Q23" s="13"/>
      <c r="R23" s="13"/>
      <c r="S23" s="13"/>
      <c r="T23" s="13"/>
      <c r="U23" s="13"/>
      <c r="V23" s="13"/>
      <c r="W23" s="13"/>
      <c r="X23" s="13"/>
      <c r="Y23" s="13"/>
      <c r="Z23" s="13"/>
      <c r="AA23" s="13"/>
      <c r="AB23" s="13"/>
      <c r="AC23" s="13"/>
      <c r="AD23" s="13"/>
    </row>
    <row r="24">
      <c r="A24" s="10" t="s">
        <v>29</v>
      </c>
      <c r="B24" s="10" t="s">
        <v>10</v>
      </c>
      <c r="C24" s="10" t="s">
        <v>11</v>
      </c>
      <c r="D24" s="10" t="s">
        <v>170</v>
      </c>
      <c r="E24" s="10" t="s">
        <v>87</v>
      </c>
      <c r="F24" s="10" t="s">
        <v>83</v>
      </c>
      <c r="G24" s="11" t="s">
        <v>88</v>
      </c>
      <c r="H24" s="11" t="s">
        <v>604</v>
      </c>
      <c r="I24" s="11"/>
      <c r="J24" s="10">
        <v>1540.0</v>
      </c>
      <c r="K24" s="33"/>
      <c r="L24" s="33">
        <f t="shared" si="4"/>
        <v>1540</v>
      </c>
      <c r="M24" s="34">
        <v>0.25</v>
      </c>
      <c r="N24" s="35">
        <f t="shared" si="5"/>
        <v>385</v>
      </c>
      <c r="O24" s="35">
        <f t="shared" si="6"/>
        <v>1925</v>
      </c>
      <c r="P24" s="13"/>
      <c r="Q24" s="13"/>
      <c r="R24" s="13"/>
      <c r="S24" s="13"/>
      <c r="T24" s="13"/>
      <c r="U24" s="13"/>
      <c r="V24" s="13"/>
      <c r="W24" s="13"/>
      <c r="X24" s="13"/>
      <c r="Y24" s="13"/>
      <c r="Z24" s="13"/>
      <c r="AA24" s="13"/>
      <c r="AB24" s="13"/>
      <c r="AC24" s="13"/>
      <c r="AD24" s="13"/>
    </row>
    <row r="25">
      <c r="A25" s="10" t="s">
        <v>29</v>
      </c>
      <c r="B25" s="10" t="s">
        <v>10</v>
      </c>
      <c r="C25" s="10" t="s">
        <v>11</v>
      </c>
      <c r="D25" s="10" t="s">
        <v>91</v>
      </c>
      <c r="E25" s="10" t="s">
        <v>87</v>
      </c>
      <c r="F25" s="10" t="s">
        <v>83</v>
      </c>
      <c r="G25" s="10" t="s">
        <v>88</v>
      </c>
      <c r="H25" s="11" t="s">
        <v>604</v>
      </c>
      <c r="I25" s="10" t="s">
        <v>605</v>
      </c>
      <c r="J25" s="10">
        <v>1790.0</v>
      </c>
      <c r="K25" s="33"/>
      <c r="L25" s="33">
        <f t="shared" si="4"/>
        <v>1790</v>
      </c>
      <c r="M25" s="34">
        <v>0.25</v>
      </c>
      <c r="N25" s="35">
        <f t="shared" si="5"/>
        <v>447.5</v>
      </c>
      <c r="O25" s="35">
        <f t="shared" si="6"/>
        <v>2237.5</v>
      </c>
      <c r="P25" s="13"/>
      <c r="Q25" s="13"/>
      <c r="R25" s="13"/>
      <c r="S25" s="13"/>
      <c r="T25" s="13"/>
      <c r="U25" s="13"/>
      <c r="V25" s="13"/>
      <c r="W25" s="13"/>
      <c r="X25" s="13"/>
      <c r="Y25" s="13"/>
      <c r="Z25" s="13"/>
      <c r="AA25" s="13"/>
      <c r="AB25" s="13"/>
      <c r="AC25" s="13"/>
      <c r="AD25" s="13"/>
    </row>
    <row r="26">
      <c r="A26" s="10" t="s">
        <v>29</v>
      </c>
      <c r="B26" s="10" t="s">
        <v>10</v>
      </c>
      <c r="C26" s="10" t="s">
        <v>11</v>
      </c>
      <c r="D26" s="10" t="s">
        <v>93</v>
      </c>
      <c r="E26" s="10" t="s">
        <v>94</v>
      </c>
      <c r="F26" s="10" t="s">
        <v>42</v>
      </c>
      <c r="G26" s="10" t="s">
        <v>478</v>
      </c>
      <c r="H26" s="10" t="s">
        <v>606</v>
      </c>
      <c r="I26" s="10" t="s">
        <v>607</v>
      </c>
      <c r="J26" s="10">
        <v>1033.0</v>
      </c>
      <c r="K26" s="33"/>
      <c r="L26" s="33">
        <f t="shared" si="4"/>
        <v>1033</v>
      </c>
      <c r="M26" s="34">
        <v>0.25</v>
      </c>
      <c r="N26" s="35">
        <f t="shared" si="5"/>
        <v>258.25</v>
      </c>
      <c r="O26" s="35">
        <f t="shared" si="6"/>
        <v>1291.25</v>
      </c>
      <c r="P26" s="13"/>
      <c r="Q26" s="13"/>
      <c r="R26" s="13"/>
      <c r="S26" s="13"/>
      <c r="T26" s="13"/>
      <c r="U26" s="13"/>
      <c r="V26" s="13"/>
      <c r="W26" s="13"/>
      <c r="X26" s="13"/>
      <c r="Y26" s="13"/>
      <c r="Z26" s="13"/>
      <c r="AA26" s="13"/>
      <c r="AB26" s="13"/>
      <c r="AC26" s="13"/>
      <c r="AD26" s="13"/>
    </row>
    <row r="27">
      <c r="A27" s="10" t="s">
        <v>29</v>
      </c>
      <c r="B27" s="10" t="s">
        <v>10</v>
      </c>
      <c r="C27" s="10" t="s">
        <v>11</v>
      </c>
      <c r="D27" s="10" t="s">
        <v>97</v>
      </c>
      <c r="E27" s="10" t="s">
        <v>98</v>
      </c>
      <c r="F27" s="10" t="s">
        <v>99</v>
      </c>
      <c r="G27" s="10" t="s">
        <v>100</v>
      </c>
      <c r="H27" s="10" t="s">
        <v>608</v>
      </c>
      <c r="I27" s="10" t="s">
        <v>609</v>
      </c>
      <c r="J27" s="10">
        <v>950.0</v>
      </c>
      <c r="K27" s="33"/>
      <c r="L27" s="33">
        <f t="shared" si="4"/>
        <v>950</v>
      </c>
      <c r="M27" s="34">
        <v>0.25</v>
      </c>
      <c r="N27" s="35">
        <f t="shared" si="5"/>
        <v>237.5</v>
      </c>
      <c r="O27" s="35">
        <f t="shared" si="6"/>
        <v>1187.5</v>
      </c>
      <c r="P27" s="13"/>
      <c r="Q27" s="13"/>
      <c r="R27" s="13"/>
      <c r="S27" s="13"/>
      <c r="T27" s="13"/>
      <c r="U27" s="13"/>
      <c r="V27" s="13"/>
      <c r="W27" s="13"/>
      <c r="X27" s="13"/>
      <c r="Y27" s="13"/>
      <c r="Z27" s="13"/>
      <c r="AA27" s="13"/>
      <c r="AB27" s="13"/>
      <c r="AC27" s="13"/>
      <c r="AD27" s="13"/>
    </row>
    <row r="28">
      <c r="A28" s="10" t="s">
        <v>29</v>
      </c>
      <c r="B28" s="10" t="s">
        <v>10</v>
      </c>
      <c r="C28" s="10" t="s">
        <v>11</v>
      </c>
      <c r="D28" s="10" t="s">
        <v>97</v>
      </c>
      <c r="E28" s="10" t="s">
        <v>102</v>
      </c>
      <c r="F28" s="10" t="s">
        <v>99</v>
      </c>
      <c r="G28" s="10" t="s">
        <v>100</v>
      </c>
      <c r="H28" s="10" t="s">
        <v>608</v>
      </c>
      <c r="I28" s="10" t="s">
        <v>610</v>
      </c>
      <c r="J28" s="10">
        <v>950.0</v>
      </c>
      <c r="K28" s="33"/>
      <c r="L28" s="33">
        <f t="shared" si="4"/>
        <v>950</v>
      </c>
      <c r="M28" s="34">
        <v>0.25</v>
      </c>
      <c r="N28" s="35">
        <f t="shared" si="5"/>
        <v>237.5</v>
      </c>
      <c r="O28" s="35">
        <f t="shared" si="6"/>
        <v>1187.5</v>
      </c>
      <c r="P28" s="13"/>
      <c r="Q28" s="13"/>
      <c r="R28" s="13"/>
      <c r="S28" s="13"/>
      <c r="T28" s="13"/>
      <c r="U28" s="13"/>
      <c r="V28" s="13"/>
      <c r="W28" s="13"/>
      <c r="X28" s="13"/>
      <c r="Y28" s="13"/>
      <c r="Z28" s="13"/>
      <c r="AA28" s="13"/>
      <c r="AB28" s="13"/>
      <c r="AC28" s="13"/>
      <c r="AD28" s="13"/>
    </row>
    <row r="29">
      <c r="A29" s="10" t="s">
        <v>29</v>
      </c>
      <c r="B29" s="10" t="s">
        <v>10</v>
      </c>
      <c r="C29" s="10" t="s">
        <v>11</v>
      </c>
      <c r="D29" s="10" t="s">
        <v>97</v>
      </c>
      <c r="E29" s="10" t="s">
        <v>103</v>
      </c>
      <c r="F29" s="10" t="s">
        <v>99</v>
      </c>
      <c r="G29" s="10" t="s">
        <v>100</v>
      </c>
      <c r="H29" s="10" t="s">
        <v>608</v>
      </c>
      <c r="I29" s="10" t="s">
        <v>611</v>
      </c>
      <c r="J29" s="10">
        <v>1100.0</v>
      </c>
      <c r="K29" s="33"/>
      <c r="L29" s="33">
        <f t="shared" si="4"/>
        <v>1100</v>
      </c>
      <c r="M29" s="34">
        <v>0.25</v>
      </c>
      <c r="N29" s="35">
        <f t="shared" si="5"/>
        <v>275</v>
      </c>
      <c r="O29" s="35">
        <f t="shared" si="6"/>
        <v>1375</v>
      </c>
      <c r="P29" s="13"/>
      <c r="Q29" s="13"/>
      <c r="R29" s="13"/>
      <c r="S29" s="13"/>
      <c r="T29" s="13"/>
      <c r="U29" s="13"/>
      <c r="V29" s="13"/>
      <c r="W29" s="13"/>
      <c r="X29" s="13"/>
      <c r="Y29" s="13"/>
      <c r="Z29" s="13"/>
      <c r="AA29" s="13"/>
      <c r="AB29" s="13"/>
      <c r="AC29" s="13"/>
      <c r="AD29" s="13"/>
    </row>
    <row r="30">
      <c r="A30" s="10" t="s">
        <v>29</v>
      </c>
      <c r="B30" s="10" t="s">
        <v>10</v>
      </c>
      <c r="C30" s="10" t="s">
        <v>11</v>
      </c>
      <c r="D30" s="10" t="s">
        <v>104</v>
      </c>
      <c r="E30" s="10" t="s">
        <v>105</v>
      </c>
      <c r="F30" s="10" t="s">
        <v>99</v>
      </c>
      <c r="G30" s="10" t="s">
        <v>100</v>
      </c>
      <c r="H30" s="10" t="s">
        <v>612</v>
      </c>
      <c r="I30" s="10" t="s">
        <v>613</v>
      </c>
      <c r="J30" s="10">
        <v>1750.0</v>
      </c>
      <c r="K30" s="33"/>
      <c r="L30" s="33">
        <f t="shared" si="4"/>
        <v>1750</v>
      </c>
      <c r="M30" s="34">
        <v>0.25</v>
      </c>
      <c r="N30" s="35">
        <f t="shared" si="5"/>
        <v>437.5</v>
      </c>
      <c r="O30" s="35">
        <f t="shared" si="6"/>
        <v>2187.5</v>
      </c>
      <c r="P30" s="13"/>
      <c r="Q30" s="13"/>
      <c r="R30" s="13"/>
      <c r="S30" s="13"/>
      <c r="T30" s="13"/>
      <c r="U30" s="13"/>
      <c r="V30" s="13"/>
      <c r="W30" s="13"/>
      <c r="X30" s="13"/>
      <c r="Y30" s="13"/>
      <c r="Z30" s="13"/>
      <c r="AA30" s="13"/>
      <c r="AB30" s="13"/>
      <c r="AC30" s="13"/>
      <c r="AD30" s="13"/>
    </row>
    <row r="31">
      <c r="A31" s="10" t="s">
        <v>29</v>
      </c>
      <c r="B31" s="10" t="s">
        <v>10</v>
      </c>
      <c r="C31" s="10" t="s">
        <v>11</v>
      </c>
      <c r="D31" s="10" t="s">
        <v>107</v>
      </c>
      <c r="E31" s="10" t="s">
        <v>108</v>
      </c>
      <c r="F31" s="10" t="s">
        <v>99</v>
      </c>
      <c r="G31" s="10" t="s">
        <v>100</v>
      </c>
      <c r="H31" s="10" t="s">
        <v>614</v>
      </c>
      <c r="I31" s="10"/>
      <c r="J31" s="10">
        <v>1083.0</v>
      </c>
      <c r="K31" s="33"/>
      <c r="L31" s="33">
        <f t="shared" si="4"/>
        <v>1083</v>
      </c>
      <c r="M31" s="34">
        <v>0.25</v>
      </c>
      <c r="N31" s="35">
        <f t="shared" si="5"/>
        <v>270.75</v>
      </c>
      <c r="O31" s="35">
        <f t="shared" si="6"/>
        <v>1353.75</v>
      </c>
      <c r="P31" s="13"/>
      <c r="Q31" s="13"/>
      <c r="R31" s="13"/>
      <c r="S31" s="13"/>
      <c r="T31" s="13"/>
      <c r="U31" s="13"/>
      <c r="V31" s="13"/>
      <c r="W31" s="13"/>
      <c r="X31" s="13"/>
      <c r="Y31" s="13"/>
      <c r="Z31" s="13"/>
      <c r="AA31" s="13"/>
      <c r="AB31" s="13"/>
      <c r="AC31" s="13"/>
      <c r="AD31" s="13"/>
    </row>
    <row r="32">
      <c r="A32" s="10" t="s">
        <v>29</v>
      </c>
      <c r="B32" s="10" t="s">
        <v>10</v>
      </c>
      <c r="C32" s="10" t="s">
        <v>11</v>
      </c>
      <c r="D32" s="10" t="s">
        <v>107</v>
      </c>
      <c r="E32" s="10" t="s">
        <v>204</v>
      </c>
      <c r="F32" s="10" t="s">
        <v>99</v>
      </c>
      <c r="G32" s="10" t="s">
        <v>100</v>
      </c>
      <c r="H32" s="10" t="s">
        <v>614</v>
      </c>
      <c r="I32" s="10" t="s">
        <v>615</v>
      </c>
      <c r="J32" s="10">
        <v>1125.0</v>
      </c>
      <c r="K32" s="33"/>
      <c r="L32" s="33">
        <f t="shared" si="4"/>
        <v>1125</v>
      </c>
      <c r="M32" s="34">
        <v>0.25</v>
      </c>
      <c r="N32" s="35">
        <f t="shared" si="5"/>
        <v>281.25</v>
      </c>
      <c r="O32" s="35">
        <f t="shared" si="6"/>
        <v>1406.25</v>
      </c>
      <c r="P32" s="13"/>
      <c r="Q32" s="13"/>
      <c r="R32" s="13"/>
      <c r="S32" s="13"/>
      <c r="T32" s="13"/>
      <c r="U32" s="13"/>
      <c r="V32" s="13"/>
      <c r="W32" s="13"/>
      <c r="X32" s="13"/>
      <c r="Y32" s="13"/>
      <c r="Z32" s="13"/>
      <c r="AA32" s="13"/>
      <c r="AB32" s="13"/>
      <c r="AC32" s="13"/>
      <c r="AD32" s="13"/>
    </row>
    <row r="33">
      <c r="A33" s="10"/>
      <c r="B33" s="10"/>
      <c r="H33" s="10"/>
      <c r="I33" s="10" t="s">
        <v>616</v>
      </c>
      <c r="J33" s="10"/>
      <c r="K33" s="33"/>
      <c r="L33" s="33"/>
      <c r="M33" s="34"/>
      <c r="N33" s="35"/>
      <c r="O33" s="35"/>
      <c r="P33" s="13"/>
      <c r="Q33" s="13"/>
      <c r="R33" s="13"/>
      <c r="S33" s="13"/>
      <c r="T33" s="13"/>
      <c r="U33" s="13"/>
      <c r="V33" s="13"/>
      <c r="W33" s="13"/>
      <c r="X33" s="13"/>
      <c r="Y33" s="13"/>
      <c r="Z33" s="13"/>
      <c r="AA33" s="13"/>
      <c r="AB33" s="13"/>
      <c r="AC33" s="13"/>
      <c r="AD33" s="13"/>
    </row>
    <row r="34">
      <c r="A34" s="10"/>
      <c r="B34" s="10"/>
      <c r="H34" s="10"/>
      <c r="I34" s="10" t="s">
        <v>617</v>
      </c>
      <c r="J34" s="10"/>
      <c r="K34" s="33"/>
      <c r="L34" s="33"/>
      <c r="M34" s="34"/>
      <c r="N34" s="35"/>
      <c r="O34" s="35"/>
      <c r="P34" s="13"/>
      <c r="Q34" s="13"/>
      <c r="R34" s="13"/>
      <c r="S34" s="13"/>
      <c r="T34" s="13"/>
      <c r="U34" s="13"/>
      <c r="V34" s="13"/>
      <c r="W34" s="13"/>
      <c r="X34" s="13"/>
      <c r="Y34" s="13"/>
      <c r="Z34" s="13"/>
      <c r="AA34" s="13"/>
      <c r="AB34" s="13"/>
      <c r="AC34" s="13"/>
      <c r="AD34" s="13"/>
    </row>
    <row r="35">
      <c r="A35" s="10"/>
      <c r="B35" s="10"/>
      <c r="H35" s="10"/>
      <c r="I35" s="10" t="s">
        <v>618</v>
      </c>
      <c r="J35" s="10"/>
      <c r="K35" s="33"/>
      <c r="L35" s="33"/>
      <c r="M35" s="34"/>
      <c r="N35" s="35"/>
      <c r="O35" s="35"/>
      <c r="P35" s="13"/>
      <c r="Q35" s="13"/>
      <c r="R35" s="13"/>
      <c r="S35" s="13"/>
      <c r="T35" s="13"/>
      <c r="U35" s="13"/>
      <c r="V35" s="13"/>
      <c r="W35" s="13"/>
      <c r="X35" s="13"/>
      <c r="Y35" s="13"/>
      <c r="Z35" s="13"/>
      <c r="AA35" s="13"/>
      <c r="AB35" s="13"/>
      <c r="AC35" s="13"/>
      <c r="AD35" s="13"/>
    </row>
    <row r="36">
      <c r="A36" s="10"/>
      <c r="B36" s="10"/>
      <c r="H36" s="10"/>
      <c r="I36" s="10" t="s">
        <v>619</v>
      </c>
      <c r="J36" s="10"/>
      <c r="K36" s="33"/>
      <c r="L36" s="33"/>
      <c r="M36" s="34"/>
      <c r="N36" s="35"/>
      <c r="O36" s="35"/>
      <c r="P36" s="13"/>
      <c r="Q36" s="13"/>
      <c r="R36" s="13"/>
      <c r="S36" s="13"/>
      <c r="T36" s="13"/>
      <c r="U36" s="13"/>
      <c r="V36" s="13"/>
      <c r="W36" s="13"/>
      <c r="X36" s="13"/>
      <c r="Y36" s="13"/>
      <c r="Z36" s="13"/>
      <c r="AA36" s="13"/>
      <c r="AB36" s="13"/>
      <c r="AC36" s="13"/>
      <c r="AD36" s="13"/>
    </row>
    <row r="37">
      <c r="A37" s="10"/>
      <c r="B37" s="13"/>
      <c r="C37" s="13"/>
      <c r="D37" s="13"/>
      <c r="E37" s="13"/>
      <c r="F37" s="13"/>
      <c r="G37" s="13"/>
      <c r="H37" s="13"/>
      <c r="I37" s="13"/>
      <c r="J37" s="10"/>
      <c r="K37" s="33"/>
      <c r="L37" s="33">
        <f t="shared" ref="L37:L63" si="7">J37+K37</f>
        <v>0</v>
      </c>
      <c r="M37" s="34">
        <v>0.25</v>
      </c>
      <c r="N37" s="35">
        <f t="shared" ref="N37:N63" si="8">L37*M37</f>
        <v>0</v>
      </c>
      <c r="O37" s="35">
        <f t="shared" ref="O37:O63" si="9">L37+N37</f>
        <v>0</v>
      </c>
      <c r="P37" s="13"/>
      <c r="Q37" s="13"/>
      <c r="R37" s="13"/>
      <c r="S37" s="13"/>
      <c r="T37" s="13"/>
      <c r="U37" s="13"/>
      <c r="V37" s="13"/>
      <c r="W37" s="13"/>
      <c r="X37" s="13"/>
      <c r="Y37" s="13"/>
      <c r="Z37" s="13"/>
      <c r="AA37" s="13"/>
      <c r="AB37" s="13"/>
      <c r="AC37" s="13"/>
      <c r="AD37" s="13"/>
    </row>
    <row r="38">
      <c r="A38" s="7" t="s">
        <v>185</v>
      </c>
      <c r="I38" s="7"/>
      <c r="J38" s="10"/>
      <c r="K38" s="33"/>
      <c r="L38" s="33">
        <f t="shared" si="7"/>
        <v>0</v>
      </c>
      <c r="M38" s="34">
        <v>0.25</v>
      </c>
      <c r="N38" s="35">
        <f t="shared" si="8"/>
        <v>0</v>
      </c>
      <c r="O38" s="35">
        <f t="shared" si="9"/>
        <v>0</v>
      </c>
      <c r="P38" s="13"/>
      <c r="Q38" s="13"/>
      <c r="R38" s="13"/>
      <c r="S38" s="13"/>
      <c r="T38" s="13"/>
      <c r="U38" s="13"/>
      <c r="V38" s="13"/>
      <c r="W38" s="13"/>
      <c r="X38" s="13"/>
      <c r="Y38" s="13"/>
      <c r="Z38" s="13"/>
      <c r="AA38" s="13"/>
      <c r="AB38" s="13"/>
      <c r="AC38" s="13"/>
      <c r="AD38" s="13"/>
    </row>
    <row r="39">
      <c r="A39" s="10" t="s">
        <v>29</v>
      </c>
      <c r="B39" s="4" t="s">
        <v>1</v>
      </c>
      <c r="C39" s="4" t="s">
        <v>2</v>
      </c>
      <c r="D39" s="4" t="s">
        <v>3</v>
      </c>
      <c r="E39" s="4" t="s">
        <v>32</v>
      </c>
      <c r="F39" s="4" t="s">
        <v>4</v>
      </c>
      <c r="G39" s="4" t="s">
        <v>6</v>
      </c>
      <c r="H39" s="4" t="s">
        <v>5</v>
      </c>
      <c r="I39" s="4"/>
      <c r="J39" s="4" t="s">
        <v>34</v>
      </c>
      <c r="K39" s="33"/>
      <c r="L39" s="33" t="str">
        <f t="shared" si="7"/>
        <v>#VALUE!</v>
      </c>
      <c r="M39" s="34">
        <v>0.25</v>
      </c>
      <c r="N39" s="35" t="str">
        <f t="shared" si="8"/>
        <v>#VALUE!</v>
      </c>
      <c r="O39" s="35" t="str">
        <f t="shared" si="9"/>
        <v>#VALUE!</v>
      </c>
      <c r="AA39" s="13"/>
      <c r="AB39" s="13"/>
      <c r="AC39" s="13"/>
      <c r="AD39" s="13"/>
    </row>
    <row r="40">
      <c r="A40" s="10" t="s">
        <v>29</v>
      </c>
      <c r="B40" s="10" t="s">
        <v>10</v>
      </c>
      <c r="C40" s="10" t="s">
        <v>11</v>
      </c>
      <c r="D40" s="10" t="s">
        <v>40</v>
      </c>
      <c r="E40" s="10" t="s">
        <v>41</v>
      </c>
      <c r="F40" s="10" t="s">
        <v>42</v>
      </c>
      <c r="G40" s="10" t="s">
        <v>493</v>
      </c>
      <c r="H40" s="11" t="s">
        <v>592</v>
      </c>
      <c r="I40" s="11"/>
      <c r="J40" s="3">
        <v>1840.0</v>
      </c>
      <c r="K40" s="33"/>
      <c r="L40" s="33">
        <f t="shared" si="7"/>
        <v>1840</v>
      </c>
      <c r="M40" s="34">
        <v>0.25</v>
      </c>
      <c r="N40" s="35">
        <f t="shared" si="8"/>
        <v>460</v>
      </c>
      <c r="O40" s="35">
        <f t="shared" si="9"/>
        <v>2300</v>
      </c>
      <c r="AA40" s="13"/>
      <c r="AB40" s="13"/>
      <c r="AC40" s="13"/>
      <c r="AD40" s="13"/>
    </row>
    <row r="41">
      <c r="A41" s="10" t="s">
        <v>29</v>
      </c>
      <c r="B41" s="10" t="s">
        <v>10</v>
      </c>
      <c r="C41" s="10" t="s">
        <v>11</v>
      </c>
      <c r="D41" s="10" t="s">
        <v>40</v>
      </c>
      <c r="E41" s="10" t="s">
        <v>41</v>
      </c>
      <c r="F41" s="10" t="s">
        <v>42</v>
      </c>
      <c r="G41" s="11" t="s">
        <v>187</v>
      </c>
      <c r="H41" s="11" t="s">
        <v>597</v>
      </c>
      <c r="I41" s="11"/>
      <c r="J41" s="3">
        <v>2220.0</v>
      </c>
      <c r="K41" s="33"/>
      <c r="L41" s="33">
        <f t="shared" si="7"/>
        <v>2220</v>
      </c>
      <c r="M41" s="34">
        <v>0.25</v>
      </c>
      <c r="N41" s="35">
        <f t="shared" si="8"/>
        <v>555</v>
      </c>
      <c r="O41" s="35">
        <f t="shared" si="9"/>
        <v>2775</v>
      </c>
      <c r="AA41" s="13"/>
      <c r="AB41" s="13"/>
      <c r="AC41" s="13"/>
      <c r="AD41" s="13"/>
    </row>
    <row r="42">
      <c r="A42" s="10" t="s">
        <v>29</v>
      </c>
      <c r="B42" s="10" t="s">
        <v>10</v>
      </c>
      <c r="C42" s="10" t="s">
        <v>11</v>
      </c>
      <c r="D42" s="10" t="s">
        <v>40</v>
      </c>
      <c r="E42" s="10" t="s">
        <v>41</v>
      </c>
      <c r="F42" s="10" t="s">
        <v>42</v>
      </c>
      <c r="G42" s="11" t="s">
        <v>188</v>
      </c>
      <c r="H42" s="11" t="s">
        <v>597</v>
      </c>
      <c r="I42" s="11"/>
      <c r="J42" s="3">
        <v>2340.0</v>
      </c>
      <c r="K42" s="33"/>
      <c r="L42" s="33">
        <f t="shared" si="7"/>
        <v>2340</v>
      </c>
      <c r="M42" s="34">
        <v>0.25</v>
      </c>
      <c r="N42" s="35">
        <f t="shared" si="8"/>
        <v>585</v>
      </c>
      <c r="O42" s="35">
        <f t="shared" si="9"/>
        <v>2925</v>
      </c>
      <c r="AA42" s="13"/>
      <c r="AB42" s="13"/>
      <c r="AC42" s="13"/>
      <c r="AD42" s="13"/>
    </row>
    <row r="43">
      <c r="A43" s="10" t="s">
        <v>29</v>
      </c>
      <c r="B43" s="10" t="s">
        <v>10</v>
      </c>
      <c r="C43" s="10" t="s">
        <v>11</v>
      </c>
      <c r="D43" s="10" t="s">
        <v>40</v>
      </c>
      <c r="E43" s="10" t="s">
        <v>41</v>
      </c>
      <c r="F43" s="10" t="s">
        <v>42</v>
      </c>
      <c r="G43" s="11" t="s">
        <v>189</v>
      </c>
      <c r="H43" s="11" t="s">
        <v>598</v>
      </c>
      <c r="I43" s="11"/>
      <c r="J43" s="3">
        <v>2375.0</v>
      </c>
      <c r="K43" s="33"/>
      <c r="L43" s="33">
        <f t="shared" si="7"/>
        <v>2375</v>
      </c>
      <c r="M43" s="34">
        <v>0.25</v>
      </c>
      <c r="N43" s="35">
        <f t="shared" si="8"/>
        <v>593.75</v>
      </c>
      <c r="O43" s="35">
        <f t="shared" si="9"/>
        <v>2968.75</v>
      </c>
      <c r="AA43" s="13"/>
      <c r="AB43" s="13"/>
      <c r="AC43" s="13"/>
      <c r="AD43" s="13"/>
    </row>
    <row r="44">
      <c r="A44" s="10" t="s">
        <v>29</v>
      </c>
      <c r="B44" s="10" t="s">
        <v>10</v>
      </c>
      <c r="C44" s="10" t="s">
        <v>11</v>
      </c>
      <c r="D44" s="10" t="s">
        <v>40</v>
      </c>
      <c r="E44" s="10" t="s">
        <v>41</v>
      </c>
      <c r="F44" s="10" t="s">
        <v>42</v>
      </c>
      <c r="G44" s="11" t="s">
        <v>190</v>
      </c>
      <c r="H44" s="11" t="s">
        <v>598</v>
      </c>
      <c r="I44" s="11"/>
      <c r="J44" s="3">
        <v>2475.0</v>
      </c>
      <c r="K44" s="33"/>
      <c r="L44" s="33">
        <f t="shared" si="7"/>
        <v>2475</v>
      </c>
      <c r="M44" s="34">
        <v>0.25</v>
      </c>
      <c r="N44" s="35">
        <f t="shared" si="8"/>
        <v>618.75</v>
      </c>
      <c r="O44" s="35">
        <f t="shared" si="9"/>
        <v>3093.75</v>
      </c>
      <c r="AA44" s="13"/>
      <c r="AB44" s="13"/>
      <c r="AC44" s="13"/>
      <c r="AD44" s="13"/>
    </row>
    <row r="45">
      <c r="A45" s="10" t="s">
        <v>29</v>
      </c>
      <c r="B45" s="10" t="s">
        <v>10</v>
      </c>
      <c r="C45" s="10" t="s">
        <v>11</v>
      </c>
      <c r="D45" s="10" t="s">
        <v>40</v>
      </c>
      <c r="E45" s="10" t="s">
        <v>41</v>
      </c>
      <c r="F45" s="10" t="s">
        <v>42</v>
      </c>
      <c r="G45" s="11" t="s">
        <v>506</v>
      </c>
      <c r="H45" s="11" t="s">
        <v>598</v>
      </c>
      <c r="I45" s="11"/>
      <c r="J45" s="3">
        <v>2475.0</v>
      </c>
      <c r="K45" s="33"/>
      <c r="L45" s="33">
        <f t="shared" si="7"/>
        <v>2475</v>
      </c>
      <c r="M45" s="34">
        <v>0.25</v>
      </c>
      <c r="N45" s="35">
        <f t="shared" si="8"/>
        <v>618.75</v>
      </c>
      <c r="O45" s="35">
        <f t="shared" si="9"/>
        <v>3093.75</v>
      </c>
      <c r="AA45" s="13"/>
      <c r="AB45" s="13"/>
      <c r="AC45" s="13"/>
      <c r="AD45" s="13"/>
    </row>
    <row r="46">
      <c r="A46" s="10" t="s">
        <v>29</v>
      </c>
      <c r="B46" s="10" t="s">
        <v>10</v>
      </c>
      <c r="C46" s="10" t="s">
        <v>11</v>
      </c>
      <c r="D46" s="10" t="s">
        <v>40</v>
      </c>
      <c r="E46" s="10" t="s">
        <v>41</v>
      </c>
      <c r="F46" s="10" t="s">
        <v>42</v>
      </c>
      <c r="G46" s="11" t="s">
        <v>507</v>
      </c>
      <c r="H46" s="11" t="s">
        <v>598</v>
      </c>
      <c r="I46" s="11"/>
      <c r="J46" s="3">
        <v>2575.0</v>
      </c>
      <c r="K46" s="33"/>
      <c r="L46" s="33">
        <f t="shared" si="7"/>
        <v>2575</v>
      </c>
      <c r="M46" s="34">
        <v>0.25</v>
      </c>
      <c r="N46" s="35">
        <f t="shared" si="8"/>
        <v>643.75</v>
      </c>
      <c r="O46" s="35">
        <f t="shared" si="9"/>
        <v>3218.75</v>
      </c>
      <c r="AA46" s="13"/>
      <c r="AB46" s="13"/>
      <c r="AC46" s="13"/>
      <c r="AD46" s="13"/>
    </row>
    <row r="47">
      <c r="A47" s="10" t="s">
        <v>29</v>
      </c>
      <c r="B47" s="10" t="s">
        <v>10</v>
      </c>
      <c r="C47" s="10" t="s">
        <v>11</v>
      </c>
      <c r="D47" s="10" t="s">
        <v>40</v>
      </c>
      <c r="E47" s="10" t="s">
        <v>41</v>
      </c>
      <c r="F47" s="10" t="s">
        <v>42</v>
      </c>
      <c r="G47" s="11" t="s">
        <v>193</v>
      </c>
      <c r="H47" s="11" t="s">
        <v>597</v>
      </c>
      <c r="I47" s="11"/>
      <c r="J47" s="3">
        <v>2470.0</v>
      </c>
      <c r="K47" s="33"/>
      <c r="L47" s="33">
        <f t="shared" si="7"/>
        <v>2470</v>
      </c>
      <c r="M47" s="34">
        <v>0.25</v>
      </c>
      <c r="N47" s="35">
        <f t="shared" si="8"/>
        <v>617.5</v>
      </c>
      <c r="O47" s="35">
        <f t="shared" si="9"/>
        <v>3087.5</v>
      </c>
      <c r="AA47" s="13"/>
      <c r="AB47" s="13"/>
      <c r="AC47" s="13"/>
      <c r="AD47" s="13"/>
    </row>
    <row r="48">
      <c r="A48" s="10" t="s">
        <v>29</v>
      </c>
      <c r="B48" s="10" t="s">
        <v>10</v>
      </c>
      <c r="C48" s="10" t="s">
        <v>11</v>
      </c>
      <c r="D48" s="10" t="s">
        <v>40</v>
      </c>
      <c r="E48" s="10" t="s">
        <v>41</v>
      </c>
      <c r="F48" s="10" t="s">
        <v>42</v>
      </c>
      <c r="G48" s="11" t="s">
        <v>194</v>
      </c>
      <c r="H48" s="11" t="s">
        <v>597</v>
      </c>
      <c r="I48" s="11"/>
      <c r="J48" s="3">
        <v>2590.0</v>
      </c>
      <c r="K48" s="33"/>
      <c r="L48" s="33">
        <f t="shared" si="7"/>
        <v>2590</v>
      </c>
      <c r="M48" s="34">
        <v>0.25</v>
      </c>
      <c r="N48" s="35">
        <f t="shared" si="8"/>
        <v>647.5</v>
      </c>
      <c r="O48" s="35">
        <f t="shared" si="9"/>
        <v>3237.5</v>
      </c>
      <c r="AA48" s="13"/>
      <c r="AB48" s="13"/>
      <c r="AC48" s="13"/>
      <c r="AD48" s="13"/>
    </row>
    <row r="49">
      <c r="A49" s="10" t="s">
        <v>29</v>
      </c>
      <c r="B49" s="10" t="s">
        <v>10</v>
      </c>
      <c r="C49" s="10" t="s">
        <v>11</v>
      </c>
      <c r="D49" s="10" t="s">
        <v>40</v>
      </c>
      <c r="E49" s="10" t="s">
        <v>41</v>
      </c>
      <c r="F49" s="10" t="s">
        <v>42</v>
      </c>
      <c r="G49" s="11" t="s">
        <v>195</v>
      </c>
      <c r="H49" s="11" t="s">
        <v>598</v>
      </c>
      <c r="I49" s="11"/>
      <c r="J49" s="3">
        <v>2625.0</v>
      </c>
      <c r="K49" s="33"/>
      <c r="L49" s="33">
        <f t="shared" si="7"/>
        <v>2625</v>
      </c>
      <c r="M49" s="34">
        <v>0.25</v>
      </c>
      <c r="N49" s="35">
        <f t="shared" si="8"/>
        <v>656.25</v>
      </c>
      <c r="O49" s="35">
        <f t="shared" si="9"/>
        <v>3281.25</v>
      </c>
      <c r="AA49" s="13"/>
      <c r="AB49" s="13"/>
      <c r="AC49" s="13"/>
      <c r="AD49" s="13"/>
    </row>
    <row r="50">
      <c r="A50" s="10" t="s">
        <v>29</v>
      </c>
      <c r="B50" s="10" t="s">
        <v>10</v>
      </c>
      <c r="C50" s="10" t="s">
        <v>11</v>
      </c>
      <c r="D50" s="10" t="s">
        <v>40</v>
      </c>
      <c r="E50" s="10" t="s">
        <v>41</v>
      </c>
      <c r="F50" s="10" t="s">
        <v>42</v>
      </c>
      <c r="G50" s="11" t="s">
        <v>196</v>
      </c>
      <c r="H50" s="11" t="s">
        <v>598</v>
      </c>
      <c r="I50" s="11"/>
      <c r="J50" s="3">
        <v>2725.0</v>
      </c>
      <c r="K50" s="33"/>
      <c r="L50" s="33">
        <f t="shared" si="7"/>
        <v>2725</v>
      </c>
      <c r="M50" s="34">
        <v>0.25</v>
      </c>
      <c r="N50" s="35">
        <f t="shared" si="8"/>
        <v>681.25</v>
      </c>
      <c r="O50" s="35">
        <f t="shared" si="9"/>
        <v>3406.25</v>
      </c>
      <c r="AA50" s="13"/>
      <c r="AB50" s="13"/>
      <c r="AC50" s="13"/>
      <c r="AD50" s="13"/>
    </row>
    <row r="51">
      <c r="A51" s="10" t="s">
        <v>29</v>
      </c>
      <c r="B51" s="10" t="s">
        <v>10</v>
      </c>
      <c r="C51" s="10" t="s">
        <v>11</v>
      </c>
      <c r="D51" s="10" t="s">
        <v>40</v>
      </c>
      <c r="E51" s="10" t="s">
        <v>41</v>
      </c>
      <c r="F51" s="10" t="s">
        <v>42</v>
      </c>
      <c r="G51" s="11" t="s">
        <v>512</v>
      </c>
      <c r="H51" s="11" t="s">
        <v>598</v>
      </c>
      <c r="I51" s="11"/>
      <c r="J51" s="3">
        <v>2725.0</v>
      </c>
      <c r="K51" s="33"/>
      <c r="L51" s="33">
        <f t="shared" si="7"/>
        <v>2725</v>
      </c>
      <c r="M51" s="34">
        <v>0.25</v>
      </c>
      <c r="N51" s="35">
        <f t="shared" si="8"/>
        <v>681.25</v>
      </c>
      <c r="O51" s="35">
        <f t="shared" si="9"/>
        <v>3406.25</v>
      </c>
      <c r="AA51" s="13"/>
      <c r="AB51" s="13"/>
      <c r="AC51" s="13"/>
      <c r="AD51" s="13"/>
    </row>
    <row r="52">
      <c r="A52" s="10" t="s">
        <v>29</v>
      </c>
      <c r="B52" s="10" t="s">
        <v>10</v>
      </c>
      <c r="C52" s="10" t="s">
        <v>11</v>
      </c>
      <c r="D52" s="10" t="s">
        <v>40</v>
      </c>
      <c r="E52" s="10" t="s">
        <v>41</v>
      </c>
      <c r="F52" s="10" t="s">
        <v>42</v>
      </c>
      <c r="G52" s="11" t="s">
        <v>513</v>
      </c>
      <c r="H52" s="11" t="s">
        <v>598</v>
      </c>
      <c r="I52" s="11"/>
      <c r="J52" s="3">
        <v>2825.0</v>
      </c>
      <c r="K52" s="33"/>
      <c r="L52" s="33">
        <f t="shared" si="7"/>
        <v>2825</v>
      </c>
      <c r="M52" s="34">
        <v>0.25</v>
      </c>
      <c r="N52" s="35">
        <f t="shared" si="8"/>
        <v>706.25</v>
      </c>
      <c r="O52" s="35">
        <f t="shared" si="9"/>
        <v>3531.25</v>
      </c>
      <c r="AA52" s="13"/>
      <c r="AB52" s="13"/>
      <c r="AC52" s="13"/>
      <c r="AD52" s="13"/>
    </row>
    <row r="53">
      <c r="A53" s="10" t="s">
        <v>29</v>
      </c>
      <c r="B53" s="10" t="s">
        <v>10</v>
      </c>
      <c r="C53" s="10" t="s">
        <v>11</v>
      </c>
      <c r="D53" s="10" t="s">
        <v>81</v>
      </c>
      <c r="E53" s="10" t="s">
        <v>41</v>
      </c>
      <c r="F53" s="10" t="s">
        <v>42</v>
      </c>
      <c r="G53" s="11" t="s">
        <v>514</v>
      </c>
      <c r="H53" s="11" t="s">
        <v>592</v>
      </c>
      <c r="I53" s="11"/>
      <c r="J53" s="3">
        <v>2190.0</v>
      </c>
      <c r="K53" s="33"/>
      <c r="L53" s="33">
        <f t="shared" si="7"/>
        <v>2190</v>
      </c>
      <c r="M53" s="34">
        <v>0.25</v>
      </c>
      <c r="N53" s="35">
        <f t="shared" si="8"/>
        <v>547.5</v>
      </c>
      <c r="O53" s="35">
        <f t="shared" si="9"/>
        <v>2737.5</v>
      </c>
      <c r="AA53" s="13"/>
      <c r="AB53" s="13"/>
      <c r="AC53" s="13"/>
      <c r="AD53" s="13"/>
    </row>
    <row r="54">
      <c r="A54" s="10" t="s">
        <v>29</v>
      </c>
      <c r="B54" s="10" t="s">
        <v>10</v>
      </c>
      <c r="C54" s="10" t="s">
        <v>11</v>
      </c>
      <c r="D54" s="10" t="s">
        <v>82</v>
      </c>
      <c r="E54" s="10" t="s">
        <v>41</v>
      </c>
      <c r="F54" s="10" t="s">
        <v>83</v>
      </c>
      <c r="G54" s="11" t="s">
        <v>518</v>
      </c>
      <c r="H54" s="11" t="s">
        <v>603</v>
      </c>
      <c r="I54" s="11"/>
      <c r="J54" s="3">
        <v>2190.0</v>
      </c>
      <c r="K54" s="33"/>
      <c r="L54" s="33">
        <f t="shared" si="7"/>
        <v>2190</v>
      </c>
      <c r="M54" s="34">
        <v>0.25</v>
      </c>
      <c r="N54" s="35">
        <f t="shared" si="8"/>
        <v>547.5</v>
      </c>
      <c r="O54" s="35">
        <f t="shared" si="9"/>
        <v>2737.5</v>
      </c>
      <c r="AA54" s="13"/>
      <c r="AB54" s="13"/>
      <c r="AC54" s="13"/>
      <c r="AD54" s="13"/>
    </row>
    <row r="55">
      <c r="A55" s="10" t="s">
        <v>29</v>
      </c>
      <c r="B55" s="10" t="s">
        <v>10</v>
      </c>
      <c r="C55" s="10" t="s">
        <v>11</v>
      </c>
      <c r="D55" s="10" t="s">
        <v>170</v>
      </c>
      <c r="E55" s="10" t="s">
        <v>87</v>
      </c>
      <c r="F55" s="10" t="s">
        <v>83</v>
      </c>
      <c r="G55" s="11" t="s">
        <v>201</v>
      </c>
      <c r="H55" s="11" t="s">
        <v>604</v>
      </c>
      <c r="I55" s="11"/>
      <c r="J55" s="3">
        <v>1590.0</v>
      </c>
      <c r="K55" s="33"/>
      <c r="L55" s="33">
        <f t="shared" si="7"/>
        <v>1590</v>
      </c>
      <c r="M55" s="34">
        <v>0.25</v>
      </c>
      <c r="N55" s="35">
        <f t="shared" si="8"/>
        <v>397.5</v>
      </c>
      <c r="O55" s="35">
        <f t="shared" si="9"/>
        <v>1987.5</v>
      </c>
      <c r="AA55" s="13"/>
      <c r="AB55" s="13"/>
      <c r="AC55" s="13"/>
      <c r="AD55" s="13"/>
    </row>
    <row r="56">
      <c r="A56" s="10" t="s">
        <v>29</v>
      </c>
      <c r="B56" s="10" t="s">
        <v>10</v>
      </c>
      <c r="C56" s="10" t="s">
        <v>11</v>
      </c>
      <c r="D56" s="10" t="s">
        <v>91</v>
      </c>
      <c r="E56" s="10" t="s">
        <v>87</v>
      </c>
      <c r="F56" s="10" t="s">
        <v>83</v>
      </c>
      <c r="G56" s="10" t="s">
        <v>201</v>
      </c>
      <c r="H56" s="11" t="s">
        <v>604</v>
      </c>
      <c r="I56" s="11"/>
      <c r="J56" s="3">
        <v>1840.0</v>
      </c>
      <c r="K56" s="33"/>
      <c r="L56" s="33">
        <f t="shared" si="7"/>
        <v>1840</v>
      </c>
      <c r="M56" s="34">
        <v>0.25</v>
      </c>
      <c r="N56" s="35">
        <f t="shared" si="8"/>
        <v>460</v>
      </c>
      <c r="O56" s="35">
        <f t="shared" si="9"/>
        <v>2300</v>
      </c>
      <c r="AA56" s="13"/>
      <c r="AB56" s="13"/>
      <c r="AC56" s="13"/>
      <c r="AD56" s="13"/>
    </row>
    <row r="57">
      <c r="A57" s="10" t="s">
        <v>29</v>
      </c>
      <c r="B57" s="10" t="s">
        <v>10</v>
      </c>
      <c r="C57" s="10" t="s">
        <v>11</v>
      </c>
      <c r="D57" s="10" t="s">
        <v>93</v>
      </c>
      <c r="E57" s="10" t="s">
        <v>94</v>
      </c>
      <c r="F57" s="10" t="s">
        <v>42</v>
      </c>
      <c r="G57" s="10" t="s">
        <v>519</v>
      </c>
      <c r="H57" s="10" t="s">
        <v>606</v>
      </c>
      <c r="I57" s="10" t="s">
        <v>620</v>
      </c>
      <c r="J57" s="3">
        <v>1083.0</v>
      </c>
      <c r="K57" s="33"/>
      <c r="L57" s="33">
        <f t="shared" si="7"/>
        <v>1083</v>
      </c>
      <c r="M57" s="34">
        <v>0.25</v>
      </c>
      <c r="N57" s="35">
        <f t="shared" si="8"/>
        <v>270.75</v>
      </c>
      <c r="O57" s="35">
        <f t="shared" si="9"/>
        <v>1353.75</v>
      </c>
      <c r="AA57" s="13"/>
      <c r="AB57" s="13"/>
      <c r="AC57" s="13"/>
      <c r="AD57" s="13"/>
    </row>
    <row r="58">
      <c r="A58" s="10" t="s">
        <v>29</v>
      </c>
      <c r="B58" s="10" t="s">
        <v>10</v>
      </c>
      <c r="C58" s="10" t="s">
        <v>11</v>
      </c>
      <c r="D58" s="10" t="s">
        <v>97</v>
      </c>
      <c r="E58" s="10" t="s">
        <v>98</v>
      </c>
      <c r="F58" s="10" t="s">
        <v>99</v>
      </c>
      <c r="G58" s="10" t="s">
        <v>203</v>
      </c>
      <c r="H58" s="10" t="s">
        <v>608</v>
      </c>
      <c r="I58" s="10" t="s">
        <v>621</v>
      </c>
      <c r="J58" s="3">
        <v>1000.0</v>
      </c>
      <c r="K58" s="33"/>
      <c r="L58" s="33">
        <f t="shared" si="7"/>
        <v>1000</v>
      </c>
      <c r="M58" s="34">
        <v>0.25</v>
      </c>
      <c r="N58" s="35">
        <f t="shared" si="8"/>
        <v>250</v>
      </c>
      <c r="O58" s="35">
        <f t="shared" si="9"/>
        <v>1250</v>
      </c>
      <c r="AA58" s="13"/>
      <c r="AB58" s="13"/>
      <c r="AC58" s="13"/>
      <c r="AD58" s="13"/>
    </row>
    <row r="59">
      <c r="A59" s="10" t="s">
        <v>29</v>
      </c>
      <c r="B59" s="10" t="s">
        <v>10</v>
      </c>
      <c r="C59" s="10" t="s">
        <v>11</v>
      </c>
      <c r="D59" s="10" t="s">
        <v>97</v>
      </c>
      <c r="E59" s="10" t="s">
        <v>102</v>
      </c>
      <c r="F59" s="10" t="s">
        <v>99</v>
      </c>
      <c r="G59" s="10" t="s">
        <v>203</v>
      </c>
      <c r="H59" s="10" t="s">
        <v>608</v>
      </c>
      <c r="I59" s="10" t="s">
        <v>622</v>
      </c>
      <c r="J59" s="3">
        <v>1000.0</v>
      </c>
      <c r="K59" s="33"/>
      <c r="L59" s="33">
        <f t="shared" si="7"/>
        <v>1000</v>
      </c>
      <c r="M59" s="34">
        <v>0.25</v>
      </c>
      <c r="N59" s="35">
        <f t="shared" si="8"/>
        <v>250</v>
      </c>
      <c r="O59" s="35">
        <f t="shared" si="9"/>
        <v>1250</v>
      </c>
      <c r="AA59" s="13"/>
      <c r="AB59" s="13"/>
      <c r="AC59" s="13"/>
      <c r="AD59" s="13"/>
    </row>
    <row r="60">
      <c r="A60" s="10" t="s">
        <v>29</v>
      </c>
      <c r="B60" s="10" t="s">
        <v>10</v>
      </c>
      <c r="C60" s="10" t="s">
        <v>11</v>
      </c>
      <c r="D60" s="10" t="s">
        <v>97</v>
      </c>
      <c r="E60" s="10" t="s">
        <v>103</v>
      </c>
      <c r="F60" s="10" t="s">
        <v>99</v>
      </c>
      <c r="G60" s="10" t="s">
        <v>203</v>
      </c>
      <c r="H60" s="10" t="s">
        <v>608</v>
      </c>
      <c r="I60" s="10" t="s">
        <v>623</v>
      </c>
      <c r="J60" s="3">
        <v>1150.0</v>
      </c>
      <c r="K60" s="33"/>
      <c r="L60" s="33">
        <f t="shared" si="7"/>
        <v>1150</v>
      </c>
      <c r="M60" s="34">
        <v>0.25</v>
      </c>
      <c r="N60" s="35">
        <f t="shared" si="8"/>
        <v>287.5</v>
      </c>
      <c r="O60" s="35">
        <f t="shared" si="9"/>
        <v>1437.5</v>
      </c>
      <c r="AA60" s="13"/>
      <c r="AB60" s="13"/>
      <c r="AC60" s="13"/>
      <c r="AD60" s="13"/>
    </row>
    <row r="61">
      <c r="A61" s="10" t="s">
        <v>29</v>
      </c>
      <c r="B61" s="10" t="s">
        <v>10</v>
      </c>
      <c r="C61" s="10" t="s">
        <v>11</v>
      </c>
      <c r="D61" s="10" t="s">
        <v>104</v>
      </c>
      <c r="E61" s="10" t="s">
        <v>105</v>
      </c>
      <c r="F61" s="10" t="s">
        <v>99</v>
      </c>
      <c r="G61" s="10" t="s">
        <v>203</v>
      </c>
      <c r="H61" s="10" t="s">
        <v>612</v>
      </c>
      <c r="I61" s="10" t="s">
        <v>624</v>
      </c>
      <c r="J61" s="3">
        <v>1800.0</v>
      </c>
      <c r="K61" s="33"/>
      <c r="L61" s="33">
        <f t="shared" si="7"/>
        <v>1800</v>
      </c>
      <c r="M61" s="34">
        <v>0.25</v>
      </c>
      <c r="N61" s="35">
        <f t="shared" si="8"/>
        <v>450</v>
      </c>
      <c r="O61" s="35">
        <f t="shared" si="9"/>
        <v>2250</v>
      </c>
      <c r="AA61" s="13"/>
      <c r="AB61" s="13"/>
      <c r="AC61" s="13"/>
      <c r="AD61" s="13"/>
    </row>
    <row r="62">
      <c r="A62" s="10" t="s">
        <v>29</v>
      </c>
      <c r="B62" s="10" t="s">
        <v>10</v>
      </c>
      <c r="C62" s="10" t="s">
        <v>11</v>
      </c>
      <c r="D62" s="10" t="s">
        <v>107</v>
      </c>
      <c r="E62" s="10" t="s">
        <v>108</v>
      </c>
      <c r="F62" s="10" t="s">
        <v>99</v>
      </c>
      <c r="G62" s="10" t="s">
        <v>203</v>
      </c>
      <c r="H62" s="10" t="s">
        <v>614</v>
      </c>
      <c r="I62" s="10"/>
      <c r="J62" s="3">
        <v>1133.0</v>
      </c>
      <c r="K62" s="33"/>
      <c r="L62" s="33">
        <f t="shared" si="7"/>
        <v>1133</v>
      </c>
      <c r="M62" s="34">
        <v>0.25</v>
      </c>
      <c r="N62" s="35">
        <f t="shared" si="8"/>
        <v>283.25</v>
      </c>
      <c r="O62" s="35">
        <f t="shared" si="9"/>
        <v>1416.25</v>
      </c>
      <c r="AA62" s="13"/>
      <c r="AB62" s="13"/>
      <c r="AC62" s="13"/>
      <c r="AD62" s="13"/>
    </row>
    <row r="63">
      <c r="A63" s="10" t="s">
        <v>29</v>
      </c>
      <c r="B63" s="10" t="s">
        <v>10</v>
      </c>
      <c r="C63" s="10" t="s">
        <v>11</v>
      </c>
      <c r="D63" s="10" t="s">
        <v>107</v>
      </c>
      <c r="E63" s="10" t="s">
        <v>204</v>
      </c>
      <c r="F63" s="10" t="s">
        <v>99</v>
      </c>
      <c r="G63" s="10" t="s">
        <v>203</v>
      </c>
      <c r="H63" s="10" t="s">
        <v>614</v>
      </c>
      <c r="I63" s="10" t="s">
        <v>625</v>
      </c>
      <c r="J63" s="3">
        <v>1175.0</v>
      </c>
      <c r="K63" s="33"/>
      <c r="L63" s="33">
        <f t="shared" si="7"/>
        <v>1175</v>
      </c>
      <c r="M63" s="34">
        <v>0.25</v>
      </c>
      <c r="N63" s="35">
        <f t="shared" si="8"/>
        <v>293.75</v>
      </c>
      <c r="O63" s="35">
        <f t="shared" si="9"/>
        <v>1468.75</v>
      </c>
      <c r="AA63" s="13"/>
      <c r="AB63" s="13"/>
      <c r="AC63" s="13"/>
      <c r="AD63" s="13"/>
    </row>
    <row r="64">
      <c r="A64" s="10"/>
      <c r="B64" s="10"/>
      <c r="H64" s="10"/>
      <c r="I64" s="10" t="s">
        <v>626</v>
      </c>
      <c r="J64" s="3"/>
      <c r="K64" s="33"/>
      <c r="L64" s="33"/>
      <c r="M64" s="34"/>
      <c r="N64" s="35"/>
      <c r="O64" s="35"/>
      <c r="AA64" s="13"/>
      <c r="AB64" s="13"/>
      <c r="AC64" s="13"/>
      <c r="AD64" s="13"/>
    </row>
    <row r="65">
      <c r="A65" s="10"/>
      <c r="B65" s="10"/>
      <c r="H65" s="10"/>
      <c r="I65" s="10" t="s">
        <v>627</v>
      </c>
      <c r="J65" s="3"/>
      <c r="K65" s="33"/>
      <c r="L65" s="33"/>
      <c r="M65" s="34"/>
      <c r="N65" s="35"/>
      <c r="O65" s="35"/>
      <c r="AA65" s="13"/>
      <c r="AB65" s="13"/>
      <c r="AC65" s="13"/>
      <c r="AD65" s="13"/>
    </row>
    <row r="66">
      <c r="A66" s="10"/>
      <c r="B66" s="10"/>
      <c r="H66" s="10"/>
      <c r="I66" s="10" t="s">
        <v>628</v>
      </c>
      <c r="J66" s="3"/>
      <c r="K66" s="33"/>
      <c r="L66" s="33"/>
      <c r="M66" s="34"/>
      <c r="N66" s="35"/>
      <c r="O66" s="35"/>
      <c r="AA66" s="13"/>
      <c r="AB66" s="13"/>
      <c r="AC66" s="13"/>
      <c r="AD66" s="13"/>
    </row>
    <row r="67">
      <c r="A67" s="10"/>
      <c r="B67" s="10"/>
      <c r="H67" s="10"/>
      <c r="I67" s="10" t="s">
        <v>629</v>
      </c>
      <c r="J67" s="3"/>
      <c r="K67" s="33"/>
      <c r="L67" s="33"/>
      <c r="M67" s="34"/>
      <c r="N67" s="35"/>
      <c r="O67" s="35"/>
      <c r="AA67" s="13"/>
      <c r="AB67" s="13"/>
      <c r="AC67" s="13"/>
      <c r="AD67" s="13"/>
    </row>
    <row r="68">
      <c r="A68" s="7" t="s">
        <v>331</v>
      </c>
      <c r="I68" s="7"/>
      <c r="K68" s="33"/>
      <c r="L68" s="33"/>
      <c r="M68" s="34"/>
      <c r="N68" s="35"/>
      <c r="O68" s="35"/>
      <c r="AA68" s="13"/>
      <c r="AB68" s="13"/>
      <c r="AC68" s="13"/>
      <c r="AD68" s="13"/>
    </row>
    <row r="69">
      <c r="A69" s="10" t="s">
        <v>29</v>
      </c>
      <c r="B69" s="4" t="s">
        <v>1</v>
      </c>
      <c r="C69" s="4" t="s">
        <v>2</v>
      </c>
      <c r="D69" s="4" t="s">
        <v>3</v>
      </c>
      <c r="E69" s="4" t="s">
        <v>32</v>
      </c>
      <c r="F69" s="4" t="s">
        <v>4</v>
      </c>
      <c r="G69" s="4" t="s">
        <v>6</v>
      </c>
      <c r="H69" s="4" t="s">
        <v>5</v>
      </c>
      <c r="I69" s="4"/>
      <c r="J69" s="4"/>
      <c r="K69" s="33"/>
      <c r="L69" s="33"/>
      <c r="M69" s="34"/>
      <c r="N69" s="35"/>
      <c r="O69" s="35"/>
      <c r="AA69" s="13"/>
      <c r="AB69" s="13"/>
      <c r="AC69" s="13"/>
      <c r="AD69" s="13"/>
    </row>
    <row r="70">
      <c r="A70" s="10" t="s">
        <v>29</v>
      </c>
      <c r="B70" s="10" t="s">
        <v>10</v>
      </c>
      <c r="C70" s="10" t="s">
        <v>11</v>
      </c>
      <c r="D70" s="10" t="s">
        <v>40</v>
      </c>
      <c r="E70" s="10" t="s">
        <v>41</v>
      </c>
      <c r="F70" s="10" t="s">
        <v>42</v>
      </c>
      <c r="G70" s="10" t="s">
        <v>531</v>
      </c>
      <c r="H70" s="11" t="s">
        <v>592</v>
      </c>
      <c r="I70" s="10" t="s">
        <v>630</v>
      </c>
      <c r="J70" s="37">
        <v>1890.0</v>
      </c>
      <c r="K70" s="33"/>
      <c r="L70" s="33">
        <f>J70+K70</f>
        <v>1890</v>
      </c>
      <c r="M70" s="34">
        <v>0.25</v>
      </c>
      <c r="N70" s="35">
        <f>L70*M70</f>
        <v>472.5</v>
      </c>
      <c r="O70" s="35">
        <f>L70+N70</f>
        <v>2362.5</v>
      </c>
      <c r="AA70" s="13"/>
      <c r="AB70" s="13"/>
      <c r="AC70" s="13"/>
      <c r="AD70" s="13"/>
    </row>
    <row r="71">
      <c r="A71" s="10"/>
      <c r="B71" s="10"/>
      <c r="H71" s="11"/>
      <c r="I71" s="10" t="s">
        <v>631</v>
      </c>
      <c r="AA71" s="13"/>
      <c r="AB71" s="13"/>
      <c r="AC71" s="13"/>
      <c r="AD71" s="13"/>
    </row>
    <row r="72">
      <c r="A72" s="10"/>
      <c r="B72" s="10"/>
      <c r="H72" s="11"/>
      <c r="I72" s="10" t="s">
        <v>632</v>
      </c>
      <c r="AA72" s="13"/>
      <c r="AB72" s="13"/>
      <c r="AC72" s="13"/>
      <c r="AD72" s="13"/>
    </row>
    <row r="73">
      <c r="A73" s="10"/>
      <c r="B73" s="10"/>
      <c r="H73" s="11"/>
      <c r="I73" s="10" t="s">
        <v>633</v>
      </c>
      <c r="AA73" s="13"/>
      <c r="AB73" s="13"/>
      <c r="AC73" s="13"/>
      <c r="AD73" s="13"/>
    </row>
    <row r="74">
      <c r="A74" s="10" t="s">
        <v>29</v>
      </c>
      <c r="B74" s="10" t="s">
        <v>10</v>
      </c>
      <c r="C74" s="10" t="s">
        <v>11</v>
      </c>
      <c r="D74" s="10" t="s">
        <v>40</v>
      </c>
      <c r="E74" s="10" t="s">
        <v>41</v>
      </c>
      <c r="F74" s="10" t="s">
        <v>42</v>
      </c>
      <c r="G74" s="11" t="s">
        <v>340</v>
      </c>
      <c r="H74" s="11" t="s">
        <v>597</v>
      </c>
      <c r="I74" s="11"/>
      <c r="J74" s="3">
        <v>2270.0</v>
      </c>
      <c r="K74" s="33"/>
      <c r="L74" s="33">
        <f t="shared" ref="L74:L76" si="10">J74+K74</f>
        <v>2270</v>
      </c>
      <c r="M74" s="34">
        <v>0.25</v>
      </c>
      <c r="N74" s="35">
        <f t="shared" ref="N74:N76" si="11">L74*M74</f>
        <v>567.5</v>
      </c>
      <c r="O74" s="35">
        <f t="shared" ref="O74:O76" si="12">L74+N74</f>
        <v>2837.5</v>
      </c>
      <c r="AA74" s="13"/>
      <c r="AB74" s="13"/>
      <c r="AC74" s="13"/>
      <c r="AD74" s="13"/>
    </row>
    <row r="75">
      <c r="A75" s="10" t="s">
        <v>29</v>
      </c>
      <c r="B75" s="10" t="s">
        <v>10</v>
      </c>
      <c r="C75" s="10" t="s">
        <v>11</v>
      </c>
      <c r="D75" s="10" t="s">
        <v>40</v>
      </c>
      <c r="E75" s="10" t="s">
        <v>41</v>
      </c>
      <c r="F75" s="10" t="s">
        <v>42</v>
      </c>
      <c r="G75" s="11" t="s">
        <v>341</v>
      </c>
      <c r="H75" s="11" t="s">
        <v>597</v>
      </c>
      <c r="I75" s="11"/>
      <c r="J75" s="3">
        <v>2390.0</v>
      </c>
      <c r="K75" s="33"/>
      <c r="L75" s="33">
        <f t="shared" si="10"/>
        <v>2390</v>
      </c>
      <c r="M75" s="34">
        <v>0.25</v>
      </c>
      <c r="N75" s="35">
        <f t="shared" si="11"/>
        <v>597.5</v>
      </c>
      <c r="O75" s="35">
        <f t="shared" si="12"/>
        <v>2987.5</v>
      </c>
      <c r="AA75" s="13"/>
      <c r="AB75" s="13"/>
      <c r="AC75" s="13"/>
      <c r="AD75" s="13"/>
    </row>
    <row r="76">
      <c r="A76" s="10" t="s">
        <v>29</v>
      </c>
      <c r="B76" s="10" t="s">
        <v>10</v>
      </c>
      <c r="C76" s="10" t="s">
        <v>11</v>
      </c>
      <c r="D76" s="10" t="s">
        <v>40</v>
      </c>
      <c r="E76" s="10" t="s">
        <v>41</v>
      </c>
      <c r="F76" s="10" t="s">
        <v>42</v>
      </c>
      <c r="G76" s="11" t="s">
        <v>342</v>
      </c>
      <c r="H76" s="11" t="s">
        <v>598</v>
      </c>
      <c r="I76" s="10" t="s">
        <v>634</v>
      </c>
      <c r="J76" s="37">
        <v>2425.0</v>
      </c>
      <c r="K76" s="33"/>
      <c r="L76" s="33">
        <f t="shared" si="10"/>
        <v>2425</v>
      </c>
      <c r="M76" s="34">
        <v>0.25</v>
      </c>
      <c r="N76" s="35">
        <f t="shared" si="11"/>
        <v>606.25</v>
      </c>
      <c r="O76" s="35">
        <f t="shared" si="12"/>
        <v>3031.25</v>
      </c>
      <c r="AA76" s="13"/>
      <c r="AB76" s="13"/>
      <c r="AC76" s="13"/>
      <c r="AD76" s="13"/>
    </row>
    <row r="77">
      <c r="A77" s="10"/>
      <c r="B77" s="10"/>
      <c r="H77" s="11"/>
      <c r="I77" s="10" t="s">
        <v>635</v>
      </c>
      <c r="AA77" s="13"/>
      <c r="AB77" s="13"/>
      <c r="AC77" s="13"/>
      <c r="AD77" s="13"/>
    </row>
    <row r="78">
      <c r="A78" s="10"/>
      <c r="B78" s="10"/>
      <c r="H78" s="11"/>
      <c r="I78" s="10" t="s">
        <v>636</v>
      </c>
      <c r="AA78" s="13"/>
      <c r="AB78" s="13"/>
      <c r="AC78" s="13"/>
      <c r="AD78" s="13"/>
    </row>
    <row r="79">
      <c r="A79" s="10"/>
      <c r="B79" s="10"/>
      <c r="H79" s="11"/>
      <c r="I79" s="10" t="s">
        <v>637</v>
      </c>
      <c r="AA79" s="13"/>
      <c r="AB79" s="13"/>
      <c r="AC79" s="13"/>
      <c r="AD79" s="13"/>
    </row>
    <row r="80">
      <c r="A80" s="10" t="s">
        <v>29</v>
      </c>
      <c r="B80" s="10" t="s">
        <v>10</v>
      </c>
      <c r="C80" s="10" t="s">
        <v>11</v>
      </c>
      <c r="D80" s="10" t="s">
        <v>40</v>
      </c>
      <c r="E80" s="10" t="s">
        <v>41</v>
      </c>
      <c r="F80" s="10" t="s">
        <v>42</v>
      </c>
      <c r="G80" s="11" t="s">
        <v>347</v>
      </c>
      <c r="H80" s="11" t="s">
        <v>598</v>
      </c>
      <c r="I80" s="11"/>
      <c r="J80" s="3">
        <v>2525.0</v>
      </c>
      <c r="K80" s="33"/>
      <c r="L80" s="33">
        <f t="shared" ref="L80:L96" si="13">J80+K80</f>
        <v>2525</v>
      </c>
      <c r="M80" s="34">
        <v>0.25</v>
      </c>
      <c r="N80" s="35">
        <f t="shared" ref="N80:N96" si="14">L80*M80</f>
        <v>631.25</v>
      </c>
      <c r="O80" s="35">
        <f t="shared" ref="O80:O96" si="15">L80+N80</f>
        <v>3156.25</v>
      </c>
      <c r="AA80" s="13"/>
      <c r="AB80" s="13"/>
      <c r="AC80" s="13"/>
      <c r="AD80" s="13"/>
    </row>
    <row r="81">
      <c r="A81" s="10" t="s">
        <v>29</v>
      </c>
      <c r="B81" s="10" t="s">
        <v>10</v>
      </c>
      <c r="C81" s="10" t="s">
        <v>11</v>
      </c>
      <c r="D81" s="10" t="s">
        <v>40</v>
      </c>
      <c r="E81" s="10" t="s">
        <v>41</v>
      </c>
      <c r="F81" s="10" t="s">
        <v>42</v>
      </c>
      <c r="G81" s="11" t="s">
        <v>540</v>
      </c>
      <c r="H81" s="11" t="s">
        <v>598</v>
      </c>
      <c r="I81" s="11"/>
      <c r="J81" s="3">
        <v>2525.0</v>
      </c>
      <c r="K81" s="33"/>
      <c r="L81" s="33">
        <f t="shared" si="13"/>
        <v>2525</v>
      </c>
      <c r="M81" s="34">
        <v>0.25</v>
      </c>
      <c r="N81" s="35">
        <f t="shared" si="14"/>
        <v>631.25</v>
      </c>
      <c r="O81" s="35">
        <f t="shared" si="15"/>
        <v>3156.25</v>
      </c>
      <c r="AA81" s="13"/>
      <c r="AB81" s="13"/>
      <c r="AC81" s="13"/>
      <c r="AD81" s="13"/>
    </row>
    <row r="82">
      <c r="A82" s="10" t="s">
        <v>29</v>
      </c>
      <c r="B82" s="10" t="s">
        <v>10</v>
      </c>
      <c r="C82" s="10" t="s">
        <v>11</v>
      </c>
      <c r="D82" s="10" t="s">
        <v>40</v>
      </c>
      <c r="E82" s="10" t="s">
        <v>41</v>
      </c>
      <c r="F82" s="10" t="s">
        <v>42</v>
      </c>
      <c r="G82" s="11" t="s">
        <v>541</v>
      </c>
      <c r="H82" s="11" t="s">
        <v>598</v>
      </c>
      <c r="I82" s="11"/>
      <c r="J82" s="3">
        <v>2625.0</v>
      </c>
      <c r="K82" s="33"/>
      <c r="L82" s="33">
        <f t="shared" si="13"/>
        <v>2625</v>
      </c>
      <c r="M82" s="34">
        <v>0.25</v>
      </c>
      <c r="N82" s="35">
        <f t="shared" si="14"/>
        <v>656.25</v>
      </c>
      <c r="O82" s="35">
        <f t="shared" si="15"/>
        <v>3281.25</v>
      </c>
      <c r="AA82" s="13"/>
      <c r="AB82" s="13"/>
      <c r="AC82" s="13"/>
      <c r="AD82" s="13"/>
    </row>
    <row r="83">
      <c r="A83" s="10" t="s">
        <v>29</v>
      </c>
      <c r="B83" s="10" t="s">
        <v>10</v>
      </c>
      <c r="C83" s="10" t="s">
        <v>11</v>
      </c>
      <c r="D83" s="10" t="s">
        <v>40</v>
      </c>
      <c r="E83" s="10" t="s">
        <v>41</v>
      </c>
      <c r="F83" s="10" t="s">
        <v>42</v>
      </c>
      <c r="G83" s="11" t="s">
        <v>350</v>
      </c>
      <c r="H83" s="11" t="s">
        <v>597</v>
      </c>
      <c r="I83" s="11"/>
      <c r="J83" s="3">
        <v>2520.0</v>
      </c>
      <c r="K83" s="33"/>
      <c r="L83" s="33">
        <f t="shared" si="13"/>
        <v>2520</v>
      </c>
      <c r="M83" s="34">
        <v>0.25</v>
      </c>
      <c r="N83" s="35">
        <f t="shared" si="14"/>
        <v>630</v>
      </c>
      <c r="O83" s="35">
        <f t="shared" si="15"/>
        <v>3150</v>
      </c>
      <c r="AA83" s="13"/>
      <c r="AB83" s="13"/>
      <c r="AC83" s="13"/>
      <c r="AD83" s="13"/>
    </row>
    <row r="84">
      <c r="A84" s="10" t="s">
        <v>29</v>
      </c>
      <c r="B84" s="10" t="s">
        <v>10</v>
      </c>
      <c r="C84" s="10" t="s">
        <v>11</v>
      </c>
      <c r="D84" s="10" t="s">
        <v>40</v>
      </c>
      <c r="E84" s="10" t="s">
        <v>41</v>
      </c>
      <c r="F84" s="10" t="s">
        <v>42</v>
      </c>
      <c r="G84" s="11" t="s">
        <v>351</v>
      </c>
      <c r="H84" s="11" t="s">
        <v>597</v>
      </c>
      <c r="I84" s="11"/>
      <c r="J84" s="3">
        <v>2640.0</v>
      </c>
      <c r="K84" s="33"/>
      <c r="L84" s="33">
        <f t="shared" si="13"/>
        <v>2640</v>
      </c>
      <c r="M84" s="34">
        <v>0.25</v>
      </c>
      <c r="N84" s="35">
        <f t="shared" si="14"/>
        <v>660</v>
      </c>
      <c r="O84" s="35">
        <f t="shared" si="15"/>
        <v>3300</v>
      </c>
      <c r="AA84" s="13"/>
      <c r="AB84" s="13"/>
      <c r="AC84" s="13"/>
      <c r="AD84" s="13"/>
    </row>
    <row r="85">
      <c r="A85" s="10" t="s">
        <v>29</v>
      </c>
      <c r="B85" s="10" t="s">
        <v>10</v>
      </c>
      <c r="C85" s="10" t="s">
        <v>11</v>
      </c>
      <c r="D85" s="10" t="s">
        <v>40</v>
      </c>
      <c r="E85" s="10" t="s">
        <v>41</v>
      </c>
      <c r="F85" s="10" t="s">
        <v>42</v>
      </c>
      <c r="G85" s="11" t="s">
        <v>352</v>
      </c>
      <c r="H85" s="11" t="s">
        <v>598</v>
      </c>
      <c r="I85" s="11"/>
      <c r="J85" s="3">
        <v>2675.0</v>
      </c>
      <c r="K85" s="33"/>
      <c r="L85" s="33">
        <f t="shared" si="13"/>
        <v>2675</v>
      </c>
      <c r="M85" s="34">
        <v>0.25</v>
      </c>
      <c r="N85" s="35">
        <f t="shared" si="14"/>
        <v>668.75</v>
      </c>
      <c r="O85" s="35">
        <f t="shared" si="15"/>
        <v>3343.75</v>
      </c>
      <c r="AA85" s="13"/>
      <c r="AB85" s="13"/>
      <c r="AC85" s="13"/>
      <c r="AD85" s="13"/>
    </row>
    <row r="86">
      <c r="A86" s="10" t="s">
        <v>29</v>
      </c>
      <c r="B86" s="10" t="s">
        <v>10</v>
      </c>
      <c r="C86" s="10" t="s">
        <v>11</v>
      </c>
      <c r="D86" s="10" t="s">
        <v>40</v>
      </c>
      <c r="E86" s="10" t="s">
        <v>41</v>
      </c>
      <c r="F86" s="10" t="s">
        <v>42</v>
      </c>
      <c r="G86" s="11" t="s">
        <v>353</v>
      </c>
      <c r="H86" s="11" t="s">
        <v>598</v>
      </c>
      <c r="I86" s="11"/>
      <c r="J86" s="3">
        <v>2775.0</v>
      </c>
      <c r="K86" s="33"/>
      <c r="L86" s="33">
        <f t="shared" si="13"/>
        <v>2775</v>
      </c>
      <c r="M86" s="34">
        <v>0.25</v>
      </c>
      <c r="N86" s="35">
        <f t="shared" si="14"/>
        <v>693.75</v>
      </c>
      <c r="O86" s="35">
        <f t="shared" si="15"/>
        <v>3468.75</v>
      </c>
      <c r="AA86" s="13"/>
      <c r="AB86" s="13"/>
      <c r="AC86" s="13"/>
      <c r="AD86" s="13"/>
    </row>
    <row r="87">
      <c r="A87" s="10" t="s">
        <v>29</v>
      </c>
      <c r="B87" s="10" t="s">
        <v>10</v>
      </c>
      <c r="C87" s="10" t="s">
        <v>11</v>
      </c>
      <c r="D87" s="10" t="s">
        <v>40</v>
      </c>
      <c r="E87" s="10" t="s">
        <v>41</v>
      </c>
      <c r="F87" s="10" t="s">
        <v>42</v>
      </c>
      <c r="G87" s="11" t="s">
        <v>542</v>
      </c>
      <c r="H87" s="11" t="s">
        <v>598</v>
      </c>
      <c r="I87" s="11"/>
      <c r="J87" s="3">
        <v>2775.0</v>
      </c>
      <c r="K87" s="33"/>
      <c r="L87" s="33">
        <f t="shared" si="13"/>
        <v>2775</v>
      </c>
      <c r="M87" s="34">
        <v>0.25</v>
      </c>
      <c r="N87" s="35">
        <f t="shared" si="14"/>
        <v>693.75</v>
      </c>
      <c r="O87" s="35">
        <f t="shared" si="15"/>
        <v>3468.75</v>
      </c>
      <c r="AA87" s="13"/>
      <c r="AB87" s="13"/>
      <c r="AC87" s="13"/>
      <c r="AD87" s="13"/>
    </row>
    <row r="88">
      <c r="A88" s="10" t="s">
        <v>29</v>
      </c>
      <c r="B88" s="10" t="s">
        <v>10</v>
      </c>
      <c r="C88" s="10" t="s">
        <v>11</v>
      </c>
      <c r="D88" s="10" t="s">
        <v>40</v>
      </c>
      <c r="E88" s="10" t="s">
        <v>41</v>
      </c>
      <c r="F88" s="10" t="s">
        <v>42</v>
      </c>
      <c r="G88" s="11" t="s">
        <v>543</v>
      </c>
      <c r="H88" s="11" t="s">
        <v>598</v>
      </c>
      <c r="I88" s="11"/>
      <c r="J88" s="3">
        <v>2875.0</v>
      </c>
      <c r="K88" s="33"/>
      <c r="L88" s="33">
        <f t="shared" si="13"/>
        <v>2875</v>
      </c>
      <c r="M88" s="34">
        <v>0.25</v>
      </c>
      <c r="N88" s="35">
        <f t="shared" si="14"/>
        <v>718.75</v>
      </c>
      <c r="O88" s="35">
        <f t="shared" si="15"/>
        <v>3593.75</v>
      </c>
      <c r="AA88" s="13"/>
      <c r="AB88" s="13"/>
      <c r="AC88" s="13"/>
      <c r="AD88" s="13"/>
    </row>
    <row r="89">
      <c r="A89" s="10" t="s">
        <v>29</v>
      </c>
      <c r="B89" s="10" t="s">
        <v>10</v>
      </c>
      <c r="C89" s="10" t="s">
        <v>11</v>
      </c>
      <c r="D89" s="10" t="s">
        <v>170</v>
      </c>
      <c r="E89" s="10" t="s">
        <v>87</v>
      </c>
      <c r="F89" s="10" t="s">
        <v>83</v>
      </c>
      <c r="G89" s="11" t="s">
        <v>356</v>
      </c>
      <c r="H89" s="11" t="s">
        <v>604</v>
      </c>
      <c r="I89" s="11"/>
      <c r="J89" s="3">
        <v>1640.0</v>
      </c>
      <c r="K89" s="33"/>
      <c r="L89" s="33">
        <f t="shared" si="13"/>
        <v>1640</v>
      </c>
      <c r="M89" s="34">
        <v>0.25</v>
      </c>
      <c r="N89" s="35">
        <f t="shared" si="14"/>
        <v>410</v>
      </c>
      <c r="O89" s="35">
        <f t="shared" si="15"/>
        <v>2050</v>
      </c>
      <c r="AA89" s="13"/>
      <c r="AB89" s="13"/>
      <c r="AC89" s="13"/>
      <c r="AD89" s="13"/>
    </row>
    <row r="90">
      <c r="A90" s="10" t="s">
        <v>29</v>
      </c>
      <c r="B90" s="10" t="s">
        <v>10</v>
      </c>
      <c r="C90" s="10" t="s">
        <v>11</v>
      </c>
      <c r="D90" s="10" t="s">
        <v>91</v>
      </c>
      <c r="E90" s="10" t="s">
        <v>87</v>
      </c>
      <c r="F90" s="10" t="s">
        <v>83</v>
      </c>
      <c r="G90" s="10" t="s">
        <v>356</v>
      </c>
      <c r="H90" s="11" t="s">
        <v>604</v>
      </c>
      <c r="I90" s="11"/>
      <c r="J90" s="3">
        <v>1890.0</v>
      </c>
      <c r="K90" s="33"/>
      <c r="L90" s="33">
        <f t="shared" si="13"/>
        <v>1890</v>
      </c>
      <c r="M90" s="34">
        <v>0.25</v>
      </c>
      <c r="N90" s="35">
        <f t="shared" si="14"/>
        <v>472.5</v>
      </c>
      <c r="O90" s="35">
        <f t="shared" si="15"/>
        <v>2362.5</v>
      </c>
      <c r="AA90" s="13"/>
      <c r="AB90" s="13"/>
      <c r="AC90" s="13"/>
      <c r="AD90" s="13"/>
    </row>
    <row r="91">
      <c r="A91" s="10" t="s">
        <v>29</v>
      </c>
      <c r="B91" s="10" t="s">
        <v>10</v>
      </c>
      <c r="C91" s="10" t="s">
        <v>11</v>
      </c>
      <c r="D91" s="10" t="s">
        <v>93</v>
      </c>
      <c r="E91" s="10" t="s">
        <v>94</v>
      </c>
      <c r="F91" s="10" t="s">
        <v>42</v>
      </c>
      <c r="G91" s="10" t="s">
        <v>545</v>
      </c>
      <c r="H91" s="10" t="s">
        <v>606</v>
      </c>
      <c r="I91" s="10" t="s">
        <v>638</v>
      </c>
      <c r="J91" s="3">
        <v>1133.0</v>
      </c>
      <c r="K91" s="33"/>
      <c r="L91" s="33">
        <f t="shared" si="13"/>
        <v>1133</v>
      </c>
      <c r="M91" s="34">
        <v>0.25</v>
      </c>
      <c r="N91" s="35">
        <f t="shared" si="14"/>
        <v>283.25</v>
      </c>
      <c r="O91" s="35">
        <f t="shared" si="15"/>
        <v>1416.25</v>
      </c>
      <c r="AA91" s="13"/>
      <c r="AB91" s="13"/>
      <c r="AC91" s="13"/>
      <c r="AD91" s="13"/>
    </row>
    <row r="92">
      <c r="A92" s="10" t="s">
        <v>29</v>
      </c>
      <c r="B92" s="10" t="s">
        <v>10</v>
      </c>
      <c r="C92" s="10" t="s">
        <v>11</v>
      </c>
      <c r="D92" s="10" t="s">
        <v>97</v>
      </c>
      <c r="E92" s="10" t="s">
        <v>98</v>
      </c>
      <c r="F92" s="10" t="s">
        <v>99</v>
      </c>
      <c r="G92" s="10" t="s">
        <v>358</v>
      </c>
      <c r="H92" s="10" t="s">
        <v>608</v>
      </c>
      <c r="I92" s="10" t="s">
        <v>639</v>
      </c>
      <c r="J92" s="3">
        <v>1050.0</v>
      </c>
      <c r="K92" s="33"/>
      <c r="L92" s="33">
        <f t="shared" si="13"/>
        <v>1050</v>
      </c>
      <c r="M92" s="34">
        <v>0.25</v>
      </c>
      <c r="N92" s="35">
        <f t="shared" si="14"/>
        <v>262.5</v>
      </c>
      <c r="O92" s="35">
        <f t="shared" si="15"/>
        <v>1312.5</v>
      </c>
      <c r="AA92" s="13"/>
      <c r="AB92" s="13"/>
      <c r="AC92" s="13"/>
      <c r="AD92" s="13"/>
    </row>
    <row r="93">
      <c r="A93" s="10" t="s">
        <v>29</v>
      </c>
      <c r="B93" s="10" t="s">
        <v>10</v>
      </c>
      <c r="C93" s="10" t="s">
        <v>11</v>
      </c>
      <c r="D93" s="10" t="s">
        <v>97</v>
      </c>
      <c r="E93" s="10" t="s">
        <v>102</v>
      </c>
      <c r="F93" s="10" t="s">
        <v>99</v>
      </c>
      <c r="G93" s="10" t="s">
        <v>358</v>
      </c>
      <c r="H93" s="10" t="s">
        <v>608</v>
      </c>
      <c r="I93" s="10" t="s">
        <v>640</v>
      </c>
      <c r="J93" s="3">
        <v>1050.0</v>
      </c>
      <c r="K93" s="33"/>
      <c r="L93" s="33">
        <f t="shared" si="13"/>
        <v>1050</v>
      </c>
      <c r="M93" s="34">
        <v>0.25</v>
      </c>
      <c r="N93" s="35">
        <f t="shared" si="14"/>
        <v>262.5</v>
      </c>
      <c r="O93" s="35">
        <f t="shared" si="15"/>
        <v>1312.5</v>
      </c>
      <c r="AA93" s="13"/>
      <c r="AB93" s="13"/>
      <c r="AC93" s="13"/>
      <c r="AD93" s="13"/>
    </row>
    <row r="94">
      <c r="A94" s="10" t="s">
        <v>29</v>
      </c>
      <c r="B94" s="10" t="s">
        <v>10</v>
      </c>
      <c r="C94" s="10" t="s">
        <v>11</v>
      </c>
      <c r="D94" s="10" t="s">
        <v>97</v>
      </c>
      <c r="E94" s="10" t="s">
        <v>103</v>
      </c>
      <c r="F94" s="10" t="s">
        <v>99</v>
      </c>
      <c r="G94" s="10" t="s">
        <v>358</v>
      </c>
      <c r="H94" s="10" t="s">
        <v>608</v>
      </c>
      <c r="I94" s="10" t="s">
        <v>641</v>
      </c>
      <c r="J94" s="3">
        <v>1200.0</v>
      </c>
      <c r="K94" s="33"/>
      <c r="L94" s="33">
        <f t="shared" si="13"/>
        <v>1200</v>
      </c>
      <c r="M94" s="34">
        <v>0.25</v>
      </c>
      <c r="N94" s="35">
        <f t="shared" si="14"/>
        <v>300</v>
      </c>
      <c r="O94" s="35">
        <f t="shared" si="15"/>
        <v>1500</v>
      </c>
      <c r="AA94" s="13"/>
      <c r="AB94" s="13"/>
      <c r="AC94" s="13"/>
      <c r="AD94" s="13"/>
    </row>
    <row r="95">
      <c r="A95" s="10" t="s">
        <v>29</v>
      </c>
      <c r="B95" s="10" t="s">
        <v>10</v>
      </c>
      <c r="C95" s="10" t="s">
        <v>11</v>
      </c>
      <c r="D95" s="10" t="s">
        <v>104</v>
      </c>
      <c r="E95" s="10" t="s">
        <v>105</v>
      </c>
      <c r="F95" s="10" t="s">
        <v>99</v>
      </c>
      <c r="G95" s="10" t="s">
        <v>358</v>
      </c>
      <c r="H95" s="10" t="s">
        <v>612</v>
      </c>
      <c r="I95" s="10" t="s">
        <v>642</v>
      </c>
      <c r="J95" s="3">
        <v>1850.0</v>
      </c>
      <c r="K95" s="33"/>
      <c r="L95" s="33">
        <f t="shared" si="13"/>
        <v>1850</v>
      </c>
      <c r="M95" s="34">
        <v>0.25</v>
      </c>
      <c r="N95" s="35">
        <f t="shared" si="14"/>
        <v>462.5</v>
      </c>
      <c r="O95" s="35">
        <f t="shared" si="15"/>
        <v>2312.5</v>
      </c>
      <c r="AA95" s="13"/>
      <c r="AB95" s="13"/>
      <c r="AC95" s="13"/>
      <c r="AD95" s="13"/>
    </row>
    <row r="96">
      <c r="A96" s="10" t="s">
        <v>29</v>
      </c>
      <c r="B96" s="10" t="s">
        <v>10</v>
      </c>
      <c r="C96" s="10" t="s">
        <v>11</v>
      </c>
      <c r="D96" s="10" t="s">
        <v>107</v>
      </c>
      <c r="E96" s="10" t="s">
        <v>204</v>
      </c>
      <c r="F96" s="10" t="s">
        <v>99</v>
      </c>
      <c r="G96" s="10" t="s">
        <v>358</v>
      </c>
      <c r="H96" s="10" t="s">
        <v>614</v>
      </c>
      <c r="I96" s="10" t="s">
        <v>643</v>
      </c>
      <c r="J96" s="3">
        <v>1225.0</v>
      </c>
      <c r="K96" s="33"/>
      <c r="L96" s="33">
        <f t="shared" si="13"/>
        <v>1225</v>
      </c>
      <c r="M96" s="34">
        <v>0.25</v>
      </c>
      <c r="N96" s="35">
        <f t="shared" si="14"/>
        <v>306.25</v>
      </c>
      <c r="O96" s="35">
        <f t="shared" si="15"/>
        <v>1531.25</v>
      </c>
      <c r="AA96" s="13"/>
      <c r="AB96" s="13"/>
      <c r="AC96" s="13"/>
      <c r="AD96" s="13"/>
    </row>
    <row r="97">
      <c r="I97" s="10" t="s">
        <v>644</v>
      </c>
      <c r="J97" s="3"/>
      <c r="K97" s="33"/>
      <c r="L97" s="33"/>
      <c r="M97" s="34"/>
      <c r="N97" s="35"/>
      <c r="O97" s="35"/>
      <c r="AA97" s="13"/>
      <c r="AB97" s="13"/>
      <c r="AC97" s="13"/>
      <c r="AD97" s="13"/>
    </row>
    <row r="98">
      <c r="I98" s="10" t="s">
        <v>645</v>
      </c>
      <c r="J98" s="3"/>
      <c r="K98" s="33"/>
      <c r="L98" s="33"/>
      <c r="M98" s="34"/>
      <c r="N98" s="35"/>
      <c r="O98" s="35"/>
      <c r="AA98" s="13"/>
      <c r="AB98" s="13"/>
      <c r="AC98" s="13"/>
      <c r="AD98" s="13"/>
    </row>
    <row r="99">
      <c r="I99" s="10" t="s">
        <v>646</v>
      </c>
      <c r="J99" s="3"/>
      <c r="K99" s="33"/>
      <c r="L99" s="33"/>
      <c r="M99" s="34"/>
      <c r="N99" s="35"/>
      <c r="O99" s="35"/>
      <c r="AA99" s="13"/>
      <c r="AB99" s="13"/>
      <c r="AC99" s="13"/>
      <c r="AD99" s="13"/>
    </row>
    <row r="100">
      <c r="I100" s="10" t="s">
        <v>647</v>
      </c>
      <c r="J100" s="3"/>
      <c r="K100" s="33"/>
      <c r="L100" s="33"/>
      <c r="M100" s="34"/>
      <c r="N100" s="35"/>
      <c r="O100" s="35"/>
      <c r="AA100" s="13"/>
      <c r="AB100" s="13"/>
      <c r="AC100" s="13"/>
      <c r="AD100" s="13"/>
    </row>
    <row r="101">
      <c r="A101" s="7" t="s">
        <v>397</v>
      </c>
      <c r="I101" s="7"/>
      <c r="J101" s="4"/>
      <c r="K101" s="33"/>
      <c r="L101" s="33">
        <f t="shared" ref="L101:L103" si="16">J101+K101</f>
        <v>0</v>
      </c>
      <c r="M101" s="34">
        <v>0.25</v>
      </c>
      <c r="N101" s="35">
        <f t="shared" ref="N101:N103" si="17">L101*M101</f>
        <v>0</v>
      </c>
      <c r="O101" s="35">
        <f t="shared" ref="O101:O103" si="18">L101+N101</f>
        <v>0</v>
      </c>
      <c r="P101" s="4"/>
      <c r="Q101" s="6"/>
      <c r="R101" s="6"/>
      <c r="S101" s="6"/>
      <c r="T101" s="6"/>
      <c r="U101" s="6"/>
      <c r="V101" s="6"/>
      <c r="W101" s="6"/>
      <c r="X101" s="6"/>
      <c r="Y101" s="6"/>
      <c r="Z101" s="6"/>
      <c r="AA101" s="6"/>
      <c r="AB101" s="6"/>
      <c r="AC101" s="6"/>
      <c r="AD101" s="6"/>
    </row>
    <row r="102">
      <c r="A102" s="10" t="s">
        <v>29</v>
      </c>
      <c r="B102" s="4" t="s">
        <v>1</v>
      </c>
      <c r="C102" s="4" t="s">
        <v>2</v>
      </c>
      <c r="D102" s="4" t="s">
        <v>3</v>
      </c>
      <c r="E102" s="4" t="s">
        <v>32</v>
      </c>
      <c r="F102" s="4" t="s">
        <v>4</v>
      </c>
      <c r="G102" s="4" t="s">
        <v>6</v>
      </c>
      <c r="H102" s="4" t="s">
        <v>5</v>
      </c>
      <c r="I102" s="4"/>
      <c r="J102" s="4" t="s">
        <v>34</v>
      </c>
      <c r="K102" s="33"/>
      <c r="L102" s="33" t="str">
        <f t="shared" si="16"/>
        <v>#VALUE!</v>
      </c>
      <c r="M102" s="34">
        <v>0.25</v>
      </c>
      <c r="N102" s="35" t="str">
        <f t="shared" si="17"/>
        <v>#VALUE!</v>
      </c>
      <c r="O102" s="35" t="str">
        <f t="shared" si="18"/>
        <v>#VALUE!</v>
      </c>
      <c r="P102" s="4"/>
      <c r="Q102" s="6"/>
      <c r="R102" s="6"/>
      <c r="S102" s="6"/>
      <c r="T102" s="6"/>
      <c r="U102" s="6"/>
      <c r="V102" s="6"/>
      <c r="W102" s="6"/>
      <c r="X102" s="6"/>
      <c r="Y102" s="6"/>
      <c r="Z102" s="6"/>
      <c r="AA102" s="6"/>
      <c r="AB102" s="6"/>
      <c r="AC102" s="6"/>
      <c r="AD102" s="6"/>
    </row>
    <row r="103" ht="37.5" customHeight="1">
      <c r="A103" s="10" t="s">
        <v>29</v>
      </c>
      <c r="B103" s="10" t="s">
        <v>10</v>
      </c>
      <c r="C103" s="10" t="s">
        <v>11</v>
      </c>
      <c r="D103" s="10" t="s">
        <v>40</v>
      </c>
      <c r="E103" s="10" t="s">
        <v>41</v>
      </c>
      <c r="F103" s="10" t="s">
        <v>42</v>
      </c>
      <c r="G103" s="10" t="s">
        <v>555</v>
      </c>
      <c r="H103" s="11" t="s">
        <v>592</v>
      </c>
      <c r="I103" s="10" t="s">
        <v>648</v>
      </c>
      <c r="J103" s="10">
        <v>1940.0</v>
      </c>
      <c r="K103" s="33"/>
      <c r="L103" s="33">
        <f t="shared" si="16"/>
        <v>1940</v>
      </c>
      <c r="M103" s="34">
        <v>0.25</v>
      </c>
      <c r="N103" s="35">
        <f t="shared" si="17"/>
        <v>485</v>
      </c>
      <c r="O103" s="35">
        <f t="shared" si="18"/>
        <v>2425</v>
      </c>
      <c r="P103" s="13"/>
      <c r="Q103" s="13"/>
      <c r="R103" s="13"/>
      <c r="S103" s="13"/>
      <c r="T103" s="13"/>
      <c r="U103" s="13"/>
      <c r="V103" s="13"/>
      <c r="W103" s="13"/>
      <c r="X103" s="13"/>
      <c r="Y103" s="13"/>
      <c r="Z103" s="13"/>
      <c r="AA103" s="13"/>
      <c r="AB103" s="13"/>
      <c r="AC103" s="13"/>
      <c r="AD103" s="13"/>
    </row>
    <row r="104" ht="37.5" customHeight="1">
      <c r="A104" s="10"/>
      <c r="B104" s="10"/>
      <c r="H104" s="11"/>
      <c r="I104" s="10" t="s">
        <v>649</v>
      </c>
      <c r="J104" s="10"/>
      <c r="K104" s="33"/>
      <c r="L104" s="33"/>
      <c r="M104" s="34"/>
      <c r="N104" s="35"/>
      <c r="O104" s="35"/>
      <c r="P104" s="13"/>
      <c r="Q104" s="13"/>
      <c r="R104" s="13"/>
      <c r="S104" s="13"/>
      <c r="T104" s="13"/>
      <c r="U104" s="13"/>
      <c r="V104" s="13"/>
      <c r="W104" s="13"/>
      <c r="X104" s="13"/>
      <c r="Y104" s="13"/>
      <c r="Z104" s="13"/>
      <c r="AA104" s="13"/>
      <c r="AB104" s="13"/>
      <c r="AC104" s="13"/>
      <c r="AD104" s="13"/>
    </row>
    <row r="105" ht="37.5" customHeight="1">
      <c r="A105" s="10"/>
      <c r="B105" s="10"/>
      <c r="H105" s="11"/>
      <c r="I105" s="10" t="s">
        <v>650</v>
      </c>
      <c r="J105" s="10"/>
      <c r="K105" s="33"/>
      <c r="L105" s="33"/>
      <c r="M105" s="34"/>
      <c r="N105" s="35"/>
      <c r="O105" s="35"/>
      <c r="P105" s="13"/>
      <c r="Q105" s="13"/>
      <c r="R105" s="13"/>
      <c r="S105" s="13"/>
      <c r="T105" s="13"/>
      <c r="U105" s="13"/>
      <c r="V105" s="13"/>
      <c r="W105" s="13"/>
      <c r="X105" s="13"/>
      <c r="Y105" s="13"/>
      <c r="Z105" s="13"/>
      <c r="AA105" s="13"/>
      <c r="AB105" s="13"/>
      <c r="AC105" s="13"/>
      <c r="AD105" s="13"/>
    </row>
    <row r="106" ht="37.5" customHeight="1">
      <c r="A106" s="10"/>
      <c r="B106" s="10"/>
      <c r="H106" s="11"/>
      <c r="I106" s="10" t="s">
        <v>651</v>
      </c>
      <c r="J106" s="10"/>
      <c r="K106" s="33"/>
      <c r="L106" s="33"/>
      <c r="M106" s="34"/>
      <c r="N106" s="35"/>
      <c r="O106" s="35"/>
      <c r="P106" s="13"/>
      <c r="Q106" s="13"/>
      <c r="R106" s="13"/>
      <c r="S106" s="13"/>
      <c r="T106" s="13"/>
      <c r="U106" s="13"/>
      <c r="V106" s="13"/>
      <c r="W106" s="13"/>
      <c r="X106" s="13"/>
      <c r="Y106" s="13"/>
      <c r="Z106" s="13"/>
      <c r="AA106" s="13"/>
      <c r="AB106" s="13"/>
      <c r="AC106" s="13"/>
      <c r="AD106" s="13"/>
    </row>
    <row r="107">
      <c r="A107" s="10" t="s">
        <v>29</v>
      </c>
      <c r="B107" s="10" t="s">
        <v>10</v>
      </c>
      <c r="C107" s="10" t="s">
        <v>11</v>
      </c>
      <c r="D107" s="10" t="s">
        <v>40</v>
      </c>
      <c r="E107" s="10" t="s">
        <v>41</v>
      </c>
      <c r="F107" s="10" t="s">
        <v>42</v>
      </c>
      <c r="G107" s="11" t="s">
        <v>399</v>
      </c>
      <c r="H107" s="11" t="s">
        <v>597</v>
      </c>
      <c r="I107" s="11"/>
      <c r="J107" s="10">
        <v>2320.0</v>
      </c>
      <c r="K107" s="33"/>
      <c r="L107" s="33">
        <f t="shared" ref="L107:L116" si="19">J107+K107</f>
        <v>2320</v>
      </c>
      <c r="M107" s="34">
        <v>0.25</v>
      </c>
      <c r="N107" s="35">
        <f t="shared" ref="N107:N116" si="20">L107*M107</f>
        <v>580</v>
      </c>
      <c r="O107" s="35">
        <f t="shared" ref="O107:O116" si="21">L107+N107</f>
        <v>2900</v>
      </c>
      <c r="P107" s="13"/>
      <c r="Q107" s="13"/>
      <c r="R107" s="13"/>
      <c r="S107" s="13"/>
      <c r="T107" s="13"/>
      <c r="U107" s="13"/>
      <c r="V107" s="13"/>
      <c r="W107" s="13"/>
      <c r="X107" s="13"/>
      <c r="Y107" s="13"/>
      <c r="Z107" s="13"/>
      <c r="AA107" s="13"/>
      <c r="AB107" s="13"/>
      <c r="AC107" s="13"/>
      <c r="AD107" s="13"/>
    </row>
    <row r="108">
      <c r="A108" s="10" t="s">
        <v>29</v>
      </c>
      <c r="B108" s="10" t="s">
        <v>10</v>
      </c>
      <c r="C108" s="10" t="s">
        <v>11</v>
      </c>
      <c r="D108" s="10" t="s">
        <v>40</v>
      </c>
      <c r="E108" s="10" t="s">
        <v>41</v>
      </c>
      <c r="F108" s="10" t="s">
        <v>42</v>
      </c>
      <c r="G108" s="11" t="s">
        <v>400</v>
      </c>
      <c r="H108" s="11" t="s">
        <v>597</v>
      </c>
      <c r="I108" s="11"/>
      <c r="J108" s="10">
        <v>2440.0</v>
      </c>
      <c r="K108" s="33"/>
      <c r="L108" s="33">
        <f t="shared" si="19"/>
        <v>2440</v>
      </c>
      <c r="M108" s="34">
        <v>0.25</v>
      </c>
      <c r="N108" s="35">
        <f t="shared" si="20"/>
        <v>610</v>
      </c>
      <c r="O108" s="35">
        <f t="shared" si="21"/>
        <v>3050</v>
      </c>
      <c r="P108" s="13"/>
      <c r="Q108" s="13"/>
      <c r="R108" s="13"/>
      <c r="S108" s="13"/>
      <c r="T108" s="13"/>
      <c r="U108" s="13"/>
      <c r="V108" s="13"/>
      <c r="W108" s="13"/>
      <c r="X108" s="13"/>
      <c r="Y108" s="13"/>
      <c r="Z108" s="13"/>
      <c r="AA108" s="13"/>
      <c r="AB108" s="13"/>
      <c r="AC108" s="13"/>
      <c r="AD108" s="13"/>
    </row>
    <row r="109">
      <c r="A109" s="10" t="s">
        <v>29</v>
      </c>
      <c r="B109" s="10" t="s">
        <v>10</v>
      </c>
      <c r="C109" s="10" t="s">
        <v>11</v>
      </c>
      <c r="D109" s="10" t="s">
        <v>170</v>
      </c>
      <c r="E109" s="10" t="s">
        <v>87</v>
      </c>
      <c r="F109" s="10" t="s">
        <v>83</v>
      </c>
      <c r="G109" s="11" t="s">
        <v>401</v>
      </c>
      <c r="H109" s="11" t="s">
        <v>604</v>
      </c>
      <c r="I109" s="11"/>
      <c r="J109" s="10">
        <v>1690.0</v>
      </c>
      <c r="K109" s="33"/>
      <c r="L109" s="33">
        <f t="shared" si="19"/>
        <v>1690</v>
      </c>
      <c r="M109" s="34">
        <v>0.25</v>
      </c>
      <c r="N109" s="35">
        <f t="shared" si="20"/>
        <v>422.5</v>
      </c>
      <c r="O109" s="35">
        <f t="shared" si="21"/>
        <v>2112.5</v>
      </c>
      <c r="P109" s="13"/>
      <c r="Q109" s="13"/>
      <c r="R109" s="13"/>
      <c r="S109" s="13"/>
      <c r="T109" s="13"/>
      <c r="U109" s="13"/>
      <c r="V109" s="13"/>
      <c r="W109" s="13"/>
      <c r="X109" s="13"/>
      <c r="Y109" s="13"/>
      <c r="Z109" s="13"/>
      <c r="AA109" s="13"/>
      <c r="AB109" s="13"/>
      <c r="AC109" s="13"/>
      <c r="AD109" s="13"/>
    </row>
    <row r="110">
      <c r="A110" s="10" t="s">
        <v>29</v>
      </c>
      <c r="B110" s="10" t="s">
        <v>10</v>
      </c>
      <c r="C110" s="10" t="s">
        <v>11</v>
      </c>
      <c r="D110" s="10" t="s">
        <v>91</v>
      </c>
      <c r="E110" s="10" t="s">
        <v>87</v>
      </c>
      <c r="F110" s="10" t="s">
        <v>83</v>
      </c>
      <c r="G110" s="10" t="s">
        <v>401</v>
      </c>
      <c r="H110" s="11" t="s">
        <v>604</v>
      </c>
      <c r="I110" s="11"/>
      <c r="J110" s="10">
        <v>1940.0</v>
      </c>
      <c r="K110" s="33"/>
      <c r="L110" s="33">
        <f t="shared" si="19"/>
        <v>1940</v>
      </c>
      <c r="M110" s="34">
        <v>0.25</v>
      </c>
      <c r="N110" s="35">
        <f t="shared" si="20"/>
        <v>485</v>
      </c>
      <c r="O110" s="35">
        <f t="shared" si="21"/>
        <v>2425</v>
      </c>
      <c r="P110" s="13"/>
      <c r="Q110" s="13"/>
      <c r="R110" s="13"/>
      <c r="S110" s="13"/>
      <c r="T110" s="13"/>
      <c r="U110" s="13"/>
      <c r="V110" s="13"/>
      <c r="W110" s="13"/>
      <c r="X110" s="13"/>
      <c r="Y110" s="13"/>
      <c r="Z110" s="13"/>
      <c r="AA110" s="13"/>
      <c r="AB110" s="13"/>
      <c r="AC110" s="13"/>
      <c r="AD110" s="13"/>
    </row>
    <row r="111">
      <c r="A111" s="10" t="s">
        <v>29</v>
      </c>
      <c r="B111" s="10" t="s">
        <v>10</v>
      </c>
      <c r="C111" s="10" t="s">
        <v>11</v>
      </c>
      <c r="D111" s="10" t="s">
        <v>93</v>
      </c>
      <c r="E111" s="10" t="s">
        <v>94</v>
      </c>
      <c r="F111" s="10" t="s">
        <v>42</v>
      </c>
      <c r="G111" s="10" t="s">
        <v>556</v>
      </c>
      <c r="H111" s="10" t="s">
        <v>606</v>
      </c>
      <c r="I111" s="10"/>
      <c r="J111" s="10">
        <v>1183.0</v>
      </c>
      <c r="K111" s="33"/>
      <c r="L111" s="33">
        <f t="shared" si="19"/>
        <v>1183</v>
      </c>
      <c r="M111" s="34">
        <v>0.25</v>
      </c>
      <c r="N111" s="35">
        <f t="shared" si="20"/>
        <v>295.75</v>
      </c>
      <c r="O111" s="35">
        <f t="shared" si="21"/>
        <v>1478.75</v>
      </c>
      <c r="P111" s="13"/>
      <c r="Q111" s="13"/>
      <c r="R111" s="13"/>
      <c r="S111" s="13"/>
      <c r="T111" s="13"/>
      <c r="U111" s="13"/>
      <c r="V111" s="13"/>
      <c r="W111" s="13"/>
      <c r="X111" s="13"/>
      <c r="Y111" s="13"/>
      <c r="Z111" s="13"/>
      <c r="AA111" s="13"/>
      <c r="AB111" s="13"/>
      <c r="AC111" s="13"/>
      <c r="AD111" s="13"/>
    </row>
    <row r="112">
      <c r="A112" s="10" t="s">
        <v>29</v>
      </c>
      <c r="B112" s="10" t="s">
        <v>10</v>
      </c>
      <c r="C112" s="10" t="s">
        <v>11</v>
      </c>
      <c r="D112" s="10" t="s">
        <v>97</v>
      </c>
      <c r="E112" s="10" t="s">
        <v>98</v>
      </c>
      <c r="F112" s="10" t="s">
        <v>99</v>
      </c>
      <c r="G112" s="10" t="s">
        <v>403</v>
      </c>
      <c r="H112" s="10" t="s">
        <v>608</v>
      </c>
      <c r="I112" s="10" t="s">
        <v>652</v>
      </c>
      <c r="J112" s="10">
        <v>1100.0</v>
      </c>
      <c r="K112" s="33"/>
      <c r="L112" s="33">
        <f t="shared" si="19"/>
        <v>1100</v>
      </c>
      <c r="M112" s="34">
        <v>0.25</v>
      </c>
      <c r="N112" s="35">
        <f t="shared" si="20"/>
        <v>275</v>
      </c>
      <c r="O112" s="35">
        <f t="shared" si="21"/>
        <v>1375</v>
      </c>
      <c r="P112" s="13"/>
      <c r="Q112" s="13"/>
      <c r="R112" s="13"/>
      <c r="S112" s="13"/>
      <c r="T112" s="13"/>
      <c r="U112" s="13"/>
      <c r="V112" s="13"/>
      <c r="W112" s="13"/>
      <c r="X112" s="13"/>
      <c r="Y112" s="13"/>
      <c r="Z112" s="13"/>
      <c r="AA112" s="13"/>
      <c r="AB112" s="13"/>
      <c r="AC112" s="13"/>
      <c r="AD112" s="13"/>
    </row>
    <row r="113">
      <c r="A113" s="10" t="s">
        <v>29</v>
      </c>
      <c r="B113" s="10" t="s">
        <v>10</v>
      </c>
      <c r="C113" s="10" t="s">
        <v>11</v>
      </c>
      <c r="D113" s="10" t="s">
        <v>97</v>
      </c>
      <c r="E113" s="10" t="s">
        <v>102</v>
      </c>
      <c r="F113" s="10" t="s">
        <v>99</v>
      </c>
      <c r="G113" s="10" t="s">
        <v>403</v>
      </c>
      <c r="H113" s="10" t="s">
        <v>608</v>
      </c>
      <c r="I113" s="10" t="s">
        <v>653</v>
      </c>
      <c r="J113" s="10">
        <v>1100.0</v>
      </c>
      <c r="K113" s="33"/>
      <c r="L113" s="33">
        <f t="shared" si="19"/>
        <v>1100</v>
      </c>
      <c r="M113" s="34">
        <v>0.25</v>
      </c>
      <c r="N113" s="35">
        <f t="shared" si="20"/>
        <v>275</v>
      </c>
      <c r="O113" s="35">
        <f t="shared" si="21"/>
        <v>1375</v>
      </c>
      <c r="P113" s="13"/>
      <c r="Q113" s="13"/>
      <c r="R113" s="13"/>
      <c r="S113" s="13"/>
      <c r="T113" s="13"/>
      <c r="U113" s="13"/>
      <c r="V113" s="13"/>
      <c r="W113" s="13"/>
      <c r="X113" s="13"/>
      <c r="Y113" s="13"/>
      <c r="Z113" s="13"/>
      <c r="AA113" s="13"/>
      <c r="AB113" s="13"/>
      <c r="AC113" s="13"/>
      <c r="AD113" s="13"/>
    </row>
    <row r="114">
      <c r="A114" s="10" t="s">
        <v>29</v>
      </c>
      <c r="B114" s="10" t="s">
        <v>10</v>
      </c>
      <c r="C114" s="10" t="s">
        <v>11</v>
      </c>
      <c r="D114" s="10" t="s">
        <v>97</v>
      </c>
      <c r="E114" s="10" t="s">
        <v>103</v>
      </c>
      <c r="F114" s="10" t="s">
        <v>99</v>
      </c>
      <c r="G114" s="10" t="s">
        <v>403</v>
      </c>
      <c r="H114" s="10" t="s">
        <v>608</v>
      </c>
      <c r="I114" s="10" t="s">
        <v>654</v>
      </c>
      <c r="J114" s="10">
        <v>1250.0</v>
      </c>
      <c r="K114" s="33"/>
      <c r="L114" s="33">
        <f t="shared" si="19"/>
        <v>1250</v>
      </c>
      <c r="M114" s="34">
        <v>0.25</v>
      </c>
      <c r="N114" s="35">
        <f t="shared" si="20"/>
        <v>312.5</v>
      </c>
      <c r="O114" s="35">
        <f t="shared" si="21"/>
        <v>1562.5</v>
      </c>
      <c r="P114" s="13"/>
      <c r="Q114" s="13"/>
      <c r="R114" s="13"/>
      <c r="S114" s="13"/>
      <c r="T114" s="13"/>
      <c r="U114" s="13"/>
      <c r="V114" s="13"/>
      <c r="W114" s="13"/>
      <c r="X114" s="13"/>
      <c r="Y114" s="13"/>
      <c r="Z114" s="13"/>
      <c r="AA114" s="13"/>
      <c r="AB114" s="13"/>
      <c r="AC114" s="13"/>
      <c r="AD114" s="13"/>
    </row>
    <row r="115">
      <c r="A115" s="10" t="s">
        <v>29</v>
      </c>
      <c r="B115" s="10" t="s">
        <v>10</v>
      </c>
      <c r="C115" s="10" t="s">
        <v>11</v>
      </c>
      <c r="D115" s="10" t="s">
        <v>104</v>
      </c>
      <c r="E115" s="10" t="s">
        <v>105</v>
      </c>
      <c r="F115" s="10" t="s">
        <v>99</v>
      </c>
      <c r="G115" s="10" t="s">
        <v>403</v>
      </c>
      <c r="H115" s="10" t="s">
        <v>612</v>
      </c>
      <c r="I115" s="10" t="s">
        <v>655</v>
      </c>
      <c r="J115" s="10">
        <v>1900.0</v>
      </c>
      <c r="K115" s="33"/>
      <c r="L115" s="33">
        <f t="shared" si="19"/>
        <v>1900</v>
      </c>
      <c r="M115" s="34">
        <v>0.25</v>
      </c>
      <c r="N115" s="35">
        <f t="shared" si="20"/>
        <v>475</v>
      </c>
      <c r="O115" s="35">
        <f t="shared" si="21"/>
        <v>2375</v>
      </c>
      <c r="P115" s="13"/>
      <c r="Q115" s="13"/>
      <c r="R115" s="13"/>
      <c r="S115" s="13"/>
      <c r="T115" s="13"/>
      <c r="U115" s="13"/>
      <c r="V115" s="13"/>
      <c r="W115" s="13"/>
      <c r="X115" s="13"/>
      <c r="Y115" s="13"/>
      <c r="Z115" s="13"/>
      <c r="AA115" s="13"/>
      <c r="AB115" s="13"/>
      <c r="AC115" s="13"/>
      <c r="AD115" s="13"/>
    </row>
    <row r="116">
      <c r="A116" s="10" t="s">
        <v>29</v>
      </c>
      <c r="B116" s="10" t="s">
        <v>10</v>
      </c>
      <c r="C116" s="10" t="s">
        <v>11</v>
      </c>
      <c r="D116" s="10" t="s">
        <v>107</v>
      </c>
      <c r="E116" s="10" t="s">
        <v>204</v>
      </c>
      <c r="F116" s="10" t="s">
        <v>99</v>
      </c>
      <c r="G116" s="10" t="s">
        <v>403</v>
      </c>
      <c r="H116" s="10" t="s">
        <v>614</v>
      </c>
      <c r="I116" s="10" t="s">
        <v>656</v>
      </c>
      <c r="J116" s="10">
        <v>1275.0</v>
      </c>
      <c r="K116" s="33"/>
      <c r="L116" s="33">
        <f t="shared" si="19"/>
        <v>1275</v>
      </c>
      <c r="M116" s="34">
        <v>0.25</v>
      </c>
      <c r="N116" s="35">
        <f t="shared" si="20"/>
        <v>318.75</v>
      </c>
      <c r="O116" s="35">
        <f t="shared" si="21"/>
        <v>1593.75</v>
      </c>
      <c r="P116" s="13"/>
      <c r="Q116" s="13"/>
      <c r="R116" s="13"/>
      <c r="S116" s="13"/>
      <c r="T116" s="13"/>
      <c r="U116" s="13"/>
      <c r="V116" s="13"/>
      <c r="W116" s="13"/>
      <c r="X116" s="13"/>
      <c r="Y116" s="13"/>
      <c r="Z116" s="13"/>
      <c r="AA116" s="13"/>
      <c r="AB116" s="13"/>
      <c r="AC116" s="13"/>
      <c r="AD116" s="13"/>
    </row>
    <row r="117">
      <c r="A117" s="10"/>
      <c r="B117" s="10"/>
      <c r="H117" s="10"/>
      <c r="I117" s="10" t="s">
        <v>657</v>
      </c>
      <c r="P117" s="13"/>
      <c r="Q117" s="13"/>
      <c r="R117" s="13"/>
      <c r="S117" s="13"/>
      <c r="T117" s="13"/>
      <c r="U117" s="13"/>
      <c r="V117" s="13"/>
      <c r="W117" s="13"/>
      <c r="X117" s="13"/>
      <c r="Y117" s="13"/>
      <c r="Z117" s="13"/>
      <c r="AA117" s="13"/>
      <c r="AB117" s="13"/>
      <c r="AC117" s="13"/>
      <c r="AD117" s="13"/>
    </row>
    <row r="118">
      <c r="A118" s="10"/>
      <c r="B118" s="10"/>
      <c r="H118" s="10"/>
      <c r="I118" s="10" t="s">
        <v>658</v>
      </c>
      <c r="P118" s="13"/>
      <c r="Q118" s="13"/>
      <c r="R118" s="13"/>
      <c r="S118" s="13"/>
      <c r="T118" s="13"/>
      <c r="U118" s="13"/>
      <c r="V118" s="13"/>
      <c r="W118" s="13"/>
      <c r="X118" s="13"/>
      <c r="Y118" s="13"/>
      <c r="Z118" s="13"/>
      <c r="AA118" s="13"/>
      <c r="AB118" s="13"/>
      <c r="AC118" s="13"/>
      <c r="AD118" s="13"/>
    </row>
    <row r="119">
      <c r="A119" s="10"/>
      <c r="B119" s="10"/>
      <c r="H119" s="10"/>
      <c r="I119" s="10" t="s">
        <v>659</v>
      </c>
      <c r="P119" s="13"/>
      <c r="Q119" s="13"/>
      <c r="R119" s="13"/>
      <c r="S119" s="13"/>
      <c r="T119" s="13"/>
      <c r="U119" s="13"/>
      <c r="V119" s="13"/>
      <c r="W119" s="13"/>
      <c r="X119" s="13"/>
      <c r="Y119" s="13"/>
      <c r="Z119" s="13"/>
      <c r="AA119" s="13"/>
      <c r="AB119" s="13"/>
      <c r="AC119" s="13"/>
      <c r="AD119" s="13"/>
    </row>
    <row r="120">
      <c r="A120" s="10"/>
      <c r="B120" s="10"/>
      <c r="H120" s="10"/>
      <c r="I120" s="10" t="s">
        <v>660</v>
      </c>
      <c r="P120" s="13"/>
      <c r="Q120" s="13"/>
      <c r="R120" s="13"/>
      <c r="S120" s="13"/>
      <c r="T120" s="13"/>
      <c r="U120" s="13"/>
      <c r="V120" s="13"/>
      <c r="W120" s="13"/>
      <c r="X120" s="13"/>
      <c r="Y120" s="13"/>
      <c r="Z120" s="13"/>
      <c r="AA120" s="13"/>
      <c r="AB120" s="13"/>
      <c r="AC120" s="13"/>
      <c r="AD120" s="13"/>
    </row>
    <row r="121">
      <c r="A121" s="7" t="s">
        <v>420</v>
      </c>
      <c r="J121" s="4">
        <v>75.0</v>
      </c>
      <c r="K121" s="33"/>
      <c r="L121" s="33">
        <f t="shared" ref="L121:L123" si="22">J121+K121</f>
        <v>75</v>
      </c>
      <c r="M121" s="34">
        <v>0.25</v>
      </c>
      <c r="N121" s="35">
        <f t="shared" ref="N121:N123" si="23">L121*M121</f>
        <v>18.75</v>
      </c>
      <c r="O121" s="35">
        <f t="shared" ref="O121:O123" si="24">L121+N121</f>
        <v>93.75</v>
      </c>
      <c r="P121" s="4"/>
      <c r="Q121" s="6"/>
      <c r="R121" s="6"/>
      <c r="S121" s="6"/>
      <c r="T121" s="6"/>
      <c r="U121" s="6"/>
      <c r="V121" s="6"/>
      <c r="W121" s="6"/>
      <c r="X121" s="6"/>
      <c r="Y121" s="6"/>
      <c r="Z121" s="6"/>
      <c r="AA121" s="6"/>
      <c r="AB121" s="6"/>
      <c r="AC121" s="6"/>
      <c r="AD121" s="6"/>
    </row>
    <row r="122">
      <c r="A122" s="10" t="s">
        <v>29</v>
      </c>
      <c r="B122" s="4" t="s">
        <v>1</v>
      </c>
      <c r="C122" s="4" t="s">
        <v>2</v>
      </c>
      <c r="D122" s="4" t="s">
        <v>3</v>
      </c>
      <c r="E122" s="4" t="s">
        <v>32</v>
      </c>
      <c r="F122" s="4" t="s">
        <v>4</v>
      </c>
      <c r="G122" s="4" t="s">
        <v>6</v>
      </c>
      <c r="H122" s="4" t="s">
        <v>5</v>
      </c>
      <c r="I122" s="4"/>
      <c r="J122" s="4" t="s">
        <v>34</v>
      </c>
      <c r="K122" s="33"/>
      <c r="L122" s="33" t="str">
        <f t="shared" si="22"/>
        <v>#VALUE!</v>
      </c>
      <c r="M122" s="34">
        <v>0.25</v>
      </c>
      <c r="N122" s="35" t="str">
        <f t="shared" si="23"/>
        <v>#VALUE!</v>
      </c>
      <c r="O122" s="35" t="str">
        <f t="shared" si="24"/>
        <v>#VALUE!</v>
      </c>
      <c r="P122" s="4"/>
      <c r="Q122" s="6"/>
      <c r="R122" s="6"/>
      <c r="S122" s="6"/>
      <c r="T122" s="6"/>
      <c r="U122" s="6"/>
      <c r="V122" s="6"/>
      <c r="W122" s="6"/>
      <c r="X122" s="6"/>
      <c r="Y122" s="6"/>
      <c r="Z122" s="6"/>
      <c r="AA122" s="6"/>
      <c r="AB122" s="6"/>
      <c r="AC122" s="6"/>
      <c r="AD122" s="6"/>
    </row>
    <row r="123" ht="37.5" customHeight="1">
      <c r="A123" s="10" t="s">
        <v>29</v>
      </c>
      <c r="B123" s="10" t="s">
        <v>10</v>
      </c>
      <c r="C123" s="10" t="s">
        <v>11</v>
      </c>
      <c r="D123" s="10" t="s">
        <v>40</v>
      </c>
      <c r="E123" s="10" t="s">
        <v>41</v>
      </c>
      <c r="F123" s="10" t="s">
        <v>42</v>
      </c>
      <c r="G123" s="10" t="s">
        <v>557</v>
      </c>
      <c r="H123" s="11" t="s">
        <v>661</v>
      </c>
      <c r="I123" s="10" t="s">
        <v>662</v>
      </c>
      <c r="J123" s="10">
        <v>2015.0</v>
      </c>
      <c r="K123" s="33"/>
      <c r="L123" s="33">
        <f t="shared" si="22"/>
        <v>2015</v>
      </c>
      <c r="M123" s="34">
        <v>0.25</v>
      </c>
      <c r="N123" s="35">
        <f t="shared" si="23"/>
        <v>503.75</v>
      </c>
      <c r="O123" s="35">
        <f t="shared" si="24"/>
        <v>2518.75</v>
      </c>
      <c r="P123" s="13"/>
      <c r="Q123" s="13"/>
      <c r="R123" s="13"/>
      <c r="S123" s="13"/>
      <c r="T123" s="13"/>
      <c r="U123" s="13"/>
      <c r="V123" s="13"/>
      <c r="W123" s="13"/>
      <c r="X123" s="13"/>
      <c r="Y123" s="13"/>
      <c r="Z123" s="13"/>
      <c r="AA123" s="13"/>
      <c r="AB123" s="13"/>
      <c r="AC123" s="13"/>
      <c r="AD123" s="13"/>
    </row>
    <row r="124" ht="37.5" customHeight="1">
      <c r="A124" s="10"/>
      <c r="B124" s="10"/>
      <c r="H124" s="11"/>
      <c r="I124" s="10" t="s">
        <v>663</v>
      </c>
      <c r="P124" s="13"/>
      <c r="Q124" s="13"/>
      <c r="R124" s="13"/>
      <c r="S124" s="13"/>
      <c r="T124" s="13"/>
      <c r="U124" s="13"/>
      <c r="V124" s="13"/>
      <c r="W124" s="13"/>
      <c r="X124" s="13"/>
      <c r="Y124" s="13"/>
      <c r="Z124" s="13"/>
      <c r="AA124" s="13"/>
      <c r="AB124" s="13"/>
      <c r="AC124" s="13"/>
      <c r="AD124" s="13"/>
    </row>
    <row r="125" ht="37.5" customHeight="1">
      <c r="A125" s="10"/>
      <c r="B125" s="10"/>
      <c r="H125" s="11"/>
      <c r="I125" s="10" t="s">
        <v>664</v>
      </c>
      <c r="P125" s="13"/>
      <c r="Q125" s="13"/>
      <c r="R125" s="13"/>
      <c r="S125" s="13"/>
      <c r="T125" s="13"/>
      <c r="U125" s="13"/>
      <c r="V125" s="13"/>
      <c r="W125" s="13"/>
      <c r="X125" s="13"/>
      <c r="Y125" s="13"/>
      <c r="Z125" s="13"/>
      <c r="AA125" s="13"/>
      <c r="AB125" s="13"/>
      <c r="AC125" s="13"/>
      <c r="AD125" s="13"/>
    </row>
    <row r="126" ht="37.5" customHeight="1">
      <c r="A126" s="10"/>
      <c r="B126" s="10"/>
      <c r="H126" s="11"/>
      <c r="I126" s="10" t="s">
        <v>665</v>
      </c>
      <c r="P126" s="13"/>
      <c r="Q126" s="13"/>
      <c r="R126" s="13"/>
      <c r="S126" s="13"/>
      <c r="T126" s="13"/>
      <c r="U126" s="13"/>
      <c r="V126" s="13"/>
      <c r="W126" s="13"/>
      <c r="X126" s="13"/>
      <c r="Y126" s="13"/>
      <c r="Z126" s="13"/>
      <c r="AA126" s="13"/>
      <c r="AB126" s="13"/>
      <c r="AC126" s="13"/>
      <c r="AD126" s="13"/>
    </row>
    <row r="127">
      <c r="A127" s="10" t="s">
        <v>29</v>
      </c>
      <c r="B127" s="10" t="s">
        <v>10</v>
      </c>
      <c r="C127" s="10" t="s">
        <v>11</v>
      </c>
      <c r="D127" s="10" t="s">
        <v>40</v>
      </c>
      <c r="E127" s="10" t="s">
        <v>41</v>
      </c>
      <c r="F127" s="10" t="s">
        <v>42</v>
      </c>
      <c r="G127" s="11" t="s">
        <v>427</v>
      </c>
      <c r="H127" s="11" t="s">
        <v>666</v>
      </c>
      <c r="I127" s="11"/>
      <c r="J127" s="10">
        <v>2395.0</v>
      </c>
      <c r="K127" s="33"/>
      <c r="L127" s="33">
        <f t="shared" ref="L127:L140" si="25">J127+K127</f>
        <v>2395</v>
      </c>
      <c r="M127" s="34">
        <v>0.25</v>
      </c>
      <c r="N127" s="35">
        <f t="shared" ref="N127:N140" si="26">L127*M127</f>
        <v>598.75</v>
      </c>
      <c r="O127" s="35">
        <f t="shared" ref="O127:O140" si="27">L127+N127</f>
        <v>2993.75</v>
      </c>
      <c r="P127" s="13"/>
      <c r="Q127" s="13"/>
      <c r="R127" s="13"/>
      <c r="S127" s="13"/>
      <c r="T127" s="13"/>
      <c r="U127" s="13"/>
      <c r="V127" s="13"/>
      <c r="W127" s="13"/>
      <c r="X127" s="13"/>
      <c r="Y127" s="13"/>
      <c r="Z127" s="13"/>
      <c r="AA127" s="13"/>
      <c r="AB127" s="13"/>
      <c r="AC127" s="13"/>
      <c r="AD127" s="13"/>
    </row>
    <row r="128">
      <c r="A128" s="10" t="s">
        <v>29</v>
      </c>
      <c r="B128" s="10" t="s">
        <v>10</v>
      </c>
      <c r="C128" s="10" t="s">
        <v>11</v>
      </c>
      <c r="D128" s="10" t="s">
        <v>40</v>
      </c>
      <c r="E128" s="10" t="s">
        <v>41</v>
      </c>
      <c r="F128" s="10" t="s">
        <v>42</v>
      </c>
      <c r="G128" s="11" t="s">
        <v>429</v>
      </c>
      <c r="H128" s="11" t="s">
        <v>666</v>
      </c>
      <c r="I128" s="11"/>
      <c r="J128" s="10">
        <v>2515.0</v>
      </c>
      <c r="K128" s="33"/>
      <c r="L128" s="33">
        <f t="shared" si="25"/>
        <v>2515</v>
      </c>
      <c r="M128" s="34">
        <v>0.25</v>
      </c>
      <c r="N128" s="35">
        <f t="shared" si="26"/>
        <v>628.75</v>
      </c>
      <c r="O128" s="35">
        <f t="shared" si="27"/>
        <v>3143.75</v>
      </c>
      <c r="P128" s="13"/>
      <c r="Q128" s="13"/>
      <c r="R128" s="13"/>
      <c r="S128" s="13"/>
      <c r="T128" s="13"/>
      <c r="U128" s="13"/>
      <c r="V128" s="13"/>
      <c r="W128" s="13"/>
      <c r="X128" s="13"/>
      <c r="Y128" s="13"/>
      <c r="Z128" s="13"/>
      <c r="AA128" s="13"/>
      <c r="AB128" s="13"/>
      <c r="AC128" s="13"/>
      <c r="AD128" s="13"/>
    </row>
    <row r="129">
      <c r="A129" s="10" t="s">
        <v>29</v>
      </c>
      <c r="B129" s="10" t="s">
        <v>10</v>
      </c>
      <c r="C129" s="10" t="s">
        <v>11</v>
      </c>
      <c r="D129" s="10" t="s">
        <v>40</v>
      </c>
      <c r="E129" s="10" t="s">
        <v>41</v>
      </c>
      <c r="F129" s="10" t="s">
        <v>42</v>
      </c>
      <c r="G129" s="11" t="s">
        <v>430</v>
      </c>
      <c r="H129" s="11" t="s">
        <v>667</v>
      </c>
      <c r="I129" s="11"/>
      <c r="J129" s="10">
        <v>2780.0</v>
      </c>
      <c r="K129" s="33"/>
      <c r="L129" s="33">
        <f t="shared" si="25"/>
        <v>2780</v>
      </c>
      <c r="M129" s="34">
        <v>0.25</v>
      </c>
      <c r="N129" s="35">
        <f t="shared" si="26"/>
        <v>695</v>
      </c>
      <c r="O129" s="35">
        <f t="shared" si="27"/>
        <v>3475</v>
      </c>
      <c r="P129" s="13"/>
      <c r="Q129" s="13"/>
      <c r="R129" s="13"/>
      <c r="S129" s="13"/>
      <c r="T129" s="13"/>
      <c r="U129" s="13"/>
      <c r="V129" s="13"/>
      <c r="W129" s="13"/>
      <c r="X129" s="13"/>
      <c r="Y129" s="13"/>
      <c r="Z129" s="13"/>
      <c r="AA129" s="13"/>
      <c r="AB129" s="13"/>
      <c r="AC129" s="13"/>
      <c r="AD129" s="13"/>
    </row>
    <row r="130">
      <c r="A130" s="10" t="s">
        <v>29</v>
      </c>
      <c r="B130" s="10" t="s">
        <v>10</v>
      </c>
      <c r="C130" s="10" t="s">
        <v>11</v>
      </c>
      <c r="D130" s="10" t="s">
        <v>40</v>
      </c>
      <c r="E130" s="10" t="s">
        <v>41</v>
      </c>
      <c r="F130" s="10" t="s">
        <v>42</v>
      </c>
      <c r="G130" s="11" t="s">
        <v>432</v>
      </c>
      <c r="H130" s="11" t="s">
        <v>667</v>
      </c>
      <c r="I130" s="11"/>
      <c r="J130" s="10">
        <v>2880.0</v>
      </c>
      <c r="K130" s="33"/>
      <c r="L130" s="33">
        <f t="shared" si="25"/>
        <v>2880</v>
      </c>
      <c r="M130" s="34">
        <v>0.25</v>
      </c>
      <c r="N130" s="35">
        <f t="shared" si="26"/>
        <v>720</v>
      </c>
      <c r="O130" s="35">
        <f t="shared" si="27"/>
        <v>3600</v>
      </c>
      <c r="P130" s="13"/>
      <c r="Q130" s="13"/>
      <c r="R130" s="13"/>
      <c r="S130" s="13"/>
      <c r="T130" s="13"/>
      <c r="U130" s="13"/>
      <c r="V130" s="13"/>
      <c r="W130" s="13"/>
      <c r="X130" s="13"/>
      <c r="Y130" s="13"/>
      <c r="Z130" s="13"/>
      <c r="AA130" s="13"/>
      <c r="AB130" s="13"/>
      <c r="AC130" s="13"/>
      <c r="AD130" s="13"/>
    </row>
    <row r="131">
      <c r="A131" s="10" t="s">
        <v>29</v>
      </c>
      <c r="B131" s="10" t="s">
        <v>10</v>
      </c>
      <c r="C131" s="10" t="s">
        <v>11</v>
      </c>
      <c r="D131" s="10" t="s">
        <v>40</v>
      </c>
      <c r="E131" s="10" t="s">
        <v>41</v>
      </c>
      <c r="F131" s="10" t="s">
        <v>42</v>
      </c>
      <c r="G131" s="11" t="s">
        <v>577</v>
      </c>
      <c r="H131" s="11" t="s">
        <v>667</v>
      </c>
      <c r="I131" s="11"/>
      <c r="J131" s="10">
        <v>2880.0</v>
      </c>
      <c r="K131" s="33"/>
      <c r="L131" s="33">
        <f t="shared" si="25"/>
        <v>2880</v>
      </c>
      <c r="M131" s="34">
        <v>0.25</v>
      </c>
      <c r="N131" s="35">
        <f t="shared" si="26"/>
        <v>720</v>
      </c>
      <c r="O131" s="35">
        <f t="shared" si="27"/>
        <v>3600</v>
      </c>
      <c r="P131" s="13"/>
      <c r="Q131" s="13"/>
      <c r="R131" s="13"/>
      <c r="S131" s="13"/>
      <c r="T131" s="13"/>
      <c r="U131" s="13"/>
      <c r="V131" s="13"/>
      <c r="W131" s="13"/>
      <c r="X131" s="13"/>
      <c r="Y131" s="13"/>
      <c r="Z131" s="13"/>
      <c r="AA131" s="13"/>
      <c r="AB131" s="13"/>
      <c r="AC131" s="13"/>
      <c r="AD131" s="13"/>
    </row>
    <row r="132">
      <c r="A132" s="10" t="s">
        <v>29</v>
      </c>
      <c r="B132" s="10" t="s">
        <v>10</v>
      </c>
      <c r="C132" s="10" t="s">
        <v>11</v>
      </c>
      <c r="D132" s="10" t="s">
        <v>40</v>
      </c>
      <c r="E132" s="10" t="s">
        <v>41</v>
      </c>
      <c r="F132" s="10" t="s">
        <v>42</v>
      </c>
      <c r="G132" s="11" t="s">
        <v>578</v>
      </c>
      <c r="H132" s="11" t="s">
        <v>667</v>
      </c>
      <c r="I132" s="11"/>
      <c r="J132" s="10">
        <v>2980.0</v>
      </c>
      <c r="K132" s="33"/>
      <c r="L132" s="33">
        <f t="shared" si="25"/>
        <v>2980</v>
      </c>
      <c r="M132" s="34">
        <v>0.25</v>
      </c>
      <c r="N132" s="35">
        <f t="shared" si="26"/>
        <v>745</v>
      </c>
      <c r="O132" s="35">
        <f t="shared" si="27"/>
        <v>3725</v>
      </c>
      <c r="P132" s="13"/>
      <c r="Q132" s="13"/>
      <c r="R132" s="13"/>
      <c r="S132" s="13"/>
      <c r="T132" s="13"/>
      <c r="U132" s="13"/>
      <c r="V132" s="13"/>
      <c r="W132" s="13"/>
      <c r="X132" s="13"/>
      <c r="Y132" s="13"/>
      <c r="Z132" s="13"/>
      <c r="AA132" s="13"/>
      <c r="AB132" s="13"/>
      <c r="AC132" s="13"/>
      <c r="AD132" s="13"/>
    </row>
    <row r="133">
      <c r="A133" s="10" t="s">
        <v>29</v>
      </c>
      <c r="B133" s="10" t="s">
        <v>10</v>
      </c>
      <c r="C133" s="10" t="s">
        <v>11</v>
      </c>
      <c r="D133" s="10" t="s">
        <v>170</v>
      </c>
      <c r="E133" s="10" t="s">
        <v>87</v>
      </c>
      <c r="F133" s="10" t="s">
        <v>83</v>
      </c>
      <c r="G133" s="11" t="s">
        <v>435</v>
      </c>
      <c r="H133" s="11" t="s">
        <v>668</v>
      </c>
      <c r="I133" s="11"/>
      <c r="J133" s="10">
        <v>1765.0</v>
      </c>
      <c r="K133" s="33"/>
      <c r="L133" s="33">
        <f t="shared" si="25"/>
        <v>1765</v>
      </c>
      <c r="M133" s="34">
        <v>0.25</v>
      </c>
      <c r="N133" s="35">
        <f t="shared" si="26"/>
        <v>441.25</v>
      </c>
      <c r="O133" s="35">
        <f t="shared" si="27"/>
        <v>2206.25</v>
      </c>
      <c r="P133" s="13"/>
      <c r="Q133" s="13"/>
      <c r="R133" s="13"/>
      <c r="S133" s="13"/>
      <c r="T133" s="13"/>
      <c r="U133" s="13"/>
      <c r="V133" s="13"/>
      <c r="W133" s="13"/>
      <c r="X133" s="13"/>
      <c r="Y133" s="13"/>
      <c r="Z133" s="13"/>
      <c r="AA133" s="13"/>
      <c r="AB133" s="13"/>
      <c r="AC133" s="13"/>
      <c r="AD133" s="13"/>
    </row>
    <row r="134">
      <c r="A134" s="10" t="s">
        <v>29</v>
      </c>
      <c r="B134" s="10" t="s">
        <v>10</v>
      </c>
      <c r="C134" s="10" t="s">
        <v>11</v>
      </c>
      <c r="D134" s="10" t="s">
        <v>91</v>
      </c>
      <c r="E134" s="10" t="s">
        <v>87</v>
      </c>
      <c r="F134" s="10" t="s">
        <v>83</v>
      </c>
      <c r="G134" s="10" t="s">
        <v>435</v>
      </c>
      <c r="H134" s="11" t="s">
        <v>668</v>
      </c>
      <c r="I134" s="11"/>
      <c r="J134" s="10">
        <v>2015.0</v>
      </c>
      <c r="K134" s="33"/>
      <c r="L134" s="33">
        <f t="shared" si="25"/>
        <v>2015</v>
      </c>
      <c r="M134" s="34">
        <v>0.25</v>
      </c>
      <c r="N134" s="35">
        <f t="shared" si="26"/>
        <v>503.75</v>
      </c>
      <c r="O134" s="35">
        <f t="shared" si="27"/>
        <v>2518.75</v>
      </c>
      <c r="P134" s="13"/>
      <c r="Q134" s="13"/>
      <c r="R134" s="13"/>
      <c r="S134" s="13"/>
      <c r="T134" s="13"/>
      <c r="U134" s="13"/>
      <c r="V134" s="13"/>
      <c r="W134" s="13"/>
      <c r="X134" s="13"/>
      <c r="Y134" s="13"/>
      <c r="Z134" s="13"/>
      <c r="AA134" s="13"/>
      <c r="AB134" s="13"/>
      <c r="AC134" s="13"/>
      <c r="AD134" s="13"/>
    </row>
    <row r="135">
      <c r="A135" s="10" t="s">
        <v>29</v>
      </c>
      <c r="B135" s="10" t="s">
        <v>10</v>
      </c>
      <c r="C135" s="10" t="s">
        <v>11</v>
      </c>
      <c r="D135" s="10" t="s">
        <v>93</v>
      </c>
      <c r="E135" s="10" t="s">
        <v>94</v>
      </c>
      <c r="F135" s="10" t="s">
        <v>42</v>
      </c>
      <c r="G135" s="10" t="s">
        <v>580</v>
      </c>
      <c r="H135" s="10" t="s">
        <v>669</v>
      </c>
      <c r="I135" s="10"/>
      <c r="J135" s="10">
        <v>1258.0</v>
      </c>
      <c r="K135" s="33"/>
      <c r="L135" s="33">
        <f t="shared" si="25"/>
        <v>1258</v>
      </c>
      <c r="M135" s="34">
        <v>0.25</v>
      </c>
      <c r="N135" s="35">
        <f t="shared" si="26"/>
        <v>314.5</v>
      </c>
      <c r="O135" s="35">
        <f t="shared" si="27"/>
        <v>1572.5</v>
      </c>
      <c r="P135" s="13"/>
      <c r="Q135" s="13"/>
      <c r="R135" s="13"/>
      <c r="S135" s="13"/>
      <c r="T135" s="13"/>
      <c r="U135" s="13"/>
      <c r="V135" s="13"/>
      <c r="W135" s="13"/>
      <c r="X135" s="13"/>
      <c r="Y135" s="13"/>
      <c r="Z135" s="13"/>
      <c r="AA135" s="13"/>
      <c r="AB135" s="13"/>
      <c r="AC135" s="13"/>
      <c r="AD135" s="13"/>
    </row>
    <row r="136">
      <c r="A136" s="10" t="s">
        <v>29</v>
      </c>
      <c r="B136" s="10" t="s">
        <v>10</v>
      </c>
      <c r="C136" s="10" t="s">
        <v>11</v>
      </c>
      <c r="D136" s="10" t="s">
        <v>97</v>
      </c>
      <c r="E136" s="10" t="s">
        <v>98</v>
      </c>
      <c r="F136" s="10" t="s">
        <v>99</v>
      </c>
      <c r="G136" s="10" t="s">
        <v>439</v>
      </c>
      <c r="H136" s="10" t="s">
        <v>670</v>
      </c>
      <c r="I136" s="10"/>
      <c r="J136" s="10">
        <v>1175.0</v>
      </c>
      <c r="K136" s="33"/>
      <c r="L136" s="33">
        <f t="shared" si="25"/>
        <v>1175</v>
      </c>
      <c r="M136" s="34">
        <v>0.25</v>
      </c>
      <c r="N136" s="35">
        <f t="shared" si="26"/>
        <v>293.75</v>
      </c>
      <c r="O136" s="35">
        <f t="shared" si="27"/>
        <v>1468.75</v>
      </c>
      <c r="P136" s="13"/>
      <c r="Q136" s="13"/>
      <c r="R136" s="13"/>
      <c r="S136" s="13"/>
      <c r="T136" s="13"/>
      <c r="U136" s="13"/>
      <c r="V136" s="13"/>
      <c r="W136" s="13"/>
      <c r="X136" s="13"/>
      <c r="Y136" s="13"/>
      <c r="Z136" s="13"/>
      <c r="AA136" s="13"/>
      <c r="AB136" s="13"/>
      <c r="AC136" s="13"/>
      <c r="AD136" s="13"/>
    </row>
    <row r="137">
      <c r="A137" s="10" t="s">
        <v>29</v>
      </c>
      <c r="B137" s="10" t="s">
        <v>10</v>
      </c>
      <c r="C137" s="10" t="s">
        <v>11</v>
      </c>
      <c r="D137" s="10" t="s">
        <v>97</v>
      </c>
      <c r="E137" s="10" t="s">
        <v>102</v>
      </c>
      <c r="F137" s="10" t="s">
        <v>99</v>
      </c>
      <c r="G137" s="10" t="s">
        <v>439</v>
      </c>
      <c r="H137" s="10" t="s">
        <v>670</v>
      </c>
      <c r="I137" s="10"/>
      <c r="J137" s="10">
        <v>1175.0</v>
      </c>
      <c r="K137" s="33"/>
      <c r="L137" s="33">
        <f t="shared" si="25"/>
        <v>1175</v>
      </c>
      <c r="M137" s="34">
        <v>0.25</v>
      </c>
      <c r="N137" s="35">
        <f t="shared" si="26"/>
        <v>293.75</v>
      </c>
      <c r="O137" s="35">
        <f t="shared" si="27"/>
        <v>1468.75</v>
      </c>
      <c r="P137" s="13"/>
      <c r="Q137" s="13"/>
      <c r="R137" s="13"/>
      <c r="S137" s="13"/>
      <c r="T137" s="13"/>
      <c r="U137" s="13"/>
      <c r="V137" s="13"/>
      <c r="W137" s="13"/>
      <c r="X137" s="13"/>
      <c r="Y137" s="13"/>
      <c r="Z137" s="13"/>
      <c r="AA137" s="13"/>
      <c r="AB137" s="13"/>
      <c r="AC137" s="13"/>
      <c r="AD137" s="13"/>
    </row>
    <row r="138">
      <c r="A138" s="10" t="s">
        <v>29</v>
      </c>
      <c r="B138" s="10" t="s">
        <v>10</v>
      </c>
      <c r="C138" s="10" t="s">
        <v>11</v>
      </c>
      <c r="D138" s="10" t="s">
        <v>97</v>
      </c>
      <c r="E138" s="10" t="s">
        <v>103</v>
      </c>
      <c r="F138" s="10" t="s">
        <v>99</v>
      </c>
      <c r="G138" s="10" t="s">
        <v>439</v>
      </c>
      <c r="H138" s="10" t="s">
        <v>670</v>
      </c>
      <c r="I138" s="10"/>
      <c r="J138" s="10">
        <v>1325.0</v>
      </c>
      <c r="K138" s="33"/>
      <c r="L138" s="33">
        <f t="shared" si="25"/>
        <v>1325</v>
      </c>
      <c r="M138" s="34">
        <v>0.25</v>
      </c>
      <c r="N138" s="35">
        <f t="shared" si="26"/>
        <v>331.25</v>
      </c>
      <c r="O138" s="35">
        <f t="shared" si="27"/>
        <v>1656.25</v>
      </c>
      <c r="P138" s="13"/>
      <c r="Q138" s="13"/>
      <c r="R138" s="13"/>
      <c r="S138" s="13"/>
      <c r="T138" s="13"/>
      <c r="U138" s="13"/>
      <c r="V138" s="13"/>
      <c r="W138" s="13"/>
      <c r="X138" s="13"/>
      <c r="Y138" s="13"/>
      <c r="Z138" s="13"/>
      <c r="AA138" s="13"/>
      <c r="AB138" s="13"/>
      <c r="AC138" s="13"/>
      <c r="AD138" s="13"/>
    </row>
    <row r="139">
      <c r="A139" s="10" t="s">
        <v>29</v>
      </c>
      <c r="B139" s="10" t="s">
        <v>10</v>
      </c>
      <c r="C139" s="10" t="s">
        <v>11</v>
      </c>
      <c r="D139" s="10" t="s">
        <v>104</v>
      </c>
      <c r="E139" s="10" t="s">
        <v>105</v>
      </c>
      <c r="F139" s="10" t="s">
        <v>99</v>
      </c>
      <c r="G139" s="10" t="s">
        <v>439</v>
      </c>
      <c r="H139" s="10" t="s">
        <v>671</v>
      </c>
      <c r="I139" s="10"/>
      <c r="J139" s="10">
        <v>1975.0</v>
      </c>
      <c r="K139" s="33"/>
      <c r="L139" s="33">
        <f t="shared" si="25"/>
        <v>1975</v>
      </c>
      <c r="M139" s="34">
        <v>0.25</v>
      </c>
      <c r="N139" s="35">
        <f t="shared" si="26"/>
        <v>493.75</v>
      </c>
      <c r="O139" s="35">
        <f t="shared" si="27"/>
        <v>2468.75</v>
      </c>
      <c r="P139" s="13"/>
      <c r="Q139" s="13"/>
      <c r="R139" s="13"/>
      <c r="S139" s="13"/>
      <c r="T139" s="13"/>
      <c r="U139" s="13"/>
      <c r="V139" s="13"/>
      <c r="W139" s="13"/>
      <c r="X139" s="13"/>
      <c r="Y139" s="13"/>
      <c r="Z139" s="13"/>
      <c r="AA139" s="13"/>
      <c r="AB139" s="13"/>
      <c r="AC139" s="13"/>
      <c r="AD139" s="13"/>
    </row>
    <row r="140">
      <c r="A140" s="10" t="s">
        <v>29</v>
      </c>
      <c r="B140" s="10" t="s">
        <v>10</v>
      </c>
      <c r="C140" s="10" t="s">
        <v>11</v>
      </c>
      <c r="D140" s="10" t="s">
        <v>107</v>
      </c>
      <c r="E140" s="10" t="s">
        <v>204</v>
      </c>
      <c r="F140" s="10" t="s">
        <v>99</v>
      </c>
      <c r="G140" s="10" t="s">
        <v>439</v>
      </c>
      <c r="H140" s="10" t="s">
        <v>672</v>
      </c>
      <c r="I140" s="10"/>
      <c r="J140" s="10">
        <v>1350.0</v>
      </c>
      <c r="K140" s="33"/>
      <c r="L140" s="33">
        <f t="shared" si="25"/>
        <v>1350</v>
      </c>
      <c r="M140" s="34">
        <v>0.25</v>
      </c>
      <c r="N140" s="35">
        <f t="shared" si="26"/>
        <v>337.5</v>
      </c>
      <c r="O140" s="35">
        <f t="shared" si="27"/>
        <v>1687.5</v>
      </c>
      <c r="P140" s="13"/>
      <c r="Q140" s="13"/>
      <c r="R140" s="13"/>
      <c r="S140" s="13"/>
      <c r="T140" s="13"/>
      <c r="U140" s="13"/>
      <c r="V140" s="13"/>
      <c r="W140" s="13"/>
      <c r="X140" s="13"/>
      <c r="Y140" s="13"/>
      <c r="Z140" s="13"/>
      <c r="AA140" s="13"/>
      <c r="AB140" s="13"/>
      <c r="AC140" s="13"/>
      <c r="AD140" s="13"/>
    </row>
    <row r="141">
      <c r="A141" s="10"/>
      <c r="B141" s="4"/>
      <c r="C141" s="4"/>
      <c r="D141" s="4"/>
      <c r="E141" s="4"/>
      <c r="F141" s="4"/>
      <c r="G141" s="4"/>
      <c r="H141" s="4"/>
      <c r="I141" s="4"/>
      <c r="K141" s="36"/>
      <c r="AA141" s="13"/>
      <c r="AB141" s="13"/>
      <c r="AC141" s="13"/>
      <c r="AD141" s="13"/>
    </row>
    <row r="142">
      <c r="A142" s="10"/>
      <c r="B142" s="10"/>
      <c r="C142" s="10"/>
      <c r="D142" s="10"/>
      <c r="E142" s="10"/>
      <c r="F142" s="10"/>
      <c r="G142" s="10"/>
      <c r="H142" s="11"/>
      <c r="I142" s="11"/>
      <c r="K142" s="36"/>
      <c r="AA142" s="13"/>
      <c r="AB142" s="13"/>
      <c r="AC142" s="13"/>
      <c r="AD142" s="13"/>
    </row>
    <row r="143">
      <c r="A143" s="10"/>
      <c r="B143" s="10"/>
      <c r="C143" s="10"/>
      <c r="D143" s="10"/>
      <c r="E143" s="10"/>
      <c r="F143" s="10"/>
      <c r="G143" s="11"/>
      <c r="H143" s="11"/>
      <c r="I143" s="11"/>
      <c r="K143" s="36"/>
      <c r="AA143" s="13"/>
      <c r="AB143" s="13"/>
      <c r="AC143" s="13"/>
      <c r="AD143" s="13"/>
    </row>
    <row r="144">
      <c r="A144" s="10"/>
      <c r="B144" s="10"/>
      <c r="C144" s="10"/>
      <c r="D144" s="10"/>
      <c r="E144" s="10"/>
      <c r="F144" s="10"/>
      <c r="G144" s="11"/>
      <c r="H144" s="11"/>
      <c r="I144" s="11"/>
      <c r="K144" s="36"/>
      <c r="AA144" s="13"/>
      <c r="AB144" s="13"/>
      <c r="AC144" s="13"/>
      <c r="AD144" s="13"/>
    </row>
    <row r="145">
      <c r="A145" s="10"/>
      <c r="B145" s="10"/>
      <c r="C145" s="10"/>
      <c r="D145" s="10"/>
      <c r="E145" s="10"/>
      <c r="F145" s="10"/>
      <c r="G145" s="11"/>
      <c r="H145" s="11"/>
      <c r="I145" s="11"/>
      <c r="K145" s="36"/>
      <c r="AA145" s="13"/>
      <c r="AB145" s="13"/>
      <c r="AC145" s="13"/>
      <c r="AD145" s="13"/>
    </row>
    <row r="146">
      <c r="A146" s="10"/>
      <c r="B146" s="10"/>
      <c r="C146" s="10"/>
      <c r="D146" s="10"/>
      <c r="E146" s="10"/>
      <c r="F146" s="10"/>
      <c r="G146" s="11"/>
      <c r="H146" s="11"/>
      <c r="I146" s="11"/>
      <c r="K146" s="36"/>
      <c r="AA146" s="13"/>
      <c r="AB146" s="13"/>
      <c r="AC146" s="13"/>
      <c r="AD146" s="13"/>
    </row>
    <row r="147">
      <c r="A147" s="10"/>
      <c r="B147" s="10"/>
      <c r="C147" s="10"/>
      <c r="D147" s="10"/>
      <c r="E147" s="10"/>
      <c r="F147" s="10"/>
      <c r="G147" s="11"/>
      <c r="H147" s="11"/>
      <c r="I147" s="11"/>
      <c r="K147" s="36"/>
      <c r="AA147" s="13"/>
      <c r="AB147" s="13"/>
      <c r="AC147" s="13"/>
      <c r="AD147" s="13"/>
    </row>
    <row r="148">
      <c r="A148" s="10"/>
      <c r="B148" s="10"/>
      <c r="C148" s="10"/>
      <c r="D148" s="10"/>
      <c r="E148" s="10"/>
      <c r="F148" s="10"/>
      <c r="G148" s="11"/>
      <c r="H148" s="11"/>
      <c r="I148" s="11"/>
      <c r="K148" s="36"/>
      <c r="AA148" s="13"/>
      <c r="AB148" s="13"/>
      <c r="AC148" s="13"/>
      <c r="AD148" s="13"/>
    </row>
    <row r="149">
      <c r="A149" s="10"/>
      <c r="B149" s="10"/>
      <c r="C149" s="10"/>
      <c r="D149" s="10"/>
      <c r="E149" s="10"/>
      <c r="F149" s="10"/>
      <c r="G149" s="11"/>
      <c r="H149" s="11"/>
      <c r="I149" s="11"/>
      <c r="K149" s="36"/>
      <c r="AA149" s="13"/>
      <c r="AB149" s="13"/>
      <c r="AC149" s="13"/>
      <c r="AD149" s="13"/>
    </row>
    <row r="150">
      <c r="A150" s="10"/>
      <c r="B150" s="10"/>
      <c r="C150" s="10"/>
      <c r="D150" s="10"/>
      <c r="E150" s="10"/>
      <c r="F150" s="10"/>
      <c r="G150" s="11"/>
      <c r="H150" s="11"/>
      <c r="I150" s="11"/>
      <c r="K150" s="36"/>
      <c r="AA150" s="13"/>
      <c r="AB150" s="13"/>
      <c r="AC150" s="13"/>
      <c r="AD150" s="13"/>
    </row>
    <row r="151">
      <c r="A151" s="10"/>
      <c r="B151" s="10"/>
      <c r="C151" s="10"/>
      <c r="D151" s="10"/>
      <c r="E151" s="10"/>
      <c r="F151" s="10"/>
      <c r="G151" s="11"/>
      <c r="H151" s="11"/>
      <c r="I151" s="11"/>
      <c r="K151" s="36"/>
      <c r="AA151" s="13"/>
      <c r="AB151" s="13"/>
      <c r="AC151" s="13"/>
      <c r="AD151" s="13"/>
    </row>
    <row r="152">
      <c r="A152" s="10"/>
      <c r="B152" s="10"/>
      <c r="C152" s="10"/>
      <c r="D152" s="10"/>
      <c r="E152" s="10"/>
      <c r="F152" s="10"/>
      <c r="G152" s="11"/>
      <c r="H152" s="11"/>
      <c r="I152" s="11"/>
      <c r="K152" s="36"/>
      <c r="AA152" s="13"/>
      <c r="AB152" s="13"/>
      <c r="AC152" s="13"/>
      <c r="AD152" s="13"/>
    </row>
    <row r="153">
      <c r="A153" s="10"/>
      <c r="B153" s="10"/>
      <c r="C153" s="10"/>
      <c r="D153" s="10"/>
      <c r="E153" s="10"/>
      <c r="F153" s="10"/>
      <c r="G153" s="11"/>
      <c r="H153" s="11"/>
      <c r="I153" s="11"/>
      <c r="K153" s="36"/>
      <c r="AA153" s="13"/>
      <c r="AB153" s="13"/>
      <c r="AC153" s="13"/>
      <c r="AD153" s="13"/>
    </row>
    <row r="154">
      <c r="A154" s="10"/>
      <c r="B154" s="10"/>
      <c r="C154" s="10"/>
      <c r="D154" s="10"/>
      <c r="E154" s="10"/>
      <c r="F154" s="10"/>
      <c r="G154" s="11"/>
      <c r="H154" s="11"/>
      <c r="I154" s="11"/>
      <c r="K154" s="36"/>
      <c r="AA154" s="13"/>
      <c r="AB154" s="13"/>
      <c r="AC154" s="13"/>
      <c r="AD154" s="13"/>
    </row>
    <row r="155">
      <c r="A155" s="10"/>
      <c r="B155" s="10"/>
      <c r="C155" s="10"/>
      <c r="D155" s="10"/>
      <c r="E155" s="10"/>
      <c r="F155" s="10"/>
      <c r="G155" s="11"/>
      <c r="H155" s="11"/>
      <c r="I155" s="11"/>
      <c r="K155" s="36"/>
      <c r="AA155" s="13"/>
      <c r="AB155" s="13"/>
      <c r="AC155" s="13"/>
      <c r="AD155" s="13"/>
    </row>
    <row r="156">
      <c r="A156" s="10"/>
      <c r="B156" s="10"/>
      <c r="C156" s="10"/>
      <c r="D156" s="10"/>
      <c r="E156" s="10"/>
      <c r="F156" s="10"/>
      <c r="G156" s="11"/>
      <c r="H156" s="11"/>
      <c r="I156" s="11"/>
      <c r="K156" s="36"/>
      <c r="AA156" s="13"/>
      <c r="AB156" s="13"/>
      <c r="AC156" s="13"/>
      <c r="AD156" s="13"/>
    </row>
    <row r="157">
      <c r="A157" s="10"/>
      <c r="B157" s="10"/>
      <c r="C157" s="10"/>
      <c r="D157" s="10"/>
      <c r="E157" s="10"/>
      <c r="F157" s="10"/>
      <c r="G157" s="11"/>
      <c r="H157" s="11"/>
      <c r="I157" s="11"/>
      <c r="K157" s="36"/>
      <c r="AA157" s="13"/>
      <c r="AB157" s="13"/>
      <c r="AC157" s="13"/>
      <c r="AD157" s="13"/>
    </row>
    <row r="158">
      <c r="A158" s="10"/>
      <c r="B158" s="10"/>
      <c r="C158" s="10"/>
      <c r="D158" s="10"/>
      <c r="E158" s="10"/>
      <c r="F158" s="10"/>
      <c r="G158" s="10"/>
      <c r="H158" s="11"/>
      <c r="I158" s="11"/>
      <c r="K158" s="36"/>
      <c r="AA158" s="13"/>
      <c r="AB158" s="13"/>
      <c r="AC158" s="13"/>
      <c r="AD158" s="13"/>
    </row>
    <row r="159">
      <c r="A159" s="10"/>
      <c r="B159" s="10"/>
      <c r="C159" s="10"/>
      <c r="D159" s="10"/>
      <c r="E159" s="10"/>
      <c r="F159" s="10"/>
      <c r="G159" s="10"/>
      <c r="H159" s="10"/>
      <c r="I159" s="10"/>
      <c r="K159" s="36"/>
      <c r="AA159" s="13"/>
      <c r="AB159" s="13"/>
      <c r="AC159" s="13"/>
      <c r="AD159" s="13"/>
    </row>
    <row r="160">
      <c r="A160" s="10"/>
      <c r="B160" s="10"/>
      <c r="C160" s="10"/>
      <c r="D160" s="10"/>
      <c r="E160" s="10"/>
      <c r="F160" s="10"/>
      <c r="G160" s="10"/>
      <c r="H160" s="10"/>
      <c r="I160" s="10"/>
      <c r="K160" s="36"/>
      <c r="AA160" s="13"/>
      <c r="AB160" s="13"/>
      <c r="AC160" s="13"/>
      <c r="AD160" s="13"/>
    </row>
    <row r="161">
      <c r="A161" s="10"/>
      <c r="B161" s="10"/>
      <c r="C161" s="10"/>
      <c r="D161" s="10"/>
      <c r="E161" s="10"/>
      <c r="F161" s="10"/>
      <c r="G161" s="10"/>
      <c r="H161" s="10"/>
      <c r="I161" s="10"/>
      <c r="K161" s="36"/>
      <c r="AA161" s="13"/>
      <c r="AB161" s="13"/>
      <c r="AC161" s="13"/>
      <c r="AD161" s="13"/>
    </row>
    <row r="162">
      <c r="A162" s="10"/>
      <c r="B162" s="10"/>
      <c r="C162" s="10"/>
      <c r="D162" s="10"/>
      <c r="E162" s="10"/>
      <c r="F162" s="10"/>
      <c r="G162" s="10"/>
      <c r="H162" s="10"/>
      <c r="I162" s="10"/>
      <c r="K162" s="36"/>
      <c r="AA162" s="13"/>
      <c r="AB162" s="13"/>
      <c r="AC162" s="13"/>
      <c r="AD162" s="13"/>
    </row>
    <row r="163">
      <c r="A163" s="10"/>
      <c r="B163" s="10"/>
      <c r="C163" s="10"/>
      <c r="D163" s="10"/>
      <c r="E163" s="10"/>
      <c r="F163" s="10"/>
      <c r="G163" s="10"/>
      <c r="H163" s="10"/>
      <c r="I163" s="10"/>
      <c r="K163" s="36"/>
      <c r="AA163" s="13"/>
      <c r="AB163" s="13"/>
      <c r="AC163" s="13"/>
      <c r="AD163" s="13"/>
    </row>
    <row r="164">
      <c r="A164" s="10"/>
      <c r="B164" s="10"/>
      <c r="C164" s="10"/>
      <c r="D164" s="10"/>
      <c r="E164" s="10"/>
      <c r="F164" s="10"/>
      <c r="G164" s="10"/>
      <c r="H164" s="10"/>
      <c r="I164" s="10"/>
      <c r="K164" s="36"/>
      <c r="AA164" s="13"/>
      <c r="AB164" s="13"/>
      <c r="AC164" s="13"/>
      <c r="AD164" s="13"/>
    </row>
    <row r="165">
      <c r="A165" s="10"/>
      <c r="B165" s="10"/>
      <c r="C165" s="10"/>
      <c r="D165" s="10"/>
      <c r="E165" s="10"/>
      <c r="F165" s="10"/>
      <c r="G165" s="10"/>
      <c r="H165" s="10"/>
      <c r="I165" s="10"/>
      <c r="K165" s="36"/>
      <c r="AA165" s="13"/>
      <c r="AB165" s="13"/>
      <c r="AC165" s="13"/>
      <c r="AD165" s="13"/>
    </row>
    <row r="166">
      <c r="A166" s="10"/>
      <c r="B166" s="13"/>
      <c r="C166" s="13"/>
      <c r="D166" s="13"/>
      <c r="E166" s="13"/>
      <c r="F166" s="13"/>
      <c r="G166" s="13"/>
      <c r="H166" s="13"/>
      <c r="I166" s="13"/>
      <c r="K166" s="36"/>
      <c r="AA166" s="13"/>
      <c r="AB166" s="13"/>
      <c r="AC166" s="13"/>
      <c r="AD166" s="13"/>
    </row>
    <row r="167">
      <c r="A167" s="10"/>
      <c r="B167" s="10"/>
      <c r="C167" s="10"/>
      <c r="D167" s="10"/>
      <c r="E167" s="10"/>
      <c r="F167" s="10"/>
      <c r="G167" s="10"/>
      <c r="H167" s="11"/>
      <c r="I167" s="11"/>
      <c r="K167" s="36"/>
      <c r="AA167" s="13"/>
      <c r="AB167" s="13"/>
      <c r="AC167" s="13"/>
      <c r="AD167" s="13"/>
    </row>
    <row r="168">
      <c r="A168" s="10"/>
      <c r="B168" s="10"/>
      <c r="C168" s="10"/>
      <c r="D168" s="10"/>
      <c r="E168" s="10"/>
      <c r="F168" s="10"/>
      <c r="G168" s="11"/>
      <c r="H168" s="11"/>
      <c r="I168" s="11"/>
      <c r="K168" s="36"/>
      <c r="AA168" s="13"/>
      <c r="AB168" s="13"/>
      <c r="AC168" s="13"/>
      <c r="AD168" s="13"/>
    </row>
    <row r="169">
      <c r="A169" s="10"/>
      <c r="B169" s="10"/>
      <c r="C169" s="10"/>
      <c r="D169" s="10"/>
      <c r="E169" s="10"/>
      <c r="F169" s="10"/>
      <c r="G169" s="11"/>
      <c r="H169" s="11"/>
      <c r="I169" s="11"/>
      <c r="K169" s="36"/>
      <c r="AA169" s="13"/>
      <c r="AB169" s="13"/>
      <c r="AC169" s="13"/>
      <c r="AD169" s="13"/>
    </row>
    <row r="170">
      <c r="A170" s="10"/>
      <c r="B170" s="10"/>
      <c r="C170" s="10"/>
      <c r="D170" s="10"/>
      <c r="E170" s="10"/>
      <c r="F170" s="10"/>
      <c r="G170" s="11"/>
      <c r="H170" s="21"/>
      <c r="I170" s="21"/>
      <c r="K170" s="36"/>
      <c r="AA170" s="13"/>
      <c r="AB170" s="13"/>
      <c r="AC170" s="13"/>
      <c r="AD170" s="13"/>
    </row>
    <row r="171">
      <c r="A171" s="10"/>
      <c r="B171" s="10"/>
      <c r="C171" s="10"/>
      <c r="D171" s="10"/>
      <c r="E171" s="10"/>
      <c r="F171" s="10"/>
      <c r="G171" s="11"/>
      <c r="H171" s="11"/>
      <c r="I171" s="11"/>
      <c r="K171" s="36"/>
      <c r="AA171" s="13"/>
      <c r="AB171" s="13"/>
      <c r="AC171" s="13"/>
      <c r="AD171" s="13"/>
    </row>
    <row r="172">
      <c r="A172" s="10"/>
      <c r="B172" s="10"/>
      <c r="C172" s="10"/>
      <c r="D172" s="10"/>
      <c r="E172" s="10"/>
      <c r="F172" s="10"/>
      <c r="G172" s="11"/>
      <c r="H172" s="11"/>
      <c r="I172" s="11"/>
      <c r="K172" s="36"/>
      <c r="AA172" s="13"/>
      <c r="AB172" s="13"/>
      <c r="AC172" s="13"/>
      <c r="AD172" s="13"/>
    </row>
    <row r="173">
      <c r="A173" s="10"/>
      <c r="B173" s="10"/>
      <c r="C173" s="10"/>
      <c r="D173" s="10"/>
      <c r="E173" s="10"/>
      <c r="F173" s="10"/>
      <c r="G173" s="11"/>
      <c r="H173" s="11"/>
      <c r="I173" s="11"/>
      <c r="K173" s="36"/>
      <c r="AA173" s="13"/>
      <c r="AB173" s="13"/>
      <c r="AC173" s="13"/>
      <c r="AD173" s="13"/>
    </row>
    <row r="174">
      <c r="A174" s="10"/>
      <c r="B174" s="10"/>
      <c r="C174" s="10"/>
      <c r="D174" s="10"/>
      <c r="E174" s="10"/>
      <c r="F174" s="10"/>
      <c r="G174" s="11"/>
      <c r="H174" s="11"/>
      <c r="I174" s="11"/>
      <c r="K174" s="36"/>
      <c r="AA174" s="13"/>
      <c r="AB174" s="13"/>
      <c r="AC174" s="13"/>
      <c r="AD174" s="13"/>
    </row>
    <row r="175">
      <c r="A175" s="10"/>
      <c r="B175" s="10"/>
      <c r="C175" s="10"/>
      <c r="D175" s="10"/>
      <c r="E175" s="10"/>
      <c r="F175" s="10"/>
      <c r="G175" s="11"/>
      <c r="H175" s="11"/>
      <c r="I175" s="11"/>
      <c r="K175" s="36"/>
      <c r="AA175" s="13"/>
      <c r="AB175" s="13"/>
      <c r="AC175" s="13"/>
      <c r="AD175" s="13"/>
    </row>
    <row r="176">
      <c r="A176" s="10"/>
      <c r="B176" s="10"/>
      <c r="C176" s="10"/>
      <c r="D176" s="10"/>
      <c r="E176" s="10"/>
      <c r="F176" s="10"/>
      <c r="G176" s="11"/>
      <c r="H176" s="11"/>
      <c r="I176" s="11"/>
      <c r="K176" s="36"/>
      <c r="AA176" s="13"/>
      <c r="AB176" s="13"/>
      <c r="AC176" s="13"/>
      <c r="AD176" s="13"/>
    </row>
    <row r="177">
      <c r="A177" s="10"/>
      <c r="B177" s="10"/>
      <c r="C177" s="10"/>
      <c r="D177" s="10"/>
      <c r="E177" s="10"/>
      <c r="F177" s="10"/>
      <c r="G177" s="11"/>
      <c r="H177" s="11"/>
      <c r="I177" s="11"/>
      <c r="K177" s="36"/>
      <c r="AA177" s="13"/>
      <c r="AB177" s="13"/>
      <c r="AC177" s="13"/>
      <c r="AD177" s="13"/>
    </row>
    <row r="178">
      <c r="A178" s="10"/>
      <c r="B178" s="10"/>
      <c r="C178" s="10"/>
      <c r="D178" s="10"/>
      <c r="E178" s="10"/>
      <c r="F178" s="10"/>
      <c r="G178" s="11"/>
      <c r="H178" s="11"/>
      <c r="I178" s="11"/>
      <c r="K178" s="36"/>
      <c r="AA178" s="13"/>
      <c r="AB178" s="13"/>
      <c r="AC178" s="13"/>
      <c r="AD178" s="13"/>
    </row>
    <row r="179">
      <c r="A179" s="10"/>
      <c r="B179" s="10"/>
      <c r="C179" s="10"/>
      <c r="D179" s="10"/>
      <c r="E179" s="10"/>
      <c r="F179" s="10"/>
      <c r="G179" s="11"/>
      <c r="H179" s="11"/>
      <c r="I179" s="11"/>
      <c r="K179" s="36"/>
      <c r="AA179" s="13"/>
      <c r="AB179" s="13"/>
      <c r="AC179" s="13"/>
      <c r="AD179" s="13"/>
    </row>
    <row r="180">
      <c r="A180" s="10"/>
      <c r="B180" s="10"/>
      <c r="C180" s="10"/>
      <c r="D180" s="10"/>
      <c r="E180" s="10"/>
      <c r="F180" s="10"/>
      <c r="G180" s="11"/>
      <c r="H180" s="11"/>
      <c r="I180" s="11"/>
      <c r="K180" s="36"/>
      <c r="AA180" s="13"/>
      <c r="AB180" s="13"/>
      <c r="AC180" s="13"/>
      <c r="AD180" s="13"/>
    </row>
    <row r="181">
      <c r="A181" s="10"/>
      <c r="B181" s="10"/>
      <c r="C181" s="10"/>
      <c r="D181" s="10"/>
      <c r="E181" s="10"/>
      <c r="F181" s="10"/>
      <c r="G181" s="11"/>
      <c r="H181" s="11"/>
      <c r="I181" s="11"/>
      <c r="K181" s="36"/>
      <c r="AA181" s="13"/>
      <c r="AB181" s="13"/>
      <c r="AC181" s="13"/>
      <c r="AD181" s="13"/>
    </row>
    <row r="182">
      <c r="A182" s="10"/>
      <c r="B182" s="10"/>
      <c r="C182" s="10"/>
      <c r="D182" s="10"/>
      <c r="E182" s="10"/>
      <c r="F182" s="10"/>
      <c r="G182" s="11"/>
      <c r="H182" s="11"/>
      <c r="I182" s="11"/>
      <c r="K182" s="36"/>
      <c r="AA182" s="13"/>
      <c r="AB182" s="13"/>
      <c r="AC182" s="13"/>
      <c r="AD182" s="13"/>
    </row>
    <row r="183">
      <c r="A183" s="10"/>
      <c r="B183" s="10"/>
      <c r="C183" s="10"/>
      <c r="D183" s="10"/>
      <c r="E183" s="10"/>
      <c r="F183" s="10"/>
      <c r="G183" s="10"/>
      <c r="H183" s="11"/>
      <c r="I183" s="11"/>
      <c r="K183" s="36"/>
      <c r="AA183" s="13"/>
      <c r="AB183" s="13"/>
      <c r="AC183" s="13"/>
      <c r="AD183" s="13"/>
    </row>
    <row r="184">
      <c r="A184" s="10"/>
      <c r="B184" s="10"/>
      <c r="C184" s="10"/>
      <c r="D184" s="10"/>
      <c r="E184" s="10"/>
      <c r="F184" s="10"/>
      <c r="G184" s="11"/>
      <c r="H184" s="10"/>
      <c r="I184" s="10"/>
      <c r="K184" s="36"/>
      <c r="AA184" s="13"/>
      <c r="AB184" s="13"/>
      <c r="AC184" s="13"/>
      <c r="AD184" s="13"/>
    </row>
    <row r="185">
      <c r="A185" s="10"/>
      <c r="B185" s="10"/>
      <c r="C185" s="10"/>
      <c r="D185" s="10"/>
      <c r="E185" s="10"/>
      <c r="F185" s="10"/>
      <c r="G185" s="11"/>
      <c r="H185" s="10"/>
      <c r="I185" s="10"/>
      <c r="K185" s="36"/>
      <c r="AA185" s="13"/>
      <c r="AB185" s="13"/>
      <c r="AC185" s="13"/>
      <c r="AD185" s="13"/>
    </row>
    <row r="186">
      <c r="A186" s="10"/>
      <c r="B186" s="10"/>
      <c r="C186" s="10"/>
      <c r="D186" s="10"/>
      <c r="E186" s="10"/>
      <c r="F186" s="10"/>
      <c r="G186" s="11"/>
      <c r="H186" s="10"/>
      <c r="I186" s="10"/>
      <c r="K186" s="36"/>
      <c r="AA186" s="13"/>
      <c r="AB186" s="13"/>
      <c r="AC186" s="13"/>
      <c r="AD186" s="13"/>
    </row>
    <row r="187">
      <c r="A187" s="10"/>
      <c r="B187" s="10"/>
      <c r="C187" s="10"/>
      <c r="D187" s="10"/>
      <c r="E187" s="10"/>
      <c r="F187" s="10"/>
      <c r="G187" s="11"/>
      <c r="H187" s="10"/>
      <c r="I187" s="10"/>
      <c r="K187" s="36"/>
      <c r="AA187" s="13"/>
      <c r="AB187" s="13"/>
      <c r="AC187" s="13"/>
      <c r="AD187" s="13"/>
    </row>
    <row r="188">
      <c r="A188" s="10"/>
      <c r="B188" s="10"/>
      <c r="C188" s="10"/>
      <c r="D188" s="10"/>
      <c r="E188" s="10"/>
      <c r="F188" s="10"/>
      <c r="G188" s="11"/>
      <c r="H188" s="10"/>
      <c r="I188" s="10"/>
      <c r="K188" s="36"/>
      <c r="AA188" s="13"/>
      <c r="AB188" s="13"/>
      <c r="AC188" s="13"/>
      <c r="AD188" s="13"/>
    </row>
    <row r="189">
      <c r="A189" s="10"/>
      <c r="B189" s="10"/>
      <c r="C189" s="10"/>
      <c r="D189" s="10"/>
      <c r="E189" s="10"/>
      <c r="F189" s="10"/>
      <c r="G189" s="11"/>
      <c r="H189" s="10"/>
      <c r="I189" s="10"/>
      <c r="K189" s="36"/>
      <c r="AA189" s="13"/>
      <c r="AB189" s="13"/>
      <c r="AC189" s="13"/>
      <c r="AD189" s="13"/>
    </row>
    <row r="190">
      <c r="A190" s="10"/>
      <c r="B190" s="10"/>
      <c r="C190" s="10"/>
      <c r="D190" s="10"/>
      <c r="E190" s="10"/>
      <c r="F190" s="10"/>
      <c r="G190" s="11"/>
      <c r="H190" s="10"/>
      <c r="I190" s="10"/>
      <c r="K190" s="36"/>
      <c r="AA190" s="13"/>
      <c r="AB190" s="13"/>
      <c r="AC190" s="13"/>
      <c r="AD190" s="13"/>
    </row>
    <row r="191">
      <c r="H191" s="22"/>
      <c r="I191" s="22"/>
      <c r="K191" s="36"/>
      <c r="AA191" s="13"/>
      <c r="AB191" s="13"/>
      <c r="AC191" s="13"/>
      <c r="AD191" s="13"/>
    </row>
    <row r="192">
      <c r="H192" s="22"/>
      <c r="I192" s="22"/>
      <c r="K192" s="36"/>
      <c r="AA192" s="13"/>
      <c r="AB192" s="13"/>
      <c r="AC192" s="13"/>
      <c r="AD192" s="13"/>
    </row>
    <row r="193">
      <c r="H193" s="22"/>
      <c r="I193" s="22"/>
      <c r="K193" s="36"/>
      <c r="AA193" s="13"/>
      <c r="AB193" s="13"/>
      <c r="AC193" s="13"/>
      <c r="AD193" s="13"/>
    </row>
    <row r="194">
      <c r="H194" s="22"/>
      <c r="I194" s="22"/>
      <c r="K194" s="36"/>
      <c r="AA194" s="13"/>
      <c r="AB194" s="13"/>
      <c r="AC194" s="13"/>
      <c r="AD194" s="13"/>
    </row>
    <row r="195">
      <c r="H195" s="22"/>
      <c r="I195" s="22"/>
      <c r="K195" s="36"/>
      <c r="AA195" s="13"/>
      <c r="AB195" s="13"/>
      <c r="AC195" s="13"/>
      <c r="AD195" s="13"/>
    </row>
    <row r="196">
      <c r="H196" s="22"/>
      <c r="I196" s="22"/>
      <c r="K196" s="36"/>
      <c r="AA196" s="13"/>
      <c r="AB196" s="13"/>
      <c r="AC196" s="13"/>
      <c r="AD196" s="13"/>
    </row>
    <row r="197">
      <c r="H197" s="22"/>
      <c r="I197" s="22"/>
      <c r="K197" s="36"/>
      <c r="AA197" s="13"/>
      <c r="AB197" s="13"/>
      <c r="AC197" s="13"/>
      <c r="AD197" s="13"/>
    </row>
    <row r="198">
      <c r="H198" s="22"/>
      <c r="I198" s="22"/>
      <c r="K198" s="36"/>
      <c r="AA198" s="13"/>
      <c r="AB198" s="13"/>
      <c r="AC198" s="13"/>
      <c r="AD198" s="13"/>
    </row>
    <row r="199">
      <c r="H199" s="22"/>
      <c r="I199" s="22"/>
      <c r="K199" s="36"/>
      <c r="AA199" s="13"/>
      <c r="AB199" s="13"/>
      <c r="AC199" s="13"/>
      <c r="AD199" s="13"/>
    </row>
    <row r="200">
      <c r="H200" s="22"/>
      <c r="I200" s="22"/>
      <c r="K200" s="36"/>
      <c r="AA200" s="13"/>
      <c r="AB200" s="13"/>
      <c r="AC200" s="13"/>
      <c r="AD200" s="13"/>
    </row>
    <row r="201">
      <c r="H201" s="22"/>
      <c r="I201" s="22"/>
      <c r="K201" s="36"/>
      <c r="AA201" s="13"/>
      <c r="AB201" s="13"/>
      <c r="AC201" s="13"/>
      <c r="AD201" s="13"/>
    </row>
    <row r="202">
      <c r="H202" s="22"/>
      <c r="I202" s="22"/>
      <c r="K202" s="36"/>
      <c r="AA202" s="13"/>
      <c r="AB202" s="13"/>
      <c r="AC202" s="13"/>
      <c r="AD202" s="13"/>
    </row>
    <row r="203">
      <c r="H203" s="22"/>
      <c r="I203" s="22"/>
      <c r="K203" s="36"/>
      <c r="AA203" s="13"/>
      <c r="AB203" s="13"/>
      <c r="AC203" s="13"/>
      <c r="AD203" s="13"/>
    </row>
    <row r="204">
      <c r="H204" s="22"/>
      <c r="I204" s="22"/>
      <c r="K204" s="36"/>
      <c r="AA204" s="13"/>
      <c r="AB204" s="13"/>
      <c r="AC204" s="13"/>
      <c r="AD204" s="13"/>
    </row>
    <row r="205">
      <c r="H205" s="22"/>
      <c r="I205" s="22"/>
      <c r="K205" s="36"/>
      <c r="AA205" s="13"/>
      <c r="AB205" s="13"/>
      <c r="AC205" s="13"/>
      <c r="AD205" s="13"/>
    </row>
    <row r="206">
      <c r="H206" s="22"/>
      <c r="I206" s="22"/>
      <c r="K206" s="36"/>
      <c r="AA206" s="13"/>
      <c r="AB206" s="13"/>
      <c r="AC206" s="13"/>
      <c r="AD206" s="13"/>
    </row>
    <row r="207">
      <c r="H207" s="22"/>
      <c r="I207" s="22"/>
      <c r="K207" s="36"/>
      <c r="AA207" s="13"/>
      <c r="AB207" s="13"/>
      <c r="AC207" s="13"/>
      <c r="AD207" s="13"/>
    </row>
    <row r="208">
      <c r="H208" s="22"/>
      <c r="I208" s="22"/>
      <c r="K208" s="36"/>
      <c r="AA208" s="13"/>
      <c r="AB208" s="13"/>
      <c r="AC208" s="13"/>
      <c r="AD208" s="13"/>
    </row>
    <row r="209">
      <c r="H209" s="22"/>
      <c r="I209" s="22"/>
      <c r="K209" s="36"/>
      <c r="AA209" s="13"/>
      <c r="AB209" s="13"/>
      <c r="AC209" s="13"/>
      <c r="AD209" s="13"/>
    </row>
    <row r="210">
      <c r="H210" s="22"/>
      <c r="I210" s="22"/>
      <c r="K210" s="36"/>
      <c r="AA210" s="13"/>
      <c r="AB210" s="13"/>
      <c r="AC210" s="13"/>
      <c r="AD210" s="13"/>
    </row>
    <row r="211">
      <c r="H211" s="22"/>
      <c r="I211" s="22"/>
      <c r="K211" s="36"/>
      <c r="AA211" s="13"/>
      <c r="AB211" s="13"/>
      <c r="AC211" s="13"/>
      <c r="AD211" s="13"/>
    </row>
    <row r="212">
      <c r="H212" s="22"/>
      <c r="I212" s="22"/>
      <c r="K212" s="36"/>
      <c r="AA212" s="13"/>
      <c r="AB212" s="13"/>
      <c r="AC212" s="13"/>
      <c r="AD212" s="13"/>
    </row>
    <row r="213">
      <c r="H213" s="22"/>
      <c r="I213" s="22"/>
      <c r="K213" s="36"/>
      <c r="AA213" s="13"/>
      <c r="AB213" s="13"/>
      <c r="AC213" s="13"/>
      <c r="AD213" s="13"/>
    </row>
    <row r="214">
      <c r="H214" s="22"/>
      <c r="I214" s="22"/>
      <c r="K214" s="36"/>
      <c r="AA214" s="13"/>
      <c r="AB214" s="13"/>
      <c r="AC214" s="13"/>
      <c r="AD214" s="13"/>
    </row>
    <row r="215">
      <c r="H215" s="22"/>
      <c r="I215" s="22"/>
      <c r="K215" s="36"/>
      <c r="AA215" s="13"/>
      <c r="AB215" s="13"/>
      <c r="AC215" s="13"/>
      <c r="AD215" s="13"/>
    </row>
    <row r="216">
      <c r="H216" s="22"/>
      <c r="I216" s="22"/>
      <c r="K216" s="36"/>
      <c r="AA216" s="13"/>
      <c r="AB216" s="13"/>
      <c r="AC216" s="13"/>
      <c r="AD216" s="13"/>
    </row>
    <row r="217">
      <c r="H217" s="22"/>
      <c r="I217" s="22"/>
      <c r="K217" s="36"/>
      <c r="AA217" s="13"/>
      <c r="AB217" s="13"/>
      <c r="AC217" s="13"/>
      <c r="AD217" s="13"/>
    </row>
    <row r="218">
      <c r="H218" s="22"/>
      <c r="I218" s="22"/>
      <c r="K218" s="36"/>
      <c r="AA218" s="13"/>
      <c r="AB218" s="13"/>
      <c r="AC218" s="13"/>
      <c r="AD218" s="13"/>
    </row>
    <row r="219">
      <c r="H219" s="22"/>
      <c r="I219" s="22"/>
      <c r="K219" s="36"/>
      <c r="AA219" s="13"/>
      <c r="AB219" s="13"/>
      <c r="AC219" s="13"/>
      <c r="AD219" s="13"/>
    </row>
    <row r="220">
      <c r="H220" s="22"/>
      <c r="I220" s="22"/>
      <c r="K220" s="36"/>
      <c r="AA220" s="13"/>
      <c r="AB220" s="13"/>
      <c r="AC220" s="13"/>
      <c r="AD220" s="13"/>
    </row>
    <row r="221">
      <c r="H221" s="22"/>
      <c r="I221" s="22"/>
      <c r="K221" s="36"/>
      <c r="AA221" s="13"/>
      <c r="AB221" s="13"/>
      <c r="AC221" s="13"/>
      <c r="AD221" s="13"/>
    </row>
    <row r="222">
      <c r="H222" s="22"/>
      <c r="I222" s="22"/>
      <c r="K222" s="36"/>
      <c r="AA222" s="13"/>
      <c r="AB222" s="13"/>
      <c r="AC222" s="13"/>
      <c r="AD222" s="13"/>
    </row>
    <row r="223">
      <c r="H223" s="22"/>
      <c r="I223" s="22"/>
      <c r="K223" s="36"/>
      <c r="AA223" s="13"/>
      <c r="AB223" s="13"/>
      <c r="AC223" s="13"/>
      <c r="AD223" s="13"/>
    </row>
    <row r="224">
      <c r="H224" s="22"/>
      <c r="I224" s="22"/>
      <c r="K224" s="36"/>
      <c r="AA224" s="13"/>
      <c r="AB224" s="13"/>
      <c r="AC224" s="13"/>
      <c r="AD224" s="13"/>
    </row>
    <row r="225">
      <c r="H225" s="22"/>
      <c r="I225" s="22"/>
      <c r="K225" s="36"/>
      <c r="AA225" s="13"/>
      <c r="AB225" s="13"/>
      <c r="AC225" s="13"/>
      <c r="AD225" s="13"/>
    </row>
    <row r="226">
      <c r="H226" s="22"/>
      <c r="I226" s="22"/>
      <c r="K226" s="36"/>
      <c r="AA226" s="13"/>
      <c r="AB226" s="13"/>
      <c r="AC226" s="13"/>
      <c r="AD226" s="13"/>
    </row>
    <row r="227">
      <c r="H227" s="22"/>
      <c r="I227" s="22"/>
      <c r="K227" s="36"/>
      <c r="AA227" s="13"/>
      <c r="AB227" s="13"/>
      <c r="AC227" s="13"/>
      <c r="AD227" s="13"/>
    </row>
    <row r="228">
      <c r="H228" s="22"/>
      <c r="I228" s="22"/>
      <c r="K228" s="36"/>
      <c r="AA228" s="13"/>
      <c r="AB228" s="13"/>
      <c r="AC228" s="13"/>
      <c r="AD228" s="13"/>
    </row>
    <row r="229">
      <c r="H229" s="22"/>
      <c r="I229" s="22"/>
      <c r="K229" s="36"/>
      <c r="AA229" s="13"/>
      <c r="AB229" s="13"/>
      <c r="AC229" s="13"/>
      <c r="AD229" s="13"/>
    </row>
    <row r="230">
      <c r="H230" s="22"/>
      <c r="I230" s="22"/>
      <c r="K230" s="36"/>
      <c r="AA230" s="13"/>
      <c r="AB230" s="13"/>
      <c r="AC230" s="13"/>
      <c r="AD230" s="13"/>
    </row>
    <row r="231">
      <c r="H231" s="22"/>
      <c r="I231" s="22"/>
      <c r="K231" s="36"/>
      <c r="AA231" s="13"/>
      <c r="AB231" s="13"/>
      <c r="AC231" s="13"/>
      <c r="AD231" s="13"/>
    </row>
    <row r="232">
      <c r="H232" s="22"/>
      <c r="I232" s="22"/>
      <c r="K232" s="36"/>
      <c r="AA232" s="13"/>
      <c r="AB232" s="13"/>
      <c r="AC232" s="13"/>
      <c r="AD232" s="13"/>
    </row>
    <row r="233">
      <c r="H233" s="22"/>
      <c r="I233" s="22"/>
      <c r="K233" s="36"/>
      <c r="AA233" s="13"/>
      <c r="AB233" s="13"/>
      <c r="AC233" s="13"/>
      <c r="AD233" s="13"/>
    </row>
    <row r="234">
      <c r="H234" s="22"/>
      <c r="I234" s="22"/>
      <c r="K234" s="36"/>
      <c r="AA234" s="13"/>
      <c r="AB234" s="13"/>
      <c r="AC234" s="13"/>
      <c r="AD234" s="13"/>
    </row>
    <row r="235">
      <c r="H235" s="22"/>
      <c r="I235" s="22"/>
      <c r="K235" s="36"/>
      <c r="AA235" s="13"/>
      <c r="AB235" s="13"/>
      <c r="AC235" s="13"/>
      <c r="AD235" s="13"/>
    </row>
    <row r="236">
      <c r="H236" s="22"/>
      <c r="I236" s="22"/>
      <c r="K236" s="36"/>
      <c r="AA236" s="13"/>
      <c r="AB236" s="13"/>
      <c r="AC236" s="13"/>
      <c r="AD236" s="13"/>
    </row>
    <row r="237">
      <c r="H237" s="22"/>
      <c r="I237" s="22"/>
      <c r="K237" s="36"/>
      <c r="AA237" s="13"/>
      <c r="AB237" s="13"/>
      <c r="AC237" s="13"/>
      <c r="AD237" s="13"/>
    </row>
    <row r="238">
      <c r="H238" s="22"/>
      <c r="I238" s="22"/>
      <c r="K238" s="36"/>
      <c r="AA238" s="13"/>
      <c r="AB238" s="13"/>
      <c r="AC238" s="13"/>
      <c r="AD238" s="13"/>
    </row>
    <row r="239">
      <c r="H239" s="22"/>
      <c r="I239" s="22"/>
      <c r="K239" s="36"/>
      <c r="AA239" s="13"/>
      <c r="AB239" s="13"/>
      <c r="AC239" s="13"/>
      <c r="AD239" s="13"/>
    </row>
    <row r="240">
      <c r="H240" s="22"/>
      <c r="I240" s="22"/>
      <c r="K240" s="36"/>
      <c r="AA240" s="13"/>
      <c r="AB240" s="13"/>
      <c r="AC240" s="13"/>
      <c r="AD240" s="13"/>
    </row>
    <row r="241">
      <c r="H241" s="22"/>
      <c r="I241" s="22"/>
      <c r="K241" s="36"/>
      <c r="AA241" s="13"/>
      <c r="AB241" s="13"/>
      <c r="AC241" s="13"/>
      <c r="AD241" s="13"/>
    </row>
    <row r="242">
      <c r="H242" s="22"/>
      <c r="I242" s="22"/>
      <c r="K242" s="36"/>
      <c r="AA242" s="13"/>
      <c r="AB242" s="13"/>
      <c r="AC242" s="13"/>
      <c r="AD242" s="13"/>
    </row>
    <row r="243">
      <c r="H243" s="22"/>
      <c r="I243" s="22"/>
      <c r="K243" s="36"/>
      <c r="AA243" s="13"/>
      <c r="AB243" s="13"/>
      <c r="AC243" s="13"/>
      <c r="AD243" s="13"/>
    </row>
    <row r="244">
      <c r="H244" s="22"/>
      <c r="I244" s="22"/>
      <c r="K244" s="36"/>
      <c r="AA244" s="13"/>
      <c r="AB244" s="13"/>
      <c r="AC244" s="13"/>
      <c r="AD244" s="13"/>
    </row>
    <row r="245">
      <c r="H245" s="22"/>
      <c r="I245" s="22"/>
      <c r="K245" s="36"/>
      <c r="AA245" s="13"/>
      <c r="AB245" s="13"/>
      <c r="AC245" s="13"/>
      <c r="AD245" s="13"/>
    </row>
    <row r="246">
      <c r="H246" s="22"/>
      <c r="I246" s="22"/>
      <c r="K246" s="36"/>
      <c r="AA246" s="13"/>
      <c r="AB246" s="13"/>
      <c r="AC246" s="13"/>
      <c r="AD246" s="13"/>
    </row>
    <row r="247">
      <c r="H247" s="22"/>
      <c r="I247" s="22"/>
      <c r="K247" s="36"/>
      <c r="AA247" s="13"/>
      <c r="AB247" s="13"/>
      <c r="AC247" s="13"/>
      <c r="AD247" s="13"/>
    </row>
    <row r="248">
      <c r="H248" s="22"/>
      <c r="I248" s="22"/>
      <c r="K248" s="36"/>
      <c r="AA248" s="13"/>
      <c r="AB248" s="13"/>
      <c r="AC248" s="13"/>
      <c r="AD248" s="13"/>
    </row>
    <row r="249">
      <c r="H249" s="22"/>
      <c r="I249" s="22"/>
      <c r="K249" s="36"/>
      <c r="AA249" s="13"/>
      <c r="AB249" s="13"/>
      <c r="AC249" s="13"/>
      <c r="AD249" s="13"/>
    </row>
    <row r="250">
      <c r="H250" s="22"/>
      <c r="I250" s="22"/>
      <c r="K250" s="36"/>
      <c r="AA250" s="13"/>
      <c r="AB250" s="13"/>
      <c r="AC250" s="13"/>
      <c r="AD250" s="13"/>
    </row>
    <row r="251">
      <c r="H251" s="22"/>
      <c r="I251" s="22"/>
      <c r="K251" s="36"/>
      <c r="AA251" s="13"/>
      <c r="AB251" s="13"/>
      <c r="AC251" s="13"/>
      <c r="AD251" s="13"/>
    </row>
    <row r="252">
      <c r="H252" s="22"/>
      <c r="I252" s="22"/>
      <c r="K252" s="36"/>
      <c r="AA252" s="13"/>
      <c r="AB252" s="13"/>
      <c r="AC252" s="13"/>
      <c r="AD252" s="13"/>
    </row>
    <row r="253">
      <c r="H253" s="22"/>
      <c r="I253" s="22"/>
      <c r="K253" s="36"/>
      <c r="AA253" s="13"/>
      <c r="AB253" s="13"/>
      <c r="AC253" s="13"/>
      <c r="AD253" s="13"/>
    </row>
    <row r="254">
      <c r="H254" s="22"/>
      <c r="I254" s="22"/>
      <c r="K254" s="36"/>
      <c r="AA254" s="13"/>
      <c r="AB254" s="13"/>
      <c r="AC254" s="13"/>
      <c r="AD254" s="13"/>
    </row>
    <row r="255">
      <c r="H255" s="22"/>
      <c r="I255" s="22"/>
      <c r="K255" s="36"/>
      <c r="AA255" s="13"/>
      <c r="AB255" s="13"/>
      <c r="AC255" s="13"/>
      <c r="AD255" s="13"/>
    </row>
    <row r="256">
      <c r="H256" s="22"/>
      <c r="I256" s="22"/>
      <c r="K256" s="36"/>
      <c r="AA256" s="13"/>
      <c r="AB256" s="13"/>
      <c r="AC256" s="13"/>
      <c r="AD256" s="13"/>
    </row>
    <row r="257">
      <c r="H257" s="22"/>
      <c r="I257" s="22"/>
      <c r="K257" s="36"/>
      <c r="AA257" s="13"/>
      <c r="AB257" s="13"/>
      <c r="AC257" s="13"/>
      <c r="AD257" s="13"/>
    </row>
    <row r="258">
      <c r="H258" s="22"/>
      <c r="I258" s="22"/>
      <c r="K258" s="36"/>
      <c r="AA258" s="13"/>
      <c r="AB258" s="13"/>
      <c r="AC258" s="13"/>
      <c r="AD258" s="13"/>
    </row>
    <row r="259">
      <c r="H259" s="22"/>
      <c r="I259" s="22"/>
      <c r="K259" s="36"/>
      <c r="AA259" s="13"/>
      <c r="AB259" s="13"/>
      <c r="AC259" s="13"/>
      <c r="AD259" s="13"/>
    </row>
    <row r="260">
      <c r="H260" s="22"/>
      <c r="I260" s="22"/>
      <c r="K260" s="36"/>
      <c r="AA260" s="13"/>
      <c r="AB260" s="13"/>
      <c r="AC260" s="13"/>
      <c r="AD260" s="13"/>
    </row>
    <row r="261">
      <c r="H261" s="22"/>
      <c r="I261" s="22"/>
      <c r="K261" s="36"/>
      <c r="AA261" s="13"/>
      <c r="AB261" s="13"/>
      <c r="AC261" s="13"/>
      <c r="AD261" s="13"/>
    </row>
    <row r="262">
      <c r="H262" s="22"/>
      <c r="I262" s="22"/>
      <c r="K262" s="36"/>
      <c r="AA262" s="13"/>
      <c r="AB262" s="13"/>
      <c r="AC262" s="13"/>
      <c r="AD262" s="13"/>
    </row>
    <row r="263">
      <c r="H263" s="22"/>
      <c r="I263" s="22"/>
      <c r="K263" s="36"/>
      <c r="AA263" s="13"/>
      <c r="AB263" s="13"/>
      <c r="AC263" s="13"/>
      <c r="AD263" s="13"/>
    </row>
    <row r="264">
      <c r="H264" s="22"/>
      <c r="I264" s="22"/>
      <c r="K264" s="36"/>
      <c r="AA264" s="13"/>
      <c r="AB264" s="13"/>
      <c r="AC264" s="13"/>
      <c r="AD264" s="13"/>
    </row>
    <row r="265">
      <c r="H265" s="22"/>
      <c r="I265" s="22"/>
      <c r="K265" s="36"/>
      <c r="AA265" s="13"/>
      <c r="AB265" s="13"/>
      <c r="AC265" s="13"/>
      <c r="AD265" s="13"/>
    </row>
    <row r="266">
      <c r="H266" s="22"/>
      <c r="I266" s="22"/>
      <c r="K266" s="36"/>
      <c r="AA266" s="13"/>
      <c r="AB266" s="13"/>
      <c r="AC266" s="13"/>
      <c r="AD266" s="13"/>
    </row>
    <row r="267">
      <c r="H267" s="22"/>
      <c r="I267" s="22"/>
      <c r="K267" s="36"/>
      <c r="AA267" s="13"/>
      <c r="AB267" s="13"/>
      <c r="AC267" s="13"/>
      <c r="AD267" s="13"/>
    </row>
    <row r="268">
      <c r="H268" s="22"/>
      <c r="I268" s="22"/>
      <c r="K268" s="36"/>
      <c r="AA268" s="13"/>
      <c r="AB268" s="13"/>
      <c r="AC268" s="13"/>
      <c r="AD268" s="13"/>
    </row>
    <row r="269">
      <c r="H269" s="22"/>
      <c r="I269" s="22"/>
      <c r="K269" s="36"/>
      <c r="AA269" s="13"/>
      <c r="AB269" s="13"/>
      <c r="AC269" s="13"/>
      <c r="AD269" s="13"/>
    </row>
    <row r="270">
      <c r="H270" s="22"/>
      <c r="I270" s="22"/>
      <c r="K270" s="36"/>
      <c r="AA270" s="13"/>
      <c r="AB270" s="13"/>
      <c r="AC270" s="13"/>
      <c r="AD270" s="13"/>
    </row>
    <row r="271">
      <c r="H271" s="22"/>
      <c r="I271" s="22"/>
      <c r="K271" s="36"/>
      <c r="AA271" s="13"/>
      <c r="AB271" s="13"/>
      <c r="AC271" s="13"/>
      <c r="AD271" s="13"/>
    </row>
    <row r="272">
      <c r="H272" s="22"/>
      <c r="I272" s="22"/>
      <c r="K272" s="36"/>
      <c r="AA272" s="13"/>
      <c r="AB272" s="13"/>
      <c r="AC272" s="13"/>
      <c r="AD272" s="13"/>
    </row>
    <row r="273">
      <c r="H273" s="22"/>
      <c r="I273" s="22"/>
      <c r="K273" s="36"/>
      <c r="AA273" s="13"/>
      <c r="AB273" s="13"/>
      <c r="AC273" s="13"/>
      <c r="AD273" s="13"/>
    </row>
    <row r="274">
      <c r="H274" s="22"/>
      <c r="I274" s="22"/>
      <c r="K274" s="36"/>
      <c r="AA274" s="13"/>
      <c r="AB274" s="13"/>
      <c r="AC274" s="13"/>
      <c r="AD274" s="13"/>
    </row>
    <row r="275">
      <c r="H275" s="22"/>
      <c r="I275" s="22"/>
      <c r="K275" s="36"/>
      <c r="AA275" s="13"/>
      <c r="AB275" s="13"/>
      <c r="AC275" s="13"/>
      <c r="AD275" s="13"/>
    </row>
    <row r="276">
      <c r="H276" s="22"/>
      <c r="I276" s="22"/>
      <c r="K276" s="36"/>
      <c r="AA276" s="13"/>
      <c r="AB276" s="13"/>
      <c r="AC276" s="13"/>
      <c r="AD276" s="13"/>
    </row>
    <row r="277">
      <c r="H277" s="22"/>
      <c r="I277" s="22"/>
      <c r="K277" s="36"/>
      <c r="AA277" s="13"/>
      <c r="AB277" s="13"/>
      <c r="AC277" s="13"/>
      <c r="AD277" s="13"/>
    </row>
    <row r="278">
      <c r="H278" s="22"/>
      <c r="I278" s="22"/>
      <c r="K278" s="36"/>
      <c r="AA278" s="13"/>
      <c r="AB278" s="13"/>
      <c r="AC278" s="13"/>
      <c r="AD278" s="13"/>
    </row>
    <row r="279">
      <c r="H279" s="22"/>
      <c r="I279" s="22"/>
      <c r="K279" s="36"/>
      <c r="AA279" s="13"/>
      <c r="AB279" s="13"/>
      <c r="AC279" s="13"/>
      <c r="AD279" s="13"/>
    </row>
    <row r="280">
      <c r="H280" s="22"/>
      <c r="I280" s="22"/>
      <c r="K280" s="36"/>
      <c r="AA280" s="13"/>
      <c r="AB280" s="13"/>
      <c r="AC280" s="13"/>
      <c r="AD280" s="13"/>
    </row>
    <row r="281">
      <c r="H281" s="22"/>
      <c r="I281" s="22"/>
      <c r="K281" s="36"/>
      <c r="AA281" s="13"/>
      <c r="AB281" s="13"/>
      <c r="AC281" s="13"/>
      <c r="AD281" s="13"/>
    </row>
    <row r="282">
      <c r="H282" s="22"/>
      <c r="I282" s="22"/>
      <c r="K282" s="36"/>
      <c r="AA282" s="13"/>
      <c r="AB282" s="13"/>
      <c r="AC282" s="13"/>
      <c r="AD282" s="13"/>
    </row>
    <row r="283">
      <c r="H283" s="22"/>
      <c r="I283" s="22"/>
      <c r="K283" s="36"/>
      <c r="AA283" s="13"/>
      <c r="AB283" s="13"/>
      <c r="AC283" s="13"/>
      <c r="AD283" s="13"/>
    </row>
    <row r="284">
      <c r="H284" s="22"/>
      <c r="I284" s="22"/>
      <c r="K284" s="36"/>
      <c r="AA284" s="13"/>
      <c r="AB284" s="13"/>
      <c r="AC284" s="13"/>
      <c r="AD284" s="13"/>
    </row>
    <row r="285">
      <c r="H285" s="22"/>
      <c r="I285" s="22"/>
      <c r="K285" s="36"/>
      <c r="AA285" s="13"/>
      <c r="AB285" s="13"/>
      <c r="AC285" s="13"/>
      <c r="AD285" s="13"/>
    </row>
    <row r="286">
      <c r="H286" s="22"/>
      <c r="I286" s="22"/>
      <c r="K286" s="36"/>
      <c r="AA286" s="13"/>
      <c r="AB286" s="13"/>
      <c r="AC286" s="13"/>
      <c r="AD286" s="13"/>
    </row>
    <row r="287">
      <c r="H287" s="22"/>
      <c r="I287" s="22"/>
      <c r="K287" s="36"/>
      <c r="AA287" s="13"/>
      <c r="AB287" s="13"/>
      <c r="AC287" s="13"/>
      <c r="AD287" s="13"/>
    </row>
    <row r="288">
      <c r="H288" s="22"/>
      <c r="I288" s="22"/>
      <c r="K288" s="36"/>
      <c r="AA288" s="13"/>
      <c r="AB288" s="13"/>
      <c r="AC288" s="13"/>
      <c r="AD288" s="13"/>
    </row>
    <row r="289">
      <c r="H289" s="22"/>
      <c r="I289" s="22"/>
      <c r="K289" s="36"/>
      <c r="AA289" s="13"/>
      <c r="AB289" s="13"/>
      <c r="AC289" s="13"/>
      <c r="AD289" s="13"/>
    </row>
    <row r="290">
      <c r="H290" s="22"/>
      <c r="I290" s="22"/>
      <c r="K290" s="36"/>
      <c r="AA290" s="13"/>
      <c r="AB290" s="13"/>
      <c r="AC290" s="13"/>
      <c r="AD290" s="13"/>
    </row>
    <row r="291">
      <c r="H291" s="22"/>
      <c r="I291" s="22"/>
      <c r="K291" s="36"/>
      <c r="AA291" s="13"/>
      <c r="AB291" s="13"/>
      <c r="AC291" s="13"/>
      <c r="AD291" s="13"/>
    </row>
    <row r="292">
      <c r="H292" s="22"/>
      <c r="I292" s="22"/>
      <c r="K292" s="36"/>
      <c r="AA292" s="13"/>
      <c r="AB292" s="13"/>
      <c r="AC292" s="13"/>
      <c r="AD292" s="13"/>
    </row>
    <row r="293">
      <c r="H293" s="22"/>
      <c r="I293" s="22"/>
      <c r="K293" s="36"/>
      <c r="AA293" s="13"/>
      <c r="AB293" s="13"/>
      <c r="AC293" s="13"/>
      <c r="AD293" s="13"/>
    </row>
    <row r="294">
      <c r="H294" s="22"/>
      <c r="I294" s="22"/>
      <c r="K294" s="36"/>
      <c r="AA294" s="13"/>
      <c r="AB294" s="13"/>
      <c r="AC294" s="13"/>
      <c r="AD294" s="13"/>
    </row>
    <row r="295">
      <c r="H295" s="22"/>
      <c r="I295" s="22"/>
      <c r="K295" s="36"/>
      <c r="AA295" s="13"/>
      <c r="AB295" s="13"/>
      <c r="AC295" s="13"/>
      <c r="AD295" s="13"/>
    </row>
    <row r="296">
      <c r="H296" s="22"/>
      <c r="I296" s="22"/>
      <c r="K296" s="36"/>
      <c r="AA296" s="13"/>
      <c r="AB296" s="13"/>
      <c r="AC296" s="13"/>
      <c r="AD296" s="13"/>
    </row>
    <row r="297">
      <c r="H297" s="22"/>
      <c r="I297" s="22"/>
      <c r="K297" s="36"/>
      <c r="AA297" s="13"/>
      <c r="AB297" s="13"/>
      <c r="AC297" s="13"/>
      <c r="AD297" s="13"/>
    </row>
    <row r="298">
      <c r="H298" s="22"/>
      <c r="I298" s="22"/>
      <c r="K298" s="36"/>
      <c r="AA298" s="13"/>
      <c r="AB298" s="13"/>
      <c r="AC298" s="13"/>
      <c r="AD298" s="13"/>
    </row>
    <row r="299">
      <c r="H299" s="22"/>
      <c r="I299" s="22"/>
      <c r="K299" s="36"/>
      <c r="AA299" s="13"/>
      <c r="AB299" s="13"/>
      <c r="AC299" s="13"/>
      <c r="AD299" s="13"/>
    </row>
    <row r="300">
      <c r="H300" s="22"/>
      <c r="I300" s="22"/>
      <c r="K300" s="36"/>
      <c r="AA300" s="13"/>
      <c r="AB300" s="13"/>
      <c r="AC300" s="13"/>
      <c r="AD300" s="13"/>
    </row>
    <row r="301">
      <c r="H301" s="22"/>
      <c r="I301" s="22"/>
      <c r="K301" s="36"/>
      <c r="AA301" s="13"/>
      <c r="AB301" s="13"/>
      <c r="AC301" s="13"/>
      <c r="AD301" s="13"/>
    </row>
    <row r="302">
      <c r="H302" s="22"/>
      <c r="I302" s="22"/>
      <c r="K302" s="36"/>
      <c r="AA302" s="13"/>
      <c r="AB302" s="13"/>
      <c r="AC302" s="13"/>
      <c r="AD302" s="13"/>
    </row>
    <row r="303">
      <c r="H303" s="22"/>
      <c r="I303" s="22"/>
      <c r="K303" s="36"/>
      <c r="AA303" s="13"/>
      <c r="AB303" s="13"/>
      <c r="AC303" s="13"/>
      <c r="AD303" s="13"/>
    </row>
    <row r="304">
      <c r="H304" s="22"/>
      <c r="I304" s="22"/>
      <c r="K304" s="36"/>
      <c r="AA304" s="13"/>
      <c r="AB304" s="13"/>
      <c r="AC304" s="13"/>
      <c r="AD304" s="13"/>
    </row>
    <row r="305">
      <c r="H305" s="22"/>
      <c r="I305" s="22"/>
      <c r="K305" s="36"/>
      <c r="AA305" s="13"/>
      <c r="AB305" s="13"/>
      <c r="AC305" s="13"/>
      <c r="AD305" s="13"/>
    </row>
    <row r="306">
      <c r="H306" s="22"/>
      <c r="I306" s="22"/>
      <c r="K306" s="36"/>
      <c r="AA306" s="13"/>
      <c r="AB306" s="13"/>
      <c r="AC306" s="13"/>
      <c r="AD306" s="13"/>
    </row>
    <row r="307">
      <c r="H307" s="22"/>
      <c r="I307" s="22"/>
      <c r="K307" s="36"/>
      <c r="AA307" s="13"/>
      <c r="AB307" s="13"/>
      <c r="AC307" s="13"/>
      <c r="AD307" s="13"/>
    </row>
    <row r="308">
      <c r="H308" s="22"/>
      <c r="I308" s="22"/>
      <c r="K308" s="36"/>
      <c r="AA308" s="13"/>
      <c r="AB308" s="13"/>
      <c r="AC308" s="13"/>
      <c r="AD308" s="13"/>
    </row>
    <row r="309">
      <c r="H309" s="22"/>
      <c r="I309" s="22"/>
      <c r="K309" s="36"/>
      <c r="AA309" s="13"/>
      <c r="AB309" s="13"/>
      <c r="AC309" s="13"/>
      <c r="AD309" s="13"/>
    </row>
    <row r="310">
      <c r="H310" s="22"/>
      <c r="I310" s="22"/>
      <c r="K310" s="36"/>
      <c r="AA310" s="13"/>
      <c r="AB310" s="13"/>
      <c r="AC310" s="13"/>
      <c r="AD310" s="13"/>
    </row>
    <row r="311">
      <c r="H311" s="22"/>
      <c r="I311" s="22"/>
      <c r="K311" s="36"/>
      <c r="AA311" s="13"/>
      <c r="AB311" s="13"/>
      <c r="AC311" s="13"/>
      <c r="AD311" s="13"/>
    </row>
    <row r="312">
      <c r="H312" s="22"/>
      <c r="I312" s="22"/>
      <c r="K312" s="36"/>
      <c r="AA312" s="13"/>
      <c r="AB312" s="13"/>
      <c r="AC312" s="13"/>
      <c r="AD312" s="13"/>
    </row>
    <row r="313">
      <c r="H313" s="22"/>
      <c r="I313" s="22"/>
      <c r="K313" s="36"/>
      <c r="AA313" s="13"/>
      <c r="AB313" s="13"/>
      <c r="AC313" s="13"/>
      <c r="AD313" s="13"/>
    </row>
    <row r="314">
      <c r="H314" s="22"/>
      <c r="I314" s="22"/>
      <c r="K314" s="36"/>
      <c r="AA314" s="13"/>
      <c r="AB314" s="13"/>
      <c r="AC314" s="13"/>
      <c r="AD314" s="13"/>
    </row>
    <row r="315">
      <c r="H315" s="22"/>
      <c r="I315" s="22"/>
      <c r="K315" s="36"/>
      <c r="AA315" s="13"/>
      <c r="AB315" s="13"/>
      <c r="AC315" s="13"/>
      <c r="AD315" s="13"/>
    </row>
    <row r="316">
      <c r="H316" s="22"/>
      <c r="I316" s="22"/>
      <c r="K316" s="36"/>
      <c r="AA316" s="13"/>
      <c r="AB316" s="13"/>
      <c r="AC316" s="13"/>
      <c r="AD316" s="13"/>
    </row>
    <row r="317">
      <c r="H317" s="22"/>
      <c r="I317" s="22"/>
      <c r="K317" s="36"/>
      <c r="AA317" s="13"/>
      <c r="AB317" s="13"/>
      <c r="AC317" s="13"/>
      <c r="AD317" s="13"/>
    </row>
    <row r="318">
      <c r="H318" s="22"/>
      <c r="I318" s="22"/>
      <c r="K318" s="36"/>
      <c r="AA318" s="13"/>
      <c r="AB318" s="13"/>
      <c r="AC318" s="13"/>
      <c r="AD318" s="13"/>
    </row>
    <row r="319">
      <c r="H319" s="22"/>
      <c r="I319" s="22"/>
      <c r="K319" s="36"/>
      <c r="AA319" s="13"/>
      <c r="AB319" s="13"/>
      <c r="AC319" s="13"/>
      <c r="AD319" s="13"/>
    </row>
    <row r="320">
      <c r="H320" s="22"/>
      <c r="I320" s="22"/>
      <c r="K320" s="36"/>
      <c r="AA320" s="13"/>
      <c r="AB320" s="13"/>
      <c r="AC320" s="13"/>
      <c r="AD320" s="13"/>
    </row>
    <row r="321">
      <c r="H321" s="22"/>
      <c r="I321" s="22"/>
      <c r="K321" s="36"/>
      <c r="AA321" s="13"/>
      <c r="AB321" s="13"/>
      <c r="AC321" s="13"/>
      <c r="AD321" s="13"/>
    </row>
    <row r="322">
      <c r="H322" s="22"/>
      <c r="I322" s="22"/>
      <c r="K322" s="36"/>
      <c r="AA322" s="13"/>
      <c r="AB322" s="13"/>
      <c r="AC322" s="13"/>
      <c r="AD322" s="13"/>
    </row>
    <row r="323">
      <c r="H323" s="22"/>
      <c r="I323" s="22"/>
      <c r="K323" s="36"/>
      <c r="AA323" s="13"/>
      <c r="AB323" s="13"/>
      <c r="AC323" s="13"/>
      <c r="AD323" s="13"/>
    </row>
    <row r="324">
      <c r="H324" s="22"/>
      <c r="I324" s="22"/>
      <c r="K324" s="36"/>
      <c r="AA324" s="13"/>
      <c r="AB324" s="13"/>
      <c r="AC324" s="13"/>
      <c r="AD324" s="13"/>
    </row>
    <row r="325">
      <c r="H325" s="22"/>
      <c r="I325" s="22"/>
      <c r="K325" s="36"/>
      <c r="AA325" s="13"/>
      <c r="AB325" s="13"/>
      <c r="AC325" s="13"/>
      <c r="AD325" s="13"/>
    </row>
    <row r="326">
      <c r="H326" s="22"/>
      <c r="I326" s="22"/>
      <c r="K326" s="36"/>
      <c r="AA326" s="13"/>
      <c r="AB326" s="13"/>
      <c r="AC326" s="13"/>
      <c r="AD326" s="13"/>
    </row>
    <row r="327">
      <c r="H327" s="22"/>
      <c r="I327" s="22"/>
      <c r="K327" s="36"/>
      <c r="AA327" s="13"/>
      <c r="AB327" s="13"/>
      <c r="AC327" s="13"/>
      <c r="AD327" s="13"/>
    </row>
    <row r="328">
      <c r="H328" s="22"/>
      <c r="I328" s="22"/>
      <c r="K328" s="36"/>
      <c r="AA328" s="13"/>
      <c r="AB328" s="13"/>
      <c r="AC328" s="13"/>
      <c r="AD328" s="13"/>
    </row>
    <row r="329">
      <c r="H329" s="22"/>
      <c r="I329" s="22"/>
      <c r="K329" s="36"/>
      <c r="AA329" s="13"/>
      <c r="AB329" s="13"/>
      <c r="AC329" s="13"/>
      <c r="AD329" s="13"/>
    </row>
    <row r="330">
      <c r="H330" s="22"/>
      <c r="I330" s="22"/>
      <c r="K330" s="36"/>
      <c r="AA330" s="13"/>
      <c r="AB330" s="13"/>
      <c r="AC330" s="13"/>
      <c r="AD330" s="13"/>
    </row>
    <row r="331">
      <c r="H331" s="22"/>
      <c r="I331" s="22"/>
      <c r="K331" s="36"/>
      <c r="AA331" s="13"/>
      <c r="AB331" s="13"/>
      <c r="AC331" s="13"/>
      <c r="AD331" s="13"/>
    </row>
    <row r="332">
      <c r="H332" s="22"/>
      <c r="I332" s="22"/>
      <c r="K332" s="36"/>
      <c r="AA332" s="13"/>
      <c r="AB332" s="13"/>
      <c r="AC332" s="13"/>
      <c r="AD332" s="13"/>
    </row>
    <row r="333">
      <c r="H333" s="22"/>
      <c r="I333" s="22"/>
      <c r="K333" s="36"/>
      <c r="AA333" s="13"/>
      <c r="AB333" s="13"/>
      <c r="AC333" s="13"/>
      <c r="AD333" s="13"/>
    </row>
    <row r="334">
      <c r="H334" s="22"/>
      <c r="I334" s="22"/>
      <c r="K334" s="36"/>
      <c r="AA334" s="13"/>
      <c r="AB334" s="13"/>
      <c r="AC334" s="13"/>
      <c r="AD334" s="13"/>
    </row>
    <row r="335">
      <c r="H335" s="22"/>
      <c r="I335" s="22"/>
      <c r="K335" s="36"/>
      <c r="AA335" s="13"/>
      <c r="AB335" s="13"/>
      <c r="AC335" s="13"/>
      <c r="AD335" s="13"/>
    </row>
    <row r="336">
      <c r="H336" s="22"/>
      <c r="I336" s="22"/>
      <c r="K336" s="36"/>
      <c r="AA336" s="13"/>
      <c r="AB336" s="13"/>
      <c r="AC336" s="13"/>
      <c r="AD336" s="13"/>
    </row>
    <row r="337">
      <c r="H337" s="22"/>
      <c r="I337" s="22"/>
      <c r="K337" s="36"/>
      <c r="AA337" s="13"/>
      <c r="AB337" s="13"/>
      <c r="AC337" s="13"/>
      <c r="AD337" s="13"/>
    </row>
    <row r="338">
      <c r="H338" s="22"/>
      <c r="I338" s="22"/>
      <c r="K338" s="36"/>
      <c r="AA338" s="13"/>
      <c r="AB338" s="13"/>
      <c r="AC338" s="13"/>
      <c r="AD338" s="13"/>
    </row>
    <row r="339">
      <c r="H339" s="22"/>
      <c r="I339" s="22"/>
      <c r="K339" s="36"/>
      <c r="AA339" s="13"/>
      <c r="AB339" s="13"/>
      <c r="AC339" s="13"/>
      <c r="AD339" s="13"/>
    </row>
    <row r="340">
      <c r="H340" s="22"/>
      <c r="I340" s="22"/>
      <c r="K340" s="36"/>
      <c r="AA340" s="13"/>
      <c r="AB340" s="13"/>
      <c r="AC340" s="13"/>
      <c r="AD340" s="13"/>
    </row>
    <row r="341">
      <c r="H341" s="22"/>
      <c r="I341" s="22"/>
      <c r="K341" s="36"/>
      <c r="AA341" s="13"/>
      <c r="AB341" s="13"/>
      <c r="AC341" s="13"/>
      <c r="AD341" s="13"/>
    </row>
    <row r="342">
      <c r="H342" s="22"/>
      <c r="I342" s="22"/>
      <c r="K342" s="36"/>
      <c r="AA342" s="13"/>
      <c r="AB342" s="13"/>
      <c r="AC342" s="13"/>
      <c r="AD342" s="13"/>
    </row>
    <row r="343">
      <c r="H343" s="22"/>
      <c r="I343" s="22"/>
      <c r="K343" s="36"/>
      <c r="AA343" s="13"/>
      <c r="AB343" s="13"/>
      <c r="AC343" s="13"/>
      <c r="AD343" s="13"/>
    </row>
    <row r="344">
      <c r="H344" s="22"/>
      <c r="I344" s="22"/>
      <c r="K344" s="36"/>
      <c r="AA344" s="13"/>
      <c r="AB344" s="13"/>
      <c r="AC344" s="13"/>
      <c r="AD344" s="13"/>
    </row>
    <row r="345">
      <c r="H345" s="22"/>
      <c r="I345" s="22"/>
      <c r="K345" s="36"/>
      <c r="AA345" s="13"/>
      <c r="AB345" s="13"/>
      <c r="AC345" s="13"/>
      <c r="AD345" s="13"/>
    </row>
    <row r="346">
      <c r="H346" s="22"/>
      <c r="I346" s="22"/>
      <c r="K346" s="36"/>
      <c r="AA346" s="13"/>
      <c r="AB346" s="13"/>
      <c r="AC346" s="13"/>
      <c r="AD346" s="13"/>
    </row>
    <row r="347">
      <c r="H347" s="22"/>
      <c r="I347" s="22"/>
      <c r="K347" s="36"/>
      <c r="AA347" s="13"/>
      <c r="AB347" s="13"/>
      <c r="AC347" s="13"/>
      <c r="AD347" s="13"/>
    </row>
    <row r="348">
      <c r="H348" s="22"/>
      <c r="I348" s="22"/>
      <c r="K348" s="36"/>
      <c r="AA348" s="13"/>
      <c r="AB348" s="13"/>
      <c r="AC348" s="13"/>
      <c r="AD348" s="13"/>
    </row>
    <row r="349">
      <c r="H349" s="22"/>
      <c r="I349" s="22"/>
      <c r="K349" s="36"/>
      <c r="AA349" s="13"/>
      <c r="AB349" s="13"/>
      <c r="AC349" s="13"/>
      <c r="AD349" s="13"/>
    </row>
    <row r="350">
      <c r="H350" s="22"/>
      <c r="I350" s="22"/>
      <c r="K350" s="36"/>
      <c r="AA350" s="13"/>
      <c r="AB350" s="13"/>
      <c r="AC350" s="13"/>
      <c r="AD350" s="13"/>
    </row>
    <row r="351">
      <c r="H351" s="22"/>
      <c r="I351" s="22"/>
      <c r="K351" s="36"/>
      <c r="AA351" s="13"/>
      <c r="AB351" s="13"/>
      <c r="AC351" s="13"/>
      <c r="AD351" s="13"/>
    </row>
    <row r="352">
      <c r="H352" s="22"/>
      <c r="I352" s="22"/>
      <c r="K352" s="36"/>
      <c r="AA352" s="13"/>
      <c r="AB352" s="13"/>
      <c r="AC352" s="13"/>
      <c r="AD352" s="13"/>
    </row>
    <row r="353">
      <c r="H353" s="22"/>
      <c r="I353" s="22"/>
      <c r="K353" s="36"/>
      <c r="AA353" s="13"/>
      <c r="AB353" s="13"/>
      <c r="AC353" s="13"/>
      <c r="AD353" s="13"/>
    </row>
    <row r="354">
      <c r="H354" s="22"/>
      <c r="I354" s="22"/>
      <c r="K354" s="36"/>
      <c r="AA354" s="13"/>
      <c r="AB354" s="13"/>
      <c r="AC354" s="13"/>
      <c r="AD354" s="13"/>
    </row>
    <row r="355">
      <c r="H355" s="22"/>
      <c r="I355" s="22"/>
      <c r="K355" s="36"/>
      <c r="AA355" s="13"/>
      <c r="AB355" s="13"/>
      <c r="AC355" s="13"/>
      <c r="AD355" s="13"/>
    </row>
    <row r="356">
      <c r="H356" s="22"/>
      <c r="I356" s="22"/>
      <c r="K356" s="36"/>
      <c r="AA356" s="13"/>
      <c r="AB356" s="13"/>
      <c r="AC356" s="13"/>
      <c r="AD356" s="13"/>
    </row>
    <row r="357">
      <c r="H357" s="22"/>
      <c r="I357" s="22"/>
      <c r="K357" s="36"/>
      <c r="AA357" s="13"/>
      <c r="AB357" s="13"/>
      <c r="AC357" s="13"/>
      <c r="AD357" s="13"/>
    </row>
    <row r="358">
      <c r="H358" s="22"/>
      <c r="I358" s="22"/>
      <c r="K358" s="36"/>
      <c r="AA358" s="13"/>
      <c r="AB358" s="13"/>
      <c r="AC358" s="13"/>
      <c r="AD358" s="13"/>
    </row>
    <row r="359">
      <c r="H359" s="22"/>
      <c r="I359" s="22"/>
      <c r="K359" s="36"/>
      <c r="AA359" s="13"/>
      <c r="AB359" s="13"/>
      <c r="AC359" s="13"/>
      <c r="AD359" s="13"/>
    </row>
    <row r="360">
      <c r="H360" s="22"/>
      <c r="I360" s="22"/>
      <c r="K360" s="36"/>
      <c r="AA360" s="13"/>
      <c r="AB360" s="13"/>
      <c r="AC360" s="13"/>
      <c r="AD360" s="13"/>
    </row>
    <row r="361">
      <c r="H361" s="22"/>
      <c r="I361" s="22"/>
      <c r="K361" s="36"/>
      <c r="AA361" s="13"/>
      <c r="AB361" s="13"/>
      <c r="AC361" s="13"/>
      <c r="AD361" s="13"/>
    </row>
    <row r="362">
      <c r="H362" s="22"/>
      <c r="I362" s="22"/>
      <c r="K362" s="36"/>
      <c r="AA362" s="13"/>
      <c r="AB362" s="13"/>
      <c r="AC362" s="13"/>
      <c r="AD362" s="13"/>
    </row>
    <row r="363">
      <c r="H363" s="22"/>
      <c r="I363" s="22"/>
      <c r="K363" s="36"/>
      <c r="AA363" s="13"/>
      <c r="AB363" s="13"/>
      <c r="AC363" s="13"/>
      <c r="AD363" s="13"/>
    </row>
    <row r="364">
      <c r="H364" s="22"/>
      <c r="I364" s="22"/>
      <c r="K364" s="36"/>
      <c r="AA364" s="13"/>
      <c r="AB364" s="13"/>
      <c r="AC364" s="13"/>
      <c r="AD364" s="13"/>
    </row>
    <row r="365">
      <c r="H365" s="22"/>
      <c r="I365" s="22"/>
      <c r="K365" s="36"/>
      <c r="AA365" s="13"/>
      <c r="AB365" s="13"/>
      <c r="AC365" s="13"/>
      <c r="AD365" s="13"/>
    </row>
    <row r="366">
      <c r="H366" s="22"/>
      <c r="I366" s="22"/>
      <c r="K366" s="36"/>
      <c r="AA366" s="13"/>
      <c r="AB366" s="13"/>
      <c r="AC366" s="13"/>
      <c r="AD366" s="13"/>
    </row>
    <row r="367">
      <c r="H367" s="22"/>
      <c r="I367" s="22"/>
      <c r="K367" s="36"/>
      <c r="AA367" s="13"/>
      <c r="AB367" s="13"/>
      <c r="AC367" s="13"/>
      <c r="AD367" s="13"/>
    </row>
    <row r="368">
      <c r="H368" s="22"/>
      <c r="I368" s="22"/>
      <c r="K368" s="36"/>
      <c r="AA368" s="13"/>
      <c r="AB368" s="13"/>
      <c r="AC368" s="13"/>
      <c r="AD368" s="13"/>
    </row>
    <row r="369">
      <c r="H369" s="22"/>
      <c r="I369" s="22"/>
      <c r="K369" s="36"/>
      <c r="AA369" s="13"/>
      <c r="AB369" s="13"/>
      <c r="AC369" s="13"/>
      <c r="AD369" s="13"/>
    </row>
    <row r="370">
      <c r="H370" s="22"/>
      <c r="I370" s="22"/>
      <c r="K370" s="36"/>
      <c r="AA370" s="13"/>
      <c r="AB370" s="13"/>
      <c r="AC370" s="13"/>
      <c r="AD370" s="13"/>
    </row>
    <row r="371">
      <c r="H371" s="22"/>
      <c r="I371" s="22"/>
      <c r="K371" s="36"/>
      <c r="AA371" s="13"/>
      <c r="AB371" s="13"/>
      <c r="AC371" s="13"/>
      <c r="AD371" s="13"/>
    </row>
    <row r="372">
      <c r="H372" s="22"/>
      <c r="I372" s="22"/>
      <c r="K372" s="36"/>
      <c r="AA372" s="13"/>
      <c r="AB372" s="13"/>
      <c r="AC372" s="13"/>
      <c r="AD372" s="13"/>
    </row>
    <row r="373">
      <c r="H373" s="22"/>
      <c r="I373" s="22"/>
      <c r="K373" s="36"/>
      <c r="AA373" s="13"/>
      <c r="AB373" s="13"/>
      <c r="AC373" s="13"/>
      <c r="AD373" s="13"/>
    </row>
    <row r="374">
      <c r="H374" s="22"/>
      <c r="I374" s="22"/>
      <c r="K374" s="36"/>
      <c r="AA374" s="13"/>
      <c r="AB374" s="13"/>
      <c r="AC374" s="13"/>
      <c r="AD374" s="13"/>
    </row>
    <row r="375">
      <c r="H375" s="22"/>
      <c r="I375" s="22"/>
      <c r="K375" s="36"/>
      <c r="AA375" s="13"/>
      <c r="AB375" s="13"/>
      <c r="AC375" s="13"/>
      <c r="AD375" s="13"/>
    </row>
    <row r="376">
      <c r="H376" s="22"/>
      <c r="I376" s="22"/>
      <c r="K376" s="36"/>
      <c r="AA376" s="13"/>
      <c r="AB376" s="13"/>
      <c r="AC376" s="13"/>
      <c r="AD376" s="13"/>
    </row>
    <row r="377">
      <c r="H377" s="22"/>
      <c r="I377" s="22"/>
      <c r="K377" s="36"/>
      <c r="AA377" s="13"/>
      <c r="AB377" s="13"/>
      <c r="AC377" s="13"/>
      <c r="AD377" s="13"/>
    </row>
    <row r="378">
      <c r="H378" s="22"/>
      <c r="I378" s="22"/>
      <c r="K378" s="36"/>
      <c r="AA378" s="13"/>
      <c r="AB378" s="13"/>
      <c r="AC378" s="13"/>
      <c r="AD378" s="13"/>
    </row>
    <row r="379">
      <c r="H379" s="22"/>
      <c r="I379" s="22"/>
      <c r="K379" s="36"/>
      <c r="AA379" s="13"/>
      <c r="AB379" s="13"/>
      <c r="AC379" s="13"/>
      <c r="AD379" s="13"/>
    </row>
    <row r="380">
      <c r="H380" s="22"/>
      <c r="I380" s="22"/>
      <c r="K380" s="36"/>
      <c r="AA380" s="13"/>
      <c r="AB380" s="13"/>
      <c r="AC380" s="13"/>
      <c r="AD380" s="13"/>
    </row>
    <row r="381">
      <c r="H381" s="22"/>
      <c r="I381" s="22"/>
      <c r="K381" s="36"/>
      <c r="AA381" s="13"/>
      <c r="AB381" s="13"/>
      <c r="AC381" s="13"/>
      <c r="AD381" s="13"/>
    </row>
    <row r="382">
      <c r="H382" s="22"/>
      <c r="I382" s="22"/>
      <c r="K382" s="36"/>
      <c r="AA382" s="13"/>
      <c r="AB382" s="13"/>
      <c r="AC382" s="13"/>
      <c r="AD382" s="13"/>
    </row>
    <row r="383">
      <c r="H383" s="22"/>
      <c r="I383" s="22"/>
      <c r="K383" s="36"/>
      <c r="AA383" s="13"/>
      <c r="AB383" s="13"/>
      <c r="AC383" s="13"/>
      <c r="AD383" s="13"/>
    </row>
    <row r="384">
      <c r="H384" s="22"/>
      <c r="I384" s="22"/>
      <c r="K384" s="36"/>
      <c r="AA384" s="13"/>
      <c r="AB384" s="13"/>
      <c r="AC384" s="13"/>
      <c r="AD384" s="13"/>
    </row>
    <row r="385">
      <c r="H385" s="22"/>
      <c r="I385" s="22"/>
      <c r="K385" s="36"/>
      <c r="AA385" s="13"/>
      <c r="AB385" s="13"/>
      <c r="AC385" s="13"/>
      <c r="AD385" s="13"/>
    </row>
    <row r="386">
      <c r="H386" s="22"/>
      <c r="I386" s="22"/>
      <c r="K386" s="36"/>
      <c r="AA386" s="13"/>
      <c r="AB386" s="13"/>
      <c r="AC386" s="13"/>
      <c r="AD386" s="13"/>
    </row>
    <row r="387">
      <c r="H387" s="22"/>
      <c r="I387" s="22"/>
      <c r="K387" s="36"/>
      <c r="AA387" s="13"/>
      <c r="AB387" s="13"/>
      <c r="AC387" s="13"/>
      <c r="AD387" s="13"/>
    </row>
    <row r="388">
      <c r="H388" s="22"/>
      <c r="I388" s="22"/>
      <c r="K388" s="36"/>
      <c r="AA388" s="13"/>
      <c r="AB388" s="13"/>
      <c r="AC388" s="13"/>
      <c r="AD388" s="13"/>
    </row>
    <row r="389">
      <c r="H389" s="22"/>
      <c r="I389" s="22"/>
      <c r="K389" s="36"/>
      <c r="AA389" s="13"/>
      <c r="AB389" s="13"/>
      <c r="AC389" s="13"/>
      <c r="AD389" s="13"/>
    </row>
    <row r="390">
      <c r="H390" s="22"/>
      <c r="I390" s="22"/>
      <c r="K390" s="36"/>
      <c r="AA390" s="13"/>
      <c r="AB390" s="13"/>
      <c r="AC390" s="13"/>
      <c r="AD390" s="13"/>
    </row>
    <row r="391">
      <c r="H391" s="22"/>
      <c r="I391" s="22"/>
      <c r="K391" s="36"/>
      <c r="AA391" s="13"/>
      <c r="AB391" s="13"/>
      <c r="AC391" s="13"/>
      <c r="AD391" s="13"/>
    </row>
    <row r="392">
      <c r="H392" s="22"/>
      <c r="I392" s="22"/>
      <c r="K392" s="36"/>
      <c r="AA392" s="13"/>
      <c r="AB392" s="13"/>
      <c r="AC392" s="13"/>
      <c r="AD392" s="13"/>
    </row>
    <row r="393">
      <c r="H393" s="22"/>
      <c r="I393" s="22"/>
      <c r="K393" s="36"/>
      <c r="AA393" s="13"/>
      <c r="AB393" s="13"/>
      <c r="AC393" s="13"/>
      <c r="AD393" s="13"/>
    </row>
    <row r="394">
      <c r="H394" s="22"/>
      <c r="I394" s="22"/>
      <c r="K394" s="36"/>
      <c r="AA394" s="13"/>
      <c r="AB394" s="13"/>
      <c r="AC394" s="13"/>
      <c r="AD394" s="13"/>
    </row>
    <row r="395">
      <c r="H395" s="22"/>
      <c r="I395" s="22"/>
      <c r="K395" s="36"/>
      <c r="AA395" s="13"/>
      <c r="AB395" s="13"/>
      <c r="AC395" s="13"/>
      <c r="AD395" s="13"/>
    </row>
    <row r="396">
      <c r="H396" s="22"/>
      <c r="I396" s="22"/>
      <c r="K396" s="36"/>
      <c r="AA396" s="13"/>
      <c r="AB396" s="13"/>
      <c r="AC396" s="13"/>
      <c r="AD396" s="13"/>
    </row>
    <row r="397">
      <c r="H397" s="22"/>
      <c r="I397" s="22"/>
      <c r="K397" s="36"/>
      <c r="AA397" s="13"/>
      <c r="AB397" s="13"/>
      <c r="AC397" s="13"/>
      <c r="AD397" s="13"/>
    </row>
    <row r="398">
      <c r="H398" s="22"/>
      <c r="I398" s="22"/>
      <c r="K398" s="36"/>
      <c r="AA398" s="13"/>
      <c r="AB398" s="13"/>
      <c r="AC398" s="13"/>
      <c r="AD398" s="13"/>
    </row>
    <row r="399">
      <c r="H399" s="22"/>
      <c r="I399" s="22"/>
      <c r="K399" s="36"/>
      <c r="AA399" s="13"/>
      <c r="AB399" s="13"/>
      <c r="AC399" s="13"/>
      <c r="AD399" s="13"/>
    </row>
    <row r="400">
      <c r="H400" s="22"/>
      <c r="I400" s="22"/>
      <c r="K400" s="36"/>
      <c r="AA400" s="13"/>
      <c r="AB400" s="13"/>
      <c r="AC400" s="13"/>
      <c r="AD400" s="13"/>
    </row>
    <row r="401">
      <c r="H401" s="22"/>
      <c r="I401" s="22"/>
      <c r="K401" s="36"/>
      <c r="AA401" s="13"/>
      <c r="AB401" s="13"/>
      <c r="AC401" s="13"/>
      <c r="AD401" s="13"/>
    </row>
    <row r="402">
      <c r="H402" s="22"/>
      <c r="I402" s="22"/>
      <c r="K402" s="36"/>
      <c r="AA402" s="13"/>
      <c r="AB402" s="13"/>
      <c r="AC402" s="13"/>
      <c r="AD402" s="13"/>
    </row>
    <row r="403">
      <c r="H403" s="22"/>
      <c r="I403" s="22"/>
      <c r="K403" s="36"/>
      <c r="AA403" s="13"/>
      <c r="AB403" s="13"/>
      <c r="AC403" s="13"/>
      <c r="AD403" s="13"/>
    </row>
    <row r="404">
      <c r="H404" s="22"/>
      <c r="I404" s="22"/>
      <c r="K404" s="36"/>
      <c r="AA404" s="13"/>
      <c r="AB404" s="13"/>
      <c r="AC404" s="13"/>
      <c r="AD404" s="13"/>
    </row>
    <row r="405">
      <c r="H405" s="22"/>
      <c r="I405" s="22"/>
      <c r="K405" s="36"/>
      <c r="AA405" s="13"/>
      <c r="AB405" s="13"/>
      <c r="AC405" s="13"/>
      <c r="AD405" s="13"/>
    </row>
    <row r="406">
      <c r="H406" s="22"/>
      <c r="I406" s="22"/>
      <c r="K406" s="36"/>
      <c r="AA406" s="13"/>
      <c r="AB406" s="13"/>
      <c r="AC406" s="13"/>
      <c r="AD406" s="13"/>
    </row>
    <row r="407">
      <c r="H407" s="22"/>
      <c r="I407" s="22"/>
      <c r="K407" s="36"/>
      <c r="AA407" s="13"/>
      <c r="AB407" s="13"/>
      <c r="AC407" s="13"/>
      <c r="AD407" s="13"/>
    </row>
    <row r="408">
      <c r="H408" s="22"/>
      <c r="I408" s="22"/>
      <c r="K408" s="36"/>
      <c r="AA408" s="13"/>
      <c r="AB408" s="13"/>
      <c r="AC408" s="13"/>
      <c r="AD408" s="13"/>
    </row>
    <row r="409">
      <c r="H409" s="22"/>
      <c r="I409" s="22"/>
      <c r="K409" s="36"/>
      <c r="AA409" s="13"/>
      <c r="AB409" s="13"/>
      <c r="AC409" s="13"/>
      <c r="AD409" s="13"/>
    </row>
    <row r="410">
      <c r="H410" s="22"/>
      <c r="I410" s="22"/>
      <c r="K410" s="36"/>
      <c r="AA410" s="13"/>
      <c r="AB410" s="13"/>
      <c r="AC410" s="13"/>
      <c r="AD410" s="13"/>
    </row>
    <row r="411">
      <c r="H411" s="22"/>
      <c r="I411" s="22"/>
      <c r="K411" s="36"/>
      <c r="AA411" s="13"/>
      <c r="AB411" s="13"/>
      <c r="AC411" s="13"/>
      <c r="AD411" s="13"/>
    </row>
    <row r="412">
      <c r="H412" s="22"/>
      <c r="I412" s="22"/>
      <c r="K412" s="36"/>
      <c r="AA412" s="13"/>
      <c r="AB412" s="13"/>
      <c r="AC412" s="13"/>
      <c r="AD412" s="13"/>
    </row>
    <row r="413">
      <c r="H413" s="22"/>
      <c r="I413" s="22"/>
      <c r="K413" s="36"/>
      <c r="AA413" s="13"/>
      <c r="AB413" s="13"/>
      <c r="AC413" s="13"/>
      <c r="AD413" s="13"/>
    </row>
    <row r="414">
      <c r="H414" s="22"/>
      <c r="I414" s="22"/>
      <c r="K414" s="36"/>
      <c r="AA414" s="13"/>
      <c r="AB414" s="13"/>
      <c r="AC414" s="13"/>
      <c r="AD414" s="13"/>
    </row>
    <row r="415">
      <c r="H415" s="22"/>
      <c r="I415" s="22"/>
      <c r="K415" s="36"/>
      <c r="AA415" s="13"/>
      <c r="AB415" s="13"/>
      <c r="AC415" s="13"/>
      <c r="AD415" s="13"/>
    </row>
    <row r="416">
      <c r="H416" s="22"/>
      <c r="I416" s="22"/>
      <c r="K416" s="36"/>
      <c r="AA416" s="13"/>
      <c r="AB416" s="13"/>
      <c r="AC416" s="13"/>
      <c r="AD416" s="13"/>
    </row>
    <row r="417">
      <c r="H417" s="22"/>
      <c r="I417" s="22"/>
      <c r="K417" s="36"/>
      <c r="AA417" s="13"/>
      <c r="AB417" s="13"/>
      <c r="AC417" s="13"/>
      <c r="AD417" s="13"/>
    </row>
    <row r="418">
      <c r="H418" s="22"/>
      <c r="I418" s="22"/>
      <c r="K418" s="36"/>
      <c r="AA418" s="13"/>
      <c r="AB418" s="13"/>
      <c r="AC418" s="13"/>
      <c r="AD418" s="13"/>
    </row>
    <row r="419">
      <c r="H419" s="22"/>
      <c r="I419" s="22"/>
      <c r="K419" s="36"/>
      <c r="AA419" s="13"/>
      <c r="AB419" s="13"/>
      <c r="AC419" s="13"/>
      <c r="AD419" s="13"/>
    </row>
    <row r="420">
      <c r="H420" s="22"/>
      <c r="I420" s="22"/>
      <c r="K420" s="36"/>
      <c r="AA420" s="13"/>
      <c r="AB420" s="13"/>
      <c r="AC420" s="13"/>
      <c r="AD420" s="13"/>
    </row>
    <row r="421">
      <c r="H421" s="22"/>
      <c r="I421" s="22"/>
      <c r="K421" s="36"/>
      <c r="AA421" s="13"/>
      <c r="AB421" s="13"/>
      <c r="AC421" s="13"/>
      <c r="AD421" s="13"/>
    </row>
    <row r="422">
      <c r="H422" s="22"/>
      <c r="I422" s="22"/>
      <c r="K422" s="36"/>
      <c r="AA422" s="13"/>
      <c r="AB422" s="13"/>
      <c r="AC422" s="13"/>
      <c r="AD422" s="13"/>
    </row>
    <row r="423">
      <c r="H423" s="22"/>
      <c r="I423" s="22"/>
      <c r="K423" s="36"/>
      <c r="AA423" s="13"/>
      <c r="AB423" s="13"/>
      <c r="AC423" s="13"/>
      <c r="AD423" s="13"/>
    </row>
    <row r="424">
      <c r="H424" s="22"/>
      <c r="I424" s="22"/>
      <c r="K424" s="36"/>
      <c r="AA424" s="13"/>
      <c r="AB424" s="13"/>
      <c r="AC424" s="13"/>
      <c r="AD424" s="13"/>
    </row>
    <row r="425">
      <c r="H425" s="22"/>
      <c r="I425" s="22"/>
      <c r="K425" s="36"/>
      <c r="AA425" s="13"/>
      <c r="AB425" s="13"/>
      <c r="AC425" s="13"/>
      <c r="AD425" s="13"/>
    </row>
    <row r="426">
      <c r="H426" s="22"/>
      <c r="I426" s="22"/>
      <c r="K426" s="36"/>
      <c r="AA426" s="13"/>
      <c r="AB426" s="13"/>
      <c r="AC426" s="13"/>
      <c r="AD426" s="13"/>
    </row>
    <row r="427">
      <c r="H427" s="22"/>
      <c r="I427" s="22"/>
      <c r="K427" s="36"/>
      <c r="AA427" s="13"/>
      <c r="AB427" s="13"/>
      <c r="AC427" s="13"/>
      <c r="AD427" s="13"/>
    </row>
    <row r="428">
      <c r="H428" s="22"/>
      <c r="I428" s="22"/>
      <c r="K428" s="36"/>
      <c r="AA428" s="13"/>
      <c r="AB428" s="13"/>
      <c r="AC428" s="13"/>
      <c r="AD428" s="13"/>
    </row>
    <row r="429">
      <c r="H429" s="22"/>
      <c r="I429" s="22"/>
      <c r="K429" s="36"/>
      <c r="AA429" s="13"/>
      <c r="AB429" s="13"/>
      <c r="AC429" s="13"/>
      <c r="AD429" s="13"/>
    </row>
    <row r="430">
      <c r="H430" s="22"/>
      <c r="I430" s="22"/>
      <c r="K430" s="36"/>
      <c r="AA430" s="13"/>
      <c r="AB430" s="13"/>
      <c r="AC430" s="13"/>
      <c r="AD430" s="13"/>
    </row>
    <row r="431">
      <c r="H431" s="22"/>
      <c r="I431" s="22"/>
      <c r="K431" s="36"/>
      <c r="AA431" s="13"/>
      <c r="AB431" s="13"/>
      <c r="AC431" s="13"/>
      <c r="AD431" s="13"/>
    </row>
    <row r="432">
      <c r="H432" s="22"/>
      <c r="I432" s="22"/>
      <c r="K432" s="36"/>
      <c r="AA432" s="13"/>
      <c r="AB432" s="13"/>
      <c r="AC432" s="13"/>
      <c r="AD432" s="13"/>
    </row>
    <row r="433">
      <c r="H433" s="22"/>
      <c r="I433" s="22"/>
      <c r="K433" s="36"/>
      <c r="AA433" s="13"/>
      <c r="AB433" s="13"/>
      <c r="AC433" s="13"/>
      <c r="AD433" s="13"/>
    </row>
    <row r="434">
      <c r="H434" s="22"/>
      <c r="I434" s="22"/>
      <c r="K434" s="36"/>
      <c r="AA434" s="13"/>
      <c r="AB434" s="13"/>
      <c r="AC434" s="13"/>
      <c r="AD434" s="13"/>
    </row>
    <row r="435">
      <c r="H435" s="22"/>
      <c r="I435" s="22"/>
      <c r="K435" s="36"/>
      <c r="AA435" s="13"/>
      <c r="AB435" s="13"/>
      <c r="AC435" s="13"/>
      <c r="AD435" s="13"/>
    </row>
    <row r="436">
      <c r="H436" s="22"/>
      <c r="I436" s="22"/>
      <c r="K436" s="36"/>
      <c r="AA436" s="13"/>
      <c r="AB436" s="13"/>
      <c r="AC436" s="13"/>
      <c r="AD436" s="13"/>
    </row>
    <row r="437">
      <c r="H437" s="22"/>
      <c r="I437" s="22"/>
      <c r="K437" s="36"/>
      <c r="AA437" s="13"/>
      <c r="AB437" s="13"/>
      <c r="AC437" s="13"/>
      <c r="AD437" s="13"/>
    </row>
    <row r="438">
      <c r="H438" s="22"/>
      <c r="I438" s="22"/>
      <c r="K438" s="36"/>
      <c r="AA438" s="13"/>
      <c r="AB438" s="13"/>
      <c r="AC438" s="13"/>
      <c r="AD438" s="13"/>
    </row>
    <row r="439">
      <c r="H439" s="22"/>
      <c r="I439" s="22"/>
      <c r="K439" s="36"/>
      <c r="AA439" s="13"/>
      <c r="AB439" s="13"/>
      <c r="AC439" s="13"/>
      <c r="AD439" s="13"/>
    </row>
    <row r="440">
      <c r="H440" s="22"/>
      <c r="I440" s="22"/>
      <c r="K440" s="36"/>
      <c r="AA440" s="13"/>
      <c r="AB440" s="13"/>
      <c r="AC440" s="13"/>
      <c r="AD440" s="13"/>
    </row>
    <row r="441">
      <c r="H441" s="22"/>
      <c r="I441" s="22"/>
      <c r="K441" s="36"/>
      <c r="AA441" s="13"/>
      <c r="AB441" s="13"/>
      <c r="AC441" s="13"/>
      <c r="AD441" s="13"/>
    </row>
    <row r="442">
      <c r="H442" s="22"/>
      <c r="I442" s="22"/>
      <c r="K442" s="36"/>
      <c r="AA442" s="13"/>
      <c r="AB442" s="13"/>
      <c r="AC442" s="13"/>
      <c r="AD442" s="13"/>
    </row>
    <row r="443">
      <c r="H443" s="22"/>
      <c r="I443" s="22"/>
      <c r="K443" s="36"/>
      <c r="AA443" s="13"/>
      <c r="AB443" s="13"/>
      <c r="AC443" s="13"/>
      <c r="AD443" s="13"/>
    </row>
    <row r="444">
      <c r="H444" s="22"/>
      <c r="I444" s="22"/>
      <c r="K444" s="36"/>
      <c r="AA444" s="13"/>
      <c r="AB444" s="13"/>
      <c r="AC444" s="13"/>
      <c r="AD444" s="13"/>
    </row>
    <row r="445">
      <c r="H445" s="22"/>
      <c r="I445" s="22"/>
      <c r="K445" s="36"/>
      <c r="AA445" s="13"/>
      <c r="AB445" s="13"/>
      <c r="AC445" s="13"/>
      <c r="AD445" s="13"/>
    </row>
    <row r="446">
      <c r="H446" s="22"/>
      <c r="I446" s="22"/>
      <c r="K446" s="36"/>
      <c r="AA446" s="13"/>
      <c r="AB446" s="13"/>
      <c r="AC446" s="13"/>
      <c r="AD446" s="13"/>
    </row>
    <row r="447">
      <c r="H447" s="22"/>
      <c r="I447" s="22"/>
      <c r="K447" s="36"/>
      <c r="AA447" s="13"/>
      <c r="AB447" s="13"/>
      <c r="AC447" s="13"/>
      <c r="AD447" s="13"/>
    </row>
    <row r="448">
      <c r="H448" s="22"/>
      <c r="I448" s="22"/>
      <c r="K448" s="36"/>
      <c r="AA448" s="13"/>
      <c r="AB448" s="13"/>
      <c r="AC448" s="13"/>
      <c r="AD448" s="13"/>
    </row>
    <row r="449">
      <c r="H449" s="22"/>
      <c r="I449" s="22"/>
      <c r="K449" s="36"/>
      <c r="AA449" s="13"/>
      <c r="AB449" s="13"/>
      <c r="AC449" s="13"/>
      <c r="AD449" s="13"/>
    </row>
    <row r="450">
      <c r="H450" s="22"/>
      <c r="I450" s="22"/>
      <c r="K450" s="36"/>
      <c r="AA450" s="13"/>
      <c r="AB450" s="13"/>
      <c r="AC450" s="13"/>
      <c r="AD450" s="13"/>
    </row>
    <row r="451">
      <c r="H451" s="22"/>
      <c r="I451" s="22"/>
      <c r="K451" s="36"/>
      <c r="AA451" s="13"/>
      <c r="AB451" s="13"/>
      <c r="AC451" s="13"/>
      <c r="AD451" s="13"/>
    </row>
    <row r="452">
      <c r="H452" s="22"/>
      <c r="I452" s="22"/>
      <c r="K452" s="36"/>
      <c r="AA452" s="13"/>
      <c r="AB452" s="13"/>
      <c r="AC452" s="13"/>
      <c r="AD452" s="13"/>
    </row>
    <row r="453">
      <c r="H453" s="22"/>
      <c r="I453" s="22"/>
      <c r="K453" s="36"/>
      <c r="AA453" s="13"/>
      <c r="AB453" s="13"/>
      <c r="AC453" s="13"/>
      <c r="AD453" s="13"/>
    </row>
    <row r="454">
      <c r="H454" s="22"/>
      <c r="I454" s="22"/>
      <c r="K454" s="36"/>
      <c r="AA454" s="13"/>
      <c r="AB454" s="13"/>
      <c r="AC454" s="13"/>
      <c r="AD454" s="13"/>
    </row>
    <row r="455">
      <c r="H455" s="22"/>
      <c r="I455" s="22"/>
      <c r="K455" s="36"/>
      <c r="AA455" s="13"/>
      <c r="AB455" s="13"/>
      <c r="AC455" s="13"/>
      <c r="AD455" s="13"/>
    </row>
    <row r="456">
      <c r="H456" s="22"/>
      <c r="I456" s="22"/>
      <c r="K456" s="36"/>
      <c r="AA456" s="13"/>
      <c r="AB456" s="13"/>
      <c r="AC456" s="13"/>
      <c r="AD456" s="13"/>
    </row>
    <row r="457">
      <c r="H457" s="22"/>
      <c r="I457" s="22"/>
      <c r="K457" s="36"/>
      <c r="AA457" s="13"/>
      <c r="AB457" s="13"/>
      <c r="AC457" s="13"/>
      <c r="AD457" s="13"/>
    </row>
    <row r="458">
      <c r="H458" s="22"/>
      <c r="I458" s="22"/>
      <c r="K458" s="36"/>
      <c r="AA458" s="13"/>
      <c r="AB458" s="13"/>
      <c r="AC458" s="13"/>
      <c r="AD458" s="13"/>
    </row>
    <row r="459">
      <c r="H459" s="22"/>
      <c r="I459" s="22"/>
      <c r="K459" s="36"/>
      <c r="AA459" s="13"/>
      <c r="AB459" s="13"/>
      <c r="AC459" s="13"/>
      <c r="AD459" s="13"/>
    </row>
    <row r="460">
      <c r="H460" s="22"/>
      <c r="I460" s="22"/>
      <c r="K460" s="36"/>
      <c r="AA460" s="13"/>
      <c r="AB460" s="13"/>
      <c r="AC460" s="13"/>
      <c r="AD460" s="13"/>
    </row>
    <row r="461">
      <c r="H461" s="22"/>
      <c r="I461" s="22"/>
      <c r="K461" s="36"/>
      <c r="AA461" s="13"/>
      <c r="AB461" s="13"/>
      <c r="AC461" s="13"/>
      <c r="AD461" s="13"/>
    </row>
    <row r="462">
      <c r="H462" s="22"/>
      <c r="I462" s="22"/>
      <c r="K462" s="36"/>
      <c r="AA462" s="13"/>
      <c r="AB462" s="13"/>
      <c r="AC462" s="13"/>
      <c r="AD462" s="13"/>
    </row>
    <row r="463">
      <c r="H463" s="22"/>
      <c r="I463" s="22"/>
      <c r="K463" s="36"/>
      <c r="AA463" s="13"/>
      <c r="AB463" s="13"/>
      <c r="AC463" s="13"/>
      <c r="AD463" s="13"/>
    </row>
    <row r="464">
      <c r="H464" s="22"/>
      <c r="I464" s="22"/>
      <c r="K464" s="36"/>
      <c r="AA464" s="13"/>
      <c r="AB464" s="13"/>
      <c r="AC464" s="13"/>
      <c r="AD464" s="13"/>
    </row>
    <row r="465">
      <c r="H465" s="22"/>
      <c r="I465" s="22"/>
      <c r="K465" s="36"/>
      <c r="AA465" s="13"/>
      <c r="AB465" s="13"/>
      <c r="AC465" s="13"/>
      <c r="AD465" s="13"/>
    </row>
    <row r="466">
      <c r="H466" s="22"/>
      <c r="I466" s="22"/>
      <c r="K466" s="36"/>
      <c r="AA466" s="13"/>
      <c r="AB466" s="13"/>
      <c r="AC466" s="13"/>
      <c r="AD466" s="13"/>
    </row>
    <row r="467">
      <c r="H467" s="22"/>
      <c r="I467" s="22"/>
      <c r="K467" s="36"/>
      <c r="AA467" s="13"/>
      <c r="AB467" s="13"/>
      <c r="AC467" s="13"/>
      <c r="AD467" s="13"/>
    </row>
    <row r="468">
      <c r="H468" s="22"/>
      <c r="I468" s="22"/>
      <c r="K468" s="36"/>
      <c r="AA468" s="13"/>
      <c r="AB468" s="13"/>
      <c r="AC468" s="13"/>
      <c r="AD468" s="13"/>
    </row>
    <row r="469">
      <c r="H469" s="22"/>
      <c r="I469" s="22"/>
      <c r="K469" s="36"/>
      <c r="AA469" s="13"/>
      <c r="AB469" s="13"/>
      <c r="AC469" s="13"/>
      <c r="AD469" s="13"/>
    </row>
    <row r="470">
      <c r="H470" s="22"/>
      <c r="I470" s="22"/>
      <c r="K470" s="36"/>
      <c r="AA470" s="13"/>
      <c r="AB470" s="13"/>
      <c r="AC470" s="13"/>
      <c r="AD470" s="13"/>
    </row>
    <row r="471">
      <c r="H471" s="22"/>
      <c r="I471" s="22"/>
      <c r="K471" s="36"/>
      <c r="AA471" s="13"/>
      <c r="AB471" s="13"/>
      <c r="AC471" s="13"/>
      <c r="AD471" s="13"/>
    </row>
    <row r="472">
      <c r="H472" s="22"/>
      <c r="I472" s="22"/>
      <c r="K472" s="36"/>
      <c r="AA472" s="13"/>
      <c r="AB472" s="13"/>
      <c r="AC472" s="13"/>
      <c r="AD472" s="13"/>
    </row>
    <row r="473">
      <c r="H473" s="22"/>
      <c r="I473" s="22"/>
      <c r="K473" s="36"/>
      <c r="AA473" s="13"/>
      <c r="AB473" s="13"/>
      <c r="AC473" s="13"/>
      <c r="AD473" s="13"/>
    </row>
    <row r="474">
      <c r="H474" s="22"/>
      <c r="I474" s="22"/>
      <c r="K474" s="36"/>
      <c r="AA474" s="13"/>
      <c r="AB474" s="13"/>
      <c r="AC474" s="13"/>
      <c r="AD474" s="13"/>
    </row>
    <row r="475">
      <c r="H475" s="22"/>
      <c r="I475" s="22"/>
      <c r="K475" s="36"/>
      <c r="AA475" s="13"/>
      <c r="AB475" s="13"/>
      <c r="AC475" s="13"/>
      <c r="AD475" s="13"/>
    </row>
    <row r="476">
      <c r="H476" s="22"/>
      <c r="I476" s="22"/>
      <c r="K476" s="36"/>
      <c r="AA476" s="13"/>
      <c r="AB476" s="13"/>
      <c r="AC476" s="13"/>
      <c r="AD476" s="13"/>
    </row>
    <row r="477">
      <c r="H477" s="22"/>
      <c r="I477" s="22"/>
      <c r="K477" s="36"/>
      <c r="AA477" s="13"/>
      <c r="AB477" s="13"/>
      <c r="AC477" s="13"/>
      <c r="AD477" s="13"/>
    </row>
    <row r="478">
      <c r="H478" s="22"/>
      <c r="I478" s="22"/>
      <c r="K478" s="36"/>
      <c r="AA478" s="13"/>
      <c r="AB478" s="13"/>
      <c r="AC478" s="13"/>
      <c r="AD478" s="13"/>
    </row>
    <row r="479">
      <c r="H479" s="22"/>
      <c r="I479" s="22"/>
      <c r="K479" s="36"/>
      <c r="AA479" s="13"/>
      <c r="AB479" s="13"/>
      <c r="AC479" s="13"/>
      <c r="AD479" s="13"/>
    </row>
    <row r="480">
      <c r="H480" s="22"/>
      <c r="I480" s="22"/>
      <c r="K480" s="36"/>
      <c r="AA480" s="13"/>
      <c r="AB480" s="13"/>
      <c r="AC480" s="13"/>
      <c r="AD480" s="13"/>
    </row>
    <row r="481">
      <c r="H481" s="22"/>
      <c r="I481" s="22"/>
      <c r="K481" s="36"/>
      <c r="AA481" s="13"/>
      <c r="AB481" s="13"/>
      <c r="AC481" s="13"/>
      <c r="AD481" s="13"/>
    </row>
    <row r="482">
      <c r="H482" s="22"/>
      <c r="I482" s="22"/>
      <c r="K482" s="36"/>
      <c r="AA482" s="13"/>
      <c r="AB482" s="13"/>
      <c r="AC482" s="13"/>
      <c r="AD482" s="13"/>
    </row>
    <row r="483">
      <c r="H483" s="22"/>
      <c r="I483" s="22"/>
      <c r="K483" s="36"/>
      <c r="AA483" s="13"/>
      <c r="AB483" s="13"/>
      <c r="AC483" s="13"/>
      <c r="AD483" s="13"/>
    </row>
    <row r="484">
      <c r="H484" s="22"/>
      <c r="I484" s="22"/>
      <c r="K484" s="36"/>
      <c r="AA484" s="13"/>
      <c r="AB484" s="13"/>
      <c r="AC484" s="13"/>
      <c r="AD484" s="13"/>
    </row>
    <row r="485">
      <c r="H485" s="22"/>
      <c r="I485" s="22"/>
      <c r="K485" s="36"/>
      <c r="AA485" s="13"/>
      <c r="AB485" s="13"/>
      <c r="AC485" s="13"/>
      <c r="AD485" s="13"/>
    </row>
    <row r="486">
      <c r="H486" s="22"/>
      <c r="I486" s="22"/>
      <c r="K486" s="36"/>
      <c r="AA486" s="13"/>
      <c r="AB486" s="13"/>
      <c r="AC486" s="13"/>
      <c r="AD486" s="13"/>
    </row>
    <row r="487">
      <c r="H487" s="22"/>
      <c r="I487" s="22"/>
      <c r="K487" s="36"/>
      <c r="AA487" s="13"/>
      <c r="AB487" s="13"/>
      <c r="AC487" s="13"/>
      <c r="AD487" s="13"/>
    </row>
    <row r="488">
      <c r="H488" s="22"/>
      <c r="I488" s="22"/>
      <c r="K488" s="36"/>
      <c r="AA488" s="13"/>
      <c r="AB488" s="13"/>
      <c r="AC488" s="13"/>
      <c r="AD488" s="13"/>
    </row>
    <row r="489">
      <c r="H489" s="22"/>
      <c r="I489" s="22"/>
      <c r="K489" s="36"/>
      <c r="AA489" s="13"/>
      <c r="AB489" s="13"/>
      <c r="AC489" s="13"/>
      <c r="AD489" s="13"/>
    </row>
    <row r="490">
      <c r="H490" s="22"/>
      <c r="I490" s="22"/>
      <c r="K490" s="36"/>
      <c r="AA490" s="13"/>
      <c r="AB490" s="13"/>
      <c r="AC490" s="13"/>
      <c r="AD490" s="13"/>
    </row>
    <row r="491">
      <c r="H491" s="22"/>
      <c r="I491" s="22"/>
      <c r="K491" s="36"/>
      <c r="AA491" s="13"/>
      <c r="AB491" s="13"/>
      <c r="AC491" s="13"/>
      <c r="AD491" s="13"/>
    </row>
    <row r="492">
      <c r="H492" s="22"/>
      <c r="I492" s="22"/>
      <c r="K492" s="36"/>
      <c r="AA492" s="13"/>
      <c r="AB492" s="13"/>
      <c r="AC492" s="13"/>
      <c r="AD492" s="13"/>
    </row>
    <row r="493">
      <c r="H493" s="22"/>
      <c r="I493" s="22"/>
      <c r="K493" s="36"/>
      <c r="AA493" s="13"/>
      <c r="AB493" s="13"/>
      <c r="AC493" s="13"/>
      <c r="AD493" s="13"/>
    </row>
    <row r="494">
      <c r="H494" s="22"/>
      <c r="I494" s="22"/>
      <c r="K494" s="36"/>
      <c r="AA494" s="13"/>
      <c r="AB494" s="13"/>
      <c r="AC494" s="13"/>
      <c r="AD494" s="13"/>
    </row>
    <row r="495">
      <c r="H495" s="22"/>
      <c r="I495" s="22"/>
      <c r="K495" s="36"/>
      <c r="AA495" s="13"/>
      <c r="AB495" s="13"/>
      <c r="AC495" s="13"/>
      <c r="AD495" s="13"/>
    </row>
    <row r="496">
      <c r="H496" s="22"/>
      <c r="I496" s="22"/>
      <c r="K496" s="36"/>
      <c r="AA496" s="13"/>
      <c r="AB496" s="13"/>
      <c r="AC496" s="13"/>
      <c r="AD496" s="13"/>
    </row>
    <row r="497">
      <c r="H497" s="22"/>
      <c r="I497" s="22"/>
      <c r="K497" s="36"/>
      <c r="AA497" s="13"/>
      <c r="AB497" s="13"/>
      <c r="AC497" s="13"/>
      <c r="AD497" s="13"/>
    </row>
    <row r="498">
      <c r="H498" s="22"/>
      <c r="I498" s="22"/>
      <c r="K498" s="36"/>
      <c r="AA498" s="13"/>
      <c r="AB498" s="13"/>
      <c r="AC498" s="13"/>
      <c r="AD498" s="13"/>
    </row>
    <row r="499">
      <c r="H499" s="22"/>
      <c r="I499" s="22"/>
      <c r="K499" s="36"/>
      <c r="AA499" s="13"/>
      <c r="AB499" s="13"/>
      <c r="AC499" s="13"/>
      <c r="AD499" s="13"/>
    </row>
    <row r="500">
      <c r="H500" s="22"/>
      <c r="I500" s="22"/>
      <c r="K500" s="36"/>
      <c r="AA500" s="13"/>
      <c r="AB500" s="13"/>
      <c r="AC500" s="13"/>
      <c r="AD500" s="13"/>
    </row>
    <row r="501">
      <c r="H501" s="22"/>
      <c r="I501" s="22"/>
      <c r="K501" s="36"/>
      <c r="AA501" s="13"/>
      <c r="AB501" s="13"/>
      <c r="AC501" s="13"/>
      <c r="AD501" s="13"/>
    </row>
    <row r="502">
      <c r="H502" s="22"/>
      <c r="I502" s="22"/>
      <c r="K502" s="36"/>
      <c r="AA502" s="13"/>
      <c r="AB502" s="13"/>
      <c r="AC502" s="13"/>
      <c r="AD502" s="13"/>
    </row>
    <row r="503">
      <c r="H503" s="22"/>
      <c r="I503" s="22"/>
      <c r="K503" s="36"/>
      <c r="AA503" s="13"/>
      <c r="AB503" s="13"/>
      <c r="AC503" s="13"/>
      <c r="AD503" s="13"/>
    </row>
    <row r="504">
      <c r="H504" s="22"/>
      <c r="I504" s="22"/>
      <c r="K504" s="36"/>
      <c r="AA504" s="13"/>
      <c r="AB504" s="13"/>
      <c r="AC504" s="13"/>
      <c r="AD504" s="13"/>
    </row>
    <row r="505">
      <c r="H505" s="22"/>
      <c r="I505" s="22"/>
      <c r="K505" s="36"/>
      <c r="AA505" s="13"/>
      <c r="AB505" s="13"/>
      <c r="AC505" s="13"/>
      <c r="AD505" s="13"/>
    </row>
    <row r="506">
      <c r="H506" s="22"/>
      <c r="I506" s="22"/>
      <c r="K506" s="36"/>
      <c r="AA506" s="13"/>
      <c r="AB506" s="13"/>
      <c r="AC506" s="13"/>
      <c r="AD506" s="13"/>
    </row>
    <row r="507">
      <c r="H507" s="22"/>
      <c r="I507" s="22"/>
      <c r="K507" s="36"/>
      <c r="AA507" s="13"/>
      <c r="AB507" s="13"/>
      <c r="AC507" s="13"/>
      <c r="AD507" s="13"/>
    </row>
    <row r="508">
      <c r="H508" s="22"/>
      <c r="I508" s="22"/>
      <c r="K508" s="36"/>
      <c r="AA508" s="13"/>
      <c r="AB508" s="13"/>
      <c r="AC508" s="13"/>
      <c r="AD508" s="13"/>
    </row>
    <row r="509">
      <c r="H509" s="22"/>
      <c r="I509" s="22"/>
      <c r="K509" s="36"/>
      <c r="AA509" s="13"/>
      <c r="AB509" s="13"/>
      <c r="AC509" s="13"/>
      <c r="AD509" s="13"/>
    </row>
    <row r="510">
      <c r="H510" s="22"/>
      <c r="I510" s="22"/>
      <c r="K510" s="36"/>
      <c r="AA510" s="13"/>
      <c r="AB510" s="13"/>
      <c r="AC510" s="13"/>
      <c r="AD510" s="13"/>
    </row>
    <row r="511">
      <c r="H511" s="22"/>
      <c r="I511" s="22"/>
      <c r="K511" s="36"/>
      <c r="AA511" s="13"/>
      <c r="AB511" s="13"/>
      <c r="AC511" s="13"/>
      <c r="AD511" s="13"/>
    </row>
    <row r="512">
      <c r="H512" s="22"/>
      <c r="I512" s="22"/>
      <c r="K512" s="36"/>
      <c r="AA512" s="13"/>
      <c r="AB512" s="13"/>
      <c r="AC512" s="13"/>
      <c r="AD512" s="13"/>
    </row>
    <row r="513">
      <c r="H513" s="22"/>
      <c r="I513" s="22"/>
      <c r="K513" s="36"/>
      <c r="AA513" s="13"/>
      <c r="AB513" s="13"/>
      <c r="AC513" s="13"/>
      <c r="AD513" s="13"/>
    </row>
    <row r="514">
      <c r="H514" s="22"/>
      <c r="I514" s="22"/>
      <c r="K514" s="36"/>
      <c r="AA514" s="13"/>
      <c r="AB514" s="13"/>
      <c r="AC514" s="13"/>
      <c r="AD514" s="13"/>
    </row>
    <row r="515">
      <c r="H515" s="22"/>
      <c r="I515" s="22"/>
      <c r="K515" s="36"/>
      <c r="AA515" s="13"/>
      <c r="AB515" s="13"/>
      <c r="AC515" s="13"/>
      <c r="AD515" s="13"/>
    </row>
    <row r="516">
      <c r="H516" s="22"/>
      <c r="I516" s="22"/>
      <c r="K516" s="36"/>
      <c r="AA516" s="13"/>
      <c r="AB516" s="13"/>
      <c r="AC516" s="13"/>
      <c r="AD516" s="13"/>
    </row>
    <row r="517">
      <c r="H517" s="22"/>
      <c r="I517" s="22"/>
      <c r="K517" s="36"/>
      <c r="AA517" s="13"/>
      <c r="AB517" s="13"/>
      <c r="AC517" s="13"/>
      <c r="AD517" s="13"/>
    </row>
    <row r="518">
      <c r="H518" s="22"/>
      <c r="I518" s="22"/>
      <c r="K518" s="36"/>
      <c r="AA518" s="13"/>
      <c r="AB518" s="13"/>
      <c r="AC518" s="13"/>
      <c r="AD518" s="13"/>
    </row>
    <row r="519">
      <c r="H519" s="22"/>
      <c r="I519" s="22"/>
      <c r="K519" s="36"/>
      <c r="AA519" s="13"/>
      <c r="AB519" s="13"/>
      <c r="AC519" s="13"/>
      <c r="AD519" s="13"/>
    </row>
    <row r="520">
      <c r="H520" s="22"/>
      <c r="I520" s="22"/>
      <c r="K520" s="36"/>
      <c r="AA520" s="13"/>
      <c r="AB520" s="13"/>
      <c r="AC520" s="13"/>
      <c r="AD520" s="13"/>
    </row>
    <row r="521">
      <c r="H521" s="22"/>
      <c r="I521" s="22"/>
      <c r="K521" s="36"/>
      <c r="AA521" s="13"/>
      <c r="AB521" s="13"/>
      <c r="AC521" s="13"/>
      <c r="AD521" s="13"/>
    </row>
    <row r="522">
      <c r="H522" s="22"/>
      <c r="I522" s="22"/>
      <c r="K522" s="36"/>
      <c r="AA522" s="13"/>
      <c r="AB522" s="13"/>
      <c r="AC522" s="13"/>
      <c r="AD522" s="13"/>
    </row>
    <row r="523">
      <c r="H523" s="22"/>
      <c r="I523" s="22"/>
      <c r="K523" s="36"/>
      <c r="AA523" s="13"/>
      <c r="AB523" s="13"/>
      <c r="AC523" s="13"/>
      <c r="AD523" s="13"/>
    </row>
    <row r="524">
      <c r="H524" s="22"/>
      <c r="I524" s="22"/>
      <c r="K524" s="36"/>
      <c r="AA524" s="13"/>
      <c r="AB524" s="13"/>
      <c r="AC524" s="13"/>
      <c r="AD524" s="13"/>
    </row>
    <row r="525">
      <c r="H525" s="22"/>
      <c r="I525" s="22"/>
      <c r="K525" s="36"/>
      <c r="AA525" s="13"/>
      <c r="AB525" s="13"/>
      <c r="AC525" s="13"/>
      <c r="AD525" s="13"/>
    </row>
    <row r="526">
      <c r="H526" s="22"/>
      <c r="I526" s="22"/>
      <c r="K526" s="36"/>
      <c r="AA526" s="13"/>
      <c r="AB526" s="13"/>
      <c r="AC526" s="13"/>
      <c r="AD526" s="13"/>
    </row>
    <row r="527">
      <c r="H527" s="22"/>
      <c r="I527" s="22"/>
      <c r="K527" s="36"/>
      <c r="AA527" s="13"/>
      <c r="AB527" s="13"/>
      <c r="AC527" s="13"/>
      <c r="AD527" s="13"/>
    </row>
    <row r="528">
      <c r="H528" s="22"/>
      <c r="I528" s="22"/>
      <c r="K528" s="36"/>
      <c r="AA528" s="13"/>
      <c r="AB528" s="13"/>
      <c r="AC528" s="13"/>
      <c r="AD528" s="13"/>
    </row>
    <row r="529">
      <c r="H529" s="22"/>
      <c r="I529" s="22"/>
      <c r="K529" s="36"/>
      <c r="AA529" s="13"/>
      <c r="AB529" s="13"/>
      <c r="AC529" s="13"/>
      <c r="AD529" s="13"/>
    </row>
    <row r="530">
      <c r="H530" s="22"/>
      <c r="I530" s="22"/>
      <c r="K530" s="36"/>
      <c r="AA530" s="13"/>
      <c r="AB530" s="13"/>
      <c r="AC530" s="13"/>
      <c r="AD530" s="13"/>
    </row>
    <row r="531">
      <c r="H531" s="22"/>
      <c r="I531" s="22"/>
      <c r="K531" s="36"/>
      <c r="AA531" s="13"/>
      <c r="AB531" s="13"/>
      <c r="AC531" s="13"/>
      <c r="AD531" s="13"/>
    </row>
    <row r="532">
      <c r="H532" s="22"/>
      <c r="I532" s="22"/>
      <c r="K532" s="36"/>
      <c r="AA532" s="13"/>
      <c r="AB532" s="13"/>
      <c r="AC532" s="13"/>
      <c r="AD532" s="13"/>
    </row>
    <row r="533">
      <c r="H533" s="22"/>
      <c r="I533" s="22"/>
      <c r="K533" s="36"/>
      <c r="AA533" s="13"/>
      <c r="AB533" s="13"/>
      <c r="AC533" s="13"/>
      <c r="AD533" s="13"/>
    </row>
    <row r="534">
      <c r="H534" s="22"/>
      <c r="I534" s="22"/>
      <c r="K534" s="36"/>
      <c r="AA534" s="13"/>
      <c r="AB534" s="13"/>
      <c r="AC534" s="13"/>
      <c r="AD534" s="13"/>
    </row>
    <row r="535">
      <c r="H535" s="22"/>
      <c r="I535" s="22"/>
      <c r="K535" s="36"/>
      <c r="AA535" s="13"/>
      <c r="AB535" s="13"/>
      <c r="AC535" s="13"/>
      <c r="AD535" s="13"/>
    </row>
    <row r="536">
      <c r="H536" s="22"/>
      <c r="I536" s="22"/>
      <c r="K536" s="36"/>
      <c r="AA536" s="13"/>
      <c r="AB536" s="13"/>
      <c r="AC536" s="13"/>
      <c r="AD536" s="13"/>
    </row>
    <row r="537">
      <c r="H537" s="22"/>
      <c r="I537" s="22"/>
      <c r="K537" s="36"/>
      <c r="AA537" s="13"/>
      <c r="AB537" s="13"/>
      <c r="AC537" s="13"/>
      <c r="AD537" s="13"/>
    </row>
    <row r="538">
      <c r="H538" s="22"/>
      <c r="I538" s="22"/>
      <c r="K538" s="36"/>
      <c r="AA538" s="13"/>
      <c r="AB538" s="13"/>
      <c r="AC538" s="13"/>
      <c r="AD538" s="13"/>
    </row>
    <row r="539">
      <c r="H539" s="22"/>
      <c r="I539" s="22"/>
      <c r="K539" s="36"/>
      <c r="AA539" s="13"/>
      <c r="AB539" s="13"/>
      <c r="AC539" s="13"/>
      <c r="AD539" s="13"/>
    </row>
    <row r="540">
      <c r="H540" s="22"/>
      <c r="I540" s="22"/>
      <c r="K540" s="36"/>
      <c r="AA540" s="13"/>
      <c r="AB540" s="13"/>
      <c r="AC540" s="13"/>
      <c r="AD540" s="13"/>
    </row>
    <row r="541">
      <c r="H541" s="22"/>
      <c r="I541" s="22"/>
      <c r="K541" s="36"/>
      <c r="AA541" s="13"/>
      <c r="AB541" s="13"/>
      <c r="AC541" s="13"/>
      <c r="AD541" s="13"/>
    </row>
    <row r="542">
      <c r="H542" s="22"/>
      <c r="I542" s="22"/>
      <c r="K542" s="36"/>
      <c r="AA542" s="13"/>
      <c r="AB542" s="13"/>
      <c r="AC542" s="13"/>
      <c r="AD542" s="13"/>
    </row>
    <row r="543">
      <c r="H543" s="22"/>
      <c r="I543" s="22"/>
      <c r="K543" s="36"/>
      <c r="AA543" s="13"/>
      <c r="AB543" s="13"/>
      <c r="AC543" s="13"/>
      <c r="AD543" s="13"/>
    </row>
    <row r="544">
      <c r="H544" s="22"/>
      <c r="I544" s="22"/>
      <c r="K544" s="36"/>
      <c r="AA544" s="13"/>
      <c r="AB544" s="13"/>
      <c r="AC544" s="13"/>
      <c r="AD544" s="13"/>
    </row>
    <row r="545">
      <c r="H545" s="22"/>
      <c r="I545" s="22"/>
      <c r="K545" s="36"/>
      <c r="AA545" s="13"/>
      <c r="AB545" s="13"/>
      <c r="AC545" s="13"/>
      <c r="AD545" s="13"/>
    </row>
    <row r="546">
      <c r="H546" s="22"/>
      <c r="I546" s="22"/>
      <c r="K546" s="36"/>
      <c r="AA546" s="13"/>
      <c r="AB546" s="13"/>
      <c r="AC546" s="13"/>
      <c r="AD546" s="13"/>
    </row>
    <row r="547">
      <c r="H547" s="22"/>
      <c r="I547" s="22"/>
      <c r="K547" s="36"/>
      <c r="AA547" s="13"/>
      <c r="AB547" s="13"/>
      <c r="AC547" s="13"/>
      <c r="AD547" s="13"/>
    </row>
    <row r="548">
      <c r="H548" s="22"/>
      <c r="I548" s="22"/>
      <c r="K548" s="36"/>
      <c r="AA548" s="13"/>
      <c r="AB548" s="13"/>
      <c r="AC548" s="13"/>
      <c r="AD548" s="13"/>
    </row>
    <row r="549">
      <c r="H549" s="22"/>
      <c r="I549" s="22"/>
      <c r="K549" s="36"/>
      <c r="AA549" s="13"/>
      <c r="AB549" s="13"/>
      <c r="AC549" s="13"/>
      <c r="AD549" s="13"/>
    </row>
    <row r="550">
      <c r="H550" s="22"/>
      <c r="I550" s="22"/>
      <c r="K550" s="36"/>
      <c r="AA550" s="13"/>
      <c r="AB550" s="13"/>
      <c r="AC550" s="13"/>
      <c r="AD550" s="13"/>
    </row>
    <row r="551">
      <c r="H551" s="22"/>
      <c r="I551" s="22"/>
      <c r="K551" s="36"/>
      <c r="AA551" s="13"/>
      <c r="AB551" s="13"/>
      <c r="AC551" s="13"/>
      <c r="AD551" s="13"/>
    </row>
    <row r="552">
      <c r="H552" s="22"/>
      <c r="I552" s="22"/>
      <c r="K552" s="36"/>
      <c r="AA552" s="13"/>
      <c r="AB552" s="13"/>
      <c r="AC552" s="13"/>
      <c r="AD552" s="13"/>
    </row>
    <row r="553">
      <c r="H553" s="22"/>
      <c r="I553" s="22"/>
      <c r="K553" s="36"/>
      <c r="AA553" s="13"/>
      <c r="AB553" s="13"/>
      <c r="AC553" s="13"/>
      <c r="AD553" s="13"/>
    </row>
    <row r="554">
      <c r="H554" s="22"/>
      <c r="I554" s="22"/>
      <c r="K554" s="36"/>
      <c r="AA554" s="13"/>
      <c r="AB554" s="13"/>
      <c r="AC554" s="13"/>
      <c r="AD554" s="13"/>
    </row>
    <row r="555">
      <c r="H555" s="22"/>
      <c r="I555" s="22"/>
      <c r="K555" s="36"/>
      <c r="AA555" s="13"/>
      <c r="AB555" s="13"/>
      <c r="AC555" s="13"/>
      <c r="AD555" s="13"/>
    </row>
    <row r="556">
      <c r="H556" s="22"/>
      <c r="I556" s="22"/>
      <c r="K556" s="36"/>
      <c r="AA556" s="13"/>
      <c r="AB556" s="13"/>
      <c r="AC556" s="13"/>
      <c r="AD556" s="13"/>
    </row>
    <row r="557">
      <c r="H557" s="22"/>
      <c r="I557" s="22"/>
      <c r="K557" s="36"/>
      <c r="AA557" s="13"/>
      <c r="AB557" s="13"/>
      <c r="AC557" s="13"/>
      <c r="AD557" s="13"/>
    </row>
    <row r="558">
      <c r="H558" s="22"/>
      <c r="I558" s="22"/>
      <c r="K558" s="36"/>
      <c r="AA558" s="13"/>
      <c r="AB558" s="13"/>
      <c r="AC558" s="13"/>
      <c r="AD558" s="13"/>
    </row>
    <row r="559">
      <c r="H559" s="22"/>
      <c r="I559" s="22"/>
      <c r="K559" s="36"/>
      <c r="AA559" s="13"/>
      <c r="AB559" s="13"/>
      <c r="AC559" s="13"/>
      <c r="AD559" s="13"/>
    </row>
    <row r="560">
      <c r="H560" s="22"/>
      <c r="I560" s="22"/>
      <c r="K560" s="36"/>
      <c r="AA560" s="13"/>
      <c r="AB560" s="13"/>
      <c r="AC560" s="13"/>
      <c r="AD560" s="13"/>
    </row>
    <row r="561">
      <c r="H561" s="22"/>
      <c r="I561" s="22"/>
      <c r="K561" s="36"/>
      <c r="AA561" s="13"/>
      <c r="AB561" s="13"/>
      <c r="AC561" s="13"/>
      <c r="AD561" s="13"/>
    </row>
    <row r="562">
      <c r="H562" s="22"/>
      <c r="I562" s="22"/>
      <c r="K562" s="36"/>
      <c r="AA562" s="13"/>
      <c r="AB562" s="13"/>
      <c r="AC562" s="13"/>
      <c r="AD562" s="13"/>
    </row>
    <row r="563">
      <c r="H563" s="22"/>
      <c r="I563" s="22"/>
      <c r="K563" s="36"/>
      <c r="AA563" s="13"/>
      <c r="AB563" s="13"/>
      <c r="AC563" s="13"/>
      <c r="AD563" s="13"/>
    </row>
    <row r="564">
      <c r="H564" s="22"/>
      <c r="I564" s="22"/>
      <c r="K564" s="36"/>
      <c r="AA564" s="13"/>
      <c r="AB564" s="13"/>
      <c r="AC564" s="13"/>
      <c r="AD564" s="13"/>
    </row>
    <row r="565">
      <c r="H565" s="22"/>
      <c r="I565" s="22"/>
      <c r="K565" s="36"/>
      <c r="AA565" s="13"/>
      <c r="AB565" s="13"/>
      <c r="AC565" s="13"/>
      <c r="AD565" s="13"/>
    </row>
    <row r="566">
      <c r="H566" s="22"/>
      <c r="I566" s="22"/>
      <c r="K566" s="36"/>
      <c r="AA566" s="13"/>
      <c r="AB566" s="13"/>
      <c r="AC566" s="13"/>
      <c r="AD566" s="13"/>
    </row>
    <row r="567">
      <c r="H567" s="22"/>
      <c r="I567" s="22"/>
      <c r="K567" s="36"/>
      <c r="AA567" s="13"/>
      <c r="AB567" s="13"/>
      <c r="AC567" s="13"/>
      <c r="AD567" s="13"/>
    </row>
    <row r="568">
      <c r="H568" s="22"/>
      <c r="I568" s="22"/>
      <c r="K568" s="36"/>
      <c r="AA568" s="13"/>
      <c r="AB568" s="13"/>
      <c r="AC568" s="13"/>
      <c r="AD568" s="13"/>
    </row>
    <row r="569">
      <c r="H569" s="22"/>
      <c r="I569" s="22"/>
      <c r="K569" s="36"/>
      <c r="AA569" s="13"/>
      <c r="AB569" s="13"/>
      <c r="AC569" s="13"/>
      <c r="AD569" s="13"/>
    </row>
    <row r="570">
      <c r="H570" s="22"/>
      <c r="I570" s="22"/>
      <c r="K570" s="36"/>
      <c r="AA570" s="13"/>
      <c r="AB570" s="13"/>
      <c r="AC570" s="13"/>
      <c r="AD570" s="13"/>
    </row>
    <row r="571">
      <c r="H571" s="22"/>
      <c r="I571" s="22"/>
      <c r="K571" s="36"/>
      <c r="AA571" s="13"/>
      <c r="AB571" s="13"/>
      <c r="AC571" s="13"/>
      <c r="AD571" s="13"/>
    </row>
    <row r="572">
      <c r="H572" s="22"/>
      <c r="I572" s="22"/>
      <c r="K572" s="36"/>
      <c r="AA572" s="13"/>
      <c r="AB572" s="13"/>
      <c r="AC572" s="13"/>
      <c r="AD572" s="13"/>
    </row>
    <row r="573">
      <c r="H573" s="22"/>
      <c r="I573" s="22"/>
      <c r="K573" s="36"/>
      <c r="AA573" s="13"/>
      <c r="AB573" s="13"/>
      <c r="AC573" s="13"/>
      <c r="AD573" s="13"/>
    </row>
    <row r="574">
      <c r="H574" s="22"/>
      <c r="I574" s="22"/>
      <c r="K574" s="36"/>
      <c r="AA574" s="13"/>
      <c r="AB574" s="13"/>
      <c r="AC574" s="13"/>
      <c r="AD574" s="13"/>
    </row>
    <row r="575">
      <c r="H575" s="22"/>
      <c r="I575" s="22"/>
      <c r="K575" s="36"/>
      <c r="AA575" s="13"/>
      <c r="AB575" s="13"/>
      <c r="AC575" s="13"/>
      <c r="AD575" s="13"/>
    </row>
    <row r="576">
      <c r="H576" s="22"/>
      <c r="I576" s="22"/>
      <c r="K576" s="36"/>
      <c r="AA576" s="13"/>
      <c r="AB576" s="13"/>
      <c r="AC576" s="13"/>
      <c r="AD576" s="13"/>
    </row>
    <row r="577">
      <c r="H577" s="22"/>
      <c r="I577" s="22"/>
      <c r="K577" s="36"/>
      <c r="AA577" s="13"/>
      <c r="AB577" s="13"/>
      <c r="AC577" s="13"/>
      <c r="AD577" s="13"/>
    </row>
    <row r="578">
      <c r="H578" s="22"/>
      <c r="I578" s="22"/>
      <c r="K578" s="36"/>
      <c r="AA578" s="13"/>
      <c r="AB578" s="13"/>
      <c r="AC578" s="13"/>
      <c r="AD578" s="13"/>
    </row>
    <row r="579">
      <c r="H579" s="22"/>
      <c r="I579" s="22"/>
      <c r="K579" s="36"/>
      <c r="AA579" s="13"/>
      <c r="AB579" s="13"/>
      <c r="AC579" s="13"/>
      <c r="AD579" s="13"/>
    </row>
    <row r="580">
      <c r="H580" s="22"/>
      <c r="I580" s="22"/>
      <c r="K580" s="36"/>
      <c r="AA580" s="13"/>
      <c r="AB580" s="13"/>
      <c r="AC580" s="13"/>
      <c r="AD580" s="13"/>
    </row>
    <row r="581">
      <c r="H581" s="22"/>
      <c r="I581" s="22"/>
      <c r="K581" s="36"/>
      <c r="AA581" s="13"/>
      <c r="AB581" s="13"/>
      <c r="AC581" s="13"/>
      <c r="AD581" s="13"/>
    </row>
    <row r="582">
      <c r="H582" s="22"/>
      <c r="I582" s="22"/>
      <c r="K582" s="36"/>
      <c r="AA582" s="13"/>
      <c r="AB582" s="13"/>
      <c r="AC582" s="13"/>
      <c r="AD582" s="13"/>
    </row>
    <row r="583">
      <c r="H583" s="22"/>
      <c r="I583" s="22"/>
      <c r="K583" s="36"/>
      <c r="AA583" s="13"/>
      <c r="AB583" s="13"/>
      <c r="AC583" s="13"/>
      <c r="AD583" s="13"/>
    </row>
    <row r="584">
      <c r="H584" s="22"/>
      <c r="I584" s="22"/>
      <c r="K584" s="36"/>
      <c r="AA584" s="13"/>
      <c r="AB584" s="13"/>
      <c r="AC584" s="13"/>
      <c r="AD584" s="13"/>
    </row>
    <row r="585">
      <c r="H585" s="22"/>
      <c r="I585" s="22"/>
      <c r="K585" s="36"/>
      <c r="AA585" s="13"/>
      <c r="AB585" s="13"/>
      <c r="AC585" s="13"/>
      <c r="AD585" s="13"/>
    </row>
    <row r="586">
      <c r="H586" s="22"/>
      <c r="I586" s="22"/>
      <c r="K586" s="36"/>
      <c r="AA586" s="13"/>
      <c r="AB586" s="13"/>
      <c r="AC586" s="13"/>
      <c r="AD586" s="13"/>
    </row>
    <row r="587">
      <c r="H587" s="22"/>
      <c r="I587" s="22"/>
      <c r="K587" s="36"/>
      <c r="AA587" s="13"/>
      <c r="AB587" s="13"/>
      <c r="AC587" s="13"/>
      <c r="AD587" s="13"/>
    </row>
    <row r="588">
      <c r="H588" s="22"/>
      <c r="I588" s="22"/>
      <c r="K588" s="36"/>
      <c r="AA588" s="13"/>
      <c r="AB588" s="13"/>
      <c r="AC588" s="13"/>
      <c r="AD588" s="13"/>
    </row>
    <row r="589">
      <c r="H589" s="22"/>
      <c r="I589" s="22"/>
      <c r="K589" s="36"/>
      <c r="AA589" s="13"/>
      <c r="AB589" s="13"/>
      <c r="AC589" s="13"/>
      <c r="AD589" s="13"/>
    </row>
    <row r="590">
      <c r="H590" s="22"/>
      <c r="I590" s="22"/>
      <c r="K590" s="36"/>
      <c r="AA590" s="13"/>
      <c r="AB590" s="13"/>
      <c r="AC590" s="13"/>
      <c r="AD590" s="13"/>
    </row>
    <row r="591">
      <c r="H591" s="22"/>
      <c r="I591" s="22"/>
      <c r="K591" s="36"/>
      <c r="AA591" s="13"/>
      <c r="AB591" s="13"/>
      <c r="AC591" s="13"/>
      <c r="AD591" s="13"/>
    </row>
    <row r="592">
      <c r="H592" s="22"/>
      <c r="I592" s="22"/>
      <c r="K592" s="36"/>
      <c r="AA592" s="13"/>
      <c r="AB592" s="13"/>
      <c r="AC592" s="13"/>
      <c r="AD592" s="13"/>
    </row>
    <row r="593">
      <c r="H593" s="22"/>
      <c r="I593" s="22"/>
      <c r="K593" s="36"/>
      <c r="AA593" s="13"/>
      <c r="AB593" s="13"/>
      <c r="AC593" s="13"/>
      <c r="AD593" s="13"/>
    </row>
    <row r="594">
      <c r="H594" s="22"/>
      <c r="I594" s="22"/>
      <c r="K594" s="36"/>
      <c r="AA594" s="13"/>
      <c r="AB594" s="13"/>
      <c r="AC594" s="13"/>
      <c r="AD594" s="13"/>
    </row>
    <row r="595">
      <c r="H595" s="22"/>
      <c r="I595" s="22"/>
      <c r="K595" s="36"/>
      <c r="AA595" s="13"/>
      <c r="AB595" s="13"/>
      <c r="AC595" s="13"/>
      <c r="AD595" s="13"/>
    </row>
    <row r="596">
      <c r="H596" s="22"/>
      <c r="I596" s="22"/>
      <c r="K596" s="36"/>
      <c r="AA596" s="13"/>
      <c r="AB596" s="13"/>
      <c r="AC596" s="13"/>
      <c r="AD596" s="13"/>
    </row>
    <row r="597">
      <c r="H597" s="22"/>
      <c r="I597" s="22"/>
      <c r="K597" s="36"/>
      <c r="AA597" s="13"/>
      <c r="AB597" s="13"/>
      <c r="AC597" s="13"/>
      <c r="AD597" s="13"/>
    </row>
    <row r="598">
      <c r="H598" s="22"/>
      <c r="I598" s="22"/>
      <c r="K598" s="36"/>
      <c r="AA598" s="13"/>
      <c r="AB598" s="13"/>
      <c r="AC598" s="13"/>
      <c r="AD598" s="13"/>
    </row>
    <row r="599">
      <c r="H599" s="22"/>
      <c r="I599" s="22"/>
      <c r="K599" s="36"/>
      <c r="AA599" s="13"/>
      <c r="AB599" s="13"/>
      <c r="AC599" s="13"/>
      <c r="AD599" s="13"/>
    </row>
    <row r="600">
      <c r="H600" s="22"/>
      <c r="I600" s="22"/>
      <c r="K600" s="36"/>
      <c r="AA600" s="13"/>
      <c r="AB600" s="13"/>
      <c r="AC600" s="13"/>
      <c r="AD600" s="13"/>
    </row>
    <row r="601">
      <c r="H601" s="22"/>
      <c r="I601" s="22"/>
      <c r="K601" s="36"/>
      <c r="AA601" s="13"/>
      <c r="AB601" s="13"/>
      <c r="AC601" s="13"/>
      <c r="AD601" s="13"/>
    </row>
    <row r="602">
      <c r="H602" s="22"/>
      <c r="I602" s="22"/>
      <c r="K602" s="36"/>
      <c r="AA602" s="13"/>
      <c r="AB602" s="13"/>
      <c r="AC602" s="13"/>
      <c r="AD602" s="13"/>
    </row>
    <row r="603">
      <c r="H603" s="22"/>
      <c r="I603" s="22"/>
      <c r="K603" s="36"/>
      <c r="AA603" s="13"/>
      <c r="AB603" s="13"/>
      <c r="AC603" s="13"/>
      <c r="AD603" s="13"/>
    </row>
    <row r="604">
      <c r="H604" s="22"/>
      <c r="I604" s="22"/>
      <c r="K604" s="36"/>
      <c r="AA604" s="13"/>
      <c r="AB604" s="13"/>
      <c r="AC604" s="13"/>
      <c r="AD604" s="13"/>
    </row>
    <row r="605">
      <c r="H605" s="22"/>
      <c r="I605" s="22"/>
      <c r="K605" s="36"/>
      <c r="AA605" s="13"/>
      <c r="AB605" s="13"/>
      <c r="AC605" s="13"/>
      <c r="AD605" s="13"/>
    </row>
    <row r="606">
      <c r="H606" s="22"/>
      <c r="I606" s="22"/>
      <c r="K606" s="36"/>
      <c r="AA606" s="13"/>
      <c r="AB606" s="13"/>
      <c r="AC606" s="13"/>
      <c r="AD606" s="13"/>
    </row>
    <row r="607">
      <c r="H607" s="22"/>
      <c r="I607" s="22"/>
      <c r="K607" s="36"/>
      <c r="AA607" s="13"/>
      <c r="AB607" s="13"/>
      <c r="AC607" s="13"/>
      <c r="AD607" s="13"/>
    </row>
    <row r="608">
      <c r="H608" s="22"/>
      <c r="I608" s="22"/>
      <c r="K608" s="36"/>
      <c r="AA608" s="13"/>
      <c r="AB608" s="13"/>
      <c r="AC608" s="13"/>
      <c r="AD608" s="13"/>
    </row>
    <row r="609">
      <c r="H609" s="22"/>
      <c r="I609" s="22"/>
      <c r="K609" s="36"/>
      <c r="AA609" s="13"/>
      <c r="AB609" s="13"/>
      <c r="AC609" s="13"/>
      <c r="AD609" s="13"/>
    </row>
    <row r="610">
      <c r="H610" s="22"/>
      <c r="I610" s="22"/>
      <c r="K610" s="36"/>
      <c r="AA610" s="13"/>
      <c r="AB610" s="13"/>
      <c r="AC610" s="13"/>
      <c r="AD610" s="13"/>
    </row>
    <row r="611">
      <c r="H611" s="22"/>
      <c r="I611" s="22"/>
      <c r="K611" s="36"/>
      <c r="AA611" s="13"/>
      <c r="AB611" s="13"/>
      <c r="AC611" s="13"/>
      <c r="AD611" s="13"/>
    </row>
    <row r="612">
      <c r="H612" s="22"/>
      <c r="I612" s="22"/>
      <c r="K612" s="36"/>
      <c r="AA612" s="13"/>
      <c r="AB612" s="13"/>
      <c r="AC612" s="13"/>
      <c r="AD612" s="13"/>
    </row>
    <row r="613">
      <c r="H613" s="22"/>
      <c r="I613" s="22"/>
      <c r="K613" s="36"/>
      <c r="AA613" s="13"/>
      <c r="AB613" s="13"/>
      <c r="AC613" s="13"/>
      <c r="AD613" s="13"/>
    </row>
    <row r="614">
      <c r="H614" s="22"/>
      <c r="I614" s="22"/>
      <c r="K614" s="36"/>
      <c r="AA614" s="13"/>
      <c r="AB614" s="13"/>
      <c r="AC614" s="13"/>
      <c r="AD614" s="13"/>
    </row>
    <row r="615">
      <c r="H615" s="22"/>
      <c r="I615" s="22"/>
      <c r="K615" s="36"/>
      <c r="AA615" s="13"/>
      <c r="AB615" s="13"/>
      <c r="AC615" s="13"/>
      <c r="AD615" s="13"/>
    </row>
    <row r="616">
      <c r="H616" s="22"/>
      <c r="I616" s="22"/>
      <c r="K616" s="36"/>
      <c r="AA616" s="13"/>
      <c r="AB616" s="13"/>
      <c r="AC616" s="13"/>
      <c r="AD616" s="13"/>
    </row>
    <row r="617">
      <c r="H617" s="22"/>
      <c r="I617" s="22"/>
      <c r="K617" s="36"/>
      <c r="AA617" s="13"/>
      <c r="AB617" s="13"/>
      <c r="AC617" s="13"/>
      <c r="AD617" s="13"/>
    </row>
    <row r="618">
      <c r="H618" s="22"/>
      <c r="I618" s="22"/>
      <c r="K618" s="36"/>
      <c r="AA618" s="13"/>
      <c r="AB618" s="13"/>
      <c r="AC618" s="13"/>
      <c r="AD618" s="13"/>
    </row>
    <row r="619">
      <c r="H619" s="22"/>
      <c r="I619" s="22"/>
      <c r="K619" s="36"/>
      <c r="AA619" s="13"/>
      <c r="AB619" s="13"/>
      <c r="AC619" s="13"/>
      <c r="AD619" s="13"/>
    </row>
    <row r="620">
      <c r="H620" s="22"/>
      <c r="I620" s="22"/>
      <c r="K620" s="36"/>
      <c r="AA620" s="13"/>
      <c r="AB620" s="13"/>
      <c r="AC620" s="13"/>
      <c r="AD620" s="13"/>
    </row>
    <row r="621">
      <c r="H621" s="22"/>
      <c r="I621" s="22"/>
      <c r="K621" s="36"/>
      <c r="AA621" s="13"/>
      <c r="AB621" s="13"/>
      <c r="AC621" s="13"/>
      <c r="AD621" s="13"/>
    </row>
    <row r="622">
      <c r="H622" s="22"/>
      <c r="I622" s="22"/>
      <c r="K622" s="36"/>
      <c r="AA622" s="13"/>
      <c r="AB622" s="13"/>
      <c r="AC622" s="13"/>
      <c r="AD622" s="13"/>
    </row>
    <row r="623">
      <c r="H623" s="22"/>
      <c r="I623" s="22"/>
      <c r="K623" s="36"/>
      <c r="AA623" s="13"/>
      <c r="AB623" s="13"/>
      <c r="AC623" s="13"/>
      <c r="AD623" s="13"/>
    </row>
    <row r="624">
      <c r="H624" s="22"/>
      <c r="I624" s="22"/>
      <c r="K624" s="36"/>
      <c r="AA624" s="13"/>
      <c r="AB624" s="13"/>
      <c r="AC624" s="13"/>
      <c r="AD624" s="13"/>
    </row>
    <row r="625">
      <c r="H625" s="22"/>
      <c r="I625" s="22"/>
      <c r="K625" s="36"/>
      <c r="AA625" s="13"/>
      <c r="AB625" s="13"/>
      <c r="AC625" s="13"/>
      <c r="AD625" s="13"/>
    </row>
    <row r="626">
      <c r="H626" s="22"/>
      <c r="I626" s="22"/>
      <c r="K626" s="36"/>
      <c r="AA626" s="13"/>
      <c r="AB626" s="13"/>
      <c r="AC626" s="13"/>
      <c r="AD626" s="13"/>
    </row>
    <row r="627">
      <c r="H627" s="22"/>
      <c r="I627" s="22"/>
      <c r="K627" s="36"/>
      <c r="AA627" s="13"/>
      <c r="AB627" s="13"/>
      <c r="AC627" s="13"/>
      <c r="AD627" s="13"/>
    </row>
    <row r="628">
      <c r="H628" s="22"/>
      <c r="I628" s="22"/>
      <c r="K628" s="36"/>
      <c r="AA628" s="13"/>
      <c r="AB628" s="13"/>
      <c r="AC628" s="13"/>
      <c r="AD628" s="13"/>
    </row>
    <row r="629">
      <c r="H629" s="22"/>
      <c r="I629" s="22"/>
      <c r="K629" s="36"/>
      <c r="AA629" s="13"/>
      <c r="AB629" s="13"/>
      <c r="AC629" s="13"/>
      <c r="AD629" s="13"/>
    </row>
    <row r="630">
      <c r="H630" s="22"/>
      <c r="I630" s="22"/>
      <c r="K630" s="36"/>
      <c r="AA630" s="13"/>
      <c r="AB630" s="13"/>
      <c r="AC630" s="13"/>
      <c r="AD630" s="13"/>
    </row>
    <row r="631">
      <c r="H631" s="22"/>
      <c r="I631" s="22"/>
      <c r="K631" s="36"/>
      <c r="AA631" s="13"/>
      <c r="AB631" s="13"/>
      <c r="AC631" s="13"/>
      <c r="AD631" s="13"/>
    </row>
    <row r="632">
      <c r="H632" s="22"/>
      <c r="I632" s="22"/>
      <c r="K632" s="36"/>
      <c r="AA632" s="13"/>
      <c r="AB632" s="13"/>
      <c r="AC632" s="13"/>
      <c r="AD632" s="13"/>
    </row>
    <row r="633">
      <c r="H633" s="22"/>
      <c r="I633" s="22"/>
      <c r="K633" s="36"/>
      <c r="AA633" s="13"/>
      <c r="AB633" s="13"/>
      <c r="AC633" s="13"/>
      <c r="AD633" s="13"/>
    </row>
    <row r="634">
      <c r="H634" s="22"/>
      <c r="I634" s="22"/>
      <c r="K634" s="36"/>
      <c r="AA634" s="13"/>
      <c r="AB634" s="13"/>
      <c r="AC634" s="13"/>
      <c r="AD634" s="13"/>
    </row>
    <row r="635">
      <c r="H635" s="22"/>
      <c r="I635" s="22"/>
      <c r="K635" s="36"/>
      <c r="AA635" s="13"/>
      <c r="AB635" s="13"/>
      <c r="AC635" s="13"/>
      <c r="AD635" s="13"/>
    </row>
    <row r="636">
      <c r="H636" s="22"/>
      <c r="I636" s="22"/>
      <c r="K636" s="36"/>
      <c r="AA636" s="13"/>
      <c r="AB636" s="13"/>
      <c r="AC636" s="13"/>
      <c r="AD636" s="13"/>
    </row>
    <row r="637">
      <c r="H637" s="22"/>
      <c r="I637" s="22"/>
      <c r="K637" s="36"/>
      <c r="AA637" s="13"/>
      <c r="AB637" s="13"/>
      <c r="AC637" s="13"/>
      <c r="AD637" s="13"/>
    </row>
    <row r="638">
      <c r="H638" s="22"/>
      <c r="I638" s="22"/>
      <c r="K638" s="36"/>
      <c r="AA638" s="13"/>
      <c r="AB638" s="13"/>
      <c r="AC638" s="13"/>
      <c r="AD638" s="13"/>
    </row>
    <row r="639">
      <c r="H639" s="22"/>
      <c r="I639" s="22"/>
      <c r="K639" s="36"/>
      <c r="AA639" s="13"/>
      <c r="AB639" s="13"/>
      <c r="AC639" s="13"/>
      <c r="AD639" s="13"/>
    </row>
    <row r="640">
      <c r="H640" s="22"/>
      <c r="I640" s="22"/>
      <c r="K640" s="36"/>
      <c r="AA640" s="13"/>
      <c r="AB640" s="13"/>
      <c r="AC640" s="13"/>
      <c r="AD640" s="13"/>
    </row>
    <row r="641">
      <c r="H641" s="22"/>
      <c r="I641" s="22"/>
      <c r="K641" s="36"/>
      <c r="AA641" s="13"/>
      <c r="AB641" s="13"/>
      <c r="AC641" s="13"/>
      <c r="AD641" s="13"/>
    </row>
    <row r="642">
      <c r="H642" s="22"/>
      <c r="I642" s="22"/>
      <c r="K642" s="36"/>
      <c r="AA642" s="13"/>
      <c r="AB642" s="13"/>
      <c r="AC642" s="13"/>
      <c r="AD642" s="13"/>
    </row>
    <row r="643">
      <c r="H643" s="22"/>
      <c r="I643" s="22"/>
      <c r="K643" s="36"/>
      <c r="AA643" s="13"/>
      <c r="AB643" s="13"/>
      <c r="AC643" s="13"/>
      <c r="AD643" s="13"/>
    </row>
    <row r="644">
      <c r="H644" s="22"/>
      <c r="I644" s="22"/>
      <c r="K644" s="36"/>
      <c r="AA644" s="13"/>
      <c r="AB644" s="13"/>
      <c r="AC644" s="13"/>
      <c r="AD644" s="13"/>
    </row>
    <row r="645">
      <c r="H645" s="22"/>
      <c r="I645" s="22"/>
      <c r="K645" s="36"/>
      <c r="AA645" s="13"/>
      <c r="AB645" s="13"/>
      <c r="AC645" s="13"/>
      <c r="AD645" s="13"/>
    </row>
    <row r="646">
      <c r="H646" s="22"/>
      <c r="I646" s="22"/>
      <c r="K646" s="36"/>
      <c r="AA646" s="13"/>
      <c r="AB646" s="13"/>
      <c r="AC646" s="13"/>
      <c r="AD646" s="13"/>
    </row>
    <row r="647">
      <c r="H647" s="22"/>
      <c r="I647" s="22"/>
      <c r="K647" s="36"/>
      <c r="AA647" s="13"/>
      <c r="AB647" s="13"/>
      <c r="AC647" s="13"/>
      <c r="AD647" s="13"/>
    </row>
    <row r="648">
      <c r="H648" s="22"/>
      <c r="I648" s="22"/>
      <c r="K648" s="36"/>
      <c r="AA648" s="13"/>
      <c r="AB648" s="13"/>
      <c r="AC648" s="13"/>
      <c r="AD648" s="13"/>
    </row>
    <row r="649">
      <c r="H649" s="22"/>
      <c r="I649" s="22"/>
      <c r="K649" s="36"/>
      <c r="AA649" s="13"/>
      <c r="AB649" s="13"/>
      <c r="AC649" s="13"/>
      <c r="AD649" s="13"/>
    </row>
    <row r="650">
      <c r="H650" s="22"/>
      <c r="I650" s="22"/>
      <c r="K650" s="36"/>
      <c r="AA650" s="13"/>
      <c r="AB650" s="13"/>
      <c r="AC650" s="13"/>
      <c r="AD650" s="13"/>
    </row>
    <row r="651">
      <c r="H651" s="22"/>
      <c r="I651" s="22"/>
      <c r="K651" s="36"/>
      <c r="AA651" s="13"/>
      <c r="AB651" s="13"/>
      <c r="AC651" s="13"/>
      <c r="AD651" s="13"/>
    </row>
    <row r="652">
      <c r="H652" s="22"/>
      <c r="I652" s="22"/>
      <c r="K652" s="36"/>
      <c r="AA652" s="13"/>
      <c r="AB652" s="13"/>
      <c r="AC652" s="13"/>
      <c r="AD652" s="13"/>
    </row>
    <row r="653">
      <c r="H653" s="22"/>
      <c r="I653" s="22"/>
      <c r="K653" s="36"/>
      <c r="AA653" s="13"/>
      <c r="AB653" s="13"/>
      <c r="AC653" s="13"/>
      <c r="AD653" s="13"/>
    </row>
    <row r="654">
      <c r="H654" s="22"/>
      <c r="I654" s="22"/>
      <c r="K654" s="36"/>
      <c r="AA654" s="13"/>
      <c r="AB654" s="13"/>
      <c r="AC654" s="13"/>
      <c r="AD654" s="13"/>
    </row>
    <row r="655">
      <c r="H655" s="22"/>
      <c r="I655" s="22"/>
      <c r="K655" s="36"/>
      <c r="AA655" s="13"/>
      <c r="AB655" s="13"/>
      <c r="AC655" s="13"/>
      <c r="AD655" s="13"/>
    </row>
    <row r="656">
      <c r="H656" s="22"/>
      <c r="I656" s="22"/>
      <c r="K656" s="36"/>
      <c r="AA656" s="13"/>
      <c r="AB656" s="13"/>
      <c r="AC656" s="13"/>
      <c r="AD656" s="13"/>
    </row>
    <row r="657">
      <c r="H657" s="22"/>
      <c r="I657" s="22"/>
      <c r="K657" s="36"/>
      <c r="AA657" s="13"/>
      <c r="AB657" s="13"/>
      <c r="AC657" s="13"/>
      <c r="AD657" s="13"/>
    </row>
    <row r="658">
      <c r="H658" s="22"/>
      <c r="I658" s="22"/>
      <c r="K658" s="36"/>
      <c r="AA658" s="13"/>
      <c r="AB658" s="13"/>
      <c r="AC658" s="13"/>
      <c r="AD658" s="13"/>
    </row>
    <row r="659">
      <c r="H659" s="22"/>
      <c r="I659" s="22"/>
      <c r="K659" s="36"/>
      <c r="AA659" s="13"/>
      <c r="AB659" s="13"/>
      <c r="AC659" s="13"/>
      <c r="AD659" s="13"/>
    </row>
    <row r="660">
      <c r="H660" s="22"/>
      <c r="I660" s="22"/>
      <c r="K660" s="36"/>
      <c r="AA660" s="13"/>
      <c r="AB660" s="13"/>
      <c r="AC660" s="13"/>
      <c r="AD660" s="13"/>
    </row>
    <row r="661">
      <c r="H661" s="22"/>
      <c r="I661" s="22"/>
      <c r="K661" s="36"/>
      <c r="AA661" s="13"/>
      <c r="AB661" s="13"/>
      <c r="AC661" s="13"/>
      <c r="AD661" s="13"/>
    </row>
    <row r="662">
      <c r="H662" s="22"/>
      <c r="I662" s="22"/>
      <c r="K662" s="36"/>
      <c r="AA662" s="13"/>
      <c r="AB662" s="13"/>
      <c r="AC662" s="13"/>
      <c r="AD662" s="13"/>
    </row>
    <row r="663">
      <c r="H663" s="22"/>
      <c r="I663" s="22"/>
      <c r="K663" s="36"/>
      <c r="AA663" s="13"/>
      <c r="AB663" s="13"/>
      <c r="AC663" s="13"/>
      <c r="AD663" s="13"/>
    </row>
    <row r="664">
      <c r="H664" s="22"/>
      <c r="I664" s="22"/>
      <c r="K664" s="36"/>
      <c r="AA664" s="13"/>
      <c r="AB664" s="13"/>
      <c r="AC664" s="13"/>
      <c r="AD664" s="13"/>
    </row>
    <row r="665">
      <c r="H665" s="22"/>
      <c r="I665" s="22"/>
      <c r="K665" s="36"/>
      <c r="AA665" s="13"/>
      <c r="AB665" s="13"/>
      <c r="AC665" s="13"/>
      <c r="AD665" s="13"/>
    </row>
    <row r="666">
      <c r="H666" s="22"/>
      <c r="I666" s="22"/>
      <c r="K666" s="36"/>
      <c r="AA666" s="13"/>
      <c r="AB666" s="13"/>
      <c r="AC666" s="13"/>
      <c r="AD666" s="13"/>
    </row>
    <row r="667">
      <c r="H667" s="22"/>
      <c r="I667" s="22"/>
      <c r="K667" s="36"/>
      <c r="AA667" s="13"/>
      <c r="AB667" s="13"/>
      <c r="AC667" s="13"/>
      <c r="AD667" s="13"/>
    </row>
    <row r="668">
      <c r="H668" s="22"/>
      <c r="I668" s="22"/>
      <c r="K668" s="36"/>
      <c r="AA668" s="13"/>
      <c r="AB668" s="13"/>
      <c r="AC668" s="13"/>
      <c r="AD668" s="13"/>
    </row>
    <row r="669">
      <c r="H669" s="22"/>
      <c r="I669" s="22"/>
      <c r="K669" s="36"/>
      <c r="AA669" s="13"/>
      <c r="AB669" s="13"/>
      <c r="AC669" s="13"/>
      <c r="AD669" s="13"/>
    </row>
    <row r="670">
      <c r="H670" s="22"/>
      <c r="I670" s="22"/>
      <c r="K670" s="36"/>
      <c r="AA670" s="13"/>
      <c r="AB670" s="13"/>
      <c r="AC670" s="13"/>
      <c r="AD670" s="13"/>
    </row>
    <row r="671">
      <c r="H671" s="22"/>
      <c r="I671" s="22"/>
      <c r="K671" s="36"/>
      <c r="AA671" s="13"/>
      <c r="AB671" s="13"/>
      <c r="AC671" s="13"/>
      <c r="AD671" s="13"/>
    </row>
    <row r="672">
      <c r="H672" s="22"/>
      <c r="I672" s="22"/>
      <c r="K672" s="36"/>
      <c r="AA672" s="13"/>
      <c r="AB672" s="13"/>
      <c r="AC672" s="13"/>
      <c r="AD672" s="13"/>
    </row>
    <row r="673">
      <c r="H673" s="22"/>
      <c r="I673" s="22"/>
      <c r="K673" s="36"/>
      <c r="AA673" s="13"/>
      <c r="AB673" s="13"/>
      <c r="AC673" s="13"/>
      <c r="AD673" s="13"/>
    </row>
    <row r="674">
      <c r="H674" s="22"/>
      <c r="I674" s="22"/>
      <c r="K674" s="36"/>
      <c r="AA674" s="13"/>
      <c r="AB674" s="13"/>
      <c r="AC674" s="13"/>
      <c r="AD674" s="13"/>
    </row>
    <row r="675">
      <c r="H675" s="22"/>
      <c r="I675" s="22"/>
      <c r="K675" s="36"/>
      <c r="AA675" s="13"/>
      <c r="AB675" s="13"/>
      <c r="AC675" s="13"/>
      <c r="AD675" s="13"/>
    </row>
    <row r="676">
      <c r="H676" s="22"/>
      <c r="I676" s="22"/>
      <c r="K676" s="36"/>
      <c r="AA676" s="13"/>
      <c r="AB676" s="13"/>
      <c r="AC676" s="13"/>
      <c r="AD676" s="13"/>
    </row>
    <row r="677">
      <c r="H677" s="22"/>
      <c r="I677" s="22"/>
      <c r="K677" s="36"/>
      <c r="AA677" s="13"/>
      <c r="AB677" s="13"/>
      <c r="AC677" s="13"/>
      <c r="AD677" s="13"/>
    </row>
    <row r="678">
      <c r="H678" s="22"/>
      <c r="I678" s="22"/>
      <c r="K678" s="36"/>
      <c r="AA678" s="13"/>
      <c r="AB678" s="13"/>
      <c r="AC678" s="13"/>
      <c r="AD678" s="13"/>
    </row>
    <row r="679">
      <c r="H679" s="22"/>
      <c r="I679" s="22"/>
      <c r="K679" s="36"/>
      <c r="AA679" s="13"/>
      <c r="AB679" s="13"/>
      <c r="AC679" s="13"/>
      <c r="AD679" s="13"/>
    </row>
    <row r="680">
      <c r="H680" s="22"/>
      <c r="I680" s="22"/>
      <c r="K680" s="36"/>
      <c r="AA680" s="13"/>
      <c r="AB680" s="13"/>
      <c r="AC680" s="13"/>
      <c r="AD680" s="13"/>
    </row>
    <row r="681">
      <c r="H681" s="22"/>
      <c r="I681" s="22"/>
      <c r="K681" s="36"/>
      <c r="AA681" s="13"/>
      <c r="AB681" s="13"/>
      <c r="AC681" s="13"/>
      <c r="AD681" s="13"/>
    </row>
    <row r="682">
      <c r="H682" s="22"/>
      <c r="I682" s="22"/>
      <c r="K682" s="36"/>
      <c r="AA682" s="13"/>
      <c r="AB682" s="13"/>
      <c r="AC682" s="13"/>
      <c r="AD682" s="13"/>
    </row>
    <row r="683">
      <c r="H683" s="22"/>
      <c r="I683" s="22"/>
      <c r="K683" s="36"/>
      <c r="AA683" s="13"/>
      <c r="AB683" s="13"/>
      <c r="AC683" s="13"/>
      <c r="AD683" s="13"/>
    </row>
    <row r="684">
      <c r="H684" s="22"/>
      <c r="I684" s="22"/>
      <c r="K684" s="36"/>
      <c r="AA684" s="13"/>
      <c r="AB684" s="13"/>
      <c r="AC684" s="13"/>
      <c r="AD684" s="13"/>
    </row>
    <row r="685">
      <c r="H685" s="22"/>
      <c r="I685" s="22"/>
      <c r="K685" s="36"/>
      <c r="AA685" s="13"/>
      <c r="AB685" s="13"/>
      <c r="AC685" s="13"/>
      <c r="AD685" s="13"/>
    </row>
    <row r="686">
      <c r="H686" s="22"/>
      <c r="I686" s="22"/>
      <c r="K686" s="36"/>
      <c r="AA686" s="13"/>
      <c r="AB686" s="13"/>
      <c r="AC686" s="13"/>
      <c r="AD686" s="13"/>
    </row>
    <row r="687">
      <c r="H687" s="22"/>
      <c r="I687" s="22"/>
      <c r="K687" s="36"/>
      <c r="AA687" s="13"/>
      <c r="AB687" s="13"/>
      <c r="AC687" s="13"/>
      <c r="AD687" s="13"/>
    </row>
    <row r="688">
      <c r="H688" s="22"/>
      <c r="I688" s="22"/>
      <c r="K688" s="36"/>
      <c r="AA688" s="13"/>
      <c r="AB688" s="13"/>
      <c r="AC688" s="13"/>
      <c r="AD688" s="13"/>
    </row>
    <row r="689">
      <c r="H689" s="22"/>
      <c r="I689" s="22"/>
      <c r="K689" s="36"/>
      <c r="AA689" s="13"/>
      <c r="AB689" s="13"/>
      <c r="AC689" s="13"/>
      <c r="AD689" s="13"/>
    </row>
    <row r="690">
      <c r="H690" s="22"/>
      <c r="I690" s="22"/>
      <c r="K690" s="36"/>
      <c r="AA690" s="13"/>
      <c r="AB690" s="13"/>
      <c r="AC690" s="13"/>
      <c r="AD690" s="13"/>
    </row>
    <row r="691">
      <c r="H691" s="22"/>
      <c r="I691" s="22"/>
      <c r="K691" s="36"/>
      <c r="AA691" s="13"/>
      <c r="AB691" s="13"/>
      <c r="AC691" s="13"/>
      <c r="AD691" s="13"/>
    </row>
    <row r="692">
      <c r="H692" s="22"/>
      <c r="I692" s="22"/>
      <c r="K692" s="36"/>
      <c r="AA692" s="13"/>
      <c r="AB692" s="13"/>
      <c r="AC692" s="13"/>
      <c r="AD692" s="13"/>
    </row>
    <row r="693">
      <c r="H693" s="22"/>
      <c r="I693" s="22"/>
      <c r="K693" s="36"/>
      <c r="AA693" s="13"/>
      <c r="AB693" s="13"/>
      <c r="AC693" s="13"/>
      <c r="AD693" s="13"/>
    </row>
    <row r="694">
      <c r="H694" s="22"/>
      <c r="I694" s="22"/>
      <c r="K694" s="36"/>
      <c r="AA694" s="13"/>
      <c r="AB694" s="13"/>
      <c r="AC694" s="13"/>
      <c r="AD694" s="13"/>
    </row>
    <row r="695">
      <c r="H695" s="22"/>
      <c r="I695" s="22"/>
      <c r="K695" s="36"/>
      <c r="AA695" s="13"/>
      <c r="AB695" s="13"/>
      <c r="AC695" s="13"/>
      <c r="AD695" s="13"/>
    </row>
    <row r="696">
      <c r="H696" s="22"/>
      <c r="I696" s="22"/>
      <c r="K696" s="36"/>
      <c r="AA696" s="13"/>
      <c r="AB696" s="13"/>
      <c r="AC696" s="13"/>
      <c r="AD696" s="13"/>
    </row>
    <row r="697">
      <c r="H697" s="22"/>
      <c r="I697" s="22"/>
      <c r="K697" s="36"/>
      <c r="AA697" s="13"/>
      <c r="AB697" s="13"/>
      <c r="AC697" s="13"/>
      <c r="AD697" s="13"/>
    </row>
    <row r="698">
      <c r="H698" s="22"/>
      <c r="I698" s="22"/>
      <c r="K698" s="36"/>
      <c r="AA698" s="13"/>
      <c r="AB698" s="13"/>
      <c r="AC698" s="13"/>
      <c r="AD698" s="13"/>
    </row>
    <row r="699">
      <c r="H699" s="22"/>
      <c r="I699" s="22"/>
      <c r="K699" s="36"/>
      <c r="AA699" s="13"/>
      <c r="AB699" s="13"/>
      <c r="AC699" s="13"/>
      <c r="AD699" s="13"/>
    </row>
    <row r="700">
      <c r="H700" s="22"/>
      <c r="I700" s="22"/>
      <c r="K700" s="36"/>
      <c r="AA700" s="13"/>
      <c r="AB700" s="13"/>
      <c r="AC700" s="13"/>
      <c r="AD700" s="13"/>
    </row>
    <row r="701">
      <c r="H701" s="22"/>
      <c r="I701" s="22"/>
      <c r="K701" s="36"/>
      <c r="AA701" s="13"/>
      <c r="AB701" s="13"/>
      <c r="AC701" s="13"/>
      <c r="AD701" s="13"/>
    </row>
    <row r="702">
      <c r="H702" s="22"/>
      <c r="I702" s="22"/>
      <c r="K702" s="36"/>
      <c r="AA702" s="13"/>
      <c r="AB702" s="13"/>
      <c r="AC702" s="13"/>
      <c r="AD702" s="13"/>
    </row>
    <row r="703">
      <c r="H703" s="22"/>
      <c r="I703" s="22"/>
      <c r="K703" s="36"/>
      <c r="AA703" s="13"/>
      <c r="AB703" s="13"/>
      <c r="AC703" s="13"/>
      <c r="AD703" s="13"/>
    </row>
    <row r="704">
      <c r="H704" s="22"/>
      <c r="I704" s="22"/>
      <c r="K704" s="36"/>
      <c r="AA704" s="13"/>
      <c r="AB704" s="13"/>
      <c r="AC704" s="13"/>
      <c r="AD704" s="13"/>
    </row>
    <row r="705">
      <c r="H705" s="22"/>
      <c r="I705" s="22"/>
      <c r="K705" s="36"/>
      <c r="AA705" s="13"/>
      <c r="AB705" s="13"/>
      <c r="AC705" s="13"/>
      <c r="AD705" s="13"/>
    </row>
    <row r="706">
      <c r="H706" s="22"/>
      <c r="I706" s="22"/>
      <c r="K706" s="36"/>
      <c r="AA706" s="13"/>
      <c r="AB706" s="13"/>
      <c r="AC706" s="13"/>
      <c r="AD706" s="13"/>
    </row>
    <row r="707">
      <c r="H707" s="22"/>
      <c r="I707" s="22"/>
      <c r="K707" s="36"/>
      <c r="AA707" s="13"/>
      <c r="AB707" s="13"/>
      <c r="AC707" s="13"/>
      <c r="AD707" s="13"/>
    </row>
    <row r="708">
      <c r="H708" s="22"/>
      <c r="I708" s="22"/>
      <c r="K708" s="36"/>
      <c r="AA708" s="13"/>
      <c r="AB708" s="13"/>
      <c r="AC708" s="13"/>
      <c r="AD708" s="13"/>
    </row>
    <row r="709">
      <c r="H709" s="22"/>
      <c r="I709" s="22"/>
      <c r="K709" s="36"/>
      <c r="AA709" s="13"/>
      <c r="AB709" s="13"/>
      <c r="AC709" s="13"/>
      <c r="AD709" s="13"/>
    </row>
    <row r="710">
      <c r="H710" s="22"/>
      <c r="I710" s="22"/>
      <c r="K710" s="36"/>
      <c r="AA710" s="13"/>
      <c r="AB710" s="13"/>
      <c r="AC710" s="13"/>
      <c r="AD710" s="13"/>
    </row>
    <row r="711">
      <c r="H711" s="22"/>
      <c r="I711" s="22"/>
      <c r="K711" s="36"/>
      <c r="AA711" s="13"/>
      <c r="AB711" s="13"/>
      <c r="AC711" s="13"/>
      <c r="AD711" s="13"/>
    </row>
    <row r="712">
      <c r="H712" s="22"/>
      <c r="I712" s="22"/>
      <c r="K712" s="36"/>
      <c r="AA712" s="13"/>
      <c r="AB712" s="13"/>
      <c r="AC712" s="13"/>
      <c r="AD712" s="13"/>
    </row>
    <row r="713">
      <c r="H713" s="22"/>
      <c r="I713" s="22"/>
      <c r="K713" s="36"/>
      <c r="AA713" s="13"/>
      <c r="AB713" s="13"/>
      <c r="AC713" s="13"/>
      <c r="AD713" s="13"/>
    </row>
    <row r="714">
      <c r="H714" s="22"/>
      <c r="I714" s="22"/>
      <c r="K714" s="36"/>
      <c r="AA714" s="13"/>
      <c r="AB714" s="13"/>
      <c r="AC714" s="13"/>
      <c r="AD714" s="13"/>
    </row>
    <row r="715">
      <c r="H715" s="22"/>
      <c r="I715" s="22"/>
      <c r="K715" s="36"/>
      <c r="AA715" s="13"/>
      <c r="AB715" s="13"/>
      <c r="AC715" s="13"/>
      <c r="AD715" s="13"/>
    </row>
    <row r="716">
      <c r="H716" s="22"/>
      <c r="I716" s="22"/>
      <c r="K716" s="36"/>
      <c r="AA716" s="13"/>
      <c r="AB716" s="13"/>
      <c r="AC716" s="13"/>
      <c r="AD716" s="13"/>
    </row>
    <row r="717">
      <c r="H717" s="22"/>
      <c r="I717" s="22"/>
      <c r="K717" s="36"/>
      <c r="AA717" s="13"/>
      <c r="AB717" s="13"/>
      <c r="AC717" s="13"/>
      <c r="AD717" s="13"/>
    </row>
    <row r="718">
      <c r="H718" s="22"/>
      <c r="I718" s="22"/>
      <c r="K718" s="36"/>
      <c r="AA718" s="13"/>
      <c r="AB718" s="13"/>
      <c r="AC718" s="13"/>
      <c r="AD718" s="13"/>
    </row>
    <row r="719">
      <c r="H719" s="22"/>
      <c r="I719" s="22"/>
      <c r="K719" s="36"/>
      <c r="AA719" s="13"/>
      <c r="AB719" s="13"/>
      <c r="AC719" s="13"/>
      <c r="AD719" s="13"/>
    </row>
    <row r="720">
      <c r="H720" s="22"/>
      <c r="I720" s="22"/>
      <c r="K720" s="36"/>
      <c r="AA720" s="13"/>
      <c r="AB720" s="13"/>
      <c r="AC720" s="13"/>
      <c r="AD720" s="13"/>
    </row>
    <row r="721">
      <c r="H721" s="22"/>
      <c r="I721" s="22"/>
      <c r="K721" s="36"/>
      <c r="AA721" s="13"/>
      <c r="AB721" s="13"/>
      <c r="AC721" s="13"/>
      <c r="AD721" s="13"/>
    </row>
    <row r="722">
      <c r="H722" s="22"/>
      <c r="I722" s="22"/>
      <c r="K722" s="36"/>
      <c r="AA722" s="13"/>
      <c r="AB722" s="13"/>
      <c r="AC722" s="13"/>
      <c r="AD722" s="13"/>
    </row>
    <row r="723">
      <c r="H723" s="22"/>
      <c r="I723" s="22"/>
      <c r="K723" s="36"/>
      <c r="AA723" s="13"/>
      <c r="AB723" s="13"/>
      <c r="AC723" s="13"/>
      <c r="AD723" s="13"/>
    </row>
    <row r="724">
      <c r="H724" s="22"/>
      <c r="I724" s="22"/>
      <c r="K724" s="36"/>
      <c r="AA724" s="13"/>
      <c r="AB724" s="13"/>
      <c r="AC724" s="13"/>
      <c r="AD724" s="13"/>
    </row>
    <row r="725">
      <c r="H725" s="22"/>
      <c r="I725" s="22"/>
      <c r="K725" s="36"/>
      <c r="AA725" s="13"/>
      <c r="AB725" s="13"/>
      <c r="AC725" s="13"/>
      <c r="AD725" s="13"/>
    </row>
    <row r="726">
      <c r="H726" s="22"/>
      <c r="I726" s="22"/>
      <c r="K726" s="36"/>
      <c r="AA726" s="13"/>
      <c r="AB726" s="13"/>
      <c r="AC726" s="13"/>
      <c r="AD726" s="13"/>
    </row>
    <row r="727">
      <c r="H727" s="22"/>
      <c r="I727" s="22"/>
      <c r="K727" s="36"/>
      <c r="AA727" s="13"/>
      <c r="AB727" s="13"/>
      <c r="AC727" s="13"/>
      <c r="AD727" s="13"/>
    </row>
    <row r="728">
      <c r="H728" s="22"/>
      <c r="I728" s="22"/>
      <c r="K728" s="36"/>
      <c r="AA728" s="13"/>
      <c r="AB728" s="13"/>
      <c r="AC728" s="13"/>
      <c r="AD728" s="13"/>
    </row>
    <row r="729">
      <c r="H729" s="22"/>
      <c r="I729" s="22"/>
      <c r="K729" s="36"/>
      <c r="AA729" s="13"/>
      <c r="AB729" s="13"/>
      <c r="AC729" s="13"/>
      <c r="AD729" s="13"/>
    </row>
    <row r="730">
      <c r="H730" s="22"/>
      <c r="I730" s="22"/>
      <c r="K730" s="36"/>
      <c r="AA730" s="13"/>
      <c r="AB730" s="13"/>
      <c r="AC730" s="13"/>
      <c r="AD730" s="13"/>
    </row>
    <row r="731">
      <c r="H731" s="22"/>
      <c r="I731" s="22"/>
      <c r="K731" s="36"/>
      <c r="AA731" s="13"/>
      <c r="AB731" s="13"/>
      <c r="AC731" s="13"/>
      <c r="AD731" s="13"/>
    </row>
    <row r="732">
      <c r="H732" s="22"/>
      <c r="I732" s="22"/>
      <c r="K732" s="36"/>
      <c r="AA732" s="13"/>
      <c r="AB732" s="13"/>
      <c r="AC732" s="13"/>
      <c r="AD732" s="13"/>
    </row>
    <row r="733">
      <c r="H733" s="22"/>
      <c r="I733" s="22"/>
      <c r="K733" s="36"/>
      <c r="AA733" s="13"/>
      <c r="AB733" s="13"/>
      <c r="AC733" s="13"/>
      <c r="AD733" s="13"/>
    </row>
    <row r="734">
      <c r="H734" s="22"/>
      <c r="I734" s="22"/>
      <c r="K734" s="36"/>
      <c r="AA734" s="13"/>
      <c r="AB734" s="13"/>
      <c r="AC734" s="13"/>
      <c r="AD734" s="13"/>
    </row>
    <row r="735">
      <c r="H735" s="22"/>
      <c r="I735" s="22"/>
      <c r="K735" s="36"/>
      <c r="AA735" s="13"/>
      <c r="AB735" s="13"/>
      <c r="AC735" s="13"/>
      <c r="AD735" s="13"/>
    </row>
    <row r="736">
      <c r="H736" s="22"/>
      <c r="I736" s="22"/>
      <c r="K736" s="36"/>
      <c r="AA736" s="13"/>
      <c r="AB736" s="13"/>
      <c r="AC736" s="13"/>
      <c r="AD736" s="13"/>
    </row>
    <row r="737">
      <c r="H737" s="22"/>
      <c r="I737" s="22"/>
      <c r="K737" s="36"/>
      <c r="AA737" s="13"/>
      <c r="AB737" s="13"/>
      <c r="AC737" s="13"/>
      <c r="AD737" s="13"/>
    </row>
    <row r="738">
      <c r="H738" s="22"/>
      <c r="I738" s="22"/>
      <c r="K738" s="36"/>
      <c r="AA738" s="13"/>
      <c r="AB738" s="13"/>
      <c r="AC738" s="13"/>
      <c r="AD738" s="13"/>
    </row>
    <row r="739">
      <c r="H739" s="22"/>
      <c r="I739" s="22"/>
      <c r="K739" s="36"/>
      <c r="AA739" s="13"/>
      <c r="AB739" s="13"/>
      <c r="AC739" s="13"/>
      <c r="AD739" s="13"/>
    </row>
    <row r="740">
      <c r="H740" s="22"/>
      <c r="I740" s="22"/>
      <c r="K740" s="36"/>
      <c r="AA740" s="13"/>
      <c r="AB740" s="13"/>
      <c r="AC740" s="13"/>
      <c r="AD740" s="13"/>
    </row>
    <row r="741">
      <c r="H741" s="22"/>
      <c r="I741" s="22"/>
      <c r="K741" s="36"/>
      <c r="AA741" s="13"/>
      <c r="AB741" s="13"/>
      <c r="AC741" s="13"/>
      <c r="AD741" s="13"/>
    </row>
    <row r="742">
      <c r="H742" s="22"/>
      <c r="I742" s="22"/>
      <c r="K742" s="36"/>
      <c r="AA742" s="13"/>
      <c r="AB742" s="13"/>
      <c r="AC742" s="13"/>
      <c r="AD742" s="13"/>
    </row>
    <row r="743">
      <c r="H743" s="22"/>
      <c r="I743" s="22"/>
      <c r="K743" s="36"/>
      <c r="AA743" s="13"/>
      <c r="AB743" s="13"/>
      <c r="AC743" s="13"/>
      <c r="AD743" s="13"/>
    </row>
    <row r="744">
      <c r="H744" s="22"/>
      <c r="I744" s="22"/>
      <c r="K744" s="36"/>
      <c r="AA744" s="13"/>
      <c r="AB744" s="13"/>
      <c r="AC744" s="13"/>
      <c r="AD744" s="13"/>
    </row>
    <row r="745">
      <c r="H745" s="22"/>
      <c r="I745" s="22"/>
      <c r="K745" s="36"/>
      <c r="AA745" s="13"/>
      <c r="AB745" s="13"/>
      <c r="AC745" s="13"/>
      <c r="AD745" s="13"/>
    </row>
    <row r="746">
      <c r="H746" s="22"/>
      <c r="I746" s="22"/>
      <c r="K746" s="36"/>
      <c r="AA746" s="13"/>
      <c r="AB746" s="13"/>
      <c r="AC746" s="13"/>
      <c r="AD746" s="13"/>
    </row>
    <row r="747">
      <c r="H747" s="22"/>
      <c r="I747" s="22"/>
      <c r="K747" s="36"/>
      <c r="AA747" s="13"/>
      <c r="AB747" s="13"/>
      <c r="AC747" s="13"/>
      <c r="AD747" s="13"/>
    </row>
    <row r="748">
      <c r="H748" s="22"/>
      <c r="I748" s="22"/>
      <c r="K748" s="36"/>
      <c r="AA748" s="13"/>
      <c r="AB748" s="13"/>
      <c r="AC748" s="13"/>
      <c r="AD748" s="13"/>
    </row>
    <row r="749">
      <c r="H749" s="22"/>
      <c r="I749" s="22"/>
      <c r="K749" s="36"/>
      <c r="AA749" s="13"/>
      <c r="AB749" s="13"/>
      <c r="AC749" s="13"/>
      <c r="AD749" s="13"/>
    </row>
    <row r="750">
      <c r="H750" s="22"/>
      <c r="I750" s="22"/>
      <c r="K750" s="36"/>
      <c r="AA750" s="13"/>
      <c r="AB750" s="13"/>
      <c r="AC750" s="13"/>
      <c r="AD750" s="13"/>
    </row>
    <row r="751">
      <c r="H751" s="22"/>
      <c r="I751" s="22"/>
      <c r="K751" s="36"/>
      <c r="AA751" s="13"/>
      <c r="AB751" s="13"/>
      <c r="AC751" s="13"/>
      <c r="AD751" s="13"/>
    </row>
    <row r="752">
      <c r="H752" s="22"/>
      <c r="I752" s="22"/>
      <c r="K752" s="36"/>
      <c r="AA752" s="13"/>
      <c r="AB752" s="13"/>
      <c r="AC752" s="13"/>
      <c r="AD752" s="13"/>
    </row>
    <row r="753">
      <c r="H753" s="22"/>
      <c r="I753" s="22"/>
      <c r="K753" s="36"/>
      <c r="AA753" s="13"/>
      <c r="AB753" s="13"/>
      <c r="AC753" s="13"/>
      <c r="AD753" s="13"/>
    </row>
    <row r="754">
      <c r="H754" s="22"/>
      <c r="I754" s="22"/>
      <c r="K754" s="36"/>
      <c r="AA754" s="13"/>
      <c r="AB754" s="13"/>
      <c r="AC754" s="13"/>
      <c r="AD754" s="13"/>
    </row>
    <row r="755">
      <c r="H755" s="22"/>
      <c r="I755" s="22"/>
      <c r="K755" s="36"/>
      <c r="AA755" s="13"/>
      <c r="AB755" s="13"/>
      <c r="AC755" s="13"/>
      <c r="AD755" s="13"/>
    </row>
    <row r="756">
      <c r="H756" s="22"/>
      <c r="I756" s="22"/>
      <c r="K756" s="36"/>
      <c r="AA756" s="13"/>
      <c r="AB756" s="13"/>
      <c r="AC756" s="13"/>
      <c r="AD756" s="13"/>
    </row>
    <row r="757">
      <c r="H757" s="22"/>
      <c r="I757" s="22"/>
      <c r="K757" s="36"/>
      <c r="AA757" s="13"/>
      <c r="AB757" s="13"/>
      <c r="AC757" s="13"/>
      <c r="AD757" s="13"/>
    </row>
    <row r="758">
      <c r="H758" s="22"/>
      <c r="I758" s="22"/>
      <c r="K758" s="36"/>
      <c r="AA758" s="13"/>
      <c r="AB758" s="13"/>
      <c r="AC758" s="13"/>
      <c r="AD758" s="13"/>
    </row>
    <row r="759">
      <c r="H759" s="22"/>
      <c r="I759" s="22"/>
      <c r="K759" s="36"/>
      <c r="AA759" s="13"/>
      <c r="AB759" s="13"/>
      <c r="AC759" s="13"/>
      <c r="AD759" s="13"/>
    </row>
    <row r="760">
      <c r="H760" s="22"/>
      <c r="I760" s="22"/>
      <c r="K760" s="36"/>
      <c r="AA760" s="13"/>
      <c r="AB760" s="13"/>
      <c r="AC760" s="13"/>
      <c r="AD760" s="13"/>
    </row>
    <row r="761">
      <c r="H761" s="22"/>
      <c r="I761" s="22"/>
      <c r="K761" s="36"/>
      <c r="AA761" s="13"/>
      <c r="AB761" s="13"/>
      <c r="AC761" s="13"/>
      <c r="AD761" s="13"/>
    </row>
    <row r="762">
      <c r="H762" s="22"/>
      <c r="I762" s="22"/>
      <c r="K762" s="36"/>
      <c r="AA762" s="13"/>
      <c r="AB762" s="13"/>
      <c r="AC762" s="13"/>
      <c r="AD762" s="13"/>
    </row>
    <row r="763">
      <c r="H763" s="22"/>
      <c r="I763" s="22"/>
      <c r="K763" s="36"/>
      <c r="AA763" s="13"/>
      <c r="AB763" s="13"/>
      <c r="AC763" s="13"/>
      <c r="AD763" s="13"/>
    </row>
    <row r="764">
      <c r="H764" s="22"/>
      <c r="I764" s="22"/>
      <c r="K764" s="36"/>
      <c r="AA764" s="13"/>
      <c r="AB764" s="13"/>
      <c r="AC764" s="13"/>
      <c r="AD764" s="13"/>
    </row>
    <row r="765">
      <c r="H765" s="22"/>
      <c r="I765" s="22"/>
      <c r="K765" s="36"/>
      <c r="AA765" s="13"/>
      <c r="AB765" s="13"/>
      <c r="AC765" s="13"/>
      <c r="AD765" s="13"/>
    </row>
    <row r="766">
      <c r="H766" s="22"/>
      <c r="I766" s="22"/>
      <c r="K766" s="36"/>
      <c r="AA766" s="13"/>
      <c r="AB766" s="13"/>
      <c r="AC766" s="13"/>
      <c r="AD766" s="13"/>
    </row>
    <row r="767">
      <c r="H767" s="22"/>
      <c r="I767" s="22"/>
      <c r="K767" s="36"/>
      <c r="AA767" s="13"/>
      <c r="AB767" s="13"/>
      <c r="AC767" s="13"/>
      <c r="AD767" s="13"/>
    </row>
    <row r="768">
      <c r="H768" s="22"/>
      <c r="I768" s="22"/>
      <c r="K768" s="36"/>
      <c r="AA768" s="13"/>
      <c r="AB768" s="13"/>
      <c r="AC768" s="13"/>
      <c r="AD768" s="13"/>
    </row>
    <row r="769">
      <c r="H769" s="22"/>
      <c r="I769" s="22"/>
      <c r="K769" s="36"/>
      <c r="AA769" s="13"/>
      <c r="AB769" s="13"/>
      <c r="AC769" s="13"/>
      <c r="AD769" s="13"/>
    </row>
    <row r="770">
      <c r="H770" s="22"/>
      <c r="I770" s="22"/>
      <c r="K770" s="36"/>
      <c r="AA770" s="13"/>
      <c r="AB770" s="13"/>
      <c r="AC770" s="13"/>
      <c r="AD770" s="13"/>
    </row>
    <row r="771">
      <c r="H771" s="22"/>
      <c r="I771" s="22"/>
      <c r="K771" s="36"/>
      <c r="AA771" s="13"/>
      <c r="AB771" s="13"/>
      <c r="AC771" s="13"/>
      <c r="AD771" s="13"/>
    </row>
    <row r="772">
      <c r="H772" s="22"/>
      <c r="I772" s="22"/>
      <c r="K772" s="36"/>
      <c r="AA772" s="13"/>
      <c r="AB772" s="13"/>
      <c r="AC772" s="13"/>
      <c r="AD772" s="13"/>
    </row>
    <row r="773">
      <c r="H773" s="22"/>
      <c r="I773" s="22"/>
      <c r="K773" s="36"/>
      <c r="AA773" s="13"/>
      <c r="AB773" s="13"/>
      <c r="AC773" s="13"/>
      <c r="AD773" s="13"/>
    </row>
    <row r="774">
      <c r="H774" s="22"/>
      <c r="I774" s="22"/>
      <c r="K774" s="36"/>
      <c r="AA774" s="13"/>
      <c r="AB774" s="13"/>
      <c r="AC774" s="13"/>
      <c r="AD774" s="13"/>
    </row>
    <row r="775">
      <c r="H775" s="22"/>
      <c r="I775" s="22"/>
      <c r="K775" s="36"/>
      <c r="AA775" s="13"/>
      <c r="AB775" s="13"/>
      <c r="AC775" s="13"/>
      <c r="AD775" s="13"/>
    </row>
    <row r="776">
      <c r="H776" s="22"/>
      <c r="I776" s="22"/>
      <c r="K776" s="36"/>
      <c r="AA776" s="13"/>
      <c r="AB776" s="13"/>
      <c r="AC776" s="13"/>
      <c r="AD776" s="13"/>
    </row>
    <row r="777">
      <c r="H777" s="22"/>
      <c r="I777" s="22"/>
      <c r="K777" s="36"/>
      <c r="AA777" s="13"/>
      <c r="AB777" s="13"/>
      <c r="AC777" s="13"/>
      <c r="AD777" s="13"/>
    </row>
    <row r="778">
      <c r="H778" s="22"/>
      <c r="I778" s="22"/>
      <c r="K778" s="36"/>
      <c r="AA778" s="13"/>
      <c r="AB778" s="13"/>
      <c r="AC778" s="13"/>
      <c r="AD778" s="13"/>
    </row>
    <row r="779">
      <c r="H779" s="22"/>
      <c r="I779" s="22"/>
      <c r="K779" s="36"/>
      <c r="AA779" s="13"/>
      <c r="AB779" s="13"/>
      <c r="AC779" s="13"/>
      <c r="AD779" s="13"/>
    </row>
    <row r="780">
      <c r="H780" s="22"/>
      <c r="I780" s="22"/>
      <c r="K780" s="36"/>
      <c r="AA780" s="13"/>
      <c r="AB780" s="13"/>
      <c r="AC780" s="13"/>
      <c r="AD780" s="13"/>
    </row>
    <row r="781">
      <c r="H781" s="22"/>
      <c r="I781" s="22"/>
      <c r="K781" s="36"/>
      <c r="AA781" s="13"/>
      <c r="AB781" s="13"/>
      <c r="AC781" s="13"/>
      <c r="AD781" s="13"/>
    </row>
    <row r="782">
      <c r="H782" s="22"/>
      <c r="I782" s="22"/>
      <c r="K782" s="36"/>
      <c r="AA782" s="13"/>
      <c r="AB782" s="13"/>
      <c r="AC782" s="13"/>
      <c r="AD782" s="13"/>
    </row>
    <row r="783">
      <c r="H783" s="22"/>
      <c r="I783" s="22"/>
      <c r="K783" s="36"/>
      <c r="AA783" s="13"/>
      <c r="AB783" s="13"/>
      <c r="AC783" s="13"/>
      <c r="AD783" s="13"/>
    </row>
    <row r="784">
      <c r="H784" s="22"/>
      <c r="I784" s="22"/>
      <c r="K784" s="36"/>
      <c r="AA784" s="13"/>
      <c r="AB784" s="13"/>
      <c r="AC784" s="13"/>
      <c r="AD784" s="13"/>
    </row>
    <row r="785">
      <c r="H785" s="22"/>
      <c r="I785" s="22"/>
      <c r="K785" s="36"/>
      <c r="AA785" s="13"/>
      <c r="AB785" s="13"/>
      <c r="AC785" s="13"/>
      <c r="AD785" s="13"/>
    </row>
    <row r="786">
      <c r="H786" s="22"/>
      <c r="I786" s="22"/>
      <c r="K786" s="36"/>
      <c r="AA786" s="13"/>
      <c r="AB786" s="13"/>
      <c r="AC786" s="13"/>
      <c r="AD786" s="13"/>
    </row>
    <row r="787">
      <c r="H787" s="22"/>
      <c r="I787" s="22"/>
      <c r="K787" s="36"/>
      <c r="AA787" s="13"/>
      <c r="AB787" s="13"/>
      <c r="AC787" s="13"/>
      <c r="AD787" s="13"/>
    </row>
    <row r="788">
      <c r="H788" s="22"/>
      <c r="I788" s="22"/>
      <c r="K788" s="36"/>
      <c r="AA788" s="13"/>
      <c r="AB788" s="13"/>
      <c r="AC788" s="13"/>
      <c r="AD788" s="13"/>
    </row>
    <row r="789">
      <c r="H789" s="22"/>
      <c r="I789" s="22"/>
      <c r="K789" s="36"/>
      <c r="AA789" s="13"/>
      <c r="AB789" s="13"/>
      <c r="AC789" s="13"/>
      <c r="AD789" s="13"/>
    </row>
    <row r="790">
      <c r="H790" s="22"/>
      <c r="I790" s="22"/>
      <c r="K790" s="36"/>
      <c r="AA790" s="13"/>
      <c r="AB790" s="13"/>
      <c r="AC790" s="13"/>
      <c r="AD790" s="13"/>
    </row>
    <row r="791">
      <c r="H791" s="22"/>
      <c r="I791" s="22"/>
      <c r="K791" s="36"/>
      <c r="AA791" s="13"/>
      <c r="AB791" s="13"/>
      <c r="AC791" s="13"/>
      <c r="AD791" s="13"/>
    </row>
    <row r="792">
      <c r="H792" s="22"/>
      <c r="I792" s="22"/>
      <c r="K792" s="36"/>
      <c r="AA792" s="13"/>
      <c r="AB792" s="13"/>
      <c r="AC792" s="13"/>
      <c r="AD792" s="13"/>
    </row>
    <row r="793">
      <c r="H793" s="22"/>
      <c r="I793" s="22"/>
      <c r="K793" s="36"/>
      <c r="AA793" s="13"/>
      <c r="AB793" s="13"/>
      <c r="AC793" s="13"/>
      <c r="AD793" s="13"/>
    </row>
    <row r="794">
      <c r="H794" s="22"/>
      <c r="I794" s="22"/>
      <c r="K794" s="36"/>
      <c r="AA794" s="13"/>
      <c r="AB794" s="13"/>
      <c r="AC794" s="13"/>
      <c r="AD794" s="13"/>
    </row>
    <row r="795">
      <c r="H795" s="22"/>
      <c r="I795" s="22"/>
      <c r="K795" s="36"/>
      <c r="AA795" s="13"/>
      <c r="AB795" s="13"/>
      <c r="AC795" s="13"/>
      <c r="AD795" s="13"/>
    </row>
    <row r="796">
      <c r="H796" s="22"/>
      <c r="I796" s="22"/>
      <c r="K796" s="36"/>
      <c r="AA796" s="13"/>
      <c r="AB796" s="13"/>
      <c r="AC796" s="13"/>
      <c r="AD796" s="13"/>
    </row>
    <row r="797">
      <c r="H797" s="22"/>
      <c r="I797" s="22"/>
      <c r="K797" s="36"/>
      <c r="AA797" s="13"/>
      <c r="AB797" s="13"/>
      <c r="AC797" s="13"/>
      <c r="AD797" s="13"/>
    </row>
    <row r="798">
      <c r="H798" s="22"/>
      <c r="I798" s="22"/>
      <c r="K798" s="36"/>
      <c r="AA798" s="13"/>
      <c r="AB798" s="13"/>
      <c r="AC798" s="13"/>
      <c r="AD798" s="13"/>
    </row>
    <row r="799">
      <c r="H799" s="22"/>
      <c r="I799" s="22"/>
      <c r="K799" s="36"/>
      <c r="AA799" s="13"/>
      <c r="AB799" s="13"/>
      <c r="AC799" s="13"/>
      <c r="AD799" s="13"/>
    </row>
    <row r="800">
      <c r="H800" s="22"/>
      <c r="I800" s="22"/>
      <c r="K800" s="36"/>
      <c r="AA800" s="13"/>
      <c r="AB800" s="13"/>
      <c r="AC800" s="13"/>
      <c r="AD800" s="13"/>
    </row>
    <row r="801">
      <c r="H801" s="22"/>
      <c r="I801" s="22"/>
      <c r="K801" s="36"/>
      <c r="AA801" s="13"/>
      <c r="AB801" s="13"/>
      <c r="AC801" s="13"/>
      <c r="AD801" s="13"/>
    </row>
    <row r="802">
      <c r="H802" s="22"/>
      <c r="I802" s="22"/>
      <c r="K802" s="36"/>
      <c r="AA802" s="13"/>
      <c r="AB802" s="13"/>
      <c r="AC802" s="13"/>
      <c r="AD802" s="13"/>
    </row>
    <row r="803">
      <c r="H803" s="22"/>
      <c r="I803" s="22"/>
      <c r="K803" s="36"/>
      <c r="AA803" s="13"/>
      <c r="AB803" s="13"/>
      <c r="AC803" s="13"/>
      <c r="AD803" s="13"/>
    </row>
    <row r="804">
      <c r="H804" s="22"/>
      <c r="I804" s="22"/>
      <c r="K804" s="36"/>
      <c r="AA804" s="13"/>
      <c r="AB804" s="13"/>
      <c r="AC804" s="13"/>
      <c r="AD804" s="13"/>
    </row>
    <row r="805">
      <c r="H805" s="22"/>
      <c r="I805" s="22"/>
      <c r="K805" s="36"/>
      <c r="AA805" s="13"/>
      <c r="AB805" s="13"/>
      <c r="AC805" s="13"/>
      <c r="AD805" s="13"/>
    </row>
    <row r="806">
      <c r="H806" s="22"/>
      <c r="I806" s="22"/>
      <c r="K806" s="36"/>
      <c r="AA806" s="13"/>
      <c r="AB806" s="13"/>
      <c r="AC806" s="13"/>
      <c r="AD806" s="13"/>
    </row>
    <row r="807">
      <c r="H807" s="22"/>
      <c r="I807" s="22"/>
      <c r="K807" s="36"/>
      <c r="AA807" s="13"/>
      <c r="AB807" s="13"/>
      <c r="AC807" s="13"/>
      <c r="AD807" s="13"/>
    </row>
    <row r="808">
      <c r="H808" s="22"/>
      <c r="I808" s="22"/>
      <c r="K808" s="36"/>
      <c r="AA808" s="13"/>
      <c r="AB808" s="13"/>
      <c r="AC808" s="13"/>
      <c r="AD808" s="13"/>
    </row>
    <row r="809">
      <c r="H809" s="22"/>
      <c r="I809" s="22"/>
      <c r="K809" s="36"/>
      <c r="AA809" s="13"/>
      <c r="AB809" s="13"/>
      <c r="AC809" s="13"/>
      <c r="AD809" s="13"/>
    </row>
    <row r="810">
      <c r="H810" s="22"/>
      <c r="I810" s="22"/>
      <c r="K810" s="36"/>
      <c r="AA810" s="13"/>
      <c r="AB810" s="13"/>
      <c r="AC810" s="13"/>
      <c r="AD810" s="13"/>
    </row>
    <row r="811">
      <c r="H811" s="22"/>
      <c r="I811" s="22"/>
      <c r="K811" s="36"/>
      <c r="AA811" s="13"/>
      <c r="AB811" s="13"/>
      <c r="AC811" s="13"/>
      <c r="AD811" s="13"/>
    </row>
    <row r="812">
      <c r="H812" s="22"/>
      <c r="I812" s="22"/>
      <c r="K812" s="36"/>
      <c r="AA812" s="13"/>
      <c r="AB812" s="13"/>
      <c r="AC812" s="13"/>
      <c r="AD812" s="13"/>
    </row>
    <row r="813">
      <c r="H813" s="22"/>
      <c r="I813" s="22"/>
      <c r="K813" s="36"/>
      <c r="AA813" s="13"/>
      <c r="AB813" s="13"/>
      <c r="AC813" s="13"/>
      <c r="AD813" s="13"/>
    </row>
    <row r="814">
      <c r="H814" s="22"/>
      <c r="I814" s="22"/>
      <c r="K814" s="36"/>
      <c r="AA814" s="13"/>
      <c r="AB814" s="13"/>
      <c r="AC814" s="13"/>
      <c r="AD814" s="13"/>
    </row>
    <row r="815">
      <c r="H815" s="22"/>
      <c r="I815" s="22"/>
      <c r="K815" s="36"/>
      <c r="AA815" s="13"/>
      <c r="AB815" s="13"/>
      <c r="AC815" s="13"/>
      <c r="AD815" s="13"/>
    </row>
    <row r="816">
      <c r="H816" s="22"/>
      <c r="I816" s="22"/>
      <c r="K816" s="36"/>
      <c r="AA816" s="13"/>
      <c r="AB816" s="13"/>
      <c r="AC816" s="13"/>
      <c r="AD816" s="13"/>
    </row>
    <row r="817">
      <c r="H817" s="22"/>
      <c r="I817" s="22"/>
      <c r="K817" s="36"/>
      <c r="AA817" s="13"/>
      <c r="AB817" s="13"/>
      <c r="AC817" s="13"/>
      <c r="AD817" s="13"/>
    </row>
    <row r="818">
      <c r="H818" s="22"/>
      <c r="I818" s="22"/>
      <c r="K818" s="36"/>
      <c r="AA818" s="13"/>
      <c r="AB818" s="13"/>
      <c r="AC818" s="13"/>
      <c r="AD818" s="13"/>
    </row>
    <row r="819">
      <c r="H819" s="22"/>
      <c r="I819" s="22"/>
      <c r="K819" s="36"/>
      <c r="AA819" s="13"/>
      <c r="AB819" s="13"/>
      <c r="AC819" s="13"/>
      <c r="AD819" s="13"/>
    </row>
    <row r="820">
      <c r="H820" s="22"/>
      <c r="I820" s="22"/>
      <c r="K820" s="36"/>
      <c r="AA820" s="13"/>
      <c r="AB820" s="13"/>
      <c r="AC820" s="13"/>
      <c r="AD820" s="13"/>
    </row>
    <row r="821">
      <c r="H821" s="22"/>
      <c r="I821" s="22"/>
      <c r="K821" s="36"/>
      <c r="AA821" s="13"/>
      <c r="AB821" s="13"/>
      <c r="AC821" s="13"/>
      <c r="AD821" s="13"/>
    </row>
    <row r="822">
      <c r="H822" s="22"/>
      <c r="I822" s="22"/>
      <c r="K822" s="36"/>
      <c r="AA822" s="13"/>
      <c r="AB822" s="13"/>
      <c r="AC822" s="13"/>
      <c r="AD822" s="13"/>
    </row>
    <row r="823">
      <c r="H823" s="22"/>
      <c r="I823" s="22"/>
      <c r="K823" s="36"/>
      <c r="AA823" s="13"/>
      <c r="AB823" s="13"/>
      <c r="AC823" s="13"/>
      <c r="AD823" s="13"/>
    </row>
    <row r="824">
      <c r="H824" s="22"/>
      <c r="I824" s="22"/>
      <c r="K824" s="36"/>
      <c r="AA824" s="13"/>
      <c r="AB824" s="13"/>
      <c r="AC824" s="13"/>
      <c r="AD824" s="13"/>
    </row>
    <row r="825">
      <c r="H825" s="22"/>
      <c r="I825" s="22"/>
      <c r="K825" s="36"/>
      <c r="AA825" s="13"/>
      <c r="AB825" s="13"/>
      <c r="AC825" s="13"/>
      <c r="AD825" s="13"/>
    </row>
    <row r="826">
      <c r="H826" s="22"/>
      <c r="I826" s="22"/>
      <c r="K826" s="36"/>
      <c r="AA826" s="13"/>
      <c r="AB826" s="13"/>
      <c r="AC826" s="13"/>
      <c r="AD826" s="13"/>
    </row>
    <row r="827">
      <c r="H827" s="22"/>
      <c r="I827" s="22"/>
      <c r="K827" s="36"/>
      <c r="AA827" s="13"/>
      <c r="AB827" s="13"/>
      <c r="AC827" s="13"/>
      <c r="AD827" s="13"/>
    </row>
    <row r="828">
      <c r="H828" s="22"/>
      <c r="I828" s="22"/>
      <c r="K828" s="36"/>
      <c r="AA828" s="13"/>
      <c r="AB828" s="13"/>
      <c r="AC828" s="13"/>
      <c r="AD828" s="13"/>
    </row>
    <row r="829">
      <c r="H829" s="22"/>
      <c r="I829" s="22"/>
      <c r="K829" s="36"/>
      <c r="AA829" s="13"/>
      <c r="AB829" s="13"/>
      <c r="AC829" s="13"/>
      <c r="AD829" s="13"/>
    </row>
    <row r="830">
      <c r="H830" s="22"/>
      <c r="I830" s="22"/>
      <c r="K830" s="36"/>
      <c r="AA830" s="13"/>
      <c r="AB830" s="13"/>
      <c r="AC830" s="13"/>
      <c r="AD830" s="13"/>
    </row>
    <row r="831">
      <c r="H831" s="22"/>
      <c r="I831" s="22"/>
      <c r="K831" s="36"/>
      <c r="AA831" s="13"/>
      <c r="AB831" s="13"/>
      <c r="AC831" s="13"/>
      <c r="AD831" s="13"/>
    </row>
    <row r="832">
      <c r="H832" s="22"/>
      <c r="I832" s="22"/>
      <c r="K832" s="36"/>
      <c r="AA832" s="13"/>
      <c r="AB832" s="13"/>
      <c r="AC832" s="13"/>
      <c r="AD832" s="13"/>
    </row>
    <row r="833">
      <c r="H833" s="22"/>
      <c r="I833" s="22"/>
      <c r="K833" s="36"/>
      <c r="AA833" s="13"/>
      <c r="AB833" s="13"/>
      <c r="AC833" s="13"/>
      <c r="AD833" s="13"/>
    </row>
    <row r="834">
      <c r="H834" s="22"/>
      <c r="I834" s="22"/>
      <c r="K834" s="36"/>
      <c r="AA834" s="13"/>
      <c r="AB834" s="13"/>
      <c r="AC834" s="13"/>
      <c r="AD834" s="13"/>
    </row>
    <row r="835">
      <c r="H835" s="22"/>
      <c r="I835" s="22"/>
      <c r="K835" s="36"/>
      <c r="AA835" s="13"/>
      <c r="AB835" s="13"/>
      <c r="AC835" s="13"/>
      <c r="AD835" s="13"/>
    </row>
    <row r="836">
      <c r="H836" s="22"/>
      <c r="I836" s="22"/>
      <c r="K836" s="36"/>
      <c r="AA836" s="13"/>
      <c r="AB836" s="13"/>
      <c r="AC836" s="13"/>
      <c r="AD836" s="13"/>
    </row>
    <row r="837">
      <c r="H837" s="22"/>
      <c r="I837" s="22"/>
      <c r="K837" s="36"/>
      <c r="AA837" s="13"/>
      <c r="AB837" s="13"/>
      <c r="AC837" s="13"/>
      <c r="AD837" s="13"/>
    </row>
    <row r="838">
      <c r="H838" s="22"/>
      <c r="I838" s="22"/>
      <c r="K838" s="36"/>
      <c r="AA838" s="13"/>
      <c r="AB838" s="13"/>
      <c r="AC838" s="13"/>
      <c r="AD838" s="13"/>
    </row>
    <row r="839">
      <c r="H839" s="22"/>
      <c r="I839" s="22"/>
      <c r="K839" s="36"/>
      <c r="AA839" s="13"/>
      <c r="AB839" s="13"/>
      <c r="AC839" s="13"/>
      <c r="AD839" s="13"/>
    </row>
    <row r="840">
      <c r="H840" s="22"/>
      <c r="I840" s="22"/>
      <c r="K840" s="36"/>
      <c r="AA840" s="13"/>
      <c r="AB840" s="13"/>
      <c r="AC840" s="13"/>
      <c r="AD840" s="13"/>
    </row>
    <row r="841">
      <c r="H841" s="22"/>
      <c r="I841" s="22"/>
      <c r="K841" s="36"/>
      <c r="AA841" s="13"/>
      <c r="AB841" s="13"/>
      <c r="AC841" s="13"/>
      <c r="AD841" s="13"/>
    </row>
    <row r="842">
      <c r="H842" s="22"/>
      <c r="I842" s="22"/>
      <c r="K842" s="36"/>
      <c r="AA842" s="13"/>
      <c r="AB842" s="13"/>
      <c r="AC842" s="13"/>
      <c r="AD842" s="13"/>
    </row>
    <row r="843">
      <c r="H843" s="22"/>
      <c r="I843" s="22"/>
      <c r="K843" s="36"/>
      <c r="AA843" s="13"/>
      <c r="AB843" s="13"/>
      <c r="AC843" s="13"/>
      <c r="AD843" s="13"/>
    </row>
    <row r="844">
      <c r="H844" s="22"/>
      <c r="I844" s="22"/>
      <c r="K844" s="36"/>
      <c r="AA844" s="13"/>
      <c r="AB844" s="13"/>
      <c r="AC844" s="13"/>
      <c r="AD844" s="13"/>
    </row>
    <row r="845">
      <c r="H845" s="22"/>
      <c r="I845" s="22"/>
      <c r="K845" s="36"/>
      <c r="AA845" s="13"/>
      <c r="AB845" s="13"/>
      <c r="AC845" s="13"/>
      <c r="AD845" s="13"/>
    </row>
    <row r="846">
      <c r="H846" s="22"/>
      <c r="I846" s="22"/>
      <c r="K846" s="36"/>
      <c r="AA846" s="13"/>
      <c r="AB846" s="13"/>
      <c r="AC846" s="13"/>
      <c r="AD846" s="13"/>
    </row>
    <row r="847">
      <c r="H847" s="22"/>
      <c r="I847" s="22"/>
      <c r="K847" s="36"/>
      <c r="AA847" s="13"/>
      <c r="AB847" s="13"/>
      <c r="AC847" s="13"/>
      <c r="AD847" s="13"/>
    </row>
    <row r="848">
      <c r="H848" s="22"/>
      <c r="I848" s="22"/>
      <c r="K848" s="36"/>
      <c r="AA848" s="13"/>
      <c r="AB848" s="13"/>
      <c r="AC848" s="13"/>
      <c r="AD848" s="13"/>
    </row>
    <row r="849">
      <c r="H849" s="22"/>
      <c r="I849" s="22"/>
      <c r="K849" s="36"/>
      <c r="AA849" s="13"/>
      <c r="AB849" s="13"/>
      <c r="AC849" s="13"/>
      <c r="AD849" s="13"/>
    </row>
    <row r="850">
      <c r="H850" s="22"/>
      <c r="I850" s="22"/>
      <c r="K850" s="36"/>
      <c r="AA850" s="13"/>
      <c r="AB850" s="13"/>
      <c r="AC850" s="13"/>
      <c r="AD850" s="13"/>
    </row>
    <row r="851">
      <c r="H851" s="22"/>
      <c r="I851" s="22"/>
      <c r="K851" s="36"/>
      <c r="AA851" s="13"/>
      <c r="AB851" s="13"/>
      <c r="AC851" s="13"/>
      <c r="AD851" s="13"/>
    </row>
    <row r="852">
      <c r="H852" s="22"/>
      <c r="I852" s="22"/>
      <c r="K852" s="36"/>
      <c r="AA852" s="13"/>
      <c r="AB852" s="13"/>
      <c r="AC852" s="13"/>
      <c r="AD852" s="13"/>
    </row>
    <row r="853">
      <c r="H853" s="22"/>
      <c r="I853" s="22"/>
      <c r="K853" s="36"/>
      <c r="AA853" s="13"/>
      <c r="AB853" s="13"/>
      <c r="AC853" s="13"/>
      <c r="AD853" s="13"/>
    </row>
    <row r="854">
      <c r="H854" s="22"/>
      <c r="I854" s="22"/>
      <c r="K854" s="36"/>
      <c r="AA854" s="13"/>
      <c r="AB854" s="13"/>
      <c r="AC854" s="13"/>
      <c r="AD854" s="13"/>
    </row>
    <row r="855">
      <c r="H855" s="22"/>
      <c r="I855" s="22"/>
      <c r="K855" s="36"/>
      <c r="AA855" s="13"/>
      <c r="AB855" s="13"/>
      <c r="AC855" s="13"/>
      <c r="AD855" s="13"/>
    </row>
    <row r="856">
      <c r="H856" s="22"/>
      <c r="I856" s="22"/>
      <c r="K856" s="36"/>
      <c r="AA856" s="13"/>
      <c r="AB856" s="13"/>
      <c r="AC856" s="13"/>
      <c r="AD856" s="13"/>
    </row>
    <row r="857">
      <c r="H857" s="22"/>
      <c r="I857" s="22"/>
      <c r="K857" s="36"/>
      <c r="AA857" s="13"/>
      <c r="AB857" s="13"/>
      <c r="AC857" s="13"/>
      <c r="AD857" s="13"/>
    </row>
    <row r="858">
      <c r="H858" s="22"/>
      <c r="I858" s="22"/>
      <c r="K858" s="36"/>
      <c r="AA858" s="13"/>
      <c r="AB858" s="13"/>
      <c r="AC858" s="13"/>
      <c r="AD858" s="13"/>
    </row>
    <row r="859">
      <c r="H859" s="22"/>
      <c r="I859" s="22"/>
      <c r="K859" s="36"/>
      <c r="AA859" s="13"/>
      <c r="AB859" s="13"/>
      <c r="AC859" s="13"/>
      <c r="AD859" s="13"/>
    </row>
    <row r="860">
      <c r="H860" s="22"/>
      <c r="I860" s="22"/>
      <c r="K860" s="36"/>
      <c r="AA860" s="13"/>
      <c r="AB860" s="13"/>
      <c r="AC860" s="13"/>
      <c r="AD860" s="13"/>
    </row>
    <row r="861">
      <c r="H861" s="22"/>
      <c r="I861" s="22"/>
      <c r="K861" s="36"/>
      <c r="AA861" s="13"/>
      <c r="AB861" s="13"/>
      <c r="AC861" s="13"/>
      <c r="AD861" s="13"/>
    </row>
    <row r="862">
      <c r="H862" s="22"/>
      <c r="I862" s="22"/>
      <c r="K862" s="36"/>
      <c r="AA862" s="13"/>
      <c r="AB862" s="13"/>
      <c r="AC862" s="13"/>
      <c r="AD862" s="13"/>
    </row>
    <row r="863">
      <c r="H863" s="22"/>
      <c r="I863" s="22"/>
      <c r="K863" s="36"/>
      <c r="AA863" s="13"/>
      <c r="AB863" s="13"/>
      <c r="AC863" s="13"/>
      <c r="AD863" s="13"/>
    </row>
    <row r="864">
      <c r="H864" s="22"/>
      <c r="I864" s="22"/>
      <c r="K864" s="36"/>
      <c r="AA864" s="13"/>
      <c r="AB864" s="13"/>
      <c r="AC864" s="13"/>
      <c r="AD864" s="13"/>
    </row>
    <row r="865">
      <c r="H865" s="22"/>
      <c r="I865" s="22"/>
      <c r="K865" s="36"/>
      <c r="AA865" s="13"/>
      <c r="AB865" s="13"/>
      <c r="AC865" s="13"/>
      <c r="AD865" s="13"/>
    </row>
    <row r="866">
      <c r="H866" s="22"/>
      <c r="I866" s="22"/>
      <c r="K866" s="36"/>
      <c r="AA866" s="13"/>
      <c r="AB866" s="13"/>
      <c r="AC866" s="13"/>
      <c r="AD866" s="13"/>
    </row>
    <row r="867">
      <c r="H867" s="22"/>
      <c r="I867" s="22"/>
      <c r="K867" s="36"/>
      <c r="AA867" s="13"/>
      <c r="AB867" s="13"/>
      <c r="AC867" s="13"/>
      <c r="AD867" s="13"/>
    </row>
    <row r="868">
      <c r="H868" s="22"/>
      <c r="I868" s="22"/>
      <c r="K868" s="36"/>
      <c r="AA868" s="13"/>
      <c r="AB868" s="13"/>
      <c r="AC868" s="13"/>
      <c r="AD868" s="13"/>
    </row>
    <row r="869">
      <c r="H869" s="22"/>
      <c r="I869" s="22"/>
      <c r="K869" s="36"/>
      <c r="AA869" s="13"/>
      <c r="AB869" s="13"/>
      <c r="AC869" s="13"/>
      <c r="AD869" s="13"/>
    </row>
    <row r="870">
      <c r="H870" s="22"/>
      <c r="I870" s="22"/>
      <c r="K870" s="36"/>
      <c r="AA870" s="13"/>
      <c r="AB870" s="13"/>
      <c r="AC870" s="13"/>
      <c r="AD870" s="13"/>
    </row>
    <row r="871">
      <c r="H871" s="22"/>
      <c r="I871" s="22"/>
      <c r="K871" s="36"/>
      <c r="AA871" s="13"/>
      <c r="AB871" s="13"/>
      <c r="AC871" s="13"/>
      <c r="AD871" s="13"/>
    </row>
    <row r="872">
      <c r="H872" s="22"/>
      <c r="I872" s="22"/>
      <c r="K872" s="36"/>
      <c r="AA872" s="13"/>
      <c r="AB872" s="13"/>
      <c r="AC872" s="13"/>
      <c r="AD872" s="13"/>
    </row>
    <row r="873">
      <c r="H873" s="22"/>
      <c r="I873" s="22"/>
      <c r="K873" s="36"/>
      <c r="AA873" s="13"/>
      <c r="AB873" s="13"/>
      <c r="AC873" s="13"/>
      <c r="AD873" s="13"/>
    </row>
    <row r="874">
      <c r="H874" s="22"/>
      <c r="I874" s="22"/>
      <c r="K874" s="36"/>
      <c r="AA874" s="13"/>
      <c r="AB874" s="13"/>
      <c r="AC874" s="13"/>
      <c r="AD874" s="13"/>
    </row>
    <row r="875">
      <c r="H875" s="22"/>
      <c r="I875" s="22"/>
      <c r="K875" s="36"/>
      <c r="AA875" s="13"/>
      <c r="AB875" s="13"/>
      <c r="AC875" s="13"/>
      <c r="AD875" s="13"/>
    </row>
    <row r="876">
      <c r="H876" s="22"/>
      <c r="I876" s="22"/>
      <c r="K876" s="36"/>
      <c r="AA876" s="13"/>
      <c r="AB876" s="13"/>
      <c r="AC876" s="13"/>
      <c r="AD876" s="13"/>
    </row>
    <row r="877">
      <c r="H877" s="22"/>
      <c r="I877" s="22"/>
      <c r="K877" s="36"/>
      <c r="AA877" s="13"/>
      <c r="AB877" s="13"/>
      <c r="AC877" s="13"/>
      <c r="AD877" s="13"/>
    </row>
    <row r="878">
      <c r="H878" s="22"/>
      <c r="I878" s="22"/>
      <c r="K878" s="36"/>
      <c r="AA878" s="13"/>
      <c r="AB878" s="13"/>
      <c r="AC878" s="13"/>
      <c r="AD878" s="13"/>
    </row>
    <row r="879">
      <c r="H879" s="22"/>
      <c r="I879" s="22"/>
      <c r="K879" s="36"/>
      <c r="AA879" s="13"/>
      <c r="AB879" s="13"/>
      <c r="AC879" s="13"/>
      <c r="AD879" s="13"/>
    </row>
    <row r="880">
      <c r="H880" s="22"/>
      <c r="I880" s="22"/>
      <c r="K880" s="36"/>
      <c r="AA880" s="13"/>
      <c r="AB880" s="13"/>
      <c r="AC880" s="13"/>
      <c r="AD880" s="13"/>
    </row>
    <row r="881">
      <c r="H881" s="22"/>
      <c r="I881" s="22"/>
      <c r="K881" s="36"/>
      <c r="AA881" s="13"/>
      <c r="AB881" s="13"/>
      <c r="AC881" s="13"/>
      <c r="AD881" s="13"/>
    </row>
    <row r="882">
      <c r="H882" s="22"/>
      <c r="I882" s="22"/>
      <c r="K882" s="36"/>
      <c r="AA882" s="13"/>
      <c r="AB882" s="13"/>
      <c r="AC882" s="13"/>
      <c r="AD882" s="13"/>
    </row>
    <row r="883">
      <c r="H883" s="22"/>
      <c r="I883" s="22"/>
      <c r="K883" s="36"/>
      <c r="AA883" s="13"/>
      <c r="AB883" s="13"/>
      <c r="AC883" s="13"/>
      <c r="AD883" s="13"/>
    </row>
    <row r="884">
      <c r="H884" s="22"/>
      <c r="I884" s="22"/>
      <c r="K884" s="36"/>
      <c r="AA884" s="13"/>
      <c r="AB884" s="13"/>
      <c r="AC884" s="13"/>
      <c r="AD884" s="13"/>
    </row>
    <row r="885">
      <c r="H885" s="22"/>
      <c r="I885" s="22"/>
      <c r="K885" s="36"/>
      <c r="AA885" s="13"/>
      <c r="AB885" s="13"/>
      <c r="AC885" s="13"/>
      <c r="AD885" s="13"/>
    </row>
    <row r="886">
      <c r="H886" s="22"/>
      <c r="I886" s="22"/>
      <c r="K886" s="36"/>
      <c r="AA886" s="13"/>
      <c r="AB886" s="13"/>
      <c r="AC886" s="13"/>
      <c r="AD886" s="13"/>
    </row>
    <row r="887">
      <c r="H887" s="22"/>
      <c r="I887" s="22"/>
      <c r="K887" s="36"/>
      <c r="AA887" s="13"/>
      <c r="AB887" s="13"/>
      <c r="AC887" s="13"/>
      <c r="AD887" s="13"/>
    </row>
    <row r="888">
      <c r="H888" s="22"/>
      <c r="I888" s="22"/>
      <c r="K888" s="36"/>
      <c r="AA888" s="13"/>
      <c r="AB888" s="13"/>
      <c r="AC888" s="13"/>
      <c r="AD888" s="13"/>
    </row>
    <row r="889">
      <c r="H889" s="22"/>
      <c r="I889" s="22"/>
      <c r="K889" s="36"/>
      <c r="AA889" s="13"/>
      <c r="AB889" s="13"/>
      <c r="AC889" s="13"/>
      <c r="AD889" s="13"/>
    </row>
    <row r="890">
      <c r="H890" s="22"/>
      <c r="I890" s="22"/>
      <c r="K890" s="36"/>
      <c r="AA890" s="13"/>
      <c r="AB890" s="13"/>
      <c r="AC890" s="13"/>
      <c r="AD890" s="13"/>
    </row>
    <row r="891">
      <c r="H891" s="22"/>
      <c r="I891" s="22"/>
      <c r="K891" s="36"/>
      <c r="AA891" s="13"/>
      <c r="AB891" s="13"/>
      <c r="AC891" s="13"/>
      <c r="AD891" s="13"/>
    </row>
    <row r="892">
      <c r="H892" s="22"/>
      <c r="I892" s="22"/>
      <c r="K892" s="36"/>
      <c r="AA892" s="13"/>
      <c r="AB892" s="13"/>
      <c r="AC892" s="13"/>
      <c r="AD892" s="13"/>
    </row>
    <row r="893">
      <c r="H893" s="22"/>
      <c r="I893" s="22"/>
      <c r="K893" s="36"/>
      <c r="AA893" s="13"/>
      <c r="AB893" s="13"/>
      <c r="AC893" s="13"/>
      <c r="AD893" s="13"/>
    </row>
    <row r="894">
      <c r="H894" s="22"/>
      <c r="I894" s="22"/>
      <c r="K894" s="36"/>
      <c r="AA894" s="13"/>
      <c r="AB894" s="13"/>
      <c r="AC894" s="13"/>
      <c r="AD894" s="13"/>
    </row>
    <row r="895">
      <c r="H895" s="22"/>
      <c r="I895" s="22"/>
      <c r="K895" s="36"/>
      <c r="AA895" s="13"/>
      <c r="AB895" s="13"/>
      <c r="AC895" s="13"/>
      <c r="AD895" s="13"/>
    </row>
    <row r="896">
      <c r="H896" s="22"/>
      <c r="I896" s="22"/>
      <c r="K896" s="36"/>
      <c r="AA896" s="13"/>
      <c r="AB896" s="13"/>
      <c r="AC896" s="13"/>
      <c r="AD896" s="13"/>
    </row>
    <row r="897">
      <c r="H897" s="22"/>
      <c r="I897" s="22"/>
      <c r="K897" s="36"/>
      <c r="AA897" s="13"/>
      <c r="AB897" s="13"/>
      <c r="AC897" s="13"/>
      <c r="AD897" s="13"/>
    </row>
    <row r="898">
      <c r="H898" s="22"/>
      <c r="I898" s="22"/>
      <c r="K898" s="36"/>
      <c r="AA898" s="13"/>
      <c r="AB898" s="13"/>
      <c r="AC898" s="13"/>
      <c r="AD898" s="13"/>
    </row>
    <row r="899">
      <c r="H899" s="22"/>
      <c r="I899" s="22"/>
      <c r="K899" s="36"/>
      <c r="AA899" s="13"/>
      <c r="AB899" s="13"/>
      <c r="AC899" s="13"/>
      <c r="AD899" s="13"/>
    </row>
    <row r="900">
      <c r="H900" s="22"/>
      <c r="I900" s="22"/>
      <c r="K900" s="36"/>
      <c r="AA900" s="13"/>
      <c r="AB900" s="13"/>
      <c r="AC900" s="13"/>
      <c r="AD900" s="13"/>
    </row>
    <row r="901">
      <c r="H901" s="22"/>
      <c r="I901" s="22"/>
      <c r="K901" s="36"/>
      <c r="AA901" s="13"/>
      <c r="AB901" s="13"/>
      <c r="AC901" s="13"/>
      <c r="AD901" s="13"/>
    </row>
    <row r="902">
      <c r="H902" s="22"/>
      <c r="I902" s="22"/>
      <c r="K902" s="36"/>
      <c r="AA902" s="13"/>
      <c r="AB902" s="13"/>
      <c r="AC902" s="13"/>
      <c r="AD902" s="13"/>
    </row>
    <row r="903">
      <c r="H903" s="22"/>
      <c r="I903" s="22"/>
      <c r="K903" s="36"/>
      <c r="AA903" s="13"/>
      <c r="AB903" s="13"/>
      <c r="AC903" s="13"/>
      <c r="AD903" s="13"/>
    </row>
    <row r="904">
      <c r="H904" s="22"/>
      <c r="I904" s="22"/>
      <c r="K904" s="36"/>
      <c r="AA904" s="13"/>
      <c r="AB904" s="13"/>
      <c r="AC904" s="13"/>
      <c r="AD904" s="13"/>
    </row>
    <row r="905">
      <c r="H905" s="22"/>
      <c r="I905" s="22"/>
      <c r="K905" s="36"/>
      <c r="AA905" s="13"/>
      <c r="AB905" s="13"/>
      <c r="AC905" s="13"/>
      <c r="AD905" s="13"/>
    </row>
    <row r="906">
      <c r="H906" s="22"/>
      <c r="I906" s="22"/>
      <c r="K906" s="36"/>
      <c r="AA906" s="13"/>
      <c r="AB906" s="13"/>
      <c r="AC906" s="13"/>
      <c r="AD906" s="13"/>
    </row>
    <row r="907">
      <c r="H907" s="22"/>
      <c r="I907" s="22"/>
      <c r="K907" s="36"/>
      <c r="AA907" s="13"/>
      <c r="AB907" s="13"/>
      <c r="AC907" s="13"/>
      <c r="AD907" s="13"/>
    </row>
    <row r="908">
      <c r="H908" s="22"/>
      <c r="I908" s="22"/>
      <c r="K908" s="36"/>
      <c r="AA908" s="13"/>
      <c r="AB908" s="13"/>
      <c r="AC908" s="13"/>
      <c r="AD908" s="13"/>
    </row>
    <row r="909">
      <c r="H909" s="22"/>
      <c r="I909" s="22"/>
      <c r="K909" s="36"/>
      <c r="AA909" s="13"/>
      <c r="AB909" s="13"/>
      <c r="AC909" s="13"/>
      <c r="AD909" s="13"/>
    </row>
    <row r="910">
      <c r="H910" s="22"/>
      <c r="I910" s="22"/>
      <c r="K910" s="36"/>
      <c r="AA910" s="13"/>
      <c r="AB910" s="13"/>
      <c r="AC910" s="13"/>
      <c r="AD910" s="13"/>
    </row>
    <row r="911">
      <c r="H911" s="22"/>
      <c r="I911" s="22"/>
      <c r="K911" s="36"/>
      <c r="AA911" s="13"/>
      <c r="AB911" s="13"/>
      <c r="AC911" s="13"/>
      <c r="AD911" s="13"/>
    </row>
    <row r="912">
      <c r="H912" s="22"/>
      <c r="I912" s="22"/>
      <c r="K912" s="36"/>
      <c r="AA912" s="13"/>
      <c r="AB912" s="13"/>
      <c r="AC912" s="13"/>
      <c r="AD912" s="13"/>
    </row>
    <row r="913">
      <c r="H913" s="22"/>
      <c r="I913" s="22"/>
      <c r="K913" s="36"/>
      <c r="AA913" s="13"/>
      <c r="AB913" s="13"/>
      <c r="AC913" s="13"/>
      <c r="AD913" s="13"/>
    </row>
    <row r="914">
      <c r="H914" s="22"/>
      <c r="I914" s="22"/>
      <c r="K914" s="36"/>
      <c r="AA914" s="13"/>
      <c r="AB914" s="13"/>
      <c r="AC914" s="13"/>
      <c r="AD914" s="13"/>
    </row>
    <row r="915">
      <c r="H915" s="22"/>
      <c r="I915" s="22"/>
      <c r="K915" s="36"/>
      <c r="AA915" s="13"/>
      <c r="AB915" s="13"/>
      <c r="AC915" s="13"/>
      <c r="AD915" s="13"/>
    </row>
    <row r="916">
      <c r="H916" s="22"/>
      <c r="I916" s="22"/>
      <c r="K916" s="36"/>
      <c r="AA916" s="13"/>
      <c r="AB916" s="13"/>
      <c r="AC916" s="13"/>
      <c r="AD916" s="13"/>
    </row>
    <row r="917">
      <c r="H917" s="22"/>
      <c r="I917" s="22"/>
      <c r="K917" s="36"/>
      <c r="AA917" s="13"/>
      <c r="AB917" s="13"/>
      <c r="AC917" s="13"/>
      <c r="AD917" s="13"/>
    </row>
    <row r="918">
      <c r="H918" s="22"/>
      <c r="I918" s="22"/>
      <c r="K918" s="36"/>
      <c r="AA918" s="13"/>
      <c r="AB918" s="13"/>
      <c r="AC918" s="13"/>
      <c r="AD918" s="13"/>
    </row>
    <row r="919">
      <c r="H919" s="22"/>
      <c r="I919" s="22"/>
      <c r="K919" s="36"/>
      <c r="AA919" s="13"/>
      <c r="AB919" s="13"/>
      <c r="AC919" s="13"/>
      <c r="AD919" s="13"/>
    </row>
    <row r="920">
      <c r="H920" s="22"/>
      <c r="I920" s="22"/>
      <c r="K920" s="36"/>
      <c r="AA920" s="13"/>
      <c r="AB920" s="13"/>
      <c r="AC920" s="13"/>
      <c r="AD920" s="13"/>
    </row>
    <row r="921">
      <c r="H921" s="22"/>
      <c r="I921" s="22"/>
      <c r="K921" s="36"/>
      <c r="AA921" s="13"/>
      <c r="AB921" s="13"/>
      <c r="AC921" s="13"/>
      <c r="AD921" s="13"/>
    </row>
    <row r="922">
      <c r="H922" s="22"/>
      <c r="I922" s="22"/>
      <c r="K922" s="36"/>
      <c r="AA922" s="13"/>
      <c r="AB922" s="13"/>
      <c r="AC922" s="13"/>
      <c r="AD922" s="13"/>
    </row>
    <row r="923">
      <c r="H923" s="22"/>
      <c r="I923" s="22"/>
      <c r="K923" s="36"/>
      <c r="AA923" s="13"/>
      <c r="AB923" s="13"/>
      <c r="AC923" s="13"/>
      <c r="AD923" s="13"/>
    </row>
    <row r="924">
      <c r="H924" s="22"/>
      <c r="I924" s="22"/>
      <c r="K924" s="36"/>
      <c r="AA924" s="13"/>
      <c r="AB924" s="13"/>
      <c r="AC924" s="13"/>
      <c r="AD924" s="13"/>
    </row>
    <row r="925">
      <c r="H925" s="22"/>
      <c r="I925" s="22"/>
      <c r="K925" s="36"/>
      <c r="AA925" s="13"/>
      <c r="AB925" s="13"/>
      <c r="AC925" s="13"/>
      <c r="AD925" s="13"/>
    </row>
    <row r="926">
      <c r="H926" s="22"/>
      <c r="I926" s="22"/>
      <c r="K926" s="36"/>
      <c r="AA926" s="13"/>
      <c r="AB926" s="13"/>
      <c r="AC926" s="13"/>
      <c r="AD926" s="13"/>
    </row>
    <row r="927">
      <c r="H927" s="22"/>
      <c r="I927" s="22"/>
      <c r="K927" s="36"/>
      <c r="AA927" s="13"/>
      <c r="AB927" s="13"/>
      <c r="AC927" s="13"/>
      <c r="AD927" s="13"/>
    </row>
    <row r="928">
      <c r="H928" s="22"/>
      <c r="I928" s="22"/>
      <c r="K928" s="36"/>
      <c r="AA928" s="13"/>
      <c r="AB928" s="13"/>
      <c r="AC928" s="13"/>
      <c r="AD928" s="13"/>
    </row>
    <row r="929">
      <c r="H929" s="22"/>
      <c r="I929" s="22"/>
      <c r="K929" s="36"/>
      <c r="AA929" s="13"/>
      <c r="AB929" s="13"/>
      <c r="AC929" s="13"/>
      <c r="AD929" s="13"/>
    </row>
    <row r="930">
      <c r="H930" s="22"/>
      <c r="I930" s="22"/>
      <c r="K930" s="36"/>
      <c r="AA930" s="13"/>
      <c r="AB930" s="13"/>
      <c r="AC930" s="13"/>
      <c r="AD930" s="13"/>
    </row>
    <row r="931">
      <c r="H931" s="22"/>
      <c r="I931" s="22"/>
      <c r="K931" s="36"/>
      <c r="AA931" s="13"/>
      <c r="AB931" s="13"/>
      <c r="AC931" s="13"/>
      <c r="AD931" s="13"/>
    </row>
    <row r="932">
      <c r="H932" s="22"/>
      <c r="I932" s="22"/>
      <c r="K932" s="36"/>
      <c r="AA932" s="13"/>
      <c r="AB932" s="13"/>
      <c r="AC932" s="13"/>
      <c r="AD932" s="13"/>
    </row>
    <row r="933">
      <c r="H933" s="22"/>
      <c r="I933" s="22"/>
      <c r="K933" s="36"/>
      <c r="AA933" s="13"/>
      <c r="AB933" s="13"/>
      <c r="AC933" s="13"/>
      <c r="AD933" s="13"/>
    </row>
    <row r="934">
      <c r="H934" s="22"/>
      <c r="I934" s="22"/>
      <c r="K934" s="36"/>
      <c r="AA934" s="13"/>
      <c r="AB934" s="13"/>
      <c r="AC934" s="13"/>
      <c r="AD934" s="13"/>
    </row>
    <row r="935">
      <c r="H935" s="22"/>
      <c r="I935" s="22"/>
      <c r="K935" s="36"/>
      <c r="AA935" s="13"/>
      <c r="AB935" s="13"/>
      <c r="AC935" s="13"/>
      <c r="AD935" s="13"/>
    </row>
    <row r="936">
      <c r="H936" s="22"/>
      <c r="I936" s="22"/>
      <c r="K936" s="36"/>
      <c r="AA936" s="13"/>
      <c r="AB936" s="13"/>
      <c r="AC936" s="13"/>
      <c r="AD936" s="13"/>
    </row>
    <row r="937">
      <c r="H937" s="22"/>
      <c r="I937" s="22"/>
      <c r="K937" s="36"/>
      <c r="AA937" s="13"/>
      <c r="AB937" s="13"/>
      <c r="AC937" s="13"/>
      <c r="AD937" s="13"/>
    </row>
    <row r="938">
      <c r="H938" s="22"/>
      <c r="I938" s="22"/>
      <c r="K938" s="36"/>
      <c r="AA938" s="13"/>
      <c r="AB938" s="13"/>
      <c r="AC938" s="13"/>
      <c r="AD938" s="13"/>
    </row>
    <row r="939">
      <c r="H939" s="22"/>
      <c r="I939" s="22"/>
      <c r="K939" s="36"/>
      <c r="AA939" s="13"/>
      <c r="AB939" s="13"/>
      <c r="AC939" s="13"/>
      <c r="AD939" s="13"/>
    </row>
    <row r="940">
      <c r="H940" s="22"/>
      <c r="I940" s="22"/>
      <c r="K940" s="36"/>
      <c r="AA940" s="13"/>
      <c r="AB940" s="13"/>
      <c r="AC940" s="13"/>
      <c r="AD940" s="13"/>
    </row>
    <row r="941">
      <c r="H941" s="22"/>
      <c r="I941" s="22"/>
      <c r="K941" s="36"/>
      <c r="AA941" s="13"/>
      <c r="AB941" s="13"/>
      <c r="AC941" s="13"/>
      <c r="AD941" s="13"/>
    </row>
    <row r="942">
      <c r="H942" s="22"/>
      <c r="I942" s="22"/>
      <c r="K942" s="36"/>
      <c r="AA942" s="13"/>
      <c r="AB942" s="13"/>
      <c r="AC942" s="13"/>
      <c r="AD942" s="13"/>
    </row>
    <row r="943">
      <c r="H943" s="22"/>
      <c r="I943" s="22"/>
      <c r="K943" s="36"/>
      <c r="AA943" s="13"/>
      <c r="AB943" s="13"/>
      <c r="AC943" s="13"/>
      <c r="AD943" s="13"/>
    </row>
    <row r="944">
      <c r="H944" s="22"/>
      <c r="I944" s="22"/>
      <c r="K944" s="36"/>
      <c r="AA944" s="13"/>
      <c r="AB944" s="13"/>
      <c r="AC944" s="13"/>
      <c r="AD944" s="13"/>
    </row>
    <row r="945">
      <c r="H945" s="22"/>
      <c r="I945" s="22"/>
      <c r="K945" s="36"/>
      <c r="AA945" s="13"/>
      <c r="AB945" s="13"/>
      <c r="AC945" s="13"/>
      <c r="AD945" s="13"/>
    </row>
    <row r="946">
      <c r="H946" s="22"/>
      <c r="I946" s="22"/>
      <c r="K946" s="36"/>
      <c r="AA946" s="13"/>
      <c r="AB946" s="13"/>
      <c r="AC946" s="13"/>
      <c r="AD946" s="13"/>
    </row>
    <row r="947">
      <c r="H947" s="22"/>
      <c r="I947" s="22"/>
      <c r="K947" s="36"/>
      <c r="AA947" s="13"/>
      <c r="AB947" s="13"/>
      <c r="AC947" s="13"/>
      <c r="AD947" s="13"/>
    </row>
    <row r="948">
      <c r="H948" s="22"/>
      <c r="I948" s="22"/>
      <c r="K948" s="36"/>
      <c r="AA948" s="13"/>
      <c r="AB948" s="13"/>
      <c r="AC948" s="13"/>
      <c r="AD948" s="13"/>
    </row>
    <row r="949">
      <c r="H949" s="22"/>
      <c r="I949" s="22"/>
      <c r="K949" s="36"/>
      <c r="AA949" s="13"/>
      <c r="AB949" s="13"/>
      <c r="AC949" s="13"/>
      <c r="AD949" s="13"/>
    </row>
    <row r="950">
      <c r="H950" s="22"/>
      <c r="I950" s="22"/>
      <c r="K950" s="36"/>
      <c r="AA950" s="13"/>
      <c r="AB950" s="13"/>
      <c r="AC950" s="13"/>
      <c r="AD950" s="13"/>
    </row>
    <row r="951">
      <c r="H951" s="22"/>
      <c r="I951" s="22"/>
      <c r="K951" s="36"/>
      <c r="AA951" s="13"/>
      <c r="AB951" s="13"/>
      <c r="AC951" s="13"/>
      <c r="AD951" s="13"/>
    </row>
    <row r="952">
      <c r="H952" s="22"/>
      <c r="I952" s="22"/>
      <c r="K952" s="36"/>
      <c r="AA952" s="13"/>
      <c r="AB952" s="13"/>
      <c r="AC952" s="13"/>
      <c r="AD952" s="13"/>
    </row>
    <row r="953">
      <c r="H953" s="22"/>
      <c r="I953" s="22"/>
      <c r="K953" s="36"/>
      <c r="AA953" s="13"/>
      <c r="AB953" s="13"/>
      <c r="AC953" s="13"/>
      <c r="AD953" s="13"/>
    </row>
    <row r="954">
      <c r="H954" s="22"/>
      <c r="I954" s="22"/>
      <c r="K954" s="36"/>
      <c r="AA954" s="13"/>
      <c r="AB954" s="13"/>
      <c r="AC954" s="13"/>
      <c r="AD954" s="13"/>
    </row>
    <row r="955">
      <c r="H955" s="22"/>
      <c r="I955" s="22"/>
      <c r="K955" s="36"/>
      <c r="AA955" s="13"/>
      <c r="AB955" s="13"/>
      <c r="AC955" s="13"/>
      <c r="AD955" s="13"/>
    </row>
    <row r="956">
      <c r="H956" s="22"/>
      <c r="I956" s="22"/>
      <c r="K956" s="36"/>
      <c r="AA956" s="13"/>
      <c r="AB956" s="13"/>
      <c r="AC956" s="13"/>
      <c r="AD956" s="13"/>
    </row>
    <row r="957">
      <c r="H957" s="22"/>
      <c r="I957" s="22"/>
      <c r="K957" s="36"/>
      <c r="AA957" s="13"/>
      <c r="AB957" s="13"/>
      <c r="AC957" s="13"/>
      <c r="AD957" s="13"/>
    </row>
    <row r="958">
      <c r="H958" s="22"/>
      <c r="I958" s="22"/>
      <c r="K958" s="36"/>
      <c r="AA958" s="13"/>
      <c r="AB958" s="13"/>
      <c r="AC958" s="13"/>
      <c r="AD958" s="13"/>
    </row>
    <row r="959">
      <c r="H959" s="22"/>
      <c r="I959" s="22"/>
      <c r="K959" s="36"/>
      <c r="AA959" s="13"/>
      <c r="AB959" s="13"/>
      <c r="AC959" s="13"/>
      <c r="AD959" s="13"/>
    </row>
    <row r="960">
      <c r="H960" s="22"/>
      <c r="I960" s="22"/>
      <c r="K960" s="36"/>
      <c r="AA960" s="13"/>
      <c r="AB960" s="13"/>
      <c r="AC960" s="13"/>
      <c r="AD960" s="13"/>
    </row>
    <row r="961">
      <c r="H961" s="22"/>
      <c r="I961" s="22"/>
      <c r="K961" s="36"/>
      <c r="AA961" s="13"/>
      <c r="AB961" s="13"/>
      <c r="AC961" s="13"/>
      <c r="AD961" s="13"/>
    </row>
    <row r="962">
      <c r="H962" s="22"/>
      <c r="I962" s="22"/>
      <c r="K962" s="36"/>
      <c r="AA962" s="13"/>
      <c r="AB962" s="13"/>
      <c r="AC962" s="13"/>
      <c r="AD962" s="13"/>
    </row>
    <row r="963">
      <c r="H963" s="22"/>
      <c r="I963" s="22"/>
      <c r="K963" s="36"/>
      <c r="AA963" s="13"/>
      <c r="AB963" s="13"/>
      <c r="AC963" s="13"/>
      <c r="AD963" s="13"/>
    </row>
    <row r="964">
      <c r="H964" s="22"/>
      <c r="I964" s="22"/>
      <c r="K964" s="36"/>
      <c r="AA964" s="13"/>
      <c r="AB964" s="13"/>
      <c r="AC964" s="13"/>
      <c r="AD964" s="13"/>
    </row>
    <row r="965">
      <c r="H965" s="22"/>
      <c r="I965" s="22"/>
      <c r="K965" s="36"/>
      <c r="AA965" s="13"/>
      <c r="AB965" s="13"/>
      <c r="AC965" s="13"/>
      <c r="AD965" s="13"/>
    </row>
    <row r="966">
      <c r="H966" s="22"/>
      <c r="I966" s="22"/>
      <c r="K966" s="36"/>
      <c r="AA966" s="13"/>
      <c r="AB966" s="13"/>
      <c r="AC966" s="13"/>
      <c r="AD966" s="13"/>
    </row>
    <row r="967">
      <c r="H967" s="22"/>
      <c r="I967" s="22"/>
      <c r="K967" s="36"/>
      <c r="AA967" s="13"/>
      <c r="AB967" s="13"/>
      <c r="AC967" s="13"/>
      <c r="AD967" s="13"/>
    </row>
    <row r="968">
      <c r="H968" s="22"/>
      <c r="I968" s="22"/>
      <c r="K968" s="36"/>
      <c r="AA968" s="13"/>
      <c r="AB968" s="13"/>
      <c r="AC968" s="13"/>
      <c r="AD968" s="13"/>
    </row>
    <row r="969">
      <c r="H969" s="22"/>
      <c r="I969" s="22"/>
      <c r="K969" s="36"/>
      <c r="AA969" s="13"/>
      <c r="AB969" s="13"/>
      <c r="AC969" s="13"/>
      <c r="AD969" s="13"/>
    </row>
    <row r="970">
      <c r="H970" s="22"/>
      <c r="I970" s="22"/>
      <c r="K970" s="36"/>
      <c r="AA970" s="13"/>
      <c r="AB970" s="13"/>
      <c r="AC970" s="13"/>
      <c r="AD970" s="13"/>
    </row>
    <row r="971">
      <c r="H971" s="22"/>
      <c r="I971" s="22"/>
      <c r="K971" s="36"/>
      <c r="AA971" s="13"/>
      <c r="AB971" s="13"/>
      <c r="AC971" s="13"/>
      <c r="AD971" s="13"/>
    </row>
    <row r="972">
      <c r="H972" s="22"/>
      <c r="I972" s="22"/>
      <c r="K972" s="36"/>
      <c r="AA972" s="13"/>
      <c r="AB972" s="13"/>
      <c r="AC972" s="13"/>
      <c r="AD972" s="13"/>
    </row>
    <row r="973">
      <c r="H973" s="22"/>
      <c r="I973" s="22"/>
      <c r="K973" s="36"/>
      <c r="AA973" s="13"/>
      <c r="AB973" s="13"/>
      <c r="AC973" s="13"/>
      <c r="AD973" s="13"/>
    </row>
    <row r="974">
      <c r="H974" s="22"/>
      <c r="I974" s="22"/>
      <c r="K974" s="36"/>
      <c r="AA974" s="13"/>
      <c r="AB974" s="13"/>
      <c r="AC974" s="13"/>
      <c r="AD974" s="13"/>
    </row>
    <row r="975">
      <c r="H975" s="22"/>
      <c r="I975" s="22"/>
      <c r="K975" s="36"/>
      <c r="AA975" s="13"/>
      <c r="AB975" s="13"/>
      <c r="AC975" s="13"/>
      <c r="AD975" s="13"/>
    </row>
    <row r="976">
      <c r="H976" s="22"/>
      <c r="I976" s="22"/>
      <c r="K976" s="36"/>
      <c r="AA976" s="13"/>
      <c r="AB976" s="13"/>
      <c r="AC976" s="13"/>
      <c r="AD976" s="13"/>
    </row>
    <row r="977">
      <c r="H977" s="22"/>
      <c r="I977" s="22"/>
      <c r="K977" s="36"/>
      <c r="AA977" s="13"/>
      <c r="AB977" s="13"/>
      <c r="AC977" s="13"/>
      <c r="AD977" s="13"/>
    </row>
    <row r="978">
      <c r="H978" s="22"/>
      <c r="I978" s="22"/>
      <c r="K978" s="36"/>
      <c r="AA978" s="13"/>
      <c r="AB978" s="13"/>
      <c r="AC978" s="13"/>
      <c r="AD978" s="13"/>
    </row>
    <row r="979">
      <c r="H979" s="22"/>
      <c r="I979" s="22"/>
      <c r="K979" s="36"/>
      <c r="AA979" s="13"/>
      <c r="AB979" s="13"/>
      <c r="AC979" s="13"/>
      <c r="AD979" s="13"/>
    </row>
    <row r="980">
      <c r="H980" s="22"/>
      <c r="I980" s="22"/>
      <c r="K980" s="36"/>
      <c r="AA980" s="13"/>
      <c r="AB980" s="13"/>
      <c r="AC980" s="13"/>
      <c r="AD980" s="13"/>
    </row>
    <row r="981">
      <c r="H981" s="22"/>
      <c r="I981" s="22"/>
      <c r="K981" s="36"/>
      <c r="AA981" s="13"/>
      <c r="AB981" s="13"/>
      <c r="AC981" s="13"/>
      <c r="AD981" s="13"/>
    </row>
    <row r="982">
      <c r="H982" s="22"/>
      <c r="I982" s="22"/>
      <c r="K982" s="36"/>
      <c r="AA982" s="13"/>
      <c r="AB982" s="13"/>
      <c r="AC982" s="13"/>
      <c r="AD982" s="13"/>
    </row>
    <row r="983">
      <c r="H983" s="22"/>
      <c r="I983" s="22"/>
      <c r="K983" s="36"/>
      <c r="AA983" s="13"/>
      <c r="AB983" s="13"/>
      <c r="AC983" s="13"/>
      <c r="AD983" s="13"/>
    </row>
    <row r="984">
      <c r="H984" s="22"/>
      <c r="I984" s="22"/>
      <c r="K984" s="36"/>
      <c r="AA984" s="13"/>
      <c r="AB984" s="13"/>
      <c r="AC984" s="13"/>
      <c r="AD984" s="13"/>
    </row>
    <row r="985">
      <c r="H985" s="22"/>
      <c r="I985" s="22"/>
      <c r="K985" s="36"/>
      <c r="AA985" s="13"/>
      <c r="AB985" s="13"/>
      <c r="AC985" s="13"/>
      <c r="AD985" s="13"/>
    </row>
    <row r="986">
      <c r="H986" s="22"/>
      <c r="I986" s="22"/>
      <c r="K986" s="36"/>
      <c r="AA986" s="13"/>
      <c r="AB986" s="13"/>
      <c r="AC986" s="13"/>
      <c r="AD986" s="13"/>
    </row>
    <row r="987">
      <c r="H987" s="22"/>
      <c r="I987" s="22"/>
      <c r="K987" s="36"/>
      <c r="AA987" s="13"/>
      <c r="AB987" s="13"/>
      <c r="AC987" s="13"/>
      <c r="AD987" s="13"/>
    </row>
    <row r="988">
      <c r="H988" s="22"/>
      <c r="I988" s="22"/>
      <c r="K988" s="36"/>
      <c r="AA988" s="13"/>
      <c r="AB988" s="13"/>
      <c r="AC988" s="13"/>
      <c r="AD988" s="13"/>
    </row>
    <row r="989">
      <c r="H989" s="22"/>
      <c r="I989" s="22"/>
      <c r="K989" s="36"/>
      <c r="AA989" s="13"/>
      <c r="AB989" s="13"/>
      <c r="AC989" s="13"/>
      <c r="AD989" s="13"/>
    </row>
    <row r="990">
      <c r="H990" s="22"/>
      <c r="I990" s="22"/>
      <c r="K990" s="36"/>
      <c r="AA990" s="13"/>
      <c r="AB990" s="13"/>
      <c r="AC990" s="13"/>
      <c r="AD990" s="13"/>
    </row>
    <row r="991">
      <c r="H991" s="22"/>
      <c r="I991" s="22"/>
      <c r="K991" s="36"/>
      <c r="AA991" s="13"/>
      <c r="AB991" s="13"/>
      <c r="AC991" s="13"/>
      <c r="AD991" s="13"/>
    </row>
    <row r="992">
      <c r="H992" s="22"/>
      <c r="I992" s="22"/>
      <c r="K992" s="36"/>
      <c r="AA992" s="13"/>
      <c r="AB992" s="13"/>
      <c r="AC992" s="13"/>
      <c r="AD992" s="13"/>
    </row>
    <row r="993">
      <c r="H993" s="22"/>
      <c r="I993" s="22"/>
      <c r="K993" s="36"/>
      <c r="AA993" s="13"/>
      <c r="AB993" s="13"/>
      <c r="AC993" s="13"/>
      <c r="AD993" s="13"/>
    </row>
    <row r="994">
      <c r="H994" s="22"/>
      <c r="I994" s="22"/>
      <c r="K994" s="36"/>
      <c r="AA994" s="13"/>
      <c r="AB994" s="13"/>
      <c r="AC994" s="13"/>
      <c r="AD994" s="13"/>
    </row>
    <row r="995">
      <c r="H995" s="22"/>
      <c r="I995" s="22"/>
      <c r="K995" s="36"/>
      <c r="AA995" s="13"/>
      <c r="AB995" s="13"/>
      <c r="AC995" s="13"/>
      <c r="AD995" s="13"/>
    </row>
    <row r="996">
      <c r="H996" s="22"/>
      <c r="I996" s="22"/>
      <c r="K996" s="36"/>
      <c r="AA996" s="13"/>
      <c r="AB996" s="13"/>
      <c r="AC996" s="13"/>
      <c r="AD996" s="13"/>
    </row>
    <row r="997">
      <c r="H997" s="22"/>
      <c r="I997" s="22"/>
      <c r="K997" s="36"/>
      <c r="AA997" s="13"/>
      <c r="AB997" s="13"/>
      <c r="AC997" s="13"/>
      <c r="AD997" s="13"/>
    </row>
    <row r="998">
      <c r="H998" s="22"/>
      <c r="I998" s="22"/>
      <c r="K998" s="36"/>
      <c r="AA998" s="13"/>
      <c r="AB998" s="13"/>
      <c r="AC998" s="13"/>
      <c r="AD998" s="13"/>
    </row>
    <row r="999">
      <c r="H999" s="22"/>
      <c r="I999" s="22"/>
      <c r="K999" s="36"/>
      <c r="AA999" s="13"/>
      <c r="AB999" s="13"/>
      <c r="AC999" s="13"/>
      <c r="AD999" s="13"/>
    </row>
    <row r="1000">
      <c r="H1000" s="22"/>
      <c r="I1000" s="22"/>
      <c r="K1000" s="36"/>
      <c r="AA1000" s="13"/>
      <c r="AB1000" s="13"/>
      <c r="AC1000" s="13"/>
      <c r="AD1000" s="13"/>
    </row>
    <row r="1001">
      <c r="H1001" s="22"/>
      <c r="I1001" s="22"/>
      <c r="K1001" s="36"/>
      <c r="AA1001" s="13"/>
      <c r="AB1001" s="13"/>
      <c r="AC1001" s="13"/>
      <c r="AD1001" s="13"/>
    </row>
    <row r="1002">
      <c r="H1002" s="22"/>
      <c r="I1002" s="22"/>
      <c r="K1002" s="36"/>
      <c r="AA1002" s="13"/>
      <c r="AB1002" s="13"/>
      <c r="AC1002" s="13"/>
      <c r="AD1002" s="13"/>
    </row>
    <row r="1003">
      <c r="H1003" s="22"/>
      <c r="I1003" s="22"/>
      <c r="K1003" s="36"/>
      <c r="AA1003" s="13"/>
      <c r="AB1003" s="13"/>
      <c r="AC1003" s="13"/>
      <c r="AD1003" s="13"/>
    </row>
    <row r="1004">
      <c r="H1004" s="22"/>
      <c r="I1004" s="22"/>
      <c r="K1004" s="36"/>
      <c r="AA1004" s="13"/>
      <c r="AB1004" s="13"/>
      <c r="AC1004" s="13"/>
      <c r="AD1004" s="13"/>
    </row>
    <row r="1005">
      <c r="H1005" s="22"/>
      <c r="I1005" s="22"/>
      <c r="K1005" s="36"/>
      <c r="AA1005" s="13"/>
      <c r="AB1005" s="13"/>
      <c r="AC1005" s="13"/>
      <c r="AD1005" s="13"/>
    </row>
    <row r="1006">
      <c r="H1006" s="22"/>
      <c r="I1006" s="22"/>
      <c r="K1006" s="36"/>
      <c r="AA1006" s="13"/>
      <c r="AB1006" s="13"/>
      <c r="AC1006" s="13"/>
      <c r="AD1006" s="13"/>
    </row>
    <row r="1007">
      <c r="H1007" s="22"/>
      <c r="I1007" s="22"/>
      <c r="K1007" s="36"/>
      <c r="AA1007" s="13"/>
      <c r="AB1007" s="13"/>
      <c r="AC1007" s="13"/>
      <c r="AD1007" s="13"/>
    </row>
    <row r="1008">
      <c r="H1008" s="22"/>
      <c r="I1008" s="22"/>
      <c r="K1008" s="36"/>
      <c r="AA1008" s="13"/>
      <c r="AB1008" s="13"/>
      <c r="AC1008" s="13"/>
      <c r="AD1008" s="13"/>
    </row>
    <row r="1009">
      <c r="H1009" s="22"/>
      <c r="I1009" s="22"/>
      <c r="K1009" s="36"/>
      <c r="AA1009" s="13"/>
      <c r="AB1009" s="13"/>
      <c r="AC1009" s="13"/>
      <c r="AD1009" s="13"/>
    </row>
    <row r="1010">
      <c r="H1010" s="22"/>
      <c r="I1010" s="22"/>
      <c r="K1010" s="36"/>
      <c r="AA1010" s="13"/>
      <c r="AB1010" s="13"/>
      <c r="AC1010" s="13"/>
      <c r="AD1010" s="13"/>
    </row>
    <row r="1011">
      <c r="H1011" s="22"/>
      <c r="I1011" s="22"/>
      <c r="K1011" s="36"/>
      <c r="AA1011" s="13"/>
      <c r="AB1011" s="13"/>
      <c r="AC1011" s="13"/>
      <c r="AD1011" s="13"/>
    </row>
    <row r="1012">
      <c r="H1012" s="22"/>
      <c r="I1012" s="22"/>
      <c r="K1012" s="36"/>
      <c r="AA1012" s="13"/>
      <c r="AB1012" s="13"/>
      <c r="AC1012" s="13"/>
      <c r="AD1012" s="13"/>
    </row>
    <row r="1013">
      <c r="H1013" s="22"/>
      <c r="I1013" s="22"/>
      <c r="K1013" s="36"/>
      <c r="AA1013" s="13"/>
      <c r="AB1013" s="13"/>
      <c r="AC1013" s="13"/>
      <c r="AD1013" s="13"/>
    </row>
    <row r="1014">
      <c r="H1014" s="22"/>
      <c r="I1014" s="22"/>
      <c r="K1014" s="36"/>
      <c r="AA1014" s="13"/>
      <c r="AB1014" s="13"/>
      <c r="AC1014" s="13"/>
      <c r="AD1014" s="13"/>
    </row>
    <row r="1015">
      <c r="H1015" s="22"/>
      <c r="I1015" s="22"/>
      <c r="K1015" s="36"/>
      <c r="AA1015" s="13"/>
      <c r="AB1015" s="13"/>
      <c r="AC1015" s="13"/>
      <c r="AD1015" s="13"/>
    </row>
    <row r="1016">
      <c r="H1016" s="22"/>
      <c r="I1016" s="22"/>
      <c r="K1016" s="36"/>
      <c r="AA1016" s="13"/>
      <c r="AB1016" s="13"/>
      <c r="AC1016" s="13"/>
      <c r="AD1016" s="13"/>
    </row>
    <row r="1017">
      <c r="H1017" s="22"/>
      <c r="I1017" s="22"/>
      <c r="K1017" s="36"/>
      <c r="AA1017" s="13"/>
      <c r="AB1017" s="13"/>
      <c r="AC1017" s="13"/>
      <c r="AD1017" s="13"/>
    </row>
    <row r="1018">
      <c r="H1018" s="22"/>
      <c r="I1018" s="22"/>
      <c r="K1018" s="36"/>
      <c r="AA1018" s="13"/>
      <c r="AB1018" s="13"/>
      <c r="AC1018" s="13"/>
      <c r="AD1018" s="13"/>
    </row>
    <row r="1019">
      <c r="H1019" s="22"/>
      <c r="I1019" s="22"/>
      <c r="K1019" s="36"/>
      <c r="AA1019" s="13"/>
      <c r="AB1019" s="13"/>
      <c r="AC1019" s="13"/>
      <c r="AD1019" s="13"/>
    </row>
    <row r="1020">
      <c r="H1020" s="22"/>
      <c r="I1020" s="22"/>
      <c r="K1020" s="36"/>
      <c r="AA1020" s="13"/>
      <c r="AB1020" s="13"/>
      <c r="AC1020" s="13"/>
      <c r="AD1020" s="13"/>
    </row>
    <row r="1021">
      <c r="H1021" s="22"/>
      <c r="I1021" s="22"/>
      <c r="K1021" s="36"/>
      <c r="AA1021" s="13"/>
      <c r="AB1021" s="13"/>
      <c r="AC1021" s="13"/>
      <c r="AD1021" s="13"/>
    </row>
    <row r="1022">
      <c r="H1022" s="22"/>
      <c r="I1022" s="22"/>
      <c r="K1022" s="36"/>
      <c r="AA1022" s="13"/>
      <c r="AB1022" s="13"/>
      <c r="AC1022" s="13"/>
      <c r="AD1022" s="13"/>
    </row>
    <row r="1023">
      <c r="H1023" s="22"/>
      <c r="I1023" s="22"/>
      <c r="K1023" s="36"/>
      <c r="AA1023" s="13"/>
      <c r="AB1023" s="13"/>
      <c r="AC1023" s="13"/>
      <c r="AD1023" s="13"/>
    </row>
    <row r="1024">
      <c r="H1024" s="22"/>
      <c r="I1024" s="22"/>
      <c r="K1024" s="36"/>
      <c r="AA1024" s="13"/>
      <c r="AB1024" s="13"/>
      <c r="AC1024" s="13"/>
      <c r="AD1024" s="13"/>
    </row>
    <row r="1025">
      <c r="H1025" s="22"/>
      <c r="I1025" s="22"/>
      <c r="K1025" s="36"/>
      <c r="AA1025" s="13"/>
      <c r="AB1025" s="13"/>
      <c r="AC1025" s="13"/>
      <c r="AD1025" s="13"/>
    </row>
    <row r="1026">
      <c r="H1026" s="22"/>
      <c r="I1026" s="22"/>
      <c r="K1026" s="36"/>
      <c r="AA1026" s="13"/>
      <c r="AB1026" s="13"/>
      <c r="AC1026" s="13"/>
      <c r="AD1026" s="13"/>
    </row>
    <row r="1027">
      <c r="H1027" s="22"/>
      <c r="I1027" s="22"/>
      <c r="K1027" s="36"/>
      <c r="AA1027" s="13"/>
      <c r="AB1027" s="13"/>
      <c r="AC1027" s="13"/>
      <c r="AD1027" s="13"/>
    </row>
    <row r="1028">
      <c r="H1028" s="22"/>
      <c r="I1028" s="22"/>
      <c r="K1028" s="36"/>
      <c r="AA1028" s="13"/>
      <c r="AB1028" s="13"/>
      <c r="AC1028" s="13"/>
      <c r="AD1028" s="13"/>
    </row>
    <row r="1029">
      <c r="H1029" s="22"/>
      <c r="I1029" s="22"/>
      <c r="K1029" s="36"/>
      <c r="AA1029" s="13"/>
      <c r="AB1029" s="13"/>
      <c r="AC1029" s="13"/>
      <c r="AD1029" s="13"/>
    </row>
    <row r="1030">
      <c r="H1030" s="22"/>
      <c r="I1030" s="22"/>
      <c r="K1030" s="36"/>
      <c r="AA1030" s="13"/>
      <c r="AB1030" s="13"/>
      <c r="AC1030" s="13"/>
      <c r="AD1030" s="13"/>
    </row>
    <row r="1031">
      <c r="H1031" s="22"/>
      <c r="I1031" s="22"/>
      <c r="K1031" s="36"/>
      <c r="AA1031" s="13"/>
      <c r="AB1031" s="13"/>
      <c r="AC1031" s="13"/>
      <c r="AD1031" s="13"/>
    </row>
    <row r="1032">
      <c r="H1032" s="22"/>
      <c r="I1032" s="22"/>
      <c r="K1032" s="36"/>
      <c r="AA1032" s="13"/>
      <c r="AB1032" s="13"/>
      <c r="AC1032" s="13"/>
      <c r="AD1032" s="13"/>
    </row>
    <row r="1033">
      <c r="H1033" s="22"/>
      <c r="I1033" s="22"/>
      <c r="K1033" s="36"/>
      <c r="AA1033" s="13"/>
      <c r="AB1033" s="13"/>
      <c r="AC1033" s="13"/>
      <c r="AD1033" s="13"/>
    </row>
    <row r="1034">
      <c r="H1034" s="22"/>
      <c r="I1034" s="22"/>
      <c r="K1034" s="36"/>
      <c r="AA1034" s="13"/>
      <c r="AB1034" s="13"/>
      <c r="AC1034" s="13"/>
      <c r="AD1034" s="13"/>
    </row>
    <row r="1035">
      <c r="H1035" s="22"/>
      <c r="I1035" s="22"/>
      <c r="K1035" s="36"/>
      <c r="AA1035" s="13"/>
      <c r="AB1035" s="13"/>
      <c r="AC1035" s="13"/>
      <c r="AD1035" s="13"/>
    </row>
    <row r="1036">
      <c r="H1036" s="22"/>
      <c r="I1036" s="22"/>
      <c r="K1036" s="36"/>
      <c r="AA1036" s="13"/>
      <c r="AB1036" s="13"/>
      <c r="AC1036" s="13"/>
      <c r="AD1036" s="13"/>
    </row>
    <row r="1037">
      <c r="H1037" s="22"/>
      <c r="I1037" s="22"/>
      <c r="K1037" s="36"/>
      <c r="AA1037" s="13"/>
      <c r="AB1037" s="13"/>
      <c r="AC1037" s="13"/>
      <c r="AD1037" s="13"/>
    </row>
    <row r="1038">
      <c r="H1038" s="22"/>
      <c r="I1038" s="22"/>
      <c r="K1038" s="36"/>
      <c r="AA1038" s="13"/>
      <c r="AB1038" s="13"/>
      <c r="AC1038" s="13"/>
      <c r="AD1038" s="13"/>
    </row>
    <row r="1039">
      <c r="H1039" s="22"/>
      <c r="I1039" s="22"/>
      <c r="K1039" s="36"/>
      <c r="AA1039" s="13"/>
      <c r="AB1039" s="13"/>
      <c r="AC1039" s="13"/>
      <c r="AD1039" s="13"/>
    </row>
    <row r="1040">
      <c r="H1040" s="22"/>
      <c r="I1040" s="22"/>
      <c r="K1040" s="36"/>
      <c r="AA1040" s="13"/>
      <c r="AB1040" s="13"/>
      <c r="AC1040" s="13"/>
      <c r="AD1040" s="13"/>
    </row>
    <row r="1041">
      <c r="H1041" s="22"/>
      <c r="I1041" s="22"/>
      <c r="K1041" s="36"/>
      <c r="AA1041" s="13"/>
      <c r="AB1041" s="13"/>
      <c r="AC1041" s="13"/>
      <c r="AD1041" s="13"/>
    </row>
    <row r="1042">
      <c r="H1042" s="22"/>
      <c r="I1042" s="22"/>
      <c r="K1042" s="36"/>
      <c r="AA1042" s="13"/>
      <c r="AB1042" s="13"/>
      <c r="AC1042" s="13"/>
      <c r="AD1042" s="13"/>
    </row>
    <row r="1043">
      <c r="H1043" s="22"/>
      <c r="I1043" s="22"/>
      <c r="K1043" s="36"/>
      <c r="AA1043" s="13"/>
      <c r="AB1043" s="13"/>
      <c r="AC1043" s="13"/>
      <c r="AD1043" s="13"/>
    </row>
    <row r="1044">
      <c r="H1044" s="22"/>
      <c r="I1044" s="22"/>
      <c r="K1044" s="36"/>
      <c r="AA1044" s="13"/>
      <c r="AB1044" s="13"/>
      <c r="AC1044" s="13"/>
      <c r="AD1044" s="13"/>
    </row>
    <row r="1045">
      <c r="H1045" s="22"/>
      <c r="I1045" s="22"/>
      <c r="K1045" s="36"/>
      <c r="AA1045" s="13"/>
      <c r="AB1045" s="13"/>
      <c r="AC1045" s="13"/>
      <c r="AD1045" s="13"/>
    </row>
    <row r="1046">
      <c r="H1046" s="22"/>
      <c r="I1046" s="22"/>
      <c r="K1046" s="36"/>
      <c r="AA1046" s="13"/>
      <c r="AB1046" s="13"/>
      <c r="AC1046" s="13"/>
      <c r="AD1046" s="13"/>
    </row>
    <row r="1047">
      <c r="H1047" s="22"/>
      <c r="I1047" s="22"/>
      <c r="K1047" s="36"/>
      <c r="AA1047" s="13"/>
      <c r="AB1047" s="13"/>
      <c r="AC1047" s="13"/>
      <c r="AD1047" s="13"/>
    </row>
    <row r="1048">
      <c r="H1048" s="22"/>
      <c r="I1048" s="22"/>
      <c r="K1048" s="36"/>
      <c r="AA1048" s="13"/>
      <c r="AB1048" s="13"/>
      <c r="AC1048" s="13"/>
      <c r="AD1048" s="13"/>
    </row>
    <row r="1049">
      <c r="H1049" s="22"/>
      <c r="I1049" s="22"/>
      <c r="K1049" s="36"/>
      <c r="AA1049" s="13"/>
      <c r="AB1049" s="13"/>
      <c r="AC1049" s="13"/>
      <c r="AD1049" s="13"/>
    </row>
    <row r="1050">
      <c r="H1050" s="22"/>
      <c r="I1050" s="22"/>
      <c r="K1050" s="36"/>
      <c r="AA1050" s="13"/>
      <c r="AB1050" s="13"/>
      <c r="AC1050" s="13"/>
      <c r="AD1050" s="13"/>
    </row>
    <row r="1051">
      <c r="H1051" s="22"/>
      <c r="I1051" s="22"/>
      <c r="K1051" s="36"/>
      <c r="AA1051" s="13"/>
      <c r="AB1051" s="13"/>
      <c r="AC1051" s="13"/>
      <c r="AD1051" s="13"/>
    </row>
    <row r="1052">
      <c r="H1052" s="22"/>
      <c r="I1052" s="22"/>
      <c r="K1052" s="36"/>
      <c r="AA1052" s="13"/>
      <c r="AB1052" s="13"/>
      <c r="AC1052" s="13"/>
      <c r="AD1052" s="13"/>
    </row>
    <row r="1053">
      <c r="H1053" s="22"/>
      <c r="I1053" s="22"/>
      <c r="K1053" s="36"/>
      <c r="AA1053" s="13"/>
      <c r="AB1053" s="13"/>
      <c r="AC1053" s="13"/>
      <c r="AD1053" s="13"/>
    </row>
    <row r="1054">
      <c r="H1054" s="22"/>
      <c r="I1054" s="22"/>
      <c r="K1054" s="36"/>
      <c r="AA1054" s="13"/>
      <c r="AB1054" s="13"/>
      <c r="AC1054" s="13"/>
      <c r="AD1054" s="13"/>
    </row>
    <row r="1055">
      <c r="H1055" s="22"/>
      <c r="I1055" s="22"/>
      <c r="K1055" s="36"/>
      <c r="AA1055" s="13"/>
      <c r="AB1055" s="13"/>
      <c r="AC1055" s="13"/>
      <c r="AD1055" s="13"/>
    </row>
    <row r="1056">
      <c r="H1056" s="22"/>
      <c r="I1056" s="22"/>
      <c r="K1056" s="36"/>
      <c r="AA1056" s="13"/>
      <c r="AB1056" s="13"/>
      <c r="AC1056" s="13"/>
      <c r="AD1056" s="13"/>
    </row>
    <row r="1057">
      <c r="H1057" s="22"/>
      <c r="I1057" s="22"/>
      <c r="K1057" s="36"/>
      <c r="AA1057" s="13"/>
      <c r="AB1057" s="13"/>
      <c r="AC1057" s="13"/>
      <c r="AD1057" s="13"/>
    </row>
    <row r="1058">
      <c r="H1058" s="22"/>
      <c r="I1058" s="22"/>
      <c r="K1058" s="36"/>
      <c r="AA1058" s="13"/>
      <c r="AB1058" s="13"/>
      <c r="AC1058" s="13"/>
      <c r="AD1058" s="13"/>
    </row>
    <row r="1059">
      <c r="H1059" s="22"/>
      <c r="I1059" s="22"/>
      <c r="K1059" s="36"/>
      <c r="AA1059" s="13"/>
      <c r="AB1059" s="13"/>
      <c r="AC1059" s="13"/>
      <c r="AD1059" s="13"/>
    </row>
    <row r="1060">
      <c r="H1060" s="22"/>
      <c r="I1060" s="22"/>
      <c r="K1060" s="36"/>
      <c r="AA1060" s="13"/>
      <c r="AB1060" s="13"/>
      <c r="AC1060" s="13"/>
      <c r="AD1060" s="13"/>
    </row>
    <row r="1061">
      <c r="H1061" s="22"/>
      <c r="I1061" s="22"/>
      <c r="K1061" s="36"/>
      <c r="AA1061" s="13"/>
      <c r="AB1061" s="13"/>
      <c r="AC1061" s="13"/>
      <c r="AD1061" s="13"/>
    </row>
    <row r="1062">
      <c r="H1062" s="22"/>
      <c r="I1062" s="22"/>
      <c r="K1062" s="36"/>
      <c r="AA1062" s="13"/>
      <c r="AB1062" s="13"/>
      <c r="AC1062" s="13"/>
      <c r="AD1062" s="13"/>
    </row>
    <row r="1063">
      <c r="H1063" s="22"/>
      <c r="I1063" s="22"/>
      <c r="K1063" s="36"/>
      <c r="AA1063" s="13"/>
      <c r="AB1063" s="13"/>
      <c r="AC1063" s="13"/>
      <c r="AD1063" s="13"/>
    </row>
    <row r="1064">
      <c r="H1064" s="22"/>
      <c r="I1064" s="22"/>
      <c r="K1064" s="36"/>
      <c r="AA1064" s="13"/>
      <c r="AB1064" s="13"/>
      <c r="AC1064" s="13"/>
      <c r="AD1064" s="13"/>
    </row>
    <row r="1065">
      <c r="H1065" s="22"/>
      <c r="I1065" s="22"/>
      <c r="K1065" s="36"/>
      <c r="AA1065" s="13"/>
      <c r="AB1065" s="13"/>
      <c r="AC1065" s="13"/>
      <c r="AD1065" s="13"/>
    </row>
    <row r="1066">
      <c r="H1066" s="22"/>
      <c r="I1066" s="22"/>
      <c r="K1066" s="36"/>
      <c r="AA1066" s="13"/>
      <c r="AB1066" s="13"/>
      <c r="AC1066" s="13"/>
      <c r="AD1066" s="13"/>
    </row>
    <row r="1067">
      <c r="H1067" s="22"/>
      <c r="I1067" s="22"/>
      <c r="K1067" s="36"/>
      <c r="AA1067" s="13"/>
      <c r="AB1067" s="13"/>
      <c r="AC1067" s="13"/>
      <c r="AD1067" s="13"/>
    </row>
    <row r="1068">
      <c r="H1068" s="22"/>
      <c r="I1068" s="22"/>
      <c r="K1068" s="36"/>
      <c r="AA1068" s="13"/>
      <c r="AB1068" s="13"/>
      <c r="AC1068" s="13"/>
      <c r="AD1068" s="13"/>
    </row>
    <row r="1069">
      <c r="H1069" s="22"/>
      <c r="I1069" s="22"/>
      <c r="K1069" s="36"/>
      <c r="AA1069" s="13"/>
      <c r="AB1069" s="13"/>
      <c r="AC1069" s="13"/>
      <c r="AD1069" s="13"/>
    </row>
    <row r="1070">
      <c r="H1070" s="22"/>
      <c r="I1070" s="22"/>
      <c r="K1070" s="36"/>
      <c r="AA1070" s="13"/>
      <c r="AB1070" s="13"/>
      <c r="AC1070" s="13"/>
      <c r="AD1070" s="13"/>
    </row>
    <row r="1071">
      <c r="H1071" s="22"/>
      <c r="I1071" s="22"/>
      <c r="K1071" s="36"/>
      <c r="AA1071" s="13"/>
      <c r="AB1071" s="13"/>
      <c r="AC1071" s="13"/>
      <c r="AD1071" s="13"/>
    </row>
    <row r="1072">
      <c r="H1072" s="22"/>
      <c r="I1072" s="22"/>
      <c r="K1072" s="36"/>
      <c r="AA1072" s="13"/>
      <c r="AB1072" s="13"/>
      <c r="AC1072" s="13"/>
      <c r="AD1072" s="13"/>
    </row>
    <row r="1073">
      <c r="H1073" s="22"/>
      <c r="I1073" s="22"/>
      <c r="K1073" s="36"/>
      <c r="AA1073" s="13"/>
      <c r="AB1073" s="13"/>
      <c r="AC1073" s="13"/>
      <c r="AD1073" s="13"/>
    </row>
    <row r="1074">
      <c r="H1074" s="22"/>
      <c r="I1074" s="22"/>
      <c r="K1074" s="36"/>
      <c r="AA1074" s="13"/>
      <c r="AB1074" s="13"/>
      <c r="AC1074" s="13"/>
      <c r="AD1074" s="13"/>
    </row>
    <row r="1075">
      <c r="H1075" s="22"/>
      <c r="I1075" s="22"/>
      <c r="K1075" s="36"/>
      <c r="AA1075" s="13"/>
      <c r="AB1075" s="13"/>
      <c r="AC1075" s="13"/>
      <c r="AD1075" s="13"/>
    </row>
    <row r="1076">
      <c r="H1076" s="22"/>
      <c r="I1076" s="22"/>
      <c r="K1076" s="36"/>
      <c r="AA1076" s="13"/>
      <c r="AB1076" s="13"/>
      <c r="AC1076" s="13"/>
      <c r="AD1076" s="13"/>
    </row>
    <row r="1077">
      <c r="H1077" s="22"/>
      <c r="I1077" s="22"/>
      <c r="K1077" s="36"/>
      <c r="AA1077" s="13"/>
      <c r="AB1077" s="13"/>
      <c r="AC1077" s="13"/>
      <c r="AD1077" s="13"/>
    </row>
    <row r="1078">
      <c r="H1078" s="22"/>
      <c r="I1078" s="22"/>
      <c r="K1078" s="36"/>
      <c r="AA1078" s="13"/>
      <c r="AB1078" s="13"/>
      <c r="AC1078" s="13"/>
      <c r="AD1078" s="13"/>
    </row>
    <row r="1079">
      <c r="H1079" s="22"/>
      <c r="I1079" s="22"/>
      <c r="K1079" s="36"/>
      <c r="AA1079" s="13"/>
      <c r="AB1079" s="13"/>
      <c r="AC1079" s="13"/>
      <c r="AD1079" s="13"/>
    </row>
    <row r="1080">
      <c r="H1080" s="22"/>
      <c r="I1080" s="22"/>
      <c r="K1080" s="36"/>
      <c r="AA1080" s="13"/>
      <c r="AB1080" s="13"/>
      <c r="AC1080" s="13"/>
      <c r="AD1080" s="13"/>
    </row>
    <row r="1081">
      <c r="H1081" s="22"/>
      <c r="I1081" s="22"/>
      <c r="K1081" s="36"/>
      <c r="AA1081" s="13"/>
      <c r="AB1081" s="13"/>
      <c r="AC1081" s="13"/>
      <c r="AD1081" s="13"/>
    </row>
    <row r="1082">
      <c r="H1082" s="22"/>
      <c r="I1082" s="22"/>
      <c r="K1082" s="36"/>
      <c r="AA1082" s="13"/>
      <c r="AB1082" s="13"/>
      <c r="AC1082" s="13"/>
      <c r="AD1082" s="13"/>
    </row>
    <row r="1083">
      <c r="H1083" s="22"/>
      <c r="I1083" s="22"/>
      <c r="K1083" s="36"/>
      <c r="AA1083" s="13"/>
      <c r="AB1083" s="13"/>
      <c r="AC1083" s="13"/>
      <c r="AD1083" s="13"/>
    </row>
    <row r="1084">
      <c r="H1084" s="22"/>
      <c r="I1084" s="22"/>
      <c r="K1084" s="36"/>
      <c r="AA1084" s="13"/>
      <c r="AB1084" s="13"/>
      <c r="AC1084" s="13"/>
      <c r="AD1084" s="13"/>
    </row>
    <row r="1085">
      <c r="H1085" s="22"/>
      <c r="I1085" s="22"/>
      <c r="K1085" s="36"/>
      <c r="AA1085" s="13"/>
      <c r="AB1085" s="13"/>
      <c r="AC1085" s="13"/>
      <c r="AD1085" s="13"/>
    </row>
    <row r="1086">
      <c r="H1086" s="22"/>
      <c r="I1086" s="22"/>
      <c r="K1086" s="36"/>
      <c r="AA1086" s="13"/>
      <c r="AB1086" s="13"/>
      <c r="AC1086" s="13"/>
      <c r="AD1086" s="13"/>
    </row>
    <row r="1087">
      <c r="H1087" s="22"/>
      <c r="I1087" s="22"/>
      <c r="K1087" s="36"/>
      <c r="AA1087" s="13"/>
      <c r="AB1087" s="13"/>
      <c r="AC1087" s="13"/>
      <c r="AD1087" s="13"/>
    </row>
    <row r="1088">
      <c r="H1088" s="22"/>
      <c r="I1088" s="22"/>
      <c r="K1088" s="36"/>
      <c r="AA1088" s="13"/>
      <c r="AB1088" s="13"/>
      <c r="AC1088" s="13"/>
      <c r="AD1088" s="13"/>
    </row>
    <row r="1089">
      <c r="H1089" s="22"/>
      <c r="I1089" s="22"/>
      <c r="K1089" s="36"/>
      <c r="AA1089" s="13"/>
      <c r="AB1089" s="13"/>
      <c r="AC1089" s="13"/>
      <c r="AD1089" s="13"/>
    </row>
    <row r="1090">
      <c r="H1090" s="22"/>
      <c r="I1090" s="22"/>
      <c r="K1090" s="36"/>
      <c r="AA1090" s="13"/>
      <c r="AB1090" s="13"/>
      <c r="AC1090" s="13"/>
      <c r="AD1090" s="13"/>
    </row>
    <row r="1091">
      <c r="H1091" s="22"/>
      <c r="I1091" s="22"/>
      <c r="K1091" s="36"/>
      <c r="AA1091" s="13"/>
      <c r="AB1091" s="13"/>
      <c r="AC1091" s="13"/>
      <c r="AD1091" s="13"/>
    </row>
    <row r="1092">
      <c r="H1092" s="22"/>
      <c r="I1092" s="22"/>
      <c r="K1092" s="36"/>
      <c r="AA1092" s="13"/>
      <c r="AB1092" s="13"/>
      <c r="AC1092" s="13"/>
      <c r="AD1092" s="13"/>
    </row>
    <row r="1093">
      <c r="H1093" s="22"/>
      <c r="I1093" s="22"/>
      <c r="K1093" s="36"/>
      <c r="AA1093" s="13"/>
      <c r="AB1093" s="13"/>
      <c r="AC1093" s="13"/>
      <c r="AD1093" s="13"/>
    </row>
    <row r="1094">
      <c r="H1094" s="22"/>
      <c r="I1094" s="22"/>
      <c r="K1094" s="36"/>
      <c r="AA1094" s="13"/>
      <c r="AB1094" s="13"/>
      <c r="AC1094" s="13"/>
      <c r="AD1094" s="13"/>
    </row>
    <row r="1095">
      <c r="H1095" s="22"/>
      <c r="I1095" s="22"/>
      <c r="K1095" s="36"/>
      <c r="AA1095" s="13"/>
      <c r="AB1095" s="13"/>
      <c r="AC1095" s="13"/>
      <c r="AD1095" s="13"/>
    </row>
    <row r="1096">
      <c r="H1096" s="22"/>
      <c r="I1096" s="22"/>
      <c r="K1096" s="36"/>
      <c r="AA1096" s="13"/>
      <c r="AB1096" s="13"/>
      <c r="AC1096" s="13"/>
      <c r="AD1096" s="13"/>
    </row>
    <row r="1097">
      <c r="H1097" s="22"/>
      <c r="I1097" s="22"/>
      <c r="K1097" s="36"/>
      <c r="AA1097" s="13"/>
      <c r="AB1097" s="13"/>
      <c r="AC1097" s="13"/>
      <c r="AD1097" s="13"/>
    </row>
    <row r="1098">
      <c r="H1098" s="22"/>
      <c r="I1098" s="22"/>
      <c r="K1098" s="36"/>
      <c r="AA1098" s="13"/>
      <c r="AB1098" s="13"/>
      <c r="AC1098" s="13"/>
      <c r="AD1098" s="13"/>
    </row>
    <row r="1099">
      <c r="H1099" s="22"/>
      <c r="I1099" s="22"/>
      <c r="K1099" s="36"/>
      <c r="AA1099" s="13"/>
      <c r="AB1099" s="13"/>
      <c r="AC1099" s="13"/>
      <c r="AD1099" s="13"/>
    </row>
    <row r="1100">
      <c r="H1100" s="22"/>
      <c r="I1100" s="22"/>
      <c r="K1100" s="36"/>
      <c r="AA1100" s="13"/>
      <c r="AB1100" s="13"/>
      <c r="AC1100" s="13"/>
      <c r="AD1100" s="13"/>
    </row>
    <row r="1101">
      <c r="H1101" s="22"/>
      <c r="I1101" s="22"/>
      <c r="K1101" s="36"/>
      <c r="AA1101" s="13"/>
      <c r="AB1101" s="13"/>
      <c r="AC1101" s="13"/>
      <c r="AD1101" s="13"/>
    </row>
    <row r="1102">
      <c r="H1102" s="22"/>
      <c r="I1102" s="22"/>
      <c r="K1102" s="36"/>
      <c r="AA1102" s="13"/>
      <c r="AB1102" s="13"/>
      <c r="AC1102" s="13"/>
      <c r="AD1102" s="13"/>
    </row>
    <row r="1103">
      <c r="H1103" s="22"/>
      <c r="I1103" s="22"/>
      <c r="K1103" s="36"/>
      <c r="AA1103" s="13"/>
      <c r="AB1103" s="13"/>
      <c r="AC1103" s="13"/>
      <c r="AD1103" s="13"/>
    </row>
    <row r="1104">
      <c r="H1104" s="22"/>
      <c r="I1104" s="22"/>
      <c r="K1104" s="36"/>
      <c r="AA1104" s="13"/>
      <c r="AB1104" s="13"/>
      <c r="AC1104" s="13"/>
      <c r="AD1104" s="13"/>
    </row>
    <row r="1105">
      <c r="H1105" s="22"/>
      <c r="I1105" s="22"/>
      <c r="K1105" s="36"/>
      <c r="AA1105" s="13"/>
      <c r="AB1105" s="13"/>
      <c r="AC1105" s="13"/>
      <c r="AD1105" s="13"/>
    </row>
    <row r="1106">
      <c r="H1106" s="22"/>
      <c r="I1106" s="22"/>
      <c r="K1106" s="36"/>
      <c r="AA1106" s="13"/>
      <c r="AB1106" s="13"/>
      <c r="AC1106" s="13"/>
      <c r="AD1106" s="13"/>
    </row>
    <row r="1107">
      <c r="H1107" s="22"/>
      <c r="I1107" s="22"/>
      <c r="K1107" s="36"/>
      <c r="AA1107" s="13"/>
      <c r="AB1107" s="13"/>
      <c r="AC1107" s="13"/>
      <c r="AD1107" s="13"/>
    </row>
    <row r="1108">
      <c r="H1108" s="22"/>
      <c r="I1108" s="22"/>
      <c r="K1108" s="36"/>
      <c r="AA1108" s="13"/>
      <c r="AB1108" s="13"/>
      <c r="AC1108" s="13"/>
      <c r="AD1108" s="13"/>
    </row>
    <row r="1109">
      <c r="H1109" s="22"/>
      <c r="I1109" s="22"/>
      <c r="K1109" s="36"/>
      <c r="AA1109" s="13"/>
      <c r="AB1109" s="13"/>
      <c r="AC1109" s="13"/>
      <c r="AD1109" s="13"/>
    </row>
    <row r="1110">
      <c r="H1110" s="22"/>
      <c r="I1110" s="22"/>
      <c r="K1110" s="36"/>
      <c r="AA1110" s="13"/>
      <c r="AB1110" s="13"/>
      <c r="AC1110" s="13"/>
      <c r="AD1110" s="13"/>
    </row>
    <row r="1111">
      <c r="H1111" s="22"/>
      <c r="I1111" s="22"/>
      <c r="K1111" s="36"/>
      <c r="AA1111" s="13"/>
      <c r="AB1111" s="13"/>
      <c r="AC1111" s="13"/>
      <c r="AD1111" s="13"/>
    </row>
    <row r="1112">
      <c r="H1112" s="22"/>
      <c r="I1112" s="22"/>
      <c r="K1112" s="36"/>
      <c r="AA1112" s="13"/>
      <c r="AB1112" s="13"/>
      <c r="AC1112" s="13"/>
      <c r="AD1112" s="13"/>
    </row>
    <row r="1113">
      <c r="H1113" s="22"/>
      <c r="I1113" s="22"/>
      <c r="K1113" s="36"/>
      <c r="AA1113" s="13"/>
      <c r="AB1113" s="13"/>
      <c r="AC1113" s="13"/>
      <c r="AD1113" s="13"/>
    </row>
    <row r="1114">
      <c r="H1114" s="22"/>
      <c r="I1114" s="22"/>
      <c r="K1114" s="36"/>
      <c r="AA1114" s="13"/>
      <c r="AB1114" s="13"/>
      <c r="AC1114" s="13"/>
      <c r="AD1114" s="13"/>
    </row>
    <row r="1115">
      <c r="H1115" s="22"/>
      <c r="I1115" s="22"/>
      <c r="K1115" s="36"/>
      <c r="AA1115" s="13"/>
      <c r="AB1115" s="13"/>
      <c r="AC1115" s="13"/>
      <c r="AD1115" s="13"/>
    </row>
    <row r="1116">
      <c r="H1116" s="22"/>
      <c r="I1116" s="22"/>
      <c r="K1116" s="36"/>
      <c r="AA1116" s="13"/>
      <c r="AB1116" s="13"/>
      <c r="AC1116" s="13"/>
      <c r="AD1116" s="13"/>
    </row>
    <row r="1117">
      <c r="H1117" s="22"/>
      <c r="I1117" s="22"/>
      <c r="K1117" s="36"/>
      <c r="AA1117" s="13"/>
      <c r="AB1117" s="13"/>
      <c r="AC1117" s="13"/>
      <c r="AD1117" s="13"/>
    </row>
    <row r="1118">
      <c r="H1118" s="22"/>
      <c r="I1118" s="22"/>
      <c r="K1118" s="36"/>
      <c r="AA1118" s="13"/>
      <c r="AB1118" s="13"/>
      <c r="AC1118" s="13"/>
      <c r="AD1118" s="13"/>
    </row>
    <row r="1119">
      <c r="H1119" s="22"/>
      <c r="I1119" s="22"/>
      <c r="K1119" s="36"/>
      <c r="AA1119" s="13"/>
      <c r="AB1119" s="13"/>
      <c r="AC1119" s="13"/>
      <c r="AD1119" s="13"/>
    </row>
    <row r="1120">
      <c r="H1120" s="22"/>
      <c r="I1120" s="22"/>
      <c r="K1120" s="36"/>
      <c r="AA1120" s="13"/>
      <c r="AB1120" s="13"/>
      <c r="AC1120" s="13"/>
      <c r="AD1120" s="13"/>
    </row>
    <row r="1121">
      <c r="H1121" s="22"/>
      <c r="I1121" s="22"/>
      <c r="K1121" s="36"/>
      <c r="AA1121" s="13"/>
      <c r="AB1121" s="13"/>
      <c r="AC1121" s="13"/>
      <c r="AD1121" s="13"/>
    </row>
    <row r="1122">
      <c r="H1122" s="22"/>
      <c r="I1122" s="22"/>
      <c r="K1122" s="36"/>
      <c r="AA1122" s="13"/>
      <c r="AB1122" s="13"/>
      <c r="AC1122" s="13"/>
      <c r="AD1122" s="13"/>
    </row>
    <row r="1123">
      <c r="H1123" s="22"/>
      <c r="I1123" s="22"/>
      <c r="K1123" s="36"/>
      <c r="AA1123" s="13"/>
      <c r="AB1123" s="13"/>
      <c r="AC1123" s="13"/>
      <c r="AD1123" s="13"/>
    </row>
    <row r="1124">
      <c r="H1124" s="22"/>
      <c r="I1124" s="22"/>
      <c r="K1124" s="36"/>
      <c r="AA1124" s="13"/>
      <c r="AB1124" s="13"/>
      <c r="AC1124" s="13"/>
      <c r="AD1124" s="13"/>
    </row>
    <row r="1125">
      <c r="H1125" s="22"/>
      <c r="I1125" s="22"/>
      <c r="K1125" s="36"/>
      <c r="AA1125" s="13"/>
      <c r="AB1125" s="13"/>
      <c r="AC1125" s="13"/>
      <c r="AD1125" s="13"/>
    </row>
    <row r="1126">
      <c r="H1126" s="22"/>
      <c r="I1126" s="22"/>
      <c r="K1126" s="36"/>
      <c r="AA1126" s="13"/>
      <c r="AB1126" s="13"/>
      <c r="AC1126" s="13"/>
      <c r="AD1126" s="13"/>
    </row>
    <row r="1127">
      <c r="H1127" s="22"/>
      <c r="I1127" s="22"/>
      <c r="K1127" s="36"/>
      <c r="AA1127" s="13"/>
      <c r="AB1127" s="13"/>
      <c r="AC1127" s="13"/>
      <c r="AD1127" s="13"/>
    </row>
    <row r="1128">
      <c r="H1128" s="22"/>
      <c r="I1128" s="22"/>
      <c r="K1128" s="36"/>
      <c r="AA1128" s="13"/>
      <c r="AB1128" s="13"/>
      <c r="AC1128" s="13"/>
      <c r="AD1128" s="13"/>
    </row>
    <row r="1129">
      <c r="H1129" s="22"/>
      <c r="I1129" s="22"/>
      <c r="K1129" s="36"/>
      <c r="AA1129" s="13"/>
      <c r="AB1129" s="13"/>
      <c r="AC1129" s="13"/>
      <c r="AD1129" s="13"/>
    </row>
    <row r="1130">
      <c r="H1130" s="22"/>
      <c r="I1130" s="22"/>
      <c r="K1130" s="36"/>
      <c r="AA1130" s="13"/>
      <c r="AB1130" s="13"/>
      <c r="AC1130" s="13"/>
      <c r="AD1130" s="13"/>
    </row>
    <row r="1131">
      <c r="H1131" s="22"/>
      <c r="I1131" s="22"/>
      <c r="K1131" s="36"/>
      <c r="AA1131" s="13"/>
      <c r="AB1131" s="13"/>
      <c r="AC1131" s="13"/>
      <c r="AD1131" s="13"/>
    </row>
    <row r="1132">
      <c r="H1132" s="22"/>
      <c r="I1132" s="22"/>
      <c r="K1132" s="36"/>
      <c r="AA1132" s="13"/>
      <c r="AB1132" s="13"/>
      <c r="AC1132" s="13"/>
      <c r="AD1132" s="13"/>
    </row>
    <row r="1133">
      <c r="H1133" s="22"/>
      <c r="I1133" s="22"/>
      <c r="K1133" s="36"/>
      <c r="AA1133" s="13"/>
      <c r="AB1133" s="13"/>
      <c r="AC1133" s="13"/>
      <c r="AD1133" s="13"/>
    </row>
    <row r="1134">
      <c r="H1134" s="22"/>
      <c r="I1134" s="22"/>
      <c r="K1134" s="36"/>
      <c r="AA1134" s="13"/>
      <c r="AB1134" s="13"/>
      <c r="AC1134" s="13"/>
      <c r="AD1134" s="13"/>
    </row>
    <row r="1135">
      <c r="H1135" s="22"/>
      <c r="I1135" s="22"/>
      <c r="K1135" s="36"/>
      <c r="AA1135" s="13"/>
      <c r="AB1135" s="13"/>
      <c r="AC1135" s="13"/>
      <c r="AD1135" s="13"/>
    </row>
    <row r="1136">
      <c r="H1136" s="22"/>
      <c r="I1136" s="22"/>
      <c r="K1136" s="36"/>
      <c r="AA1136" s="13"/>
      <c r="AB1136" s="13"/>
      <c r="AC1136" s="13"/>
      <c r="AD1136" s="13"/>
    </row>
    <row r="1137">
      <c r="H1137" s="22"/>
      <c r="I1137" s="22"/>
      <c r="K1137" s="36"/>
      <c r="AA1137" s="13"/>
      <c r="AB1137" s="13"/>
      <c r="AC1137" s="13"/>
      <c r="AD1137" s="13"/>
    </row>
    <row r="1138">
      <c r="H1138" s="22"/>
      <c r="I1138" s="22"/>
      <c r="K1138" s="36"/>
      <c r="AA1138" s="13"/>
      <c r="AB1138" s="13"/>
      <c r="AC1138" s="13"/>
      <c r="AD1138" s="13"/>
    </row>
    <row r="1139">
      <c r="H1139" s="22"/>
      <c r="I1139" s="22"/>
      <c r="K1139" s="36"/>
      <c r="AA1139" s="13"/>
      <c r="AB1139" s="13"/>
      <c r="AC1139" s="13"/>
      <c r="AD1139" s="13"/>
    </row>
    <row r="1140">
      <c r="H1140" s="22"/>
      <c r="I1140" s="22"/>
      <c r="K1140" s="36"/>
      <c r="AA1140" s="13"/>
      <c r="AB1140" s="13"/>
      <c r="AC1140" s="13"/>
      <c r="AD1140" s="13"/>
    </row>
  </sheetData>
  <mergeCells count="82">
    <mergeCell ref="L76:L79"/>
    <mergeCell ref="M76:M79"/>
    <mergeCell ref="N76:N79"/>
    <mergeCell ref="O76:O79"/>
    <mergeCell ref="C76:C79"/>
    <mergeCell ref="D76:D79"/>
    <mergeCell ref="E76:E79"/>
    <mergeCell ref="F76:F79"/>
    <mergeCell ref="G76:G79"/>
    <mergeCell ref="J76:J79"/>
    <mergeCell ref="K76:K79"/>
    <mergeCell ref="A96:A100"/>
    <mergeCell ref="B96:B100"/>
    <mergeCell ref="C96:C100"/>
    <mergeCell ref="D96:D100"/>
    <mergeCell ref="E96:E100"/>
    <mergeCell ref="F96:F100"/>
    <mergeCell ref="G96:G100"/>
    <mergeCell ref="H96:H100"/>
    <mergeCell ref="A101:H101"/>
    <mergeCell ref="C103:C106"/>
    <mergeCell ref="D103:D106"/>
    <mergeCell ref="E103:E106"/>
    <mergeCell ref="F103:F106"/>
    <mergeCell ref="G103:G106"/>
    <mergeCell ref="L116:L120"/>
    <mergeCell ref="M116:M120"/>
    <mergeCell ref="N116:N120"/>
    <mergeCell ref="O116:O120"/>
    <mergeCell ref="D116:D120"/>
    <mergeCell ref="E116:E120"/>
    <mergeCell ref="F116:F120"/>
    <mergeCell ref="G116:G120"/>
    <mergeCell ref="J116:J120"/>
    <mergeCell ref="K116:K120"/>
    <mergeCell ref="A121:H121"/>
    <mergeCell ref="F17:F20"/>
    <mergeCell ref="G17:G20"/>
    <mergeCell ref="A2:H2"/>
    <mergeCell ref="C3:C6"/>
    <mergeCell ref="D3:D6"/>
    <mergeCell ref="E3:E6"/>
    <mergeCell ref="F3:F6"/>
    <mergeCell ref="G3:G6"/>
    <mergeCell ref="C17:C20"/>
    <mergeCell ref="D17:D20"/>
    <mergeCell ref="E17:E20"/>
    <mergeCell ref="D32:D36"/>
    <mergeCell ref="E32:E36"/>
    <mergeCell ref="F32:F36"/>
    <mergeCell ref="G32:G36"/>
    <mergeCell ref="A38:H38"/>
    <mergeCell ref="C32:C36"/>
    <mergeCell ref="C63:C67"/>
    <mergeCell ref="D63:D67"/>
    <mergeCell ref="E63:E67"/>
    <mergeCell ref="F63:F67"/>
    <mergeCell ref="G63:G67"/>
    <mergeCell ref="A68:H68"/>
    <mergeCell ref="L70:L73"/>
    <mergeCell ref="M70:M73"/>
    <mergeCell ref="N70:N73"/>
    <mergeCell ref="O70:O73"/>
    <mergeCell ref="C70:C73"/>
    <mergeCell ref="D70:D73"/>
    <mergeCell ref="E70:E73"/>
    <mergeCell ref="F70:F73"/>
    <mergeCell ref="G70:G73"/>
    <mergeCell ref="J70:J73"/>
    <mergeCell ref="K70:K73"/>
    <mergeCell ref="K123:K126"/>
    <mergeCell ref="L123:L126"/>
    <mergeCell ref="M123:M126"/>
    <mergeCell ref="N123:N126"/>
    <mergeCell ref="O123:O126"/>
    <mergeCell ref="C116:C120"/>
    <mergeCell ref="C123:C126"/>
    <mergeCell ref="D123:D126"/>
    <mergeCell ref="E123:E126"/>
    <mergeCell ref="F123:F126"/>
    <mergeCell ref="G123:G126"/>
    <mergeCell ref="J123:J126"/>
  </mergeCells>
  <dataValidations>
    <dataValidation type="list" allowBlank="1" showErrorMessage="1" sqref="B3:B36 B40:B67 B70:B96 B103:B120 B123:B140">
      <formula1>"Modular,Accessories,Civil Services"</formula1>
    </dataValidation>
    <dataValidation type="list" allowBlank="1" showErrorMessage="1" sqref="D3 D7:D17 D21:D32 D40:D63 D70 D74:D76 D80:D96 D103 D107:D116 D123 D127:D140">
      <formula1>"Base Storage,Wall Storage,Tall Storage,Wardrobe ,Tambour Storage  ,Panel ,Loft ,Curved Shape Base Storage unit ,Ledge,Partition,Arch Shape panel,Curved Shape Drawer Storage unit ,Open Unit - Inner 1mm"</formula1>
    </dataValidation>
    <dataValidation type="list" allowBlank="1" showErrorMessage="1" sqref="F3 F7:F17 F21:F32 F40:F63 F70 F74:F76 F80:F96 F103 F107:F116 F123 F127:F140">
      <formula1>"Core Material,Finish Material,Hinges"</formula1>
    </dataValidation>
    <dataValidation type="list" allowBlank="1" showErrorMessage="1" sqref="E3 E7:E17 E21:E24 E27:E32 E40:E55 E58:E63 E70 E74:E76 E80:E89 E92:E96 E103 E107:E109 E112:E116 E123 E127:E133 E136:E140">
      <formula1>"Carcass,Shutter ,Carcass/shutter ,Wallpanel ,Back panel Support ,pelmet ,Ceiling Panel ,Charcoal Panel,Base panel / Side panel ,Frame and Shutter ,Ledge -25mm,Ledge -36mm,Ledge -50mm,Partition -75mm,Curved Shape Panel "</formula1>
    </dataValidation>
    <dataValidation type="list" allowBlank="1" showErrorMessage="1" sqref="G7 G13:G17 G21 G41 G47:G52 G74 G83:G88 G107 G127">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,Carcass  Inner 1mm- BWP / Shutter - Plywood Border with Clear / Tinted Glass ,Carcass inner 1mm - BWP / Shutter -  Plywood Border with Fluted Glass ,Carcass  Inner 1mm- BWP / Shutter - Black / Silver  colour Aluminium"&amp;" Profile with Clear or Tinted Glass ,Carcass Inner 1mm - BWP / Shutter - Black / Silver  colour Aluminium Profile with Fluted Glass,Carcass Inner 1mm  - BWP / Shutter - Gold  / Rose Gold   colour Aluminium Profile with Fluted Glass,Carcass Inner 1mm- BWP "&amp;"/ Shutter - Gold  / Rose Gold   colour Aluminium Profile with Clear or Tinted  Glass"</formula1>
    </dataValidation>
    <dataValidation type="list" allowBlank="1" showErrorMessage="1" sqref="H3:H26 H40:H57 H70:H91 H103:H111 H123:H135">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Dek,ForMica,Carcass - Kit ply Vista Marine / Shutter - Green Panel with Glass ,Carcass - Kit ply Vista Marine ,Carcass -Kitply Vista Marine / Shutter - Imported Aluminium Profile Shutters ,Carcass - Kitply Plus"&amp;" / Shutter - Green Panel,Carcass / Shutter - Kitply Vist Marine with Glass,Frame- Kit ply Vista Marine / Shutter - Green Panel,Frame - Kit ply Plus / Shutter - Green Panel,Carcass - Kitply plus"</formula1>
    </dataValidation>
    <dataValidation type="list" allowBlank="1" showErrorMessage="1" sqref="E25:E26 E56:E57 E90:E91 E110:E111 E134:E135">
      <formula1>"Carcass,Shutter ,Frame /shutter ,Wallpanel ,Back panel Support ,pelmet ,Ceiling Panel ,Charcoal Panel,Base panel / Side panel , Frame and Shutter "</formula1>
    </dataValidation>
    <dataValidation type="list" allowBlank="1" showErrorMessage="1" sqref="C3 C7:C17 C21:C32 C40:C63 C70 C74:C76 C80:C96 C103 C107:C116 C123 C127:C140">
      <formula1>"Wet / Exposed Area,Dry / Inexposed area"</formula1>
    </dataValidation>
    <dataValidation type="list" allowBlank="1" showErrorMessage="1" sqref="G3 G8:G12 G22:G32 G40 G42:G46 G53:G63 G70 G75:G76 G80:G82 G89:G96 G103 G108:G116 G123 G128:G140">
      <formula1>"CARCASS - BWP,CARCASS - MR,HDHMR,HDHMR - BOILO ,MR - PREMIUM ,ONYSIS - Soft Close ,VEYOSIS - Soft Close ,Smooth Finish ,Glossy Finish ,MR+ Finish,Designer Finish ,Acrylic ,Anti Finger Print ,Soft Close,HDF,Carcass - BWP / Shutter - HDF,Carcass - MR / Shut"&amp;"ter - Plywood Border with Clear / Tinted Glass ,Carcass - MR / Shutter -  Ply wood border with Fluted Glass ,Carcass - MR / Shutter - Black / Silver  colour Aluminium Profile with Clear or Tinted Glass ,Carcass - MR /  Shutter - Black or Silver colour Alu"&amp;"minium Profile with Fluted Glass ,Carcass - MR / Shutter - Gold Colour Aluminium profile with Clear Glass ,Carcass - MR / Shutter - Gold Colour Aluminium profile with Fluted Glass ,Carcass - BWP / Shutter - Plywood Border with Clear / Tinted Glass ,Carcas"&amp;"s - BWP / Shutter -  Plywood Border with Fluted Glass ,Carcass - BWP / Shutter - Black / Silver  colour Aluminium Profile with Clear or Tinted Glass ,Carcass - BWP / Shutter - Black / Silver  colour Aluminium Profile with Fluted Glass,Carcass - BWP / Shut"&amp;"ter - Gold  / Rose Gold   colour Aluminium Profile with Fluted Glass,Carcass - BWP / Shutter - Gold  / Rose Gold   colour Aluminium Profile with Clear or Tinted  Glass,Carcass - MR Premium / Shutter - HDF,Carcass - MR - Premium,Frame - BWP / Shutter - HDF"&amp;" ,Frame - MR Premium / Shutter - HDF "</formula1>
    </dataValidation>
    <dataValidation type="list" allowBlank="1" showErrorMessage="1" sqref="A3:A36 A39:A67 A69:A96 A102:A120 A122:A140">
      <formula1>"Economy,Mid Premium,Premium,Luxury"</formula1>
    </dataValidation>
    <dataValidation type="list" allowBlank="1" showErrorMessage="1" sqref="H27:H36 H58:H67 H92:H96 H112:H120 H136:H140">
      <formula1>"Carcass - Kit ply Vista Marine / Shutter - Green Panel,Cracass - Kit Ply Plus / Shutter - Imported  Aluminium Profile shutter ,Fortune gold ,Cetury Ply - Sainik ,Green Ply - Obsolute ,Century Ply - Bond,Green Ply - Optima - G ,Century Ply - Club Prime ,Gr"&amp;"een ply - Gold ,Century Ply - Architect ,Green PLy - Club -500 ,Ebco ,Sleek ,Hettich,Hafele ,Blum,Abhiyam ,Catch Plus ,Virgo ,New Mika ,GreenLam ,Merino ,Century ,Glorio ,Zurich ,Europratik,rehau,Advanced,Royale Touch ,Roayale Crown ,Stylam,Action Tesa ,G"&amp;"reen Panels ,Rotolam,Safe Decor,Sun Mica,Sun Dek,ForMica,Ledge - Kit Ply Vista Marine ,Kit Ply Vista Marine ,Ledge - Kitply plus,Kitply plus"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8.63"/>
    <col customWidth="1" min="2" max="2" width="48.25"/>
    <col customWidth="1" min="3" max="3" width="6.25"/>
    <col customWidth="1" min="4" max="4" width="5.5"/>
    <col customWidth="1" min="5" max="5" width="20.88"/>
    <col customWidth="1" min="6" max="6" width="4.0"/>
    <col customWidth="1" min="7" max="7" width="6.25"/>
    <col customWidth="1" min="8" max="8" width="5.5"/>
    <col customWidth="1" min="9" max="9" width="4.38"/>
    <col customWidth="1" min="10" max="10" width="7.25"/>
    <col customWidth="1" min="11" max="11" width="7.13"/>
    <col customWidth="1" min="12" max="12" width="9.0"/>
  </cols>
  <sheetData>
    <row r="1">
      <c r="A1" s="38"/>
      <c r="B1" s="39"/>
      <c r="C1" s="40"/>
      <c r="D1" s="40"/>
      <c r="E1" s="40"/>
      <c r="F1" s="40"/>
      <c r="G1" s="41"/>
      <c r="H1" s="41"/>
      <c r="I1" s="38"/>
      <c r="J1" s="42"/>
      <c r="K1" s="42"/>
      <c r="L1" s="41"/>
      <c r="M1" s="43"/>
      <c r="N1" s="43"/>
      <c r="O1" s="43"/>
      <c r="P1" s="43"/>
      <c r="Q1" s="43"/>
      <c r="R1" s="43"/>
      <c r="S1" s="43"/>
      <c r="T1" s="43"/>
      <c r="U1" s="43"/>
      <c r="V1" s="43"/>
      <c r="W1" s="43"/>
      <c r="X1" s="43"/>
      <c r="Y1" s="43"/>
      <c r="Z1" s="43"/>
      <c r="AA1" s="43"/>
      <c r="AB1" s="43"/>
      <c r="AC1" s="43"/>
      <c r="AD1" s="43"/>
    </row>
    <row r="2">
      <c r="A2" s="44" t="s">
        <v>28</v>
      </c>
      <c r="B2" s="45" t="s">
        <v>222</v>
      </c>
      <c r="C2" s="46" t="s">
        <v>673</v>
      </c>
      <c r="D2" s="47" t="s">
        <v>674</v>
      </c>
      <c r="E2" s="47" t="s">
        <v>675</v>
      </c>
      <c r="F2" s="47" t="s">
        <v>676</v>
      </c>
      <c r="G2" s="48" t="s">
        <v>677</v>
      </c>
      <c r="H2" s="49" t="s">
        <v>674</v>
      </c>
      <c r="I2" s="50" t="s">
        <v>676</v>
      </c>
      <c r="J2" s="51" t="s">
        <v>34</v>
      </c>
      <c r="K2" s="51" t="s">
        <v>678</v>
      </c>
      <c r="L2" s="49" t="s">
        <v>679</v>
      </c>
      <c r="M2" s="43"/>
      <c r="N2" s="52" t="s">
        <v>680</v>
      </c>
      <c r="O2" s="43"/>
      <c r="P2" s="43"/>
      <c r="Q2" s="43"/>
      <c r="R2" s="43"/>
      <c r="S2" s="43"/>
      <c r="T2" s="43"/>
      <c r="U2" s="43"/>
      <c r="V2" s="43"/>
      <c r="W2" s="43"/>
      <c r="X2" s="43"/>
      <c r="Y2" s="43"/>
      <c r="Z2" s="43"/>
      <c r="AA2" s="43"/>
      <c r="AB2" s="43"/>
      <c r="AC2" s="43"/>
      <c r="AD2" s="43"/>
    </row>
    <row r="3">
      <c r="A3" s="53"/>
      <c r="B3" s="54"/>
      <c r="C3" s="54"/>
      <c r="D3" s="54"/>
      <c r="E3" s="54"/>
      <c r="F3" s="54"/>
      <c r="G3" s="54"/>
      <c r="H3" s="54"/>
      <c r="I3" s="54"/>
      <c r="J3" s="54"/>
      <c r="K3" s="54"/>
      <c r="L3" s="54"/>
      <c r="M3" s="43"/>
      <c r="N3" s="43"/>
      <c r="O3" s="43"/>
      <c r="P3" s="43"/>
      <c r="Q3" s="43"/>
      <c r="R3" s="43"/>
      <c r="S3" s="43"/>
      <c r="T3" s="43"/>
      <c r="U3" s="43"/>
      <c r="V3" s="43"/>
      <c r="W3" s="43"/>
      <c r="X3" s="43"/>
      <c r="Y3" s="43"/>
      <c r="Z3" s="43"/>
      <c r="AA3" s="43"/>
      <c r="AB3" s="43"/>
      <c r="AC3" s="43"/>
      <c r="AD3" s="43"/>
    </row>
    <row r="4">
      <c r="A4" s="55"/>
      <c r="B4" s="56" t="s">
        <v>681</v>
      </c>
      <c r="C4" s="57"/>
      <c r="D4" s="57"/>
      <c r="E4" s="57"/>
      <c r="F4" s="57"/>
      <c r="G4" s="58"/>
      <c r="H4" s="58"/>
      <c r="I4" s="59"/>
      <c r="J4" s="60"/>
      <c r="K4" s="60"/>
      <c r="L4" s="61"/>
      <c r="M4" s="43"/>
      <c r="N4" s="43"/>
      <c r="O4" s="43"/>
      <c r="P4" s="62"/>
      <c r="Q4" s="63"/>
      <c r="R4" s="63"/>
      <c r="S4" s="63"/>
      <c r="T4" s="63"/>
      <c r="U4" s="63"/>
      <c r="V4" s="63"/>
      <c r="W4" s="63"/>
      <c r="X4" s="63"/>
      <c r="Y4" s="63"/>
      <c r="Z4" s="63"/>
      <c r="AA4" s="63"/>
      <c r="AB4" s="63"/>
      <c r="AC4" s="63"/>
      <c r="AD4" s="63"/>
    </row>
    <row r="5">
      <c r="A5" s="55"/>
      <c r="B5" s="56" t="s">
        <v>682</v>
      </c>
      <c r="C5" s="57"/>
      <c r="D5" s="57"/>
      <c r="E5" s="57"/>
      <c r="F5" s="57"/>
      <c r="G5" s="58"/>
      <c r="H5" s="58"/>
      <c r="I5" s="59"/>
      <c r="J5" s="60"/>
      <c r="K5" s="60"/>
      <c r="L5" s="58"/>
      <c r="M5" s="62"/>
      <c r="N5" s="62"/>
      <c r="O5" s="62"/>
      <c r="P5" s="62"/>
      <c r="Q5" s="62"/>
      <c r="R5" s="62"/>
      <c r="S5" s="62"/>
      <c r="T5" s="62"/>
      <c r="U5" s="62"/>
      <c r="V5" s="62"/>
      <c r="W5" s="62"/>
      <c r="X5" s="62"/>
      <c r="Y5" s="62"/>
      <c r="Z5" s="62"/>
      <c r="AA5" s="62"/>
      <c r="AB5" s="62"/>
      <c r="AC5" s="62"/>
      <c r="AD5" s="62"/>
    </row>
    <row r="6" ht="33.0" customHeight="1">
      <c r="A6" s="64"/>
      <c r="B6" s="65" t="str">
        <f>Economy!I46</f>
        <v>Supply and installation of Base storage unit with MR Premium Carcass, HDF Shutter, Smooth finish laminate and soft close hinges  </v>
      </c>
      <c r="C6" s="66">
        <v>4.0</v>
      </c>
      <c r="D6" s="66">
        <v>1.5</v>
      </c>
      <c r="E6" s="67">
        <f t="shared" ref="E6:E13" si="2">C6*D6</f>
        <v>6</v>
      </c>
      <c r="F6" s="66" t="s">
        <v>683</v>
      </c>
      <c r="G6" s="68">
        <f t="shared" ref="G6:H6" si="1">C6*300</f>
        <v>1200</v>
      </c>
      <c r="H6" s="69">
        <f t="shared" si="1"/>
        <v>450</v>
      </c>
      <c r="I6" s="68" t="s">
        <v>684</v>
      </c>
      <c r="J6" s="70">
        <f>Economy!M46</f>
        <v>1718.75</v>
      </c>
      <c r="K6" s="71">
        <v>1.0</v>
      </c>
      <c r="L6" s="72">
        <f t="shared" ref="L6:L13" si="4">K6*J6*E6</f>
        <v>10312.5</v>
      </c>
      <c r="M6" s="62"/>
      <c r="N6" s="62"/>
      <c r="O6" s="62"/>
      <c r="P6" s="62"/>
      <c r="Q6" s="62"/>
      <c r="R6" s="62"/>
      <c r="S6" s="62"/>
      <c r="T6" s="62"/>
      <c r="U6" s="62"/>
      <c r="V6" s="62"/>
      <c r="W6" s="62"/>
      <c r="X6" s="62"/>
      <c r="Y6" s="62"/>
      <c r="Z6" s="62"/>
      <c r="AA6" s="62"/>
      <c r="AB6" s="62"/>
      <c r="AC6" s="43"/>
      <c r="AD6" s="43"/>
    </row>
    <row r="7">
      <c r="A7" s="64"/>
      <c r="B7" s="73" t="str">
        <f>Economy!I57</f>
        <v>Supply and installation of Base storage unit with MR Premium Carcass, Aluminium profile shutter with Tinted glass, Smooth finish laminate and soft close hinges  </v>
      </c>
      <c r="C7" s="66">
        <v>2.0</v>
      </c>
      <c r="D7" s="66">
        <v>1.5</v>
      </c>
      <c r="E7" s="67">
        <f t="shared" si="2"/>
        <v>3</v>
      </c>
      <c r="F7" s="66" t="s">
        <v>683</v>
      </c>
      <c r="G7" s="68">
        <f t="shared" ref="G7:H7" si="3">C7*300</f>
        <v>600</v>
      </c>
      <c r="H7" s="68">
        <f t="shared" si="3"/>
        <v>450</v>
      </c>
      <c r="I7" s="68" t="s">
        <v>684</v>
      </c>
      <c r="J7" s="70">
        <f>Economy!M57</f>
        <v>2656.25</v>
      </c>
      <c r="K7" s="71">
        <v>1.0</v>
      </c>
      <c r="L7" s="72">
        <f t="shared" si="4"/>
        <v>7968.75</v>
      </c>
      <c r="M7" s="74" t="s">
        <v>685</v>
      </c>
      <c r="N7" s="62"/>
      <c r="O7" s="62"/>
      <c r="P7" s="62"/>
      <c r="Q7" s="62"/>
      <c r="R7" s="62"/>
      <c r="S7" s="62"/>
      <c r="T7" s="62"/>
      <c r="U7" s="62"/>
      <c r="V7" s="62"/>
      <c r="W7" s="62"/>
      <c r="X7" s="62"/>
      <c r="Y7" s="62"/>
      <c r="Z7" s="62"/>
      <c r="AA7" s="62"/>
      <c r="AB7" s="62"/>
      <c r="AC7" s="43"/>
      <c r="AD7" s="43"/>
    </row>
    <row r="8">
      <c r="A8" s="64"/>
      <c r="B8" s="73" t="str">
        <f>Economy!I58</f>
        <v>Supply and installation of Wall storage unit with MR Premium Carcass, Aluminium profile shutter with Tinted glass, Smooth finish laminate and soft close hinges  </v>
      </c>
      <c r="C8" s="66">
        <v>1.5</v>
      </c>
      <c r="D8" s="66">
        <v>5.0</v>
      </c>
      <c r="E8" s="67">
        <f t="shared" si="2"/>
        <v>7.5</v>
      </c>
      <c r="F8" s="66" t="s">
        <v>683</v>
      </c>
      <c r="G8" s="68">
        <f t="shared" ref="G8:H8" si="5">C8*300</f>
        <v>450</v>
      </c>
      <c r="H8" s="68">
        <f t="shared" si="5"/>
        <v>1500</v>
      </c>
      <c r="I8" s="68" t="s">
        <v>684</v>
      </c>
      <c r="J8" s="70">
        <f>Economy!M57</f>
        <v>2656.25</v>
      </c>
      <c r="K8" s="71">
        <v>1.0</v>
      </c>
      <c r="L8" s="72">
        <f t="shared" si="4"/>
        <v>19921.875</v>
      </c>
      <c r="M8" s="62"/>
      <c r="N8" s="62"/>
      <c r="O8" s="62"/>
      <c r="P8" s="62"/>
      <c r="Q8" s="62"/>
      <c r="R8" s="62"/>
      <c r="S8" s="62"/>
      <c r="T8" s="62"/>
      <c r="U8" s="62"/>
      <c r="V8" s="62"/>
      <c r="W8" s="62"/>
      <c r="X8" s="62"/>
      <c r="Y8" s="62"/>
      <c r="Z8" s="62"/>
      <c r="AA8" s="62"/>
      <c r="AB8" s="62"/>
      <c r="AC8" s="43"/>
      <c r="AD8" s="43"/>
    </row>
    <row r="9">
      <c r="A9" s="75"/>
      <c r="B9" s="76" t="str">
        <f>Economy!I81</f>
        <v>Supply and installation of Wall Panel with MR Premium Carcass, Smooth finish laminate </v>
      </c>
      <c r="C9" s="66">
        <v>6.0</v>
      </c>
      <c r="D9" s="66">
        <v>4.25</v>
      </c>
      <c r="E9" s="67">
        <f t="shared" si="2"/>
        <v>25.5</v>
      </c>
      <c r="F9" s="66" t="s">
        <v>683</v>
      </c>
      <c r="G9" s="68">
        <f t="shared" ref="G9:H9" si="6">C9*300</f>
        <v>1800</v>
      </c>
      <c r="H9" s="68">
        <f t="shared" si="6"/>
        <v>1275</v>
      </c>
      <c r="I9" s="77" t="s">
        <v>684</v>
      </c>
      <c r="J9" s="78">
        <f>Economy!M81</f>
        <v>968.75</v>
      </c>
      <c r="K9" s="79">
        <v>1.0</v>
      </c>
      <c r="L9" s="72">
        <f t="shared" si="4"/>
        <v>24703.125</v>
      </c>
      <c r="M9" s="43"/>
      <c r="N9" s="43"/>
      <c r="O9" s="43"/>
      <c r="P9" s="43"/>
      <c r="Q9" s="43"/>
      <c r="R9" s="43"/>
      <c r="S9" s="62"/>
      <c r="T9" s="62"/>
      <c r="U9" s="62"/>
      <c r="V9" s="62"/>
      <c r="W9" s="62"/>
      <c r="X9" s="62"/>
      <c r="Y9" s="62"/>
      <c r="Z9" s="62"/>
      <c r="AA9" s="62"/>
      <c r="AB9" s="62"/>
      <c r="AC9" s="43"/>
      <c r="AD9" s="43"/>
    </row>
    <row r="10">
      <c r="A10" s="64"/>
      <c r="B10" s="65" t="str">
        <f>Economy!I46</f>
        <v>Supply and installation of Base storage unit with MR Premium Carcass, HDF Shutter, Smooth finish laminate and soft close hinges  </v>
      </c>
      <c r="C10" s="66">
        <v>3.5</v>
      </c>
      <c r="D10" s="66">
        <v>2.5</v>
      </c>
      <c r="E10" s="67">
        <f t="shared" si="2"/>
        <v>8.75</v>
      </c>
      <c r="F10" s="66" t="s">
        <v>683</v>
      </c>
      <c r="G10" s="68">
        <f t="shared" ref="G10:H10" si="7">C10*300</f>
        <v>1050</v>
      </c>
      <c r="H10" s="68">
        <f t="shared" si="7"/>
        <v>750</v>
      </c>
      <c r="I10" s="68" t="s">
        <v>684</v>
      </c>
      <c r="J10" s="70">
        <f>Economy!M46</f>
        <v>1718.75</v>
      </c>
      <c r="K10" s="71">
        <v>1.0</v>
      </c>
      <c r="L10" s="72">
        <f t="shared" si="4"/>
        <v>15039.0625</v>
      </c>
      <c r="M10" s="62"/>
      <c r="N10" s="62"/>
      <c r="O10" s="62"/>
      <c r="P10" s="62"/>
      <c r="Q10" s="62"/>
      <c r="R10" s="62"/>
      <c r="S10" s="62"/>
      <c r="T10" s="62"/>
      <c r="U10" s="62"/>
      <c r="V10" s="62"/>
      <c r="W10" s="62"/>
      <c r="X10" s="62"/>
      <c r="Y10" s="62"/>
      <c r="Z10" s="62"/>
      <c r="AA10" s="62"/>
      <c r="AB10" s="62"/>
      <c r="AC10" s="43"/>
      <c r="AD10" s="43"/>
    </row>
    <row r="11">
      <c r="A11" s="64"/>
      <c r="B11" s="73" t="str">
        <f>Economy!I58</f>
        <v>Supply and installation of Wall storage unit with MR Premium Carcass, Aluminium profile shutter with Tinted glass, Smooth finish laminate and soft close hinges  </v>
      </c>
      <c r="C11" s="66">
        <v>3.5</v>
      </c>
      <c r="D11" s="66">
        <v>2.0</v>
      </c>
      <c r="E11" s="67">
        <f t="shared" si="2"/>
        <v>7</v>
      </c>
      <c r="F11" s="66" t="s">
        <v>683</v>
      </c>
      <c r="G11" s="68">
        <f t="shared" ref="G11:H11" si="8">C11*300</f>
        <v>1050</v>
      </c>
      <c r="H11" s="68">
        <f t="shared" si="8"/>
        <v>600</v>
      </c>
      <c r="I11" s="69" t="s">
        <v>684</v>
      </c>
      <c r="J11" s="70">
        <f>Economy!M57</f>
        <v>2656.25</v>
      </c>
      <c r="K11" s="71">
        <v>1.0</v>
      </c>
      <c r="L11" s="72">
        <f t="shared" si="4"/>
        <v>18593.75</v>
      </c>
      <c r="M11" s="62"/>
      <c r="N11" s="62"/>
      <c r="O11" s="62"/>
      <c r="P11" s="62"/>
      <c r="Q11" s="62"/>
      <c r="R11" s="62"/>
      <c r="S11" s="62"/>
      <c r="T11" s="62"/>
      <c r="U11" s="62"/>
      <c r="V11" s="62"/>
      <c r="W11" s="62"/>
      <c r="X11" s="62"/>
      <c r="Y11" s="62"/>
      <c r="Z11" s="62"/>
      <c r="AA11" s="62"/>
      <c r="AB11" s="62"/>
      <c r="AC11" s="43"/>
      <c r="AD11" s="43"/>
    </row>
    <row r="12">
      <c r="A12" s="64"/>
      <c r="B12" s="73" t="str">
        <f>Economy!I83</f>
        <v>Supply and installation of Jam Panel with MR Premium Carcass, Smooth finish laminate </v>
      </c>
      <c r="C12" s="66">
        <v>65.25</v>
      </c>
      <c r="D12" s="66">
        <v>1.0</v>
      </c>
      <c r="E12" s="67">
        <f t="shared" si="2"/>
        <v>65.25</v>
      </c>
      <c r="F12" s="66" t="s">
        <v>683</v>
      </c>
      <c r="G12" s="68">
        <f t="shared" ref="G12:H12" si="9">C12*300</f>
        <v>19575</v>
      </c>
      <c r="H12" s="68">
        <f t="shared" si="9"/>
        <v>300</v>
      </c>
      <c r="I12" s="69" t="s">
        <v>684</v>
      </c>
      <c r="J12" s="78">
        <f>Economy!M81</f>
        <v>968.75</v>
      </c>
      <c r="K12" s="71">
        <v>1.0</v>
      </c>
      <c r="L12" s="72">
        <f t="shared" si="4"/>
        <v>63210.9375</v>
      </c>
      <c r="M12" s="74" t="s">
        <v>686</v>
      </c>
      <c r="N12" s="62"/>
      <c r="O12" s="62"/>
      <c r="P12" s="62"/>
      <c r="Q12" s="62"/>
      <c r="R12" s="62"/>
      <c r="S12" s="62"/>
      <c r="T12" s="62"/>
      <c r="U12" s="62"/>
      <c r="V12" s="62"/>
      <c r="W12" s="62"/>
      <c r="X12" s="62"/>
      <c r="Y12" s="62"/>
      <c r="Z12" s="62"/>
      <c r="AA12" s="62"/>
      <c r="AB12" s="62"/>
      <c r="AC12" s="43"/>
      <c r="AD12" s="43"/>
    </row>
    <row r="13">
      <c r="A13" s="64"/>
      <c r="B13" s="73" t="str">
        <f>Economy!I82</f>
        <v>Supply and installation of Pelmet Panel with MR Premium Carcass, Smooth finish laminate </v>
      </c>
      <c r="C13" s="66">
        <v>4.0</v>
      </c>
      <c r="D13" s="66">
        <v>1.5</v>
      </c>
      <c r="E13" s="67">
        <f t="shared" si="2"/>
        <v>6</v>
      </c>
      <c r="F13" s="66" t="s">
        <v>683</v>
      </c>
      <c r="G13" s="68">
        <f t="shared" ref="G13:H13" si="10">C13*300</f>
        <v>1200</v>
      </c>
      <c r="H13" s="68">
        <f t="shared" si="10"/>
        <v>450</v>
      </c>
      <c r="I13" s="69" t="s">
        <v>684</v>
      </c>
      <c r="J13" s="78">
        <f>Economy!M81</f>
        <v>968.75</v>
      </c>
      <c r="K13" s="71">
        <v>1.0</v>
      </c>
      <c r="L13" s="72">
        <f t="shared" si="4"/>
        <v>5812.5</v>
      </c>
      <c r="M13" s="62"/>
      <c r="N13" s="62"/>
      <c r="O13" s="62"/>
      <c r="P13" s="62"/>
      <c r="Q13" s="62"/>
      <c r="R13" s="62"/>
      <c r="S13" s="62"/>
      <c r="T13" s="62"/>
      <c r="U13" s="62"/>
      <c r="V13" s="62"/>
      <c r="W13" s="62"/>
      <c r="X13" s="62"/>
      <c r="Y13" s="62"/>
      <c r="Z13" s="62"/>
      <c r="AA13" s="62"/>
      <c r="AB13" s="62"/>
      <c r="AC13" s="43"/>
      <c r="AD13" s="43"/>
    </row>
    <row r="14">
      <c r="A14" s="55"/>
      <c r="B14" s="80" t="s">
        <v>687</v>
      </c>
      <c r="C14" s="60"/>
      <c r="D14" s="60"/>
      <c r="E14" s="81"/>
      <c r="F14" s="60"/>
      <c r="G14" s="58"/>
      <c r="H14" s="58"/>
      <c r="I14" s="58"/>
      <c r="J14" s="70"/>
      <c r="K14" s="70"/>
      <c r="L14" s="61"/>
      <c r="M14" s="62"/>
      <c r="N14" s="62"/>
      <c r="O14" s="62"/>
      <c r="P14" s="62"/>
      <c r="Q14" s="62"/>
      <c r="R14" s="62"/>
      <c r="S14" s="62"/>
      <c r="T14" s="62"/>
      <c r="U14" s="62"/>
      <c r="V14" s="62"/>
      <c r="W14" s="62"/>
      <c r="X14" s="62"/>
      <c r="Y14" s="62"/>
      <c r="Z14" s="62"/>
      <c r="AA14" s="62"/>
      <c r="AB14" s="62"/>
      <c r="AC14" s="62"/>
      <c r="AD14" s="62"/>
    </row>
    <row r="15">
      <c r="A15" s="64"/>
      <c r="B15" s="82" t="str">
        <f>Economy!I55</f>
        <v>Supply and installation of Base storage unit with MR Premium Carcass, Plywood Border with Fluted Glass Shutter, Smooth finish laminate and soft close hinges  </v>
      </c>
      <c r="C15" s="66">
        <v>3.0</v>
      </c>
      <c r="D15" s="66">
        <v>4.0</v>
      </c>
      <c r="E15" s="67">
        <f t="shared" ref="E15:E16" si="12">C15*D15</f>
        <v>12</v>
      </c>
      <c r="F15" s="66" t="s">
        <v>683</v>
      </c>
      <c r="G15" s="68">
        <f t="shared" ref="G15:H15" si="11">C15*300</f>
        <v>900</v>
      </c>
      <c r="H15" s="69">
        <f t="shared" si="11"/>
        <v>1200</v>
      </c>
      <c r="I15" s="68" t="s">
        <v>684</v>
      </c>
      <c r="J15" s="70">
        <f>Economy!M55</f>
        <v>2375</v>
      </c>
      <c r="K15" s="71">
        <v>1.0</v>
      </c>
      <c r="L15" s="72">
        <f t="shared" ref="L15:L16" si="14">K15*J15*E15</f>
        <v>28500</v>
      </c>
      <c r="M15" s="62"/>
      <c r="N15" s="83"/>
      <c r="O15" s="62"/>
      <c r="P15" s="62"/>
      <c r="Q15" s="62"/>
      <c r="R15" s="62"/>
      <c r="S15" s="62"/>
      <c r="T15" s="62"/>
      <c r="U15" s="62"/>
      <c r="V15" s="62"/>
      <c r="W15" s="62"/>
      <c r="X15" s="62"/>
      <c r="Y15" s="62"/>
      <c r="Z15" s="62"/>
      <c r="AA15" s="62"/>
      <c r="AB15" s="62"/>
      <c r="AC15" s="43"/>
      <c r="AD15" s="43"/>
    </row>
    <row r="16">
      <c r="A16" s="64"/>
      <c r="B16" s="65" t="str">
        <f>Economy!I46</f>
        <v>Supply and installation of Base storage unit with MR Premium Carcass, HDF Shutter, Smooth finish laminate and soft close hinges  </v>
      </c>
      <c r="C16" s="66">
        <v>3.0</v>
      </c>
      <c r="D16" s="66">
        <v>3.0</v>
      </c>
      <c r="E16" s="67">
        <f t="shared" si="12"/>
        <v>9</v>
      </c>
      <c r="F16" s="66" t="s">
        <v>683</v>
      </c>
      <c r="G16" s="69">
        <f t="shared" ref="G16:H16" si="13">C16*300</f>
        <v>900</v>
      </c>
      <c r="H16" s="69">
        <f t="shared" si="13"/>
        <v>900</v>
      </c>
      <c r="I16" s="68" t="s">
        <v>684</v>
      </c>
      <c r="J16" s="70">
        <f>Economy!M46</f>
        <v>1718.75</v>
      </c>
      <c r="K16" s="71">
        <v>1.0</v>
      </c>
      <c r="L16" s="72">
        <f t="shared" si="14"/>
        <v>15468.75</v>
      </c>
      <c r="M16" s="62"/>
      <c r="N16" s="62"/>
      <c r="O16" s="62"/>
      <c r="P16" s="62"/>
      <c r="Q16" s="62"/>
      <c r="R16" s="62"/>
      <c r="S16" s="62"/>
      <c r="T16" s="62"/>
      <c r="U16" s="62"/>
      <c r="V16" s="62"/>
      <c r="W16" s="62"/>
      <c r="X16" s="62"/>
      <c r="Y16" s="62"/>
      <c r="Z16" s="62"/>
      <c r="AA16" s="62"/>
      <c r="AB16" s="62"/>
      <c r="AC16" s="43"/>
      <c r="AD16" s="43"/>
    </row>
    <row r="17">
      <c r="A17" s="55"/>
      <c r="B17" s="56" t="s">
        <v>688</v>
      </c>
      <c r="C17" s="57"/>
      <c r="D17" s="57"/>
      <c r="E17" s="81"/>
      <c r="F17" s="57"/>
      <c r="G17" s="58"/>
      <c r="H17" s="58"/>
      <c r="I17" s="59"/>
      <c r="J17" s="70"/>
      <c r="K17" s="70"/>
      <c r="L17" s="61"/>
      <c r="M17" s="62"/>
      <c r="N17" s="62"/>
      <c r="O17" s="62"/>
      <c r="P17" s="62"/>
      <c r="Q17" s="62"/>
      <c r="R17" s="62"/>
      <c r="S17" s="62"/>
      <c r="T17" s="62"/>
      <c r="U17" s="62"/>
      <c r="V17" s="62"/>
      <c r="W17" s="62"/>
      <c r="X17" s="62"/>
      <c r="Y17" s="62"/>
      <c r="Z17" s="62"/>
      <c r="AA17" s="62"/>
      <c r="AB17" s="62"/>
      <c r="AC17" s="62"/>
      <c r="AD17" s="62"/>
    </row>
    <row r="18">
      <c r="A18" s="64"/>
      <c r="B18" s="82" t="str">
        <f>Economy!I3</f>
        <v>Supply and installation of Base storage unit with BWP Carcass, HDF Shutter, Smooth finish laminate and soft close hinges  </v>
      </c>
      <c r="C18" s="66">
        <v>16.5</v>
      </c>
      <c r="D18" s="66">
        <v>2.75</v>
      </c>
      <c r="E18" s="67">
        <f t="shared" ref="E18:E24" si="16">C18*D18</f>
        <v>45.375</v>
      </c>
      <c r="F18" s="66" t="s">
        <v>683</v>
      </c>
      <c r="G18" s="69">
        <f t="shared" ref="G18:H18" si="15">C18*300</f>
        <v>4950</v>
      </c>
      <c r="H18" s="69">
        <f t="shared" si="15"/>
        <v>825</v>
      </c>
      <c r="I18" s="68" t="s">
        <v>684</v>
      </c>
      <c r="J18" s="70">
        <f>Economy!M3</f>
        <v>1843.75</v>
      </c>
      <c r="K18" s="71">
        <v>1.0</v>
      </c>
      <c r="L18" s="72">
        <f t="shared" ref="L18:L24" si="18">K18*J18*E18</f>
        <v>83660.15625</v>
      </c>
      <c r="M18" s="74" t="s">
        <v>689</v>
      </c>
      <c r="N18" s="62"/>
      <c r="O18" s="62"/>
      <c r="P18" s="62"/>
      <c r="Q18" s="62"/>
      <c r="R18" s="62"/>
      <c r="S18" s="62"/>
      <c r="T18" s="62"/>
      <c r="U18" s="62"/>
      <c r="V18" s="62"/>
      <c r="W18" s="62"/>
      <c r="X18" s="62"/>
      <c r="Y18" s="62"/>
      <c r="Z18" s="62"/>
      <c r="AA18" s="62"/>
      <c r="AB18" s="62"/>
      <c r="AC18" s="43"/>
      <c r="AD18" s="43"/>
    </row>
    <row r="19">
      <c r="A19" s="64"/>
      <c r="B19" s="82" t="str">
        <f>Economy!I4</f>
        <v>Supply and installation of Wall storage unit with BWP Carcass, HDF Shutter, Smooth finish laminate and soft close hinges  </v>
      </c>
      <c r="C19" s="66">
        <v>13.5</v>
      </c>
      <c r="D19" s="66">
        <v>2.25</v>
      </c>
      <c r="E19" s="67">
        <f t="shared" si="16"/>
        <v>30.375</v>
      </c>
      <c r="F19" s="66" t="s">
        <v>683</v>
      </c>
      <c r="G19" s="69">
        <f t="shared" ref="G19:H19" si="17">C19*300</f>
        <v>4050</v>
      </c>
      <c r="H19" s="69">
        <f t="shared" si="17"/>
        <v>675</v>
      </c>
      <c r="I19" s="68" t="s">
        <v>684</v>
      </c>
      <c r="J19" s="70">
        <f>Economy!M3</f>
        <v>1843.75</v>
      </c>
      <c r="K19" s="71">
        <v>1.0</v>
      </c>
      <c r="L19" s="72">
        <f t="shared" si="18"/>
        <v>56003.90625</v>
      </c>
      <c r="M19" s="62"/>
      <c r="N19" s="62"/>
      <c r="O19" s="62"/>
      <c r="P19" s="62"/>
      <c r="Q19" s="62"/>
      <c r="R19" s="62"/>
      <c r="S19" s="62"/>
      <c r="T19" s="62"/>
      <c r="U19" s="62"/>
      <c r="V19" s="62"/>
      <c r="W19" s="62"/>
      <c r="X19" s="62"/>
      <c r="Y19" s="62"/>
      <c r="Z19" s="62"/>
      <c r="AA19" s="62"/>
      <c r="AB19" s="62"/>
      <c r="AC19" s="43"/>
      <c r="AD19" s="43"/>
    </row>
    <row r="20">
      <c r="A20" s="64"/>
      <c r="B20" s="82" t="str">
        <f>Economy!I34</f>
        <v>Supply and installation of Open unit - Inner 1mm with BWP Carcass and Smooth finish laminate</v>
      </c>
      <c r="C20" s="66">
        <v>5.25</v>
      </c>
      <c r="D20" s="66">
        <v>1.0</v>
      </c>
      <c r="E20" s="67">
        <f t="shared" si="16"/>
        <v>5.25</v>
      </c>
      <c r="F20" s="66" t="s">
        <v>683</v>
      </c>
      <c r="G20" s="69">
        <f t="shared" ref="G20:H20" si="19">C20*300</f>
        <v>1575</v>
      </c>
      <c r="H20" s="69">
        <f t="shared" si="19"/>
        <v>300</v>
      </c>
      <c r="I20" s="68" t="s">
        <v>684</v>
      </c>
      <c r="J20" s="70">
        <f>Economy!M34</f>
        <v>1843.75</v>
      </c>
      <c r="K20" s="71">
        <v>1.0</v>
      </c>
      <c r="L20" s="72">
        <f t="shared" si="18"/>
        <v>9679.6875</v>
      </c>
      <c r="M20" s="62"/>
      <c r="N20" s="62"/>
      <c r="O20" s="62"/>
      <c r="P20" s="62"/>
      <c r="Q20" s="62"/>
      <c r="R20" s="62"/>
      <c r="S20" s="62"/>
      <c r="T20" s="62"/>
      <c r="U20" s="62"/>
      <c r="V20" s="62"/>
      <c r="W20" s="62"/>
      <c r="X20" s="62"/>
      <c r="Y20" s="62"/>
      <c r="Z20" s="62"/>
      <c r="AA20" s="62"/>
      <c r="AB20" s="62"/>
      <c r="AC20" s="43"/>
      <c r="AD20" s="43"/>
    </row>
    <row r="21">
      <c r="A21" s="64"/>
      <c r="B21" s="76" t="str">
        <f>Economy!I41</f>
        <v>Supply and installation of Chimney Panel with BWP Carcass and Smooth finish laminate</v>
      </c>
      <c r="C21" s="66">
        <v>3.25</v>
      </c>
      <c r="D21" s="66">
        <v>1.0</v>
      </c>
      <c r="E21" s="67">
        <f t="shared" si="16"/>
        <v>3.25</v>
      </c>
      <c r="F21" s="66" t="s">
        <v>683</v>
      </c>
      <c r="G21" s="69">
        <f t="shared" ref="G21:H21" si="20">C21*300</f>
        <v>975</v>
      </c>
      <c r="H21" s="69">
        <f t="shared" si="20"/>
        <v>300</v>
      </c>
      <c r="I21" s="68" t="s">
        <v>684</v>
      </c>
      <c r="J21" s="78">
        <f>Economy!M41</f>
        <v>1093.75</v>
      </c>
      <c r="K21" s="71">
        <v>1.0</v>
      </c>
      <c r="L21" s="72">
        <f t="shared" si="18"/>
        <v>3554.6875</v>
      </c>
      <c r="M21" s="74" t="s">
        <v>690</v>
      </c>
      <c r="N21" s="62"/>
      <c r="O21" s="62"/>
      <c r="P21" s="62"/>
      <c r="Q21" s="62"/>
      <c r="R21" s="62"/>
      <c r="S21" s="62"/>
      <c r="T21" s="62"/>
      <c r="U21" s="62"/>
      <c r="V21" s="62"/>
      <c r="W21" s="62"/>
      <c r="X21" s="62"/>
      <c r="Y21" s="62"/>
      <c r="Z21" s="62"/>
      <c r="AA21" s="62"/>
      <c r="AB21" s="62"/>
      <c r="AC21" s="43"/>
      <c r="AD21" s="43"/>
    </row>
    <row r="22">
      <c r="A22" s="64"/>
      <c r="B22" s="82" t="str">
        <f>Economy!I33</f>
        <v>Supply and installation of Open unit - Inner 0.8mm with BWP Carcass and Smooth finish laminate</v>
      </c>
      <c r="C22" s="66">
        <v>2.0</v>
      </c>
      <c r="D22" s="66">
        <v>4.25</v>
      </c>
      <c r="E22" s="67">
        <f t="shared" si="16"/>
        <v>8.5</v>
      </c>
      <c r="F22" s="66" t="s">
        <v>683</v>
      </c>
      <c r="G22" s="69">
        <f t="shared" ref="G22:H22" si="21">C22*300</f>
        <v>600</v>
      </c>
      <c r="H22" s="69">
        <f t="shared" si="21"/>
        <v>1275</v>
      </c>
      <c r="I22" s="68" t="s">
        <v>684</v>
      </c>
      <c r="J22" s="70">
        <f>Economy!M33</f>
        <v>1562.5</v>
      </c>
      <c r="K22" s="71">
        <v>1.0</v>
      </c>
      <c r="L22" s="72">
        <f t="shared" si="18"/>
        <v>13281.25</v>
      </c>
      <c r="M22" s="74" t="s">
        <v>691</v>
      </c>
      <c r="N22" s="62"/>
      <c r="O22" s="62"/>
      <c r="P22" s="62"/>
      <c r="Q22" s="62"/>
      <c r="R22" s="62"/>
      <c r="S22" s="62"/>
      <c r="T22" s="62"/>
      <c r="U22" s="62"/>
      <c r="V22" s="62"/>
      <c r="W22" s="62"/>
      <c r="X22" s="62"/>
      <c r="Y22" s="62"/>
      <c r="Z22" s="62"/>
      <c r="AA22" s="62"/>
      <c r="AB22" s="62"/>
      <c r="AC22" s="43"/>
      <c r="AD22" s="43"/>
    </row>
    <row r="23">
      <c r="A23" s="64"/>
      <c r="B23" s="82" t="str">
        <f>Economy!I75</f>
        <v>Supply and installation of Loft Frame and Shutter unit with MR Premium Frame, HDF Shutter, Smooth finish laminate and Soft Close hinges  </v>
      </c>
      <c r="C23" s="66">
        <v>18.5</v>
      </c>
      <c r="D23" s="66">
        <v>2.5</v>
      </c>
      <c r="E23" s="67">
        <f t="shared" si="16"/>
        <v>46.25</v>
      </c>
      <c r="F23" s="66" t="s">
        <v>683</v>
      </c>
      <c r="G23" s="69">
        <f t="shared" ref="G23:H23" si="22">C23*300</f>
        <v>5550</v>
      </c>
      <c r="H23" s="69">
        <f t="shared" si="22"/>
        <v>750</v>
      </c>
      <c r="I23" s="68" t="s">
        <v>684</v>
      </c>
      <c r="J23" s="70">
        <f>Economy!M75</f>
        <v>965</v>
      </c>
      <c r="K23" s="71">
        <v>1.0</v>
      </c>
      <c r="L23" s="72">
        <f t="shared" si="18"/>
        <v>44631.25</v>
      </c>
      <c r="M23" s="62"/>
      <c r="N23" s="62"/>
      <c r="O23" s="62"/>
      <c r="P23" s="62"/>
      <c r="Q23" s="62"/>
      <c r="R23" s="62"/>
      <c r="S23" s="62"/>
      <c r="T23" s="62"/>
      <c r="U23" s="62"/>
      <c r="V23" s="62"/>
      <c r="W23" s="62"/>
      <c r="X23" s="62"/>
      <c r="Y23" s="62"/>
      <c r="Z23" s="62"/>
      <c r="AA23" s="62"/>
      <c r="AB23" s="62"/>
      <c r="AC23" s="84"/>
      <c r="AD23" s="84"/>
    </row>
    <row r="24">
      <c r="A24" s="64"/>
      <c r="B24" s="82" t="str">
        <f>Economy!I81</f>
        <v>Supply and installation of Wall Panel with MR Premium Carcass, Smooth finish laminate </v>
      </c>
      <c r="C24" s="66">
        <v>16.5</v>
      </c>
      <c r="D24" s="66">
        <v>2.0</v>
      </c>
      <c r="E24" s="67">
        <f t="shared" si="16"/>
        <v>33</v>
      </c>
      <c r="F24" s="66" t="s">
        <v>683</v>
      </c>
      <c r="G24" s="69">
        <f t="shared" ref="G24:H24" si="23">C24*300</f>
        <v>4950</v>
      </c>
      <c r="H24" s="69">
        <f t="shared" si="23"/>
        <v>600</v>
      </c>
      <c r="I24" s="68" t="s">
        <v>684</v>
      </c>
      <c r="J24" s="78">
        <f>Economy!M81</f>
        <v>968.75</v>
      </c>
      <c r="K24" s="71">
        <v>1.0</v>
      </c>
      <c r="L24" s="72">
        <f t="shared" si="18"/>
        <v>31968.75</v>
      </c>
      <c r="M24" s="62"/>
      <c r="N24" s="62"/>
      <c r="O24" s="62"/>
      <c r="P24" s="62"/>
      <c r="Q24" s="62"/>
      <c r="R24" s="62"/>
      <c r="S24" s="62"/>
      <c r="T24" s="62"/>
      <c r="U24" s="62"/>
      <c r="V24" s="62"/>
      <c r="W24" s="62"/>
      <c r="X24" s="62"/>
      <c r="Y24" s="62"/>
      <c r="Z24" s="62"/>
      <c r="AA24" s="62"/>
      <c r="AB24" s="62"/>
      <c r="AC24" s="84"/>
      <c r="AD24" s="84"/>
    </row>
    <row r="25">
      <c r="A25" s="55"/>
      <c r="B25" s="56" t="s">
        <v>692</v>
      </c>
      <c r="C25" s="57"/>
      <c r="D25" s="57"/>
      <c r="E25" s="57"/>
      <c r="F25" s="57"/>
      <c r="G25" s="58"/>
      <c r="H25" s="58"/>
      <c r="I25" s="59"/>
      <c r="J25" s="60"/>
      <c r="K25" s="60"/>
      <c r="L25" s="58"/>
      <c r="M25" s="62"/>
      <c r="N25" s="62"/>
      <c r="O25" s="62"/>
      <c r="P25" s="62"/>
      <c r="Q25" s="62"/>
      <c r="R25" s="62"/>
      <c r="S25" s="62"/>
      <c r="T25" s="62"/>
      <c r="U25" s="62"/>
      <c r="V25" s="62"/>
      <c r="W25" s="62"/>
      <c r="X25" s="62"/>
      <c r="Y25" s="62"/>
      <c r="Z25" s="62"/>
      <c r="AA25" s="62"/>
      <c r="AB25" s="62"/>
      <c r="AC25" s="62"/>
      <c r="AD25" s="62"/>
    </row>
    <row r="26">
      <c r="A26" s="64"/>
      <c r="B26" s="82" t="str">
        <f>Economy!I49</f>
        <v>Supply and installation of Wardrobe with MR Premium Carcass, HDF Shutter, Smooth finish laminate and soft close hinges  </v>
      </c>
      <c r="C26" s="66">
        <v>6.5</v>
      </c>
      <c r="D26" s="66">
        <v>7.0</v>
      </c>
      <c r="E26" s="67">
        <f>C26*D26</f>
        <v>45.5</v>
      </c>
      <c r="F26" s="66" t="s">
        <v>683</v>
      </c>
      <c r="G26" s="69">
        <f t="shared" ref="G26:H26" si="24">C26*300</f>
        <v>1950</v>
      </c>
      <c r="H26" s="69">
        <f t="shared" si="24"/>
        <v>2100</v>
      </c>
      <c r="I26" s="68" t="s">
        <v>684</v>
      </c>
      <c r="J26" s="70">
        <f>Economy!M46</f>
        <v>1718.75</v>
      </c>
      <c r="K26" s="71">
        <v>1.0</v>
      </c>
      <c r="L26" s="72">
        <f t="shared" ref="L26:L34" si="26">K26*J26*E26</f>
        <v>78203.125</v>
      </c>
      <c r="M26" s="62"/>
      <c r="N26" s="62"/>
      <c r="O26" s="62"/>
      <c r="P26" s="62"/>
      <c r="Q26" s="62"/>
      <c r="R26" s="62"/>
      <c r="S26" s="62"/>
      <c r="T26" s="62"/>
      <c r="U26" s="62"/>
      <c r="V26" s="62"/>
      <c r="W26" s="62"/>
      <c r="X26" s="62"/>
      <c r="Y26" s="62"/>
      <c r="Z26" s="62"/>
      <c r="AA26" s="62"/>
      <c r="AB26" s="62"/>
      <c r="AC26" s="43"/>
      <c r="AD26" s="43"/>
    </row>
    <row r="27">
      <c r="A27" s="64"/>
      <c r="B27" s="82" t="str">
        <f>Economy!I48</f>
        <v>Supply and installation of Tall storage unit with MR Premium Carcass, HDF Shutter, Smooth finish laminate and soft close hinges  </v>
      </c>
      <c r="C27" s="66">
        <v>2.0</v>
      </c>
      <c r="D27" s="66">
        <v>7.0</v>
      </c>
      <c r="E27" s="67">
        <v>15.0</v>
      </c>
      <c r="F27" s="66" t="s">
        <v>683</v>
      </c>
      <c r="G27" s="69">
        <f t="shared" ref="G27:H27" si="25">C27*300</f>
        <v>600</v>
      </c>
      <c r="H27" s="69">
        <f t="shared" si="25"/>
        <v>2100</v>
      </c>
      <c r="I27" s="68" t="s">
        <v>684</v>
      </c>
      <c r="J27" s="70">
        <f>Economy!M46</f>
        <v>1718.75</v>
      </c>
      <c r="K27" s="71">
        <v>1.0</v>
      </c>
      <c r="L27" s="72">
        <f t="shared" si="26"/>
        <v>25781.25</v>
      </c>
      <c r="M27" s="62"/>
      <c r="N27" s="62"/>
      <c r="O27" s="62"/>
      <c r="P27" s="62"/>
      <c r="Q27" s="62"/>
      <c r="R27" s="62"/>
      <c r="S27" s="62"/>
      <c r="T27" s="62"/>
      <c r="U27" s="62"/>
      <c r="V27" s="62"/>
      <c r="W27" s="62"/>
      <c r="X27" s="62"/>
      <c r="Y27" s="62"/>
      <c r="Z27" s="62"/>
      <c r="AA27" s="62"/>
      <c r="AB27" s="62"/>
      <c r="AC27" s="43"/>
      <c r="AD27" s="43"/>
    </row>
    <row r="28">
      <c r="A28" s="64"/>
      <c r="B28" s="82" t="str">
        <f>Economy!I75</f>
        <v>Supply and installation of Loft Frame and Shutter unit with MR Premium Frame, HDF Shutter, Smooth finish laminate and Soft Close hinges  </v>
      </c>
      <c r="C28" s="66">
        <v>9.5</v>
      </c>
      <c r="D28" s="66">
        <v>2.5</v>
      </c>
      <c r="E28" s="67">
        <f t="shared" ref="E28:E34" si="28">C28*D28</f>
        <v>23.75</v>
      </c>
      <c r="F28" s="66" t="s">
        <v>683</v>
      </c>
      <c r="G28" s="69">
        <f t="shared" ref="G28:H28" si="27">C28*300</f>
        <v>2850</v>
      </c>
      <c r="H28" s="69">
        <f t="shared" si="27"/>
        <v>750</v>
      </c>
      <c r="I28" s="68" t="s">
        <v>684</v>
      </c>
      <c r="J28" s="70">
        <f>Economy!M75</f>
        <v>965</v>
      </c>
      <c r="K28" s="71">
        <v>1.0</v>
      </c>
      <c r="L28" s="72">
        <f t="shared" si="26"/>
        <v>22918.75</v>
      </c>
      <c r="M28" s="62"/>
      <c r="N28" s="62"/>
      <c r="O28" s="62"/>
      <c r="P28" s="62"/>
      <c r="Q28" s="62"/>
      <c r="R28" s="62"/>
      <c r="S28" s="62"/>
      <c r="T28" s="62"/>
      <c r="U28" s="62"/>
      <c r="V28" s="62"/>
      <c r="W28" s="62"/>
      <c r="X28" s="62"/>
      <c r="Y28" s="62"/>
      <c r="Z28" s="62"/>
      <c r="AA28" s="62"/>
      <c r="AB28" s="62"/>
      <c r="AC28" s="84"/>
      <c r="AD28" s="84"/>
    </row>
    <row r="29">
      <c r="A29" s="64"/>
      <c r="B29" s="73" t="str">
        <f>Economy!I76</f>
        <v>Supply and installation of Ledge with 25mm Ledge MR Premium and Smooth finish laminate </v>
      </c>
      <c r="C29" s="66">
        <v>10.75</v>
      </c>
      <c r="D29" s="66">
        <v>1.0</v>
      </c>
      <c r="E29" s="67">
        <f t="shared" si="28"/>
        <v>10.75</v>
      </c>
      <c r="F29" s="66" t="s">
        <v>683</v>
      </c>
      <c r="G29" s="69">
        <f t="shared" ref="G29:H29" si="29">C29*300</f>
        <v>3225</v>
      </c>
      <c r="H29" s="69">
        <f t="shared" si="29"/>
        <v>300</v>
      </c>
      <c r="I29" s="68" t="s">
        <v>684</v>
      </c>
      <c r="J29" s="70">
        <f>Economy!M76</f>
        <v>822.5</v>
      </c>
      <c r="K29" s="71">
        <v>1.0</v>
      </c>
      <c r="L29" s="72">
        <f t="shared" si="26"/>
        <v>8841.875</v>
      </c>
      <c r="M29" s="62"/>
      <c r="N29" s="62"/>
      <c r="O29" s="62"/>
      <c r="P29" s="62"/>
      <c r="Q29" s="62"/>
      <c r="R29" s="62"/>
      <c r="S29" s="62"/>
      <c r="T29" s="62"/>
      <c r="U29" s="62"/>
      <c r="V29" s="62"/>
      <c r="W29" s="62"/>
      <c r="X29" s="62"/>
      <c r="Y29" s="62"/>
      <c r="Z29" s="62"/>
      <c r="AA29" s="62"/>
      <c r="AB29" s="62"/>
      <c r="AC29" s="84"/>
      <c r="AD29" s="84"/>
    </row>
    <row r="30">
      <c r="A30" s="64"/>
      <c r="B30" s="73" t="str">
        <f>Economy!I76</f>
        <v>Supply and installation of Ledge with 25mm Ledge MR Premium and Smooth finish laminate </v>
      </c>
      <c r="C30" s="66">
        <v>5.0</v>
      </c>
      <c r="D30" s="66">
        <v>1.5</v>
      </c>
      <c r="E30" s="67">
        <f t="shared" si="28"/>
        <v>7.5</v>
      </c>
      <c r="F30" s="66" t="s">
        <v>683</v>
      </c>
      <c r="G30" s="68">
        <f t="shared" ref="G30:H30" si="30">C30*300</f>
        <v>1500</v>
      </c>
      <c r="H30" s="69">
        <f t="shared" si="30"/>
        <v>450</v>
      </c>
      <c r="I30" s="68" t="s">
        <v>684</v>
      </c>
      <c r="J30" s="70">
        <f>Economy!M76</f>
        <v>822.5</v>
      </c>
      <c r="K30" s="71">
        <v>1.0</v>
      </c>
      <c r="L30" s="72">
        <f t="shared" si="26"/>
        <v>6168.75</v>
      </c>
      <c r="M30" s="62"/>
      <c r="N30" s="62"/>
      <c r="O30" s="62"/>
      <c r="P30" s="62"/>
      <c r="Q30" s="62"/>
      <c r="R30" s="62"/>
      <c r="S30" s="62"/>
      <c r="T30" s="62"/>
      <c r="U30" s="62"/>
      <c r="V30" s="62"/>
      <c r="W30" s="62"/>
      <c r="X30" s="62"/>
      <c r="Y30" s="62"/>
      <c r="Z30" s="62"/>
      <c r="AA30" s="62"/>
      <c r="AB30" s="62"/>
      <c r="AC30" s="84"/>
      <c r="AD30" s="84"/>
    </row>
    <row r="31">
      <c r="A31" s="64"/>
      <c r="B31" s="73" t="str">
        <f>Economy!I50</f>
        <v>Supply and installation of Drawer Storage with MR Premium Carcass, HDF Shutter, Smooth finish laminate and soft close hinges  </v>
      </c>
      <c r="C31" s="66">
        <v>1.5</v>
      </c>
      <c r="D31" s="66">
        <v>1.5</v>
      </c>
      <c r="E31" s="67">
        <f t="shared" si="28"/>
        <v>2.25</v>
      </c>
      <c r="F31" s="66" t="s">
        <v>683</v>
      </c>
      <c r="G31" s="69">
        <f t="shared" ref="G31:H31" si="31">C31*300</f>
        <v>450</v>
      </c>
      <c r="H31" s="68">
        <f t="shared" si="31"/>
        <v>450</v>
      </c>
      <c r="I31" s="68" t="s">
        <v>684</v>
      </c>
      <c r="J31" s="70">
        <f>Economy!M46</f>
        <v>1718.75</v>
      </c>
      <c r="K31" s="71">
        <v>1.0</v>
      </c>
      <c r="L31" s="72">
        <f t="shared" si="26"/>
        <v>3867.1875</v>
      </c>
      <c r="M31" s="74" t="s">
        <v>693</v>
      </c>
      <c r="N31" s="62"/>
      <c r="O31" s="62"/>
      <c r="P31" s="62"/>
      <c r="Q31" s="62"/>
      <c r="R31" s="62"/>
      <c r="S31" s="62"/>
      <c r="T31" s="62"/>
      <c r="U31" s="62"/>
      <c r="V31" s="62"/>
      <c r="W31" s="62"/>
      <c r="X31" s="62"/>
      <c r="Y31" s="62"/>
      <c r="Z31" s="62"/>
      <c r="AA31" s="62"/>
      <c r="AB31" s="62"/>
      <c r="AC31" s="43"/>
      <c r="AD31" s="43"/>
    </row>
    <row r="32">
      <c r="A32" s="64"/>
      <c r="B32" s="73" t="str">
        <f>Economy!I47</f>
        <v>Supply and installation of Wall storage unit with MR Premium Carcass, HDF Shutter, Smooth finish laminate and soft close hinges  </v>
      </c>
      <c r="C32" s="66">
        <v>2.0</v>
      </c>
      <c r="D32" s="66">
        <v>5.0</v>
      </c>
      <c r="E32" s="67">
        <f t="shared" si="28"/>
        <v>10</v>
      </c>
      <c r="F32" s="66" t="s">
        <v>683</v>
      </c>
      <c r="G32" s="69">
        <f t="shared" ref="G32:H32" si="32">C32*300</f>
        <v>600</v>
      </c>
      <c r="H32" s="68">
        <f t="shared" si="32"/>
        <v>1500</v>
      </c>
      <c r="I32" s="68" t="s">
        <v>684</v>
      </c>
      <c r="J32" s="70">
        <f>Economy!M46</f>
        <v>1718.75</v>
      </c>
      <c r="K32" s="71">
        <v>1.0</v>
      </c>
      <c r="L32" s="72">
        <f t="shared" si="26"/>
        <v>17187.5</v>
      </c>
      <c r="M32" s="74" t="s">
        <v>694</v>
      </c>
      <c r="N32" s="62"/>
      <c r="O32" s="62"/>
      <c r="P32" s="62"/>
      <c r="Q32" s="62"/>
      <c r="R32" s="62"/>
      <c r="S32" s="62"/>
      <c r="T32" s="62"/>
      <c r="U32" s="62"/>
      <c r="V32" s="62"/>
      <c r="W32" s="62"/>
      <c r="X32" s="62"/>
      <c r="Y32" s="62"/>
      <c r="Z32" s="62"/>
      <c r="AA32" s="62"/>
      <c r="AB32" s="62"/>
      <c r="AC32" s="43"/>
      <c r="AD32" s="43"/>
    </row>
    <row r="33">
      <c r="A33" s="64"/>
      <c r="B33" s="73" t="str">
        <f>Economy!I47</f>
        <v>Supply and installation of Wall storage unit with MR Premium Carcass, HDF Shutter, Smooth finish laminate and soft close hinges  </v>
      </c>
      <c r="C33" s="66">
        <v>1.75</v>
      </c>
      <c r="D33" s="66">
        <v>1.5</v>
      </c>
      <c r="E33" s="67">
        <f t="shared" si="28"/>
        <v>2.625</v>
      </c>
      <c r="F33" s="66" t="s">
        <v>683</v>
      </c>
      <c r="G33" s="69">
        <f t="shared" ref="G33:H33" si="33">C33*300</f>
        <v>525</v>
      </c>
      <c r="H33" s="68">
        <f t="shared" si="33"/>
        <v>450</v>
      </c>
      <c r="I33" s="68" t="s">
        <v>684</v>
      </c>
      <c r="J33" s="70">
        <f>Economy!M46</f>
        <v>1718.75</v>
      </c>
      <c r="K33" s="71">
        <v>1.0</v>
      </c>
      <c r="L33" s="72">
        <f t="shared" si="26"/>
        <v>4511.71875</v>
      </c>
      <c r="M33" s="74" t="s">
        <v>693</v>
      </c>
      <c r="N33" s="62"/>
      <c r="O33" s="62"/>
      <c r="P33" s="62"/>
      <c r="Q33" s="62"/>
      <c r="R33" s="62"/>
      <c r="S33" s="62"/>
      <c r="T33" s="62"/>
      <c r="U33" s="62"/>
      <c r="V33" s="62"/>
      <c r="W33" s="62"/>
      <c r="X33" s="62"/>
      <c r="Y33" s="62"/>
      <c r="Z33" s="62"/>
      <c r="AA33" s="62"/>
      <c r="AB33" s="62"/>
      <c r="AC33" s="43"/>
      <c r="AD33" s="43"/>
    </row>
    <row r="34">
      <c r="A34" s="64"/>
      <c r="B34" s="82" t="str">
        <f>Economy!I82</f>
        <v>Supply and installation of Pelmet Panel with MR Premium Carcass, Smooth finish laminate </v>
      </c>
      <c r="C34" s="66">
        <v>4.0</v>
      </c>
      <c r="D34" s="66">
        <v>1.5</v>
      </c>
      <c r="E34" s="67">
        <f t="shared" si="28"/>
        <v>6</v>
      </c>
      <c r="F34" s="66" t="s">
        <v>683</v>
      </c>
      <c r="G34" s="69">
        <f t="shared" ref="G34:H34" si="34">C34*300</f>
        <v>1200</v>
      </c>
      <c r="H34" s="68">
        <f t="shared" si="34"/>
        <v>450</v>
      </c>
      <c r="I34" s="68" t="s">
        <v>684</v>
      </c>
      <c r="J34" s="78">
        <f>Economy!M81</f>
        <v>968.75</v>
      </c>
      <c r="K34" s="71">
        <v>1.0</v>
      </c>
      <c r="L34" s="72">
        <f t="shared" si="26"/>
        <v>5812.5</v>
      </c>
      <c r="M34" s="62"/>
      <c r="N34" s="62"/>
      <c r="O34" s="62"/>
      <c r="P34" s="62"/>
      <c r="Q34" s="62"/>
      <c r="R34" s="62"/>
      <c r="S34" s="62"/>
      <c r="T34" s="62"/>
      <c r="U34" s="62"/>
      <c r="V34" s="62"/>
      <c r="W34" s="62"/>
      <c r="X34" s="62"/>
      <c r="Y34" s="62"/>
      <c r="Z34" s="62"/>
      <c r="AA34" s="62"/>
      <c r="AB34" s="62"/>
      <c r="AC34" s="43"/>
      <c r="AD34" s="43"/>
    </row>
    <row r="35">
      <c r="A35" s="55"/>
      <c r="B35" s="56" t="s">
        <v>695</v>
      </c>
      <c r="C35" s="57"/>
      <c r="D35" s="57"/>
      <c r="E35" s="57"/>
      <c r="F35" s="57"/>
      <c r="G35" s="58"/>
      <c r="H35" s="59"/>
      <c r="I35" s="58"/>
      <c r="J35" s="60"/>
      <c r="K35" s="60"/>
      <c r="L35" s="58"/>
      <c r="M35" s="62"/>
      <c r="N35" s="62"/>
      <c r="O35" s="62"/>
      <c r="P35" s="62"/>
      <c r="Q35" s="62"/>
      <c r="R35" s="62"/>
      <c r="S35" s="62"/>
      <c r="T35" s="62"/>
      <c r="U35" s="62"/>
      <c r="V35" s="62"/>
      <c r="W35" s="62"/>
      <c r="X35" s="62"/>
      <c r="Y35" s="62"/>
      <c r="Z35" s="62"/>
      <c r="AA35" s="62"/>
      <c r="AB35" s="62"/>
      <c r="AC35" s="62"/>
      <c r="AD35" s="62"/>
    </row>
    <row r="36">
      <c r="A36" s="64"/>
      <c r="B36" s="82" t="str">
        <f>Economy!I49</f>
        <v>Supply and installation of Wardrobe with MR Premium Carcass, HDF Shutter, Smooth finish laminate and soft close hinges  </v>
      </c>
      <c r="C36" s="66">
        <v>5.75</v>
      </c>
      <c r="D36" s="66">
        <v>8.0</v>
      </c>
      <c r="E36" s="67">
        <f t="shared" ref="E36:E41" si="36">C36*D36</f>
        <v>46</v>
      </c>
      <c r="F36" s="66" t="s">
        <v>683</v>
      </c>
      <c r="G36" s="69">
        <f t="shared" ref="G36:H36" si="35">C36*300</f>
        <v>1725</v>
      </c>
      <c r="H36" s="68">
        <f t="shared" si="35"/>
        <v>2400</v>
      </c>
      <c r="I36" s="69" t="s">
        <v>684</v>
      </c>
      <c r="J36" s="70">
        <f>Economy!M46</f>
        <v>1718.75</v>
      </c>
      <c r="K36" s="71">
        <v>1.0</v>
      </c>
      <c r="L36" s="72">
        <f t="shared" ref="L36:L43" si="38">K36*J36*E36</f>
        <v>79062.5</v>
      </c>
      <c r="M36" s="62"/>
      <c r="N36" s="62"/>
      <c r="O36" s="62"/>
      <c r="P36" s="62"/>
      <c r="Q36" s="62"/>
      <c r="R36" s="62"/>
      <c r="S36" s="62"/>
      <c r="T36" s="62"/>
      <c r="U36" s="62"/>
      <c r="V36" s="62"/>
      <c r="W36" s="62"/>
      <c r="X36" s="62"/>
      <c r="Y36" s="62"/>
      <c r="Z36" s="62"/>
      <c r="AA36" s="62"/>
      <c r="AB36" s="62"/>
      <c r="AC36" s="43"/>
      <c r="AD36" s="43"/>
    </row>
    <row r="37">
      <c r="A37" s="64"/>
      <c r="B37" s="65" t="str">
        <f>Economy!I46</f>
        <v>Supply and installation of Base storage unit with MR Premium Carcass, HDF Shutter, Smooth finish laminate and soft close hinges  </v>
      </c>
      <c r="C37" s="66">
        <v>5.5</v>
      </c>
      <c r="D37" s="66">
        <v>2.0</v>
      </c>
      <c r="E37" s="67">
        <f t="shared" si="36"/>
        <v>11</v>
      </c>
      <c r="F37" s="66" t="s">
        <v>683</v>
      </c>
      <c r="G37" s="69">
        <f t="shared" ref="G37:H37" si="37">C37*300</f>
        <v>1650</v>
      </c>
      <c r="H37" s="68">
        <f t="shared" si="37"/>
        <v>600</v>
      </c>
      <c r="I37" s="69" t="s">
        <v>684</v>
      </c>
      <c r="J37" s="70">
        <f>Economy!M46</f>
        <v>1718.75</v>
      </c>
      <c r="K37" s="71">
        <v>1.0</v>
      </c>
      <c r="L37" s="72">
        <f t="shared" si="38"/>
        <v>18906.25</v>
      </c>
      <c r="M37" s="62"/>
      <c r="N37" s="62"/>
      <c r="O37" s="62"/>
      <c r="P37" s="62"/>
      <c r="Q37" s="62"/>
      <c r="R37" s="62"/>
      <c r="S37" s="62"/>
      <c r="T37" s="62"/>
      <c r="U37" s="62"/>
      <c r="V37" s="62"/>
      <c r="W37" s="62"/>
      <c r="X37" s="62"/>
      <c r="Y37" s="62"/>
      <c r="Z37" s="62"/>
      <c r="AA37" s="62"/>
      <c r="AB37" s="62"/>
      <c r="AC37" s="43"/>
      <c r="AD37" s="43"/>
    </row>
    <row r="38">
      <c r="A38" s="64"/>
      <c r="B38" s="82" t="str">
        <f>Economy!I75</f>
        <v>Supply and installation of Loft Frame and Shutter unit with MR Premium Frame, HDF Shutter, Smooth finish laminate and Soft Close hinges  </v>
      </c>
      <c r="C38" s="66">
        <v>11.25</v>
      </c>
      <c r="D38" s="66">
        <v>1.5</v>
      </c>
      <c r="E38" s="67">
        <f t="shared" si="36"/>
        <v>16.875</v>
      </c>
      <c r="F38" s="66" t="s">
        <v>683</v>
      </c>
      <c r="G38" s="68">
        <f t="shared" ref="G38:H38" si="39">C38*300</f>
        <v>3375</v>
      </c>
      <c r="H38" s="68">
        <f t="shared" si="39"/>
        <v>450</v>
      </c>
      <c r="I38" s="68" t="s">
        <v>684</v>
      </c>
      <c r="J38" s="70">
        <f>Economy!M75</f>
        <v>965</v>
      </c>
      <c r="K38" s="71">
        <v>1.0</v>
      </c>
      <c r="L38" s="72">
        <f t="shared" si="38"/>
        <v>16284.375</v>
      </c>
      <c r="M38" s="62"/>
      <c r="N38" s="62"/>
      <c r="O38" s="62"/>
      <c r="P38" s="62"/>
      <c r="Q38" s="62"/>
      <c r="R38" s="62"/>
      <c r="S38" s="62"/>
      <c r="T38" s="62"/>
      <c r="U38" s="62"/>
      <c r="V38" s="62"/>
      <c r="W38" s="62"/>
      <c r="X38" s="62"/>
      <c r="Y38" s="62"/>
      <c r="Z38" s="62"/>
      <c r="AA38" s="62"/>
      <c r="AB38" s="62"/>
      <c r="AC38" s="84"/>
      <c r="AD38" s="84"/>
    </row>
    <row r="39">
      <c r="A39" s="64"/>
      <c r="B39" s="82" t="str">
        <f>Economy!I85</f>
        <v>Supply and installation of Base Panel with MR Premium Carcass, Smooth finish laminate </v>
      </c>
      <c r="C39" s="66">
        <v>7.5</v>
      </c>
      <c r="D39" s="66">
        <v>2.0</v>
      </c>
      <c r="E39" s="67">
        <f t="shared" si="36"/>
        <v>15</v>
      </c>
      <c r="F39" s="66" t="s">
        <v>683</v>
      </c>
      <c r="G39" s="68">
        <f t="shared" ref="G39:H39" si="40">C39*300</f>
        <v>2250</v>
      </c>
      <c r="H39" s="68">
        <f t="shared" si="40"/>
        <v>600</v>
      </c>
      <c r="I39" s="68" t="s">
        <v>684</v>
      </c>
      <c r="J39" s="78">
        <f>Economy!M81</f>
        <v>968.75</v>
      </c>
      <c r="K39" s="71">
        <v>1.0</v>
      </c>
      <c r="L39" s="72">
        <f t="shared" si="38"/>
        <v>14531.25</v>
      </c>
      <c r="M39" s="62"/>
      <c r="N39" s="62"/>
      <c r="O39" s="62"/>
      <c r="P39" s="62"/>
      <c r="Q39" s="62"/>
      <c r="R39" s="62"/>
      <c r="S39" s="62"/>
      <c r="T39" s="62"/>
      <c r="U39" s="62"/>
      <c r="V39" s="62"/>
      <c r="W39" s="62"/>
      <c r="X39" s="62"/>
      <c r="Y39" s="62"/>
      <c r="Z39" s="62"/>
      <c r="AA39" s="62"/>
      <c r="AB39" s="62"/>
      <c r="AC39" s="84"/>
      <c r="AD39" s="84"/>
    </row>
    <row r="40">
      <c r="A40" s="64"/>
      <c r="B40" s="73" t="str">
        <f>Economy!I76</f>
        <v>Supply and installation of Ledge with 25mm Ledge MR Premium and Smooth finish laminate </v>
      </c>
      <c r="C40" s="66">
        <v>3.0</v>
      </c>
      <c r="D40" s="66">
        <v>1.0</v>
      </c>
      <c r="E40" s="67">
        <f t="shared" si="36"/>
        <v>3</v>
      </c>
      <c r="F40" s="66" t="s">
        <v>683</v>
      </c>
      <c r="G40" s="68">
        <f t="shared" ref="G40:H40" si="41">C40*300</f>
        <v>900</v>
      </c>
      <c r="H40" s="69">
        <f t="shared" si="41"/>
        <v>300</v>
      </c>
      <c r="I40" s="68" t="s">
        <v>684</v>
      </c>
      <c r="J40" s="70">
        <f>Economy!M76</f>
        <v>822.5</v>
      </c>
      <c r="K40" s="71">
        <v>1.0</v>
      </c>
      <c r="L40" s="72">
        <f t="shared" si="38"/>
        <v>2467.5</v>
      </c>
      <c r="M40" s="62"/>
      <c r="N40" s="62"/>
      <c r="O40" s="62"/>
      <c r="P40" s="62"/>
      <c r="Q40" s="62"/>
      <c r="R40" s="62"/>
      <c r="S40" s="62"/>
      <c r="T40" s="62"/>
      <c r="U40" s="62"/>
      <c r="V40" s="62"/>
      <c r="W40" s="62"/>
      <c r="X40" s="62"/>
      <c r="Y40" s="62"/>
      <c r="Z40" s="62"/>
      <c r="AA40" s="62"/>
      <c r="AB40" s="62"/>
      <c r="AC40" s="84"/>
      <c r="AD40" s="84"/>
    </row>
    <row r="41">
      <c r="A41" s="64"/>
      <c r="B41" s="73" t="str">
        <f>Economy!I80</f>
        <v>Supply and installation of Chamfered Wall Panel with MR Premium Carcass, Smooth finish laminate </v>
      </c>
      <c r="C41" s="66">
        <v>2.0</v>
      </c>
      <c r="D41" s="66">
        <v>3.5</v>
      </c>
      <c r="E41" s="67">
        <f t="shared" si="36"/>
        <v>7</v>
      </c>
      <c r="F41" s="66" t="s">
        <v>683</v>
      </c>
      <c r="G41" s="69">
        <f t="shared" ref="G41:H41" si="42">C41*300</f>
        <v>600</v>
      </c>
      <c r="H41" s="69">
        <f t="shared" si="42"/>
        <v>1050</v>
      </c>
      <c r="I41" s="68" t="s">
        <v>684</v>
      </c>
      <c r="J41" s="78">
        <f>Economy!M46</f>
        <v>1718.75</v>
      </c>
      <c r="K41" s="71">
        <v>1.0</v>
      </c>
      <c r="L41" s="72">
        <f t="shared" si="38"/>
        <v>12031.25</v>
      </c>
      <c r="M41" s="74" t="s">
        <v>696</v>
      </c>
      <c r="N41" s="62"/>
      <c r="O41" s="62"/>
      <c r="P41" s="62"/>
      <c r="Q41" s="62"/>
      <c r="R41" s="62"/>
      <c r="S41" s="62"/>
      <c r="T41" s="62"/>
      <c r="U41" s="62"/>
      <c r="V41" s="62"/>
      <c r="W41" s="62"/>
      <c r="X41" s="62"/>
      <c r="Y41" s="62"/>
      <c r="Z41" s="62"/>
      <c r="AA41" s="62"/>
      <c r="AB41" s="62"/>
      <c r="AC41" s="43"/>
      <c r="AD41" s="43"/>
    </row>
    <row r="42">
      <c r="A42" s="75"/>
      <c r="B42" s="73" t="str">
        <f>Economy!I50</f>
        <v>Supply and installation of Drawer Storage with MR Premium Carcass, HDF Shutter, Smooth finish laminate and soft close hinges  </v>
      </c>
      <c r="C42" s="66">
        <v>2.0</v>
      </c>
      <c r="D42" s="66">
        <v>1.5</v>
      </c>
      <c r="E42" s="85">
        <v>7.1</v>
      </c>
      <c r="F42" s="66" t="s">
        <v>683</v>
      </c>
      <c r="G42" s="86">
        <v>1425.0</v>
      </c>
      <c r="H42" s="86">
        <v>450.0</v>
      </c>
      <c r="I42" s="77" t="s">
        <v>684</v>
      </c>
      <c r="J42" s="70">
        <f>Economy!M46</f>
        <v>1718.75</v>
      </c>
      <c r="K42" s="79">
        <v>1.0</v>
      </c>
      <c r="L42" s="72">
        <f t="shared" si="38"/>
        <v>12203.125</v>
      </c>
      <c r="M42" s="43"/>
      <c r="N42" s="43"/>
      <c r="O42" s="43"/>
      <c r="P42" s="43"/>
      <c r="Q42" s="43"/>
      <c r="R42" s="43"/>
      <c r="S42" s="62"/>
      <c r="T42" s="62"/>
      <c r="U42" s="62"/>
      <c r="V42" s="62"/>
      <c r="W42" s="62"/>
      <c r="X42" s="62"/>
      <c r="Y42" s="62"/>
      <c r="Z42" s="62"/>
      <c r="AA42" s="62"/>
      <c r="AB42" s="62"/>
      <c r="AC42" s="84"/>
      <c r="AD42" s="84"/>
    </row>
    <row r="43">
      <c r="A43" s="64"/>
      <c r="B43" s="82" t="str">
        <f>Economy!I82</f>
        <v>Supply and installation of Pelmet Panel with MR Premium Carcass, Smooth finish laminate </v>
      </c>
      <c r="C43" s="66">
        <v>4.0</v>
      </c>
      <c r="D43" s="66">
        <v>1.5</v>
      </c>
      <c r="E43" s="67">
        <f>C43*D43</f>
        <v>6</v>
      </c>
      <c r="F43" s="66" t="s">
        <v>683</v>
      </c>
      <c r="G43" s="69">
        <f t="shared" ref="G43:H43" si="43">C43*300</f>
        <v>1200</v>
      </c>
      <c r="H43" s="69">
        <f t="shared" si="43"/>
        <v>450</v>
      </c>
      <c r="I43" s="68" t="s">
        <v>684</v>
      </c>
      <c r="J43" s="78">
        <f>Economy!M81</f>
        <v>968.75</v>
      </c>
      <c r="K43" s="71">
        <v>1.0</v>
      </c>
      <c r="L43" s="72">
        <f t="shared" si="38"/>
        <v>5812.5</v>
      </c>
      <c r="M43" s="62"/>
      <c r="N43" s="62"/>
      <c r="O43" s="62"/>
      <c r="P43" s="62"/>
      <c r="Q43" s="62"/>
      <c r="R43" s="62"/>
      <c r="S43" s="62"/>
      <c r="T43" s="62"/>
      <c r="U43" s="62"/>
      <c r="V43" s="62"/>
      <c r="W43" s="62"/>
      <c r="X43" s="62"/>
      <c r="Y43" s="62"/>
      <c r="Z43" s="62"/>
      <c r="AA43" s="62"/>
      <c r="AB43" s="62"/>
      <c r="AC43" s="43"/>
      <c r="AD43" s="43"/>
    </row>
    <row r="44">
      <c r="A44" s="55"/>
      <c r="B44" s="56" t="s">
        <v>697</v>
      </c>
      <c r="C44" s="57"/>
      <c r="D44" s="57"/>
      <c r="E44" s="57"/>
      <c r="F44" s="57"/>
      <c r="G44" s="58"/>
      <c r="H44" s="58"/>
      <c r="I44" s="59"/>
      <c r="J44" s="60"/>
      <c r="K44" s="60"/>
      <c r="L44" s="58"/>
      <c r="M44" s="62"/>
      <c r="N44" s="62"/>
      <c r="O44" s="62"/>
      <c r="P44" s="62"/>
      <c r="Q44" s="62"/>
      <c r="R44" s="62"/>
      <c r="S44" s="62"/>
      <c r="T44" s="62"/>
      <c r="U44" s="62"/>
      <c r="V44" s="62"/>
      <c r="W44" s="62"/>
      <c r="X44" s="62"/>
      <c r="Y44" s="62"/>
      <c r="Z44" s="62"/>
      <c r="AA44" s="62"/>
      <c r="AB44" s="62"/>
      <c r="AC44" s="62"/>
      <c r="AD44" s="62"/>
    </row>
    <row r="45">
      <c r="A45" s="64"/>
      <c r="B45" s="82" t="str">
        <f>Economy!I49</f>
        <v>Supply and installation of Wardrobe with MR Premium Carcass, HDF Shutter, Smooth finish laminate and soft close hinges  </v>
      </c>
      <c r="C45" s="66">
        <v>6.5</v>
      </c>
      <c r="D45" s="66">
        <v>7.0</v>
      </c>
      <c r="E45" s="67">
        <f t="shared" ref="E45:E47" si="45">C45*D45</f>
        <v>45.5</v>
      </c>
      <c r="F45" s="66" t="s">
        <v>683</v>
      </c>
      <c r="G45" s="69">
        <f t="shared" ref="G45:H45" si="44">C45*300</f>
        <v>1950</v>
      </c>
      <c r="H45" s="69">
        <f t="shared" si="44"/>
        <v>2100</v>
      </c>
      <c r="I45" s="68" t="s">
        <v>684</v>
      </c>
      <c r="J45" s="70">
        <f>Economy!M46</f>
        <v>1718.75</v>
      </c>
      <c r="K45" s="71">
        <v>1.0</v>
      </c>
      <c r="L45" s="72">
        <f t="shared" ref="L45:L54" si="47">K45*J45*E45</f>
        <v>78203.125</v>
      </c>
      <c r="M45" s="62"/>
      <c r="N45" s="62"/>
      <c r="O45" s="62"/>
      <c r="P45" s="62"/>
      <c r="Q45" s="62"/>
      <c r="R45" s="62"/>
      <c r="S45" s="62"/>
      <c r="T45" s="62"/>
      <c r="U45" s="62"/>
      <c r="V45" s="62"/>
      <c r="W45" s="62"/>
      <c r="X45" s="62"/>
      <c r="Y45" s="62"/>
      <c r="Z45" s="62"/>
      <c r="AA45" s="62"/>
      <c r="AB45" s="62"/>
      <c r="AC45" s="43"/>
      <c r="AD45" s="43"/>
    </row>
    <row r="46">
      <c r="A46" s="64"/>
      <c r="B46" s="73" t="str">
        <f>Economy!I76</f>
        <v>Supply and installation of Ledge with 25mm Ledge MR Premium and Smooth finish laminate </v>
      </c>
      <c r="C46" s="66">
        <v>10.25</v>
      </c>
      <c r="D46" s="66">
        <v>2.25</v>
      </c>
      <c r="E46" s="67">
        <f t="shared" si="45"/>
        <v>23.0625</v>
      </c>
      <c r="F46" s="66" t="s">
        <v>683</v>
      </c>
      <c r="G46" s="69">
        <f t="shared" ref="G46:H46" si="46">C46*300</f>
        <v>3075</v>
      </c>
      <c r="H46" s="69">
        <f t="shared" si="46"/>
        <v>675</v>
      </c>
      <c r="I46" s="68" t="s">
        <v>684</v>
      </c>
      <c r="J46" s="70">
        <f>Economy!M75</f>
        <v>965</v>
      </c>
      <c r="K46" s="71">
        <v>1.0</v>
      </c>
      <c r="L46" s="72">
        <f t="shared" si="47"/>
        <v>22255.3125</v>
      </c>
      <c r="M46" s="62"/>
      <c r="N46" s="62"/>
      <c r="O46" s="62"/>
      <c r="P46" s="62"/>
      <c r="Q46" s="62"/>
      <c r="R46" s="62"/>
      <c r="S46" s="62"/>
      <c r="T46" s="62"/>
      <c r="U46" s="62"/>
      <c r="V46" s="62"/>
      <c r="W46" s="62"/>
      <c r="X46" s="62"/>
      <c r="Y46" s="62"/>
      <c r="Z46" s="62"/>
      <c r="AA46" s="62"/>
      <c r="AB46" s="62"/>
      <c r="AC46" s="84"/>
      <c r="AD46" s="84"/>
    </row>
    <row r="47">
      <c r="A47" s="64"/>
      <c r="B47" s="82" t="str">
        <f>Economy!I85</f>
        <v>Supply and installation of Base Panel with MR Premium Carcass, Smooth finish laminate </v>
      </c>
      <c r="C47" s="66">
        <v>3.0</v>
      </c>
      <c r="D47" s="66">
        <v>2.0</v>
      </c>
      <c r="E47" s="67">
        <f t="shared" si="45"/>
        <v>6</v>
      </c>
      <c r="F47" s="66" t="s">
        <v>683</v>
      </c>
      <c r="G47" s="69">
        <f t="shared" ref="G47:H47" si="48">C47*300</f>
        <v>900</v>
      </c>
      <c r="H47" s="69">
        <f t="shared" si="48"/>
        <v>600</v>
      </c>
      <c r="I47" s="68" t="s">
        <v>684</v>
      </c>
      <c r="J47" s="78">
        <f>Economy!M81</f>
        <v>968.75</v>
      </c>
      <c r="K47" s="71">
        <v>1.0</v>
      </c>
      <c r="L47" s="72">
        <f t="shared" si="47"/>
        <v>5812.5</v>
      </c>
      <c r="M47" s="62"/>
      <c r="N47" s="62"/>
      <c r="O47" s="62"/>
      <c r="P47" s="62"/>
      <c r="Q47" s="62"/>
      <c r="R47" s="62"/>
      <c r="S47" s="62"/>
      <c r="T47" s="62"/>
      <c r="U47" s="62"/>
      <c r="V47" s="62"/>
      <c r="W47" s="62"/>
      <c r="X47" s="62"/>
      <c r="Y47" s="62"/>
      <c r="Z47" s="62"/>
      <c r="AA47" s="62"/>
      <c r="AB47" s="62"/>
      <c r="AC47" s="84"/>
      <c r="AD47" s="84"/>
    </row>
    <row r="48">
      <c r="A48" s="64"/>
      <c r="B48" s="82" t="str">
        <f>Economy!I48</f>
        <v>Supply and installation of Tall storage unit with MR Premium Carcass, HDF Shutter, Smooth finish laminate and soft close hinges  </v>
      </c>
      <c r="C48" s="66">
        <v>2.25</v>
      </c>
      <c r="D48" s="66">
        <v>5.0</v>
      </c>
      <c r="E48" s="67">
        <v>15.0</v>
      </c>
      <c r="F48" s="66" t="s">
        <v>683</v>
      </c>
      <c r="G48" s="69">
        <f t="shared" ref="G48:H48" si="49">C48*300</f>
        <v>675</v>
      </c>
      <c r="H48" s="69">
        <f t="shared" si="49"/>
        <v>1500</v>
      </c>
      <c r="I48" s="68" t="s">
        <v>684</v>
      </c>
      <c r="J48" s="70">
        <f>Economy!M46</f>
        <v>1718.75</v>
      </c>
      <c r="K48" s="71">
        <v>1.0</v>
      </c>
      <c r="L48" s="72">
        <f t="shared" si="47"/>
        <v>25781.25</v>
      </c>
      <c r="M48" s="87" t="s">
        <v>698</v>
      </c>
      <c r="N48" s="62"/>
      <c r="O48" s="62"/>
      <c r="P48" s="62"/>
      <c r="Q48" s="62"/>
      <c r="R48" s="62"/>
      <c r="S48" s="62"/>
      <c r="T48" s="62"/>
      <c r="U48" s="62"/>
      <c r="V48" s="62"/>
      <c r="W48" s="62"/>
      <c r="X48" s="62"/>
      <c r="Y48" s="62"/>
      <c r="Z48" s="62"/>
      <c r="AA48" s="62"/>
      <c r="AB48" s="62"/>
      <c r="AC48" s="43"/>
      <c r="AD48" s="43"/>
    </row>
    <row r="49">
      <c r="A49" s="75"/>
      <c r="B49" s="73" t="str">
        <f>Economy!I50</f>
        <v>Supply and installation of Drawer Storage with MR Premium Carcass, HDF Shutter, Smooth finish laminate and soft close hinges  </v>
      </c>
      <c r="C49" s="66">
        <v>2.25</v>
      </c>
      <c r="D49" s="66">
        <v>1.5</v>
      </c>
      <c r="E49" s="85">
        <v>7.1</v>
      </c>
      <c r="F49" s="66" t="s">
        <v>683</v>
      </c>
      <c r="G49" s="69">
        <f t="shared" ref="G49:G54" si="50">C49*300</f>
        <v>675</v>
      </c>
      <c r="H49" s="86">
        <v>450.0</v>
      </c>
      <c r="I49" s="77" t="s">
        <v>684</v>
      </c>
      <c r="J49" s="70">
        <f>Economy!M46</f>
        <v>1718.75</v>
      </c>
      <c r="K49" s="79">
        <v>1.0</v>
      </c>
      <c r="L49" s="72">
        <f t="shared" si="47"/>
        <v>12203.125</v>
      </c>
      <c r="M49" s="43"/>
      <c r="N49" s="43"/>
      <c r="O49" s="43"/>
      <c r="P49" s="43"/>
      <c r="Q49" s="43"/>
      <c r="R49" s="43"/>
      <c r="S49" s="62"/>
      <c r="T49" s="62"/>
      <c r="U49" s="62"/>
      <c r="V49" s="62"/>
      <c r="W49" s="62"/>
      <c r="X49" s="62"/>
      <c r="Y49" s="62"/>
      <c r="Z49" s="62"/>
      <c r="AA49" s="62"/>
      <c r="AB49" s="62"/>
      <c r="AC49" s="84"/>
      <c r="AD49" s="84"/>
    </row>
    <row r="50">
      <c r="A50" s="64"/>
      <c r="B50" s="73" t="str">
        <f>Economy!I76</f>
        <v>Supply and installation of Ledge with 25mm Ledge MR Premium and Smooth finish laminate </v>
      </c>
      <c r="C50" s="66">
        <v>6.0</v>
      </c>
      <c r="D50" s="66">
        <v>2.0</v>
      </c>
      <c r="E50" s="67">
        <f t="shared" ref="E50:E54" si="51">C50*D50</f>
        <v>12</v>
      </c>
      <c r="F50" s="66" t="s">
        <v>683</v>
      </c>
      <c r="G50" s="69">
        <f t="shared" si="50"/>
        <v>1800</v>
      </c>
      <c r="H50" s="69">
        <f t="shared" ref="H50:H54" si="52">D50*300</f>
        <v>600</v>
      </c>
      <c r="I50" s="68" t="s">
        <v>684</v>
      </c>
      <c r="J50" s="70">
        <f>Economy!M76</f>
        <v>822.5</v>
      </c>
      <c r="K50" s="71">
        <v>1.0</v>
      </c>
      <c r="L50" s="72">
        <f t="shared" si="47"/>
        <v>9870</v>
      </c>
      <c r="M50" s="62"/>
      <c r="N50" s="62"/>
      <c r="O50" s="62"/>
      <c r="P50" s="62"/>
      <c r="Q50" s="62"/>
      <c r="R50" s="62"/>
      <c r="S50" s="62"/>
      <c r="T50" s="62"/>
      <c r="U50" s="62"/>
      <c r="V50" s="62"/>
      <c r="W50" s="62"/>
      <c r="X50" s="62"/>
      <c r="Y50" s="62"/>
      <c r="Z50" s="62"/>
      <c r="AA50" s="62"/>
      <c r="AB50" s="62"/>
      <c r="AC50" s="84"/>
      <c r="AD50" s="84"/>
    </row>
    <row r="51">
      <c r="A51" s="64"/>
      <c r="B51" s="73" t="str">
        <f>Economy!I52</f>
        <v>Supply and installation of Wall storage - Inner 1mm unit  with MR Premium Carcass, HDF Shutter, Smooth finish laminate and soft close hinges  </v>
      </c>
      <c r="C51" s="66">
        <v>1.75</v>
      </c>
      <c r="D51" s="66">
        <v>4.5</v>
      </c>
      <c r="E51" s="67">
        <f t="shared" si="51"/>
        <v>7.875</v>
      </c>
      <c r="F51" s="66" t="s">
        <v>683</v>
      </c>
      <c r="G51" s="69">
        <f t="shared" si="50"/>
        <v>525</v>
      </c>
      <c r="H51" s="69">
        <f t="shared" si="52"/>
        <v>1350</v>
      </c>
      <c r="I51" s="68" t="s">
        <v>684</v>
      </c>
      <c r="J51" s="70">
        <f>Economy!M46</f>
        <v>1718.75</v>
      </c>
      <c r="K51" s="71">
        <v>1.0</v>
      </c>
      <c r="L51" s="72">
        <f t="shared" si="47"/>
        <v>13535.15625</v>
      </c>
      <c r="M51" s="62"/>
      <c r="N51" s="62"/>
      <c r="O51" s="62"/>
      <c r="P51" s="62"/>
      <c r="Q51" s="62"/>
      <c r="R51" s="62"/>
      <c r="S51" s="62"/>
      <c r="T51" s="62"/>
      <c r="U51" s="62"/>
      <c r="V51" s="62"/>
      <c r="W51" s="62"/>
      <c r="X51" s="62"/>
      <c r="Y51" s="62"/>
      <c r="Z51" s="62"/>
      <c r="AA51" s="62"/>
      <c r="AB51" s="62"/>
      <c r="AC51" s="43"/>
      <c r="AD51" s="43"/>
    </row>
    <row r="52">
      <c r="A52" s="64"/>
      <c r="B52" s="73" t="str">
        <f>Economy!I51</f>
        <v>Supply and installation of Base storage - Inner 1mm unit  with MR Premium Carcass, HDF Shutter, Smooth finish laminate and soft close hinges  </v>
      </c>
      <c r="C52" s="66">
        <v>1.75</v>
      </c>
      <c r="D52" s="66">
        <v>2.0</v>
      </c>
      <c r="E52" s="67">
        <f t="shared" si="51"/>
        <v>3.5</v>
      </c>
      <c r="F52" s="66" t="s">
        <v>683</v>
      </c>
      <c r="G52" s="69">
        <f t="shared" si="50"/>
        <v>525</v>
      </c>
      <c r="H52" s="69">
        <f t="shared" si="52"/>
        <v>600</v>
      </c>
      <c r="I52" s="68" t="s">
        <v>684</v>
      </c>
      <c r="J52" s="70">
        <f>Economy!M51</f>
        <v>1906.25</v>
      </c>
      <c r="K52" s="71">
        <v>1.0</v>
      </c>
      <c r="L52" s="72">
        <f t="shared" si="47"/>
        <v>6671.875</v>
      </c>
      <c r="M52" s="62"/>
      <c r="N52" s="62"/>
      <c r="O52" s="62"/>
      <c r="P52" s="62"/>
      <c r="Q52" s="62"/>
      <c r="R52" s="62"/>
      <c r="S52" s="62"/>
      <c r="T52" s="62"/>
      <c r="U52" s="62"/>
      <c r="V52" s="62"/>
      <c r="W52" s="62"/>
      <c r="X52" s="62"/>
      <c r="Y52" s="62"/>
      <c r="Z52" s="62"/>
      <c r="AA52" s="62"/>
      <c r="AB52" s="62"/>
      <c r="AC52" s="43"/>
      <c r="AD52" s="43"/>
    </row>
    <row r="53">
      <c r="A53" s="64"/>
      <c r="B53" s="73" t="str">
        <f>Economy!I76</f>
        <v>Supply and installation of Ledge with 25mm Ledge MR Premium and Smooth finish laminate </v>
      </c>
      <c r="C53" s="66">
        <v>4.0</v>
      </c>
      <c r="D53" s="66">
        <v>1.0</v>
      </c>
      <c r="E53" s="67">
        <f t="shared" si="51"/>
        <v>4</v>
      </c>
      <c r="F53" s="66" t="s">
        <v>683</v>
      </c>
      <c r="G53" s="69">
        <f t="shared" si="50"/>
        <v>1200</v>
      </c>
      <c r="H53" s="69">
        <f t="shared" si="52"/>
        <v>300</v>
      </c>
      <c r="I53" s="68" t="s">
        <v>684</v>
      </c>
      <c r="J53" s="70">
        <f>Economy!M76</f>
        <v>822.5</v>
      </c>
      <c r="K53" s="71">
        <v>1.0</v>
      </c>
      <c r="L53" s="72">
        <f t="shared" si="47"/>
        <v>3290</v>
      </c>
      <c r="M53" s="62"/>
      <c r="N53" s="62"/>
      <c r="O53" s="62"/>
      <c r="P53" s="62"/>
      <c r="Q53" s="62"/>
      <c r="R53" s="62"/>
      <c r="S53" s="62"/>
      <c r="T53" s="62"/>
      <c r="U53" s="62"/>
      <c r="V53" s="62"/>
      <c r="W53" s="62"/>
      <c r="X53" s="62"/>
      <c r="Y53" s="62"/>
      <c r="Z53" s="62"/>
      <c r="AA53" s="62"/>
      <c r="AB53" s="62"/>
      <c r="AC53" s="84"/>
      <c r="AD53" s="84"/>
    </row>
    <row r="54">
      <c r="A54" s="64"/>
      <c r="B54" s="73" t="str">
        <f>Economy!I82</f>
        <v>Supply and installation of Pelmet Panel with MR Premium Carcass, Smooth finish laminate </v>
      </c>
      <c r="C54" s="66">
        <v>4.0</v>
      </c>
      <c r="D54" s="66">
        <v>1.5</v>
      </c>
      <c r="E54" s="67">
        <f t="shared" si="51"/>
        <v>6</v>
      </c>
      <c r="F54" s="66" t="s">
        <v>683</v>
      </c>
      <c r="G54" s="69">
        <f t="shared" si="50"/>
        <v>1200</v>
      </c>
      <c r="H54" s="69">
        <f t="shared" si="52"/>
        <v>450</v>
      </c>
      <c r="I54" s="68" t="s">
        <v>684</v>
      </c>
      <c r="J54" s="78">
        <f>Economy!M81</f>
        <v>968.75</v>
      </c>
      <c r="K54" s="71">
        <v>1.0</v>
      </c>
      <c r="L54" s="72">
        <f t="shared" si="47"/>
        <v>5812.5</v>
      </c>
      <c r="M54" s="62"/>
      <c r="N54" s="62"/>
      <c r="O54" s="62"/>
      <c r="P54" s="62"/>
      <c r="Q54" s="62"/>
      <c r="R54" s="62"/>
      <c r="S54" s="62"/>
      <c r="T54" s="62"/>
      <c r="U54" s="62"/>
      <c r="V54" s="62"/>
      <c r="W54" s="62"/>
      <c r="X54" s="62"/>
      <c r="Y54" s="62"/>
      <c r="Z54" s="62"/>
      <c r="AA54" s="62"/>
      <c r="AB54" s="62"/>
      <c r="AC54" s="43"/>
      <c r="AD54" s="43"/>
    </row>
    <row r="55">
      <c r="A55" s="55"/>
      <c r="B55" s="56" t="s">
        <v>699</v>
      </c>
      <c r="C55" s="57"/>
      <c r="D55" s="57"/>
      <c r="E55" s="57"/>
      <c r="F55" s="57"/>
      <c r="G55" s="58"/>
      <c r="H55" s="58"/>
      <c r="I55" s="59"/>
      <c r="J55" s="60"/>
      <c r="K55" s="60"/>
      <c r="L55" s="58"/>
      <c r="M55" s="62"/>
      <c r="N55" s="62"/>
      <c r="O55" s="62"/>
      <c r="P55" s="62"/>
      <c r="Q55" s="62"/>
      <c r="R55" s="62"/>
      <c r="S55" s="62"/>
      <c r="T55" s="62"/>
      <c r="U55" s="62"/>
      <c r="V55" s="62"/>
      <c r="W55" s="62"/>
      <c r="X55" s="62"/>
      <c r="Y55" s="62"/>
      <c r="Z55" s="62"/>
      <c r="AA55" s="62"/>
      <c r="AB55" s="62"/>
      <c r="AC55" s="62"/>
      <c r="AD55" s="62"/>
    </row>
    <row r="56">
      <c r="A56" s="64"/>
      <c r="B56" s="82" t="str">
        <f>Economy!I5</f>
        <v>Supply and installation of Tall storage unit with BWP Carcass, HDF Shutter, Smooth finish laminate and soft close hinges  </v>
      </c>
      <c r="C56" s="66">
        <v>2.0</v>
      </c>
      <c r="D56" s="66">
        <v>6.0</v>
      </c>
      <c r="E56" s="67">
        <f>C56*D56</f>
        <v>12</v>
      </c>
      <c r="F56" s="66" t="s">
        <v>683</v>
      </c>
      <c r="G56" s="68">
        <f t="shared" ref="G56:H56" si="53">C56*300</f>
        <v>600</v>
      </c>
      <c r="H56" s="69">
        <f t="shared" si="53"/>
        <v>1800</v>
      </c>
      <c r="I56" s="68" t="s">
        <v>684</v>
      </c>
      <c r="J56" s="78">
        <f>Economy!M3</f>
        <v>1843.75</v>
      </c>
      <c r="K56" s="71">
        <v>1.0</v>
      </c>
      <c r="L56" s="72">
        <f>K56*J56*E56</f>
        <v>22125</v>
      </c>
      <c r="M56" s="62"/>
      <c r="N56" s="62"/>
      <c r="O56" s="62"/>
      <c r="P56" s="62"/>
      <c r="Q56" s="62"/>
      <c r="R56" s="62"/>
      <c r="S56" s="62"/>
      <c r="T56" s="62"/>
      <c r="U56" s="62"/>
      <c r="V56" s="62"/>
      <c r="W56" s="62"/>
      <c r="X56" s="62"/>
      <c r="Y56" s="62"/>
      <c r="Z56" s="62"/>
      <c r="AA56" s="62"/>
      <c r="AB56" s="62"/>
      <c r="AC56" s="43"/>
      <c r="AD56" s="43"/>
    </row>
    <row r="57">
      <c r="A57" s="55"/>
      <c r="B57" s="56" t="s">
        <v>700</v>
      </c>
      <c r="C57" s="57"/>
      <c r="D57" s="57"/>
      <c r="E57" s="57"/>
      <c r="F57" s="57"/>
      <c r="G57" s="59"/>
      <c r="H57" s="59"/>
      <c r="I57" s="59"/>
      <c r="J57" s="60"/>
      <c r="K57" s="60"/>
      <c r="L57" s="58"/>
      <c r="M57" s="62"/>
      <c r="N57" s="62"/>
      <c r="O57" s="62"/>
      <c r="P57" s="62"/>
      <c r="Q57" s="62"/>
      <c r="R57" s="62"/>
      <c r="S57" s="62"/>
      <c r="T57" s="62"/>
      <c r="U57" s="62"/>
      <c r="V57" s="62"/>
      <c r="W57" s="62"/>
      <c r="X57" s="62"/>
      <c r="Y57" s="62"/>
      <c r="Z57" s="62"/>
      <c r="AA57" s="62"/>
      <c r="AB57" s="62"/>
      <c r="AC57" s="62"/>
      <c r="AD57" s="62"/>
    </row>
    <row r="58">
      <c r="A58" s="64"/>
      <c r="B58" s="82" t="str">
        <f>Economy!I4</f>
        <v>Supply and installation of Wall storage unit with BWP Carcass, HDF Shutter, Smooth finish laminate and soft close hinges  </v>
      </c>
      <c r="C58" s="66">
        <v>2.0</v>
      </c>
      <c r="D58" s="66">
        <v>2.0</v>
      </c>
      <c r="E58" s="67">
        <f t="shared" ref="E58:E60" si="55">C58*D58</f>
        <v>4</v>
      </c>
      <c r="F58" s="66" t="s">
        <v>683</v>
      </c>
      <c r="G58" s="68">
        <f t="shared" ref="G58:H58" si="54">C58*300</f>
        <v>600</v>
      </c>
      <c r="H58" s="68">
        <f t="shared" si="54"/>
        <v>600</v>
      </c>
      <c r="I58" s="68" t="s">
        <v>684</v>
      </c>
      <c r="J58" s="78">
        <f>Economy!M3</f>
        <v>1843.75</v>
      </c>
      <c r="K58" s="71">
        <v>1.0</v>
      </c>
      <c r="L58" s="72">
        <f t="shared" ref="L58:L60" si="57">K58*J58*E58*K58</f>
        <v>7375</v>
      </c>
      <c r="M58" s="62"/>
      <c r="N58" s="62"/>
      <c r="O58" s="62"/>
      <c r="P58" s="62"/>
      <c r="Q58" s="62"/>
      <c r="R58" s="62"/>
      <c r="S58" s="62"/>
      <c r="T58" s="62"/>
      <c r="U58" s="62"/>
      <c r="V58" s="62"/>
      <c r="W58" s="62"/>
      <c r="X58" s="62"/>
      <c r="Y58" s="62"/>
      <c r="Z58" s="62"/>
      <c r="AA58" s="62"/>
      <c r="AB58" s="62"/>
      <c r="AC58" s="43"/>
      <c r="AD58" s="43"/>
    </row>
    <row r="59">
      <c r="A59" s="64"/>
      <c r="B59" s="82" t="str">
        <f>Economy!I4</f>
        <v>Supply and installation of Wall storage unit with BWP Carcass, HDF Shutter, Smooth finish laminate and soft close hinges  </v>
      </c>
      <c r="C59" s="66">
        <v>2.0</v>
      </c>
      <c r="D59" s="66">
        <v>2.0</v>
      </c>
      <c r="E59" s="67">
        <f t="shared" si="55"/>
        <v>4</v>
      </c>
      <c r="F59" s="66" t="s">
        <v>683</v>
      </c>
      <c r="G59" s="68">
        <f t="shared" ref="G59:H59" si="56">C59*300</f>
        <v>600</v>
      </c>
      <c r="H59" s="68">
        <f t="shared" si="56"/>
        <v>600</v>
      </c>
      <c r="I59" s="68" t="s">
        <v>684</v>
      </c>
      <c r="J59" s="78">
        <f>Economy!M3</f>
        <v>1843.75</v>
      </c>
      <c r="K59" s="71">
        <v>1.0</v>
      </c>
      <c r="L59" s="72">
        <f t="shared" si="57"/>
        <v>7375</v>
      </c>
      <c r="M59" s="62"/>
      <c r="N59" s="62"/>
      <c r="O59" s="62"/>
      <c r="P59" s="62"/>
      <c r="Q59" s="62"/>
      <c r="R59" s="62"/>
      <c r="S59" s="62"/>
      <c r="T59" s="62"/>
      <c r="U59" s="62"/>
      <c r="V59" s="62"/>
      <c r="W59" s="62"/>
      <c r="X59" s="62"/>
      <c r="Y59" s="62"/>
      <c r="Z59" s="62"/>
      <c r="AA59" s="62"/>
      <c r="AB59" s="62"/>
      <c r="AC59" s="43"/>
      <c r="AD59" s="43"/>
    </row>
    <row r="60">
      <c r="A60" s="64"/>
      <c r="B60" s="82" t="str">
        <f>Economy!I4</f>
        <v>Supply and installation of Wall storage unit with BWP Carcass, HDF Shutter, Smooth finish laminate and soft close hinges  </v>
      </c>
      <c r="C60" s="66">
        <v>2.0</v>
      </c>
      <c r="D60" s="66">
        <v>2.0</v>
      </c>
      <c r="E60" s="67">
        <f t="shared" si="55"/>
        <v>4</v>
      </c>
      <c r="F60" s="66" t="s">
        <v>683</v>
      </c>
      <c r="G60" s="68">
        <f t="shared" ref="G60:H60" si="58">C60*300</f>
        <v>600</v>
      </c>
      <c r="H60" s="68">
        <f t="shared" si="58"/>
        <v>600</v>
      </c>
      <c r="I60" s="68" t="s">
        <v>684</v>
      </c>
      <c r="J60" s="78">
        <f>Economy!M3</f>
        <v>1843.75</v>
      </c>
      <c r="K60" s="71">
        <v>1.0</v>
      </c>
      <c r="L60" s="72">
        <f t="shared" si="57"/>
        <v>7375</v>
      </c>
      <c r="M60" s="62"/>
      <c r="N60" s="62"/>
      <c r="O60" s="62"/>
      <c r="P60" s="62"/>
      <c r="Q60" s="62"/>
      <c r="R60" s="62"/>
      <c r="S60" s="62"/>
      <c r="T60" s="62"/>
      <c r="U60" s="62"/>
      <c r="V60" s="62"/>
      <c r="W60" s="62"/>
      <c r="X60" s="62"/>
      <c r="Y60" s="62"/>
      <c r="Z60" s="62"/>
      <c r="AA60" s="62"/>
      <c r="AB60" s="62"/>
      <c r="AC60" s="43"/>
      <c r="AD60" s="43"/>
    </row>
    <row r="61">
      <c r="A61" s="64"/>
      <c r="B61" s="88" t="s">
        <v>701</v>
      </c>
      <c r="C61" s="57"/>
      <c r="D61" s="57"/>
      <c r="E61" s="81"/>
      <c r="F61" s="57"/>
      <c r="G61" s="89"/>
      <c r="H61" s="89"/>
      <c r="I61" s="90"/>
      <c r="J61" s="70"/>
      <c r="K61" s="70"/>
      <c r="L61" s="91"/>
      <c r="M61" s="62"/>
      <c r="N61" s="92"/>
      <c r="O61" s="62"/>
      <c r="P61" s="62"/>
      <c r="Q61" s="62"/>
      <c r="R61" s="62"/>
      <c r="S61" s="62"/>
      <c r="T61" s="62"/>
      <c r="U61" s="62"/>
      <c r="V61" s="62"/>
      <c r="W61" s="62"/>
      <c r="X61" s="62"/>
      <c r="Y61" s="62"/>
      <c r="Z61" s="62"/>
      <c r="AA61" s="62"/>
      <c r="AB61" s="62"/>
      <c r="AC61" s="62"/>
      <c r="AD61" s="62"/>
    </row>
    <row r="62">
      <c r="A62" s="55"/>
      <c r="B62" s="93" t="s">
        <v>702</v>
      </c>
      <c r="C62" s="94"/>
      <c r="D62" s="94"/>
      <c r="E62" s="94"/>
      <c r="F62" s="94"/>
      <c r="G62" s="94"/>
      <c r="H62" s="94"/>
      <c r="I62" s="94"/>
      <c r="J62" s="94"/>
      <c r="K62" s="95"/>
      <c r="L62" s="96">
        <f>SUM(L5:L60)</f>
        <v>1014587.188</v>
      </c>
      <c r="M62" s="43"/>
      <c r="N62" s="43"/>
      <c r="O62" s="43"/>
      <c r="P62" s="43"/>
      <c r="Q62" s="43"/>
      <c r="R62" s="43"/>
      <c r="S62" s="43"/>
      <c r="T62" s="43"/>
      <c r="U62" s="43"/>
      <c r="V62" s="43"/>
      <c r="W62" s="43"/>
      <c r="X62" s="43"/>
      <c r="Y62" s="43"/>
      <c r="Z62" s="43"/>
      <c r="AA62" s="43"/>
      <c r="AB62" s="43"/>
      <c r="AC62" s="43"/>
      <c r="AD62" s="43"/>
    </row>
    <row r="63">
      <c r="A63" s="55"/>
      <c r="B63" s="97" t="s">
        <v>703</v>
      </c>
      <c r="C63" s="94"/>
      <c r="D63" s="94"/>
      <c r="E63" s="94"/>
      <c r="F63" s="94"/>
      <c r="G63" s="94"/>
      <c r="H63" s="94"/>
      <c r="I63" s="94"/>
      <c r="J63" s="94"/>
      <c r="K63" s="95"/>
      <c r="L63" s="98">
        <v>0.05</v>
      </c>
      <c r="M63" s="43"/>
      <c r="N63" s="43"/>
      <c r="O63" s="43"/>
      <c r="P63" s="43"/>
      <c r="Q63" s="43"/>
      <c r="R63" s="43"/>
      <c r="S63" s="43"/>
      <c r="T63" s="43"/>
      <c r="U63" s="43"/>
      <c r="V63" s="43"/>
      <c r="W63" s="43"/>
      <c r="X63" s="43"/>
      <c r="Y63" s="43"/>
      <c r="Z63" s="43"/>
      <c r="AA63" s="43"/>
      <c r="AB63" s="43"/>
      <c r="AC63" s="43"/>
      <c r="AD63" s="43"/>
    </row>
    <row r="64">
      <c r="A64" s="55"/>
      <c r="B64" s="97" t="s">
        <v>704</v>
      </c>
      <c r="C64" s="99"/>
      <c r="D64" s="99"/>
      <c r="E64" s="99"/>
      <c r="F64" s="99"/>
      <c r="G64" s="99"/>
      <c r="H64" s="99"/>
      <c r="I64" s="99"/>
      <c r="J64" s="99"/>
      <c r="K64" s="99"/>
      <c r="L64" s="96">
        <f>(L62*L63)+L62</f>
        <v>1065316.547</v>
      </c>
      <c r="M64" s="43"/>
      <c r="N64" s="43"/>
      <c r="O64" s="43"/>
      <c r="P64" s="43"/>
      <c r="Q64" s="43"/>
      <c r="R64" s="43"/>
      <c r="S64" s="43"/>
      <c r="T64" s="43"/>
      <c r="U64" s="43"/>
      <c r="V64" s="43"/>
      <c r="W64" s="43"/>
      <c r="X64" s="43"/>
      <c r="Y64" s="43"/>
      <c r="Z64" s="43"/>
      <c r="AA64" s="43"/>
      <c r="AB64" s="43"/>
      <c r="AC64" s="43"/>
      <c r="AD64" s="43"/>
    </row>
    <row r="65">
      <c r="A65" s="55"/>
      <c r="B65" s="93" t="s">
        <v>705</v>
      </c>
      <c r="C65" s="100"/>
      <c r="D65" s="100"/>
      <c r="E65" s="100"/>
      <c r="F65" s="100"/>
      <c r="G65" s="100"/>
      <c r="H65" s="100"/>
      <c r="I65" s="100"/>
      <c r="J65" s="100"/>
      <c r="K65" s="100"/>
      <c r="L65" s="96">
        <f>L64*18%</f>
        <v>191756.9784</v>
      </c>
      <c r="M65" s="43"/>
      <c r="N65" s="101"/>
      <c r="O65" s="43"/>
      <c r="P65" s="43"/>
      <c r="Q65" s="43"/>
      <c r="R65" s="43"/>
      <c r="S65" s="43"/>
      <c r="T65" s="43"/>
      <c r="U65" s="43"/>
      <c r="V65" s="43"/>
      <c r="W65" s="43"/>
      <c r="X65" s="43"/>
      <c r="Y65" s="43"/>
      <c r="Z65" s="43"/>
      <c r="AA65" s="43"/>
      <c r="AB65" s="43"/>
      <c r="AC65" s="43"/>
      <c r="AD65" s="43"/>
    </row>
    <row r="66">
      <c r="A66" s="102"/>
      <c r="B66" s="103" t="s">
        <v>706</v>
      </c>
      <c r="C66" s="104"/>
      <c r="D66" s="104"/>
      <c r="E66" s="104"/>
      <c r="F66" s="104"/>
      <c r="G66" s="104"/>
      <c r="H66" s="104"/>
      <c r="I66" s="104"/>
      <c r="J66" s="104"/>
      <c r="K66" s="104"/>
      <c r="L66" s="105">
        <f>L64+L65</f>
        <v>1257073.525</v>
      </c>
      <c r="M66" s="106"/>
      <c r="N66" s="43"/>
      <c r="O66" s="43"/>
      <c r="P66" s="43"/>
      <c r="Q66" s="43"/>
      <c r="R66" s="107" t="s">
        <v>707</v>
      </c>
      <c r="S66" s="43"/>
      <c r="T66" s="43"/>
      <c r="U66" s="43"/>
      <c r="V66" s="43"/>
      <c r="W66" s="43"/>
      <c r="X66" s="43"/>
      <c r="Y66" s="43"/>
      <c r="Z66" s="43"/>
      <c r="AA66" s="43"/>
      <c r="AB66" s="43"/>
      <c r="AC66" s="43"/>
      <c r="AD66" s="43"/>
    </row>
    <row r="67">
      <c r="B67" s="108"/>
      <c r="Z67" s="13"/>
      <c r="AA67" s="13"/>
      <c r="AB67" s="13"/>
      <c r="AC67" s="13"/>
      <c r="AD67" s="13"/>
    </row>
    <row r="68">
      <c r="B68" s="108"/>
      <c r="Z68" s="13"/>
      <c r="AA68" s="13"/>
      <c r="AB68" s="13"/>
      <c r="AC68" s="13"/>
      <c r="AD68" s="13"/>
    </row>
    <row r="69">
      <c r="B69" s="108"/>
      <c r="Z69" s="13"/>
      <c r="AA69" s="13"/>
      <c r="AB69" s="13"/>
      <c r="AC69" s="13"/>
      <c r="AD69" s="13"/>
    </row>
    <row r="70">
      <c r="B70" s="108"/>
      <c r="Z70" s="13"/>
      <c r="AA70" s="13"/>
      <c r="AB70" s="13"/>
      <c r="AC70" s="13"/>
      <c r="AD70" s="13"/>
    </row>
    <row r="71">
      <c r="B71" s="108"/>
      <c r="Z71" s="13"/>
      <c r="AA71" s="13"/>
      <c r="AB71" s="13"/>
      <c r="AC71" s="13"/>
      <c r="AD71" s="13"/>
    </row>
    <row r="72">
      <c r="B72" s="108"/>
      <c r="Z72" s="13"/>
      <c r="AA72" s="13"/>
      <c r="AB72" s="13"/>
      <c r="AC72" s="13"/>
      <c r="AD72" s="13"/>
    </row>
    <row r="73">
      <c r="B73" s="108"/>
      <c r="Z73" s="13"/>
      <c r="AA73" s="13"/>
      <c r="AB73" s="13"/>
      <c r="AC73" s="13"/>
      <c r="AD73" s="13"/>
    </row>
    <row r="74">
      <c r="B74" s="108"/>
      <c r="Z74" s="13"/>
      <c r="AA74" s="13"/>
      <c r="AB74" s="13"/>
      <c r="AC74" s="13"/>
      <c r="AD74" s="13"/>
    </row>
    <row r="75">
      <c r="B75" s="108"/>
      <c r="Z75" s="13"/>
      <c r="AA75" s="13"/>
      <c r="AB75" s="13"/>
      <c r="AC75" s="13"/>
      <c r="AD75" s="13"/>
    </row>
    <row r="76">
      <c r="B76" s="108"/>
      <c r="Z76" s="13"/>
      <c r="AA76" s="13"/>
      <c r="AB76" s="13"/>
      <c r="AC76" s="13"/>
      <c r="AD76" s="13"/>
    </row>
    <row r="77">
      <c r="B77" s="108"/>
      <c r="Z77" s="13"/>
      <c r="AA77" s="13"/>
      <c r="AB77" s="13"/>
      <c r="AC77" s="13"/>
      <c r="AD77" s="13"/>
    </row>
    <row r="78">
      <c r="B78" s="108"/>
      <c r="Z78" s="13"/>
      <c r="AA78" s="13"/>
      <c r="AB78" s="13"/>
      <c r="AC78" s="13"/>
      <c r="AD78" s="13"/>
    </row>
    <row r="79">
      <c r="B79" s="108"/>
      <c r="Z79" s="13"/>
      <c r="AA79" s="13"/>
      <c r="AB79" s="13"/>
      <c r="AC79" s="13"/>
      <c r="AD79" s="13"/>
    </row>
    <row r="80">
      <c r="B80" s="108"/>
      <c r="Z80" s="13"/>
      <c r="AA80" s="13"/>
      <c r="AB80" s="13"/>
      <c r="AC80" s="13"/>
      <c r="AD80" s="13"/>
    </row>
    <row r="81">
      <c r="B81" s="108"/>
      <c r="Z81" s="13"/>
      <c r="AA81" s="13"/>
      <c r="AB81" s="13"/>
      <c r="AC81" s="13"/>
      <c r="AD81" s="13"/>
    </row>
    <row r="82">
      <c r="B82" s="108"/>
      <c r="Z82" s="13"/>
      <c r="AA82" s="13"/>
      <c r="AB82" s="13"/>
      <c r="AC82" s="13"/>
      <c r="AD82" s="13"/>
    </row>
    <row r="83">
      <c r="B83" s="108"/>
      <c r="Z83" s="13"/>
      <c r="AA83" s="13"/>
      <c r="AB83" s="13"/>
      <c r="AC83" s="13"/>
      <c r="AD83" s="13"/>
    </row>
    <row r="84">
      <c r="B84" s="108"/>
      <c r="Z84" s="13"/>
      <c r="AA84" s="13"/>
      <c r="AB84" s="13"/>
      <c r="AC84" s="13"/>
      <c r="AD84" s="13"/>
    </row>
    <row r="85">
      <c r="B85" s="108"/>
      <c r="Z85" s="13"/>
      <c r="AA85" s="13"/>
      <c r="AB85" s="13"/>
      <c r="AC85" s="13"/>
      <c r="AD85" s="13"/>
    </row>
    <row r="86">
      <c r="B86" s="108"/>
      <c r="Z86" s="13"/>
      <c r="AA86" s="13"/>
      <c r="AB86" s="13"/>
      <c r="AC86" s="13"/>
      <c r="AD86" s="13"/>
    </row>
    <row r="87">
      <c r="B87" s="108"/>
      <c r="Z87" s="13"/>
      <c r="AA87" s="13"/>
      <c r="AB87" s="13"/>
      <c r="AC87" s="13"/>
      <c r="AD87" s="13"/>
    </row>
    <row r="88">
      <c r="B88" s="108"/>
      <c r="Z88" s="13"/>
      <c r="AA88" s="13"/>
      <c r="AB88" s="13"/>
      <c r="AC88" s="13"/>
      <c r="AD88" s="13"/>
    </row>
    <row r="89">
      <c r="B89" s="108"/>
      <c r="Z89" s="13"/>
      <c r="AA89" s="13"/>
      <c r="AB89" s="13"/>
      <c r="AC89" s="13"/>
      <c r="AD89" s="13"/>
    </row>
    <row r="90">
      <c r="B90" s="108"/>
      <c r="Z90" s="13"/>
      <c r="AA90" s="13"/>
      <c r="AB90" s="13"/>
      <c r="AC90" s="13"/>
      <c r="AD90" s="13"/>
    </row>
    <row r="91">
      <c r="B91" s="108"/>
      <c r="Z91" s="13"/>
      <c r="AA91" s="13"/>
      <c r="AB91" s="13"/>
      <c r="AC91" s="13"/>
      <c r="AD91" s="13"/>
    </row>
    <row r="92">
      <c r="B92" s="108"/>
      <c r="Z92" s="13"/>
      <c r="AA92" s="13"/>
      <c r="AB92" s="13"/>
      <c r="AC92" s="13"/>
      <c r="AD92" s="13"/>
    </row>
    <row r="93">
      <c r="B93" s="108"/>
      <c r="Z93" s="13"/>
      <c r="AA93" s="13"/>
      <c r="AB93" s="13"/>
      <c r="AC93" s="13"/>
      <c r="AD93" s="13"/>
    </row>
    <row r="94">
      <c r="B94" s="108"/>
      <c r="Z94" s="13"/>
      <c r="AA94" s="13"/>
      <c r="AB94" s="13"/>
      <c r="AC94" s="13"/>
      <c r="AD94" s="13"/>
    </row>
    <row r="95">
      <c r="B95" s="108"/>
      <c r="Z95" s="13"/>
      <c r="AA95" s="13"/>
      <c r="AB95" s="13"/>
      <c r="AC95" s="13"/>
      <c r="AD95" s="13"/>
    </row>
    <row r="96">
      <c r="B96" s="108"/>
      <c r="Z96" s="13"/>
      <c r="AA96" s="13"/>
      <c r="AB96" s="13"/>
      <c r="AC96" s="13"/>
      <c r="AD96" s="13"/>
    </row>
    <row r="97">
      <c r="B97" s="108"/>
      <c r="Z97" s="13"/>
      <c r="AA97" s="13"/>
      <c r="AB97" s="13"/>
      <c r="AC97" s="13"/>
      <c r="AD97" s="13"/>
    </row>
    <row r="98">
      <c r="B98" s="108"/>
      <c r="Z98" s="13"/>
      <c r="AA98" s="13"/>
      <c r="AB98" s="13"/>
      <c r="AC98" s="13"/>
      <c r="AD98" s="13"/>
    </row>
    <row r="99">
      <c r="B99" s="108"/>
      <c r="Z99" s="13"/>
      <c r="AA99" s="13"/>
      <c r="AB99" s="13"/>
      <c r="AC99" s="13"/>
      <c r="AD99" s="13"/>
    </row>
    <row r="100">
      <c r="B100" s="108"/>
      <c r="Z100" s="13"/>
      <c r="AA100" s="13"/>
      <c r="AB100" s="13"/>
      <c r="AC100" s="13"/>
      <c r="AD100" s="13"/>
    </row>
    <row r="101">
      <c r="B101" s="108"/>
      <c r="Z101" s="13"/>
      <c r="AA101" s="13"/>
      <c r="AB101" s="13"/>
      <c r="AC101" s="13"/>
      <c r="AD101" s="13"/>
    </row>
    <row r="102">
      <c r="B102" s="108"/>
      <c r="Z102" s="13"/>
      <c r="AA102" s="13"/>
      <c r="AB102" s="13"/>
      <c r="AC102" s="13"/>
      <c r="AD102" s="13"/>
    </row>
    <row r="103">
      <c r="B103" s="108"/>
      <c r="Z103" s="13"/>
      <c r="AA103" s="13"/>
      <c r="AB103" s="13"/>
      <c r="AC103" s="13"/>
      <c r="AD103" s="13"/>
    </row>
    <row r="104">
      <c r="B104" s="108"/>
      <c r="Z104" s="13"/>
      <c r="AA104" s="13"/>
      <c r="AB104" s="13"/>
      <c r="AC104" s="13"/>
      <c r="AD104" s="13"/>
    </row>
    <row r="105">
      <c r="B105" s="108"/>
      <c r="Z105" s="13"/>
      <c r="AA105" s="13"/>
      <c r="AB105" s="13"/>
      <c r="AC105" s="13"/>
      <c r="AD105" s="13"/>
    </row>
    <row r="106">
      <c r="B106" s="108"/>
      <c r="Z106" s="13"/>
      <c r="AA106" s="13"/>
      <c r="AB106" s="13"/>
      <c r="AC106" s="13"/>
      <c r="AD106" s="13"/>
    </row>
    <row r="107">
      <c r="B107" s="108"/>
      <c r="Z107" s="13"/>
      <c r="AA107" s="13"/>
      <c r="AB107" s="13"/>
      <c r="AC107" s="13"/>
      <c r="AD107" s="13"/>
    </row>
    <row r="108">
      <c r="B108" s="108"/>
      <c r="Z108" s="13"/>
      <c r="AA108" s="13"/>
      <c r="AB108" s="13"/>
      <c r="AC108" s="13"/>
      <c r="AD108" s="13"/>
    </row>
    <row r="109">
      <c r="B109" s="108"/>
      <c r="Z109" s="13"/>
      <c r="AA109" s="13"/>
      <c r="AB109" s="13"/>
      <c r="AC109" s="13"/>
      <c r="AD109" s="13"/>
    </row>
    <row r="110">
      <c r="B110" s="108"/>
      <c r="Z110" s="13"/>
      <c r="AA110" s="13"/>
      <c r="AB110" s="13"/>
      <c r="AC110" s="13"/>
      <c r="AD110" s="13"/>
    </row>
    <row r="111">
      <c r="B111" s="108"/>
      <c r="Z111" s="13"/>
      <c r="AA111" s="13"/>
      <c r="AB111" s="13"/>
      <c r="AC111" s="13"/>
      <c r="AD111" s="13"/>
    </row>
    <row r="112">
      <c r="B112" s="108"/>
      <c r="Z112" s="13"/>
      <c r="AA112" s="13"/>
      <c r="AB112" s="13"/>
      <c r="AC112" s="13"/>
      <c r="AD112" s="13"/>
    </row>
    <row r="113">
      <c r="B113" s="108"/>
      <c r="Z113" s="13"/>
      <c r="AA113" s="13"/>
      <c r="AB113" s="13"/>
      <c r="AC113" s="13"/>
      <c r="AD113" s="13"/>
    </row>
    <row r="114">
      <c r="B114" s="108"/>
      <c r="Z114" s="13"/>
      <c r="AA114" s="13"/>
      <c r="AB114" s="13"/>
      <c r="AC114" s="13"/>
      <c r="AD114" s="13"/>
    </row>
    <row r="115">
      <c r="B115" s="108"/>
      <c r="Z115" s="13"/>
      <c r="AA115" s="13"/>
      <c r="AB115" s="13"/>
      <c r="AC115" s="13"/>
      <c r="AD115" s="13"/>
    </row>
    <row r="116">
      <c r="B116" s="108"/>
      <c r="Z116" s="13"/>
      <c r="AA116" s="13"/>
      <c r="AB116" s="13"/>
      <c r="AC116" s="13"/>
      <c r="AD116" s="13"/>
    </row>
    <row r="117">
      <c r="B117" s="108"/>
      <c r="Z117" s="13"/>
      <c r="AA117" s="13"/>
      <c r="AB117" s="13"/>
      <c r="AC117" s="13"/>
      <c r="AD117" s="13"/>
    </row>
    <row r="118">
      <c r="B118" s="108"/>
      <c r="Z118" s="13"/>
      <c r="AA118" s="13"/>
      <c r="AB118" s="13"/>
      <c r="AC118" s="13"/>
      <c r="AD118" s="13"/>
    </row>
    <row r="119">
      <c r="B119" s="108"/>
      <c r="Z119" s="13"/>
      <c r="AA119" s="13"/>
      <c r="AB119" s="13"/>
      <c r="AC119" s="13"/>
      <c r="AD119" s="13"/>
    </row>
    <row r="120">
      <c r="B120" s="108"/>
      <c r="Z120" s="13"/>
      <c r="AA120" s="13"/>
      <c r="AB120" s="13"/>
      <c r="AC120" s="13"/>
      <c r="AD120" s="13"/>
    </row>
    <row r="121">
      <c r="B121" s="108"/>
      <c r="Z121" s="13"/>
      <c r="AA121" s="13"/>
      <c r="AB121" s="13"/>
      <c r="AC121" s="13"/>
      <c r="AD121" s="13"/>
    </row>
    <row r="122">
      <c r="B122" s="108"/>
      <c r="Z122" s="13"/>
      <c r="AA122" s="13"/>
      <c r="AB122" s="13"/>
      <c r="AC122" s="13"/>
      <c r="AD122" s="13"/>
    </row>
    <row r="123">
      <c r="B123" s="108"/>
      <c r="Z123" s="13"/>
      <c r="AA123" s="13"/>
      <c r="AB123" s="13"/>
      <c r="AC123" s="13"/>
      <c r="AD123" s="13"/>
    </row>
    <row r="124">
      <c r="B124" s="108"/>
      <c r="Z124" s="13"/>
      <c r="AA124" s="13"/>
      <c r="AB124" s="13"/>
      <c r="AC124" s="13"/>
      <c r="AD124" s="13"/>
    </row>
    <row r="125">
      <c r="B125" s="108"/>
      <c r="Z125" s="13"/>
      <c r="AA125" s="13"/>
      <c r="AB125" s="13"/>
      <c r="AC125" s="13"/>
      <c r="AD125" s="13"/>
    </row>
    <row r="126">
      <c r="B126" s="108"/>
      <c r="Z126" s="13"/>
      <c r="AA126" s="13"/>
      <c r="AB126" s="13"/>
      <c r="AC126" s="13"/>
      <c r="AD126" s="13"/>
    </row>
    <row r="127">
      <c r="B127" s="108"/>
      <c r="Z127" s="13"/>
      <c r="AA127" s="13"/>
      <c r="AB127" s="13"/>
      <c r="AC127" s="13"/>
      <c r="AD127" s="13"/>
    </row>
    <row r="128">
      <c r="B128" s="108"/>
      <c r="Z128" s="13"/>
      <c r="AA128" s="13"/>
      <c r="AB128" s="13"/>
      <c r="AC128" s="13"/>
      <c r="AD128" s="13"/>
    </row>
    <row r="129">
      <c r="B129" s="108"/>
      <c r="Z129" s="13"/>
      <c r="AA129" s="13"/>
      <c r="AB129" s="13"/>
      <c r="AC129" s="13"/>
      <c r="AD129" s="13"/>
    </row>
    <row r="130">
      <c r="B130" s="108"/>
      <c r="Z130" s="13"/>
      <c r="AA130" s="13"/>
      <c r="AB130" s="13"/>
      <c r="AC130" s="13"/>
      <c r="AD130" s="13"/>
    </row>
    <row r="131">
      <c r="B131" s="108"/>
      <c r="Z131" s="13"/>
      <c r="AA131" s="13"/>
      <c r="AB131" s="13"/>
      <c r="AC131" s="13"/>
      <c r="AD131" s="13"/>
    </row>
    <row r="132">
      <c r="B132" s="108"/>
      <c r="Z132" s="13"/>
      <c r="AA132" s="13"/>
      <c r="AB132" s="13"/>
      <c r="AC132" s="13"/>
      <c r="AD132" s="13"/>
    </row>
    <row r="133">
      <c r="B133" s="108"/>
      <c r="Z133" s="13"/>
      <c r="AA133" s="13"/>
      <c r="AB133" s="13"/>
      <c r="AC133" s="13"/>
      <c r="AD133" s="13"/>
    </row>
    <row r="134">
      <c r="B134" s="108"/>
      <c r="Z134" s="13"/>
      <c r="AA134" s="13"/>
      <c r="AB134" s="13"/>
      <c r="AC134" s="13"/>
      <c r="AD134" s="13"/>
    </row>
    <row r="135">
      <c r="B135" s="108"/>
      <c r="Z135" s="13"/>
      <c r="AA135" s="13"/>
      <c r="AB135" s="13"/>
      <c r="AC135" s="13"/>
      <c r="AD135" s="13"/>
    </row>
    <row r="136">
      <c r="B136" s="108"/>
      <c r="Z136" s="13"/>
      <c r="AA136" s="13"/>
      <c r="AB136" s="13"/>
      <c r="AC136" s="13"/>
      <c r="AD136" s="13"/>
    </row>
    <row r="137">
      <c r="B137" s="108"/>
      <c r="Z137" s="13"/>
      <c r="AA137" s="13"/>
      <c r="AB137" s="13"/>
      <c r="AC137" s="13"/>
      <c r="AD137" s="13"/>
    </row>
    <row r="138">
      <c r="B138" s="108"/>
      <c r="Z138" s="13"/>
      <c r="AA138" s="13"/>
      <c r="AB138" s="13"/>
      <c r="AC138" s="13"/>
      <c r="AD138" s="13"/>
    </row>
    <row r="139">
      <c r="B139" s="108"/>
      <c r="Z139" s="13"/>
      <c r="AA139" s="13"/>
      <c r="AB139" s="13"/>
      <c r="AC139" s="13"/>
      <c r="AD139" s="13"/>
    </row>
    <row r="140">
      <c r="B140" s="108"/>
      <c r="Z140" s="13"/>
      <c r="AA140" s="13"/>
      <c r="AB140" s="13"/>
      <c r="AC140" s="13"/>
      <c r="AD140" s="13"/>
    </row>
    <row r="141">
      <c r="B141" s="108"/>
      <c r="Z141" s="13"/>
      <c r="AA141" s="13"/>
      <c r="AB141" s="13"/>
      <c r="AC141" s="13"/>
      <c r="AD141" s="13"/>
    </row>
    <row r="142">
      <c r="B142" s="108"/>
      <c r="Z142" s="13"/>
      <c r="AA142" s="13"/>
      <c r="AB142" s="13"/>
      <c r="AC142" s="13"/>
      <c r="AD142" s="13"/>
    </row>
    <row r="143">
      <c r="B143" s="108"/>
      <c r="Z143" s="13"/>
      <c r="AA143" s="13"/>
      <c r="AB143" s="13"/>
      <c r="AC143" s="13"/>
      <c r="AD143" s="13"/>
    </row>
    <row r="144">
      <c r="B144" s="108"/>
      <c r="Z144" s="13"/>
      <c r="AA144" s="13"/>
      <c r="AB144" s="13"/>
      <c r="AC144" s="13"/>
      <c r="AD144" s="13"/>
    </row>
    <row r="145">
      <c r="B145" s="108"/>
      <c r="Z145" s="13"/>
      <c r="AA145" s="13"/>
      <c r="AB145" s="13"/>
      <c r="AC145" s="13"/>
      <c r="AD145" s="13"/>
    </row>
    <row r="146">
      <c r="B146" s="108"/>
      <c r="Z146" s="13"/>
      <c r="AA146" s="13"/>
      <c r="AB146" s="13"/>
      <c r="AC146" s="13"/>
      <c r="AD146" s="13"/>
    </row>
    <row r="147">
      <c r="B147" s="108"/>
      <c r="Z147" s="13"/>
      <c r="AA147" s="13"/>
      <c r="AB147" s="13"/>
      <c r="AC147" s="13"/>
      <c r="AD147" s="13"/>
    </row>
    <row r="148">
      <c r="B148" s="108"/>
      <c r="Z148" s="13"/>
      <c r="AA148" s="13"/>
      <c r="AB148" s="13"/>
      <c r="AC148" s="13"/>
      <c r="AD148" s="13"/>
    </row>
    <row r="149">
      <c r="B149" s="108"/>
      <c r="Z149" s="13"/>
      <c r="AA149" s="13"/>
      <c r="AB149" s="13"/>
      <c r="AC149" s="13"/>
      <c r="AD149" s="13"/>
    </row>
    <row r="150">
      <c r="B150" s="108"/>
      <c r="Z150" s="13"/>
      <c r="AA150" s="13"/>
      <c r="AB150" s="13"/>
      <c r="AC150" s="13"/>
      <c r="AD150" s="13"/>
    </row>
    <row r="151">
      <c r="B151" s="108"/>
      <c r="Z151" s="13"/>
      <c r="AA151" s="13"/>
      <c r="AB151" s="13"/>
      <c r="AC151" s="13"/>
      <c r="AD151" s="13"/>
    </row>
    <row r="152">
      <c r="B152" s="108"/>
      <c r="Z152" s="13"/>
      <c r="AA152" s="13"/>
      <c r="AB152" s="13"/>
      <c r="AC152" s="13"/>
      <c r="AD152" s="13"/>
    </row>
    <row r="153">
      <c r="B153" s="108"/>
      <c r="Z153" s="13"/>
      <c r="AA153" s="13"/>
      <c r="AB153" s="13"/>
      <c r="AC153" s="13"/>
      <c r="AD153" s="13"/>
    </row>
    <row r="154">
      <c r="B154" s="108"/>
      <c r="Z154" s="13"/>
      <c r="AA154" s="13"/>
      <c r="AB154" s="13"/>
      <c r="AC154" s="13"/>
      <c r="AD154" s="13"/>
    </row>
    <row r="155">
      <c r="B155" s="108"/>
      <c r="Z155" s="13"/>
      <c r="AA155" s="13"/>
      <c r="AB155" s="13"/>
      <c r="AC155" s="13"/>
      <c r="AD155" s="13"/>
    </row>
    <row r="156">
      <c r="B156" s="108"/>
      <c r="Z156" s="13"/>
      <c r="AA156" s="13"/>
      <c r="AB156" s="13"/>
      <c r="AC156" s="13"/>
      <c r="AD156" s="13"/>
    </row>
    <row r="157">
      <c r="B157" s="108"/>
      <c r="Z157" s="13"/>
      <c r="AA157" s="13"/>
      <c r="AB157" s="13"/>
      <c r="AC157" s="13"/>
      <c r="AD157" s="13"/>
    </row>
    <row r="158">
      <c r="B158" s="108"/>
      <c r="Z158" s="13"/>
      <c r="AA158" s="13"/>
      <c r="AB158" s="13"/>
      <c r="AC158" s="13"/>
      <c r="AD158" s="13"/>
    </row>
    <row r="159">
      <c r="B159" s="108"/>
      <c r="Z159" s="13"/>
      <c r="AA159" s="13"/>
      <c r="AB159" s="13"/>
      <c r="AC159" s="13"/>
      <c r="AD159" s="13"/>
    </row>
    <row r="160">
      <c r="B160" s="108"/>
      <c r="Z160" s="13"/>
      <c r="AA160" s="13"/>
      <c r="AB160" s="13"/>
      <c r="AC160" s="13"/>
      <c r="AD160" s="13"/>
    </row>
    <row r="161">
      <c r="B161" s="108"/>
      <c r="Z161" s="13"/>
      <c r="AA161" s="13"/>
      <c r="AB161" s="13"/>
      <c r="AC161" s="13"/>
      <c r="AD161" s="13"/>
    </row>
    <row r="162">
      <c r="B162" s="108"/>
      <c r="Z162" s="13"/>
      <c r="AA162" s="13"/>
      <c r="AB162" s="13"/>
      <c r="AC162" s="13"/>
      <c r="AD162" s="13"/>
    </row>
    <row r="163">
      <c r="B163" s="108"/>
      <c r="Z163" s="13"/>
      <c r="AA163" s="13"/>
      <c r="AB163" s="13"/>
      <c r="AC163" s="13"/>
      <c r="AD163" s="13"/>
    </row>
    <row r="164">
      <c r="B164" s="108"/>
      <c r="Z164" s="13"/>
      <c r="AA164" s="13"/>
      <c r="AB164" s="13"/>
      <c r="AC164" s="13"/>
      <c r="AD164" s="13"/>
    </row>
    <row r="165">
      <c r="B165" s="108"/>
      <c r="Z165" s="13"/>
      <c r="AA165" s="13"/>
      <c r="AB165" s="13"/>
      <c r="AC165" s="13"/>
      <c r="AD165" s="13"/>
    </row>
    <row r="166">
      <c r="B166" s="108"/>
      <c r="Z166" s="13"/>
      <c r="AA166" s="13"/>
      <c r="AB166" s="13"/>
      <c r="AC166" s="13"/>
      <c r="AD166" s="13"/>
    </row>
    <row r="167">
      <c r="B167" s="108"/>
      <c r="Z167" s="13"/>
      <c r="AA167" s="13"/>
      <c r="AB167" s="13"/>
      <c r="AC167" s="13"/>
      <c r="AD167" s="13"/>
    </row>
    <row r="168">
      <c r="B168" s="108"/>
      <c r="Z168" s="13"/>
      <c r="AA168" s="13"/>
      <c r="AB168" s="13"/>
      <c r="AC168" s="13"/>
      <c r="AD168" s="13"/>
    </row>
    <row r="169">
      <c r="B169" s="108"/>
      <c r="Z169" s="13"/>
      <c r="AA169" s="13"/>
      <c r="AB169" s="13"/>
      <c r="AC169" s="13"/>
      <c r="AD169" s="13"/>
    </row>
    <row r="170">
      <c r="B170" s="108"/>
      <c r="Z170" s="13"/>
      <c r="AA170" s="13"/>
      <c r="AB170" s="13"/>
      <c r="AC170" s="13"/>
      <c r="AD170" s="13"/>
    </row>
    <row r="171">
      <c r="B171" s="108"/>
      <c r="Z171" s="13"/>
      <c r="AA171" s="13"/>
      <c r="AB171" s="13"/>
      <c r="AC171" s="13"/>
      <c r="AD171" s="13"/>
    </row>
    <row r="172">
      <c r="B172" s="108"/>
      <c r="Z172" s="13"/>
      <c r="AA172" s="13"/>
      <c r="AB172" s="13"/>
      <c r="AC172" s="13"/>
      <c r="AD172" s="13"/>
    </row>
    <row r="173">
      <c r="B173" s="108"/>
      <c r="Z173" s="13"/>
      <c r="AA173" s="13"/>
      <c r="AB173" s="13"/>
      <c r="AC173" s="13"/>
      <c r="AD173" s="13"/>
    </row>
    <row r="174">
      <c r="B174" s="108"/>
      <c r="Z174" s="13"/>
      <c r="AA174" s="13"/>
      <c r="AB174" s="13"/>
      <c r="AC174" s="13"/>
      <c r="AD174" s="13"/>
    </row>
    <row r="175">
      <c r="B175" s="108"/>
      <c r="Z175" s="13"/>
      <c r="AA175" s="13"/>
      <c r="AB175" s="13"/>
      <c r="AC175" s="13"/>
      <c r="AD175" s="13"/>
    </row>
    <row r="176">
      <c r="B176" s="108"/>
      <c r="Z176" s="13"/>
      <c r="AA176" s="13"/>
      <c r="AB176" s="13"/>
      <c r="AC176" s="13"/>
      <c r="AD176" s="13"/>
    </row>
    <row r="177">
      <c r="B177" s="108"/>
      <c r="Z177" s="13"/>
      <c r="AA177" s="13"/>
      <c r="AB177" s="13"/>
      <c r="AC177" s="13"/>
      <c r="AD177" s="13"/>
    </row>
    <row r="178">
      <c r="B178" s="108"/>
      <c r="Z178" s="13"/>
      <c r="AA178" s="13"/>
      <c r="AB178" s="13"/>
      <c r="AC178" s="13"/>
      <c r="AD178" s="13"/>
    </row>
    <row r="179">
      <c r="B179" s="108"/>
      <c r="Z179" s="13"/>
      <c r="AA179" s="13"/>
      <c r="AB179" s="13"/>
      <c r="AC179" s="13"/>
      <c r="AD179" s="13"/>
    </row>
    <row r="180">
      <c r="B180" s="108"/>
      <c r="Z180" s="13"/>
      <c r="AA180" s="13"/>
      <c r="AB180" s="13"/>
      <c r="AC180" s="13"/>
      <c r="AD180" s="13"/>
    </row>
    <row r="181">
      <c r="B181" s="108"/>
      <c r="Z181" s="13"/>
      <c r="AA181" s="13"/>
      <c r="AB181" s="13"/>
      <c r="AC181" s="13"/>
      <c r="AD181" s="13"/>
    </row>
    <row r="182">
      <c r="B182" s="108"/>
      <c r="Z182" s="13"/>
      <c r="AA182" s="13"/>
      <c r="AB182" s="13"/>
      <c r="AC182" s="13"/>
      <c r="AD182" s="13"/>
    </row>
    <row r="183">
      <c r="B183" s="108"/>
      <c r="Z183" s="13"/>
      <c r="AA183" s="13"/>
      <c r="AB183" s="13"/>
      <c r="AC183" s="13"/>
      <c r="AD183" s="13"/>
    </row>
    <row r="184">
      <c r="B184" s="108"/>
      <c r="Z184" s="13"/>
      <c r="AA184" s="13"/>
      <c r="AB184" s="13"/>
      <c r="AC184" s="13"/>
      <c r="AD184" s="13"/>
    </row>
    <row r="185">
      <c r="B185" s="108"/>
      <c r="Z185" s="13"/>
      <c r="AA185" s="13"/>
      <c r="AB185" s="13"/>
      <c r="AC185" s="13"/>
      <c r="AD185" s="13"/>
    </row>
    <row r="186">
      <c r="B186" s="108"/>
      <c r="Z186" s="13"/>
      <c r="AA186" s="13"/>
      <c r="AB186" s="13"/>
      <c r="AC186" s="13"/>
      <c r="AD186" s="13"/>
    </row>
    <row r="187">
      <c r="B187" s="108"/>
      <c r="Z187" s="13"/>
      <c r="AA187" s="13"/>
      <c r="AB187" s="13"/>
      <c r="AC187" s="13"/>
      <c r="AD187" s="13"/>
    </row>
    <row r="188">
      <c r="B188" s="108"/>
      <c r="Z188" s="13"/>
      <c r="AA188" s="13"/>
      <c r="AB188" s="13"/>
      <c r="AC188" s="13"/>
      <c r="AD188" s="13"/>
    </row>
    <row r="189">
      <c r="B189" s="108"/>
      <c r="Z189" s="13"/>
      <c r="AA189" s="13"/>
      <c r="AB189" s="13"/>
      <c r="AC189" s="13"/>
      <c r="AD189" s="13"/>
    </row>
    <row r="190">
      <c r="B190" s="108"/>
      <c r="Z190" s="13"/>
      <c r="AA190" s="13"/>
      <c r="AB190" s="13"/>
      <c r="AC190" s="13"/>
      <c r="AD190" s="13"/>
    </row>
    <row r="191">
      <c r="B191" s="108"/>
      <c r="Z191" s="13"/>
      <c r="AA191" s="13"/>
      <c r="AB191" s="13"/>
      <c r="AC191" s="13"/>
      <c r="AD191" s="13"/>
    </row>
    <row r="192">
      <c r="B192" s="108"/>
      <c r="Z192" s="13"/>
      <c r="AA192" s="13"/>
      <c r="AB192" s="13"/>
      <c r="AC192" s="13"/>
      <c r="AD192" s="13"/>
    </row>
    <row r="193">
      <c r="B193" s="108"/>
      <c r="Z193" s="13"/>
      <c r="AA193" s="13"/>
      <c r="AB193" s="13"/>
      <c r="AC193" s="13"/>
      <c r="AD193" s="13"/>
    </row>
    <row r="194">
      <c r="B194" s="108"/>
      <c r="Z194" s="13"/>
      <c r="AA194" s="13"/>
      <c r="AB194" s="13"/>
      <c r="AC194" s="13"/>
      <c r="AD194" s="13"/>
    </row>
    <row r="195">
      <c r="B195" s="108"/>
      <c r="Z195" s="13"/>
      <c r="AA195" s="13"/>
      <c r="AB195" s="13"/>
      <c r="AC195" s="13"/>
      <c r="AD195" s="13"/>
    </row>
    <row r="196">
      <c r="B196" s="108"/>
      <c r="Z196" s="13"/>
      <c r="AA196" s="13"/>
      <c r="AB196" s="13"/>
      <c r="AC196" s="13"/>
      <c r="AD196" s="13"/>
    </row>
    <row r="197">
      <c r="B197" s="108"/>
      <c r="Z197" s="13"/>
      <c r="AA197" s="13"/>
      <c r="AB197" s="13"/>
      <c r="AC197" s="13"/>
      <c r="AD197" s="13"/>
    </row>
    <row r="198">
      <c r="B198" s="108"/>
      <c r="Z198" s="13"/>
      <c r="AA198" s="13"/>
      <c r="AB198" s="13"/>
      <c r="AC198" s="13"/>
      <c r="AD198" s="13"/>
    </row>
    <row r="199">
      <c r="B199" s="108"/>
      <c r="Z199" s="13"/>
      <c r="AA199" s="13"/>
      <c r="AB199" s="13"/>
      <c r="AC199" s="13"/>
      <c r="AD199" s="13"/>
    </row>
    <row r="200">
      <c r="B200" s="108"/>
      <c r="Z200" s="13"/>
      <c r="AA200" s="13"/>
      <c r="AB200" s="13"/>
      <c r="AC200" s="13"/>
      <c r="AD200" s="13"/>
    </row>
    <row r="201">
      <c r="B201" s="108"/>
      <c r="Z201" s="13"/>
      <c r="AA201" s="13"/>
      <c r="AB201" s="13"/>
      <c r="AC201" s="13"/>
      <c r="AD201" s="13"/>
    </row>
    <row r="202">
      <c r="B202" s="108"/>
      <c r="Z202" s="13"/>
      <c r="AA202" s="13"/>
      <c r="AB202" s="13"/>
      <c r="AC202" s="13"/>
      <c r="AD202" s="13"/>
    </row>
    <row r="203">
      <c r="B203" s="108"/>
      <c r="Z203" s="13"/>
      <c r="AA203" s="13"/>
      <c r="AB203" s="13"/>
      <c r="AC203" s="13"/>
      <c r="AD203" s="13"/>
    </row>
    <row r="204">
      <c r="B204" s="108"/>
      <c r="Z204" s="13"/>
      <c r="AA204" s="13"/>
      <c r="AB204" s="13"/>
      <c r="AC204" s="13"/>
      <c r="AD204" s="13"/>
    </row>
    <row r="205">
      <c r="B205" s="108"/>
      <c r="Z205" s="13"/>
      <c r="AA205" s="13"/>
      <c r="AB205" s="13"/>
      <c r="AC205" s="13"/>
      <c r="AD205" s="13"/>
    </row>
    <row r="206">
      <c r="B206" s="108"/>
      <c r="Z206" s="13"/>
      <c r="AA206" s="13"/>
      <c r="AB206" s="13"/>
      <c r="AC206" s="13"/>
      <c r="AD206" s="13"/>
    </row>
    <row r="207">
      <c r="B207" s="108"/>
      <c r="Z207" s="13"/>
      <c r="AA207" s="13"/>
      <c r="AB207" s="13"/>
      <c r="AC207" s="13"/>
      <c r="AD207" s="13"/>
    </row>
    <row r="208">
      <c r="B208" s="108"/>
      <c r="Z208" s="13"/>
      <c r="AA208" s="13"/>
      <c r="AB208" s="13"/>
      <c r="AC208" s="13"/>
      <c r="AD208" s="13"/>
    </row>
    <row r="209">
      <c r="B209" s="108"/>
      <c r="Z209" s="13"/>
      <c r="AA209" s="13"/>
      <c r="AB209" s="13"/>
      <c r="AC209" s="13"/>
      <c r="AD209" s="13"/>
    </row>
    <row r="210">
      <c r="B210" s="108"/>
      <c r="Z210" s="13"/>
      <c r="AA210" s="13"/>
      <c r="AB210" s="13"/>
      <c r="AC210" s="13"/>
      <c r="AD210" s="13"/>
    </row>
    <row r="211">
      <c r="B211" s="108"/>
      <c r="Z211" s="13"/>
      <c r="AA211" s="13"/>
      <c r="AB211" s="13"/>
      <c r="AC211" s="13"/>
      <c r="AD211" s="13"/>
    </row>
    <row r="212">
      <c r="B212" s="108"/>
      <c r="Z212" s="13"/>
      <c r="AA212" s="13"/>
      <c r="AB212" s="13"/>
      <c r="AC212" s="13"/>
      <c r="AD212" s="13"/>
    </row>
    <row r="213">
      <c r="B213" s="108"/>
      <c r="Z213" s="13"/>
      <c r="AA213" s="13"/>
      <c r="AB213" s="13"/>
      <c r="AC213" s="13"/>
      <c r="AD213" s="13"/>
    </row>
    <row r="214">
      <c r="B214" s="108"/>
      <c r="Z214" s="13"/>
      <c r="AA214" s="13"/>
      <c r="AB214" s="13"/>
      <c r="AC214" s="13"/>
      <c r="AD214" s="13"/>
    </row>
    <row r="215">
      <c r="B215" s="108"/>
      <c r="Z215" s="13"/>
      <c r="AA215" s="13"/>
      <c r="AB215" s="13"/>
      <c r="AC215" s="13"/>
      <c r="AD215" s="13"/>
    </row>
    <row r="216">
      <c r="B216" s="108"/>
      <c r="Z216" s="13"/>
      <c r="AA216" s="13"/>
      <c r="AB216" s="13"/>
      <c r="AC216" s="13"/>
      <c r="AD216" s="13"/>
    </row>
    <row r="217">
      <c r="B217" s="108"/>
      <c r="Z217" s="13"/>
      <c r="AA217" s="13"/>
      <c r="AB217" s="13"/>
      <c r="AC217" s="13"/>
      <c r="AD217" s="13"/>
    </row>
    <row r="218">
      <c r="B218" s="108"/>
      <c r="Z218" s="13"/>
      <c r="AA218" s="13"/>
      <c r="AB218" s="13"/>
      <c r="AC218" s="13"/>
      <c r="AD218" s="13"/>
    </row>
    <row r="219">
      <c r="B219" s="108"/>
      <c r="Z219" s="13"/>
      <c r="AA219" s="13"/>
      <c r="AB219" s="13"/>
      <c r="AC219" s="13"/>
      <c r="AD219" s="13"/>
    </row>
    <row r="220">
      <c r="B220" s="108"/>
      <c r="Z220" s="13"/>
      <c r="AA220" s="13"/>
      <c r="AB220" s="13"/>
      <c r="AC220" s="13"/>
      <c r="AD220" s="13"/>
    </row>
    <row r="221">
      <c r="B221" s="108"/>
      <c r="Z221" s="13"/>
      <c r="AA221" s="13"/>
      <c r="AB221" s="13"/>
      <c r="AC221" s="13"/>
      <c r="AD221" s="13"/>
    </row>
    <row r="222">
      <c r="B222" s="108"/>
      <c r="Z222" s="13"/>
      <c r="AA222" s="13"/>
      <c r="AB222" s="13"/>
      <c r="AC222" s="13"/>
      <c r="AD222" s="13"/>
    </row>
    <row r="223">
      <c r="B223" s="108"/>
      <c r="Z223" s="13"/>
      <c r="AA223" s="13"/>
      <c r="AB223" s="13"/>
      <c r="AC223" s="13"/>
      <c r="AD223" s="13"/>
    </row>
    <row r="224">
      <c r="B224" s="108"/>
      <c r="Z224" s="13"/>
      <c r="AA224" s="13"/>
      <c r="AB224" s="13"/>
      <c r="AC224" s="13"/>
      <c r="AD224" s="13"/>
    </row>
    <row r="225">
      <c r="B225" s="108"/>
      <c r="Z225" s="13"/>
      <c r="AA225" s="13"/>
      <c r="AB225" s="13"/>
      <c r="AC225" s="13"/>
      <c r="AD225" s="13"/>
    </row>
    <row r="226">
      <c r="B226" s="108"/>
      <c r="Z226" s="13"/>
      <c r="AA226" s="13"/>
      <c r="AB226" s="13"/>
      <c r="AC226" s="13"/>
      <c r="AD226" s="13"/>
    </row>
    <row r="227">
      <c r="B227" s="108"/>
      <c r="Z227" s="13"/>
      <c r="AA227" s="13"/>
      <c r="AB227" s="13"/>
      <c r="AC227" s="13"/>
      <c r="AD227" s="13"/>
    </row>
    <row r="228">
      <c r="B228" s="108"/>
      <c r="Z228" s="13"/>
      <c r="AA228" s="13"/>
      <c r="AB228" s="13"/>
      <c r="AC228" s="13"/>
      <c r="AD228" s="13"/>
    </row>
    <row r="229">
      <c r="B229" s="108"/>
      <c r="Z229" s="13"/>
      <c r="AA229" s="13"/>
      <c r="AB229" s="13"/>
      <c r="AC229" s="13"/>
      <c r="AD229" s="13"/>
    </row>
    <row r="230">
      <c r="B230" s="108"/>
      <c r="Z230" s="13"/>
      <c r="AA230" s="13"/>
      <c r="AB230" s="13"/>
      <c r="AC230" s="13"/>
      <c r="AD230" s="13"/>
    </row>
    <row r="231">
      <c r="B231" s="108"/>
      <c r="Z231" s="13"/>
      <c r="AA231" s="13"/>
      <c r="AB231" s="13"/>
      <c r="AC231" s="13"/>
      <c r="AD231" s="13"/>
    </row>
    <row r="232">
      <c r="B232" s="108"/>
      <c r="Z232" s="13"/>
      <c r="AA232" s="13"/>
      <c r="AB232" s="13"/>
      <c r="AC232" s="13"/>
      <c r="AD232" s="13"/>
    </row>
    <row r="233">
      <c r="B233" s="108"/>
      <c r="Z233" s="13"/>
      <c r="AA233" s="13"/>
      <c r="AB233" s="13"/>
      <c r="AC233" s="13"/>
      <c r="AD233" s="13"/>
    </row>
    <row r="234">
      <c r="B234" s="108"/>
      <c r="Z234" s="13"/>
      <c r="AA234" s="13"/>
      <c r="AB234" s="13"/>
      <c r="AC234" s="13"/>
      <c r="AD234" s="13"/>
    </row>
    <row r="235">
      <c r="B235" s="108"/>
      <c r="Z235" s="13"/>
      <c r="AA235" s="13"/>
      <c r="AB235" s="13"/>
      <c r="AC235" s="13"/>
      <c r="AD235" s="13"/>
    </row>
    <row r="236">
      <c r="B236" s="108"/>
      <c r="Z236" s="13"/>
      <c r="AA236" s="13"/>
      <c r="AB236" s="13"/>
      <c r="AC236" s="13"/>
      <c r="AD236" s="13"/>
    </row>
    <row r="237">
      <c r="B237" s="108"/>
      <c r="Z237" s="13"/>
      <c r="AA237" s="13"/>
      <c r="AB237" s="13"/>
      <c r="AC237" s="13"/>
      <c r="AD237" s="13"/>
    </row>
    <row r="238">
      <c r="B238" s="108"/>
      <c r="Z238" s="13"/>
      <c r="AA238" s="13"/>
      <c r="AB238" s="13"/>
      <c r="AC238" s="13"/>
      <c r="AD238" s="13"/>
    </row>
    <row r="239">
      <c r="B239" s="108"/>
      <c r="Z239" s="13"/>
      <c r="AA239" s="13"/>
      <c r="AB239" s="13"/>
      <c r="AC239" s="13"/>
      <c r="AD239" s="13"/>
    </row>
    <row r="240">
      <c r="B240" s="108"/>
      <c r="Z240" s="13"/>
      <c r="AA240" s="13"/>
      <c r="AB240" s="13"/>
      <c r="AC240" s="13"/>
      <c r="AD240" s="13"/>
    </row>
    <row r="241">
      <c r="B241" s="108"/>
      <c r="Z241" s="13"/>
      <c r="AA241" s="13"/>
      <c r="AB241" s="13"/>
      <c r="AC241" s="13"/>
      <c r="AD241" s="13"/>
    </row>
    <row r="242">
      <c r="B242" s="108"/>
      <c r="Z242" s="13"/>
      <c r="AA242" s="13"/>
      <c r="AB242" s="13"/>
      <c r="AC242" s="13"/>
      <c r="AD242" s="13"/>
    </row>
    <row r="243">
      <c r="B243" s="108"/>
      <c r="Z243" s="13"/>
      <c r="AA243" s="13"/>
      <c r="AB243" s="13"/>
      <c r="AC243" s="13"/>
      <c r="AD243" s="13"/>
    </row>
    <row r="244">
      <c r="B244" s="108"/>
      <c r="Z244" s="13"/>
      <c r="AA244" s="13"/>
      <c r="AB244" s="13"/>
      <c r="AC244" s="13"/>
      <c r="AD244" s="13"/>
    </row>
    <row r="245">
      <c r="B245" s="108"/>
      <c r="Z245" s="13"/>
      <c r="AA245" s="13"/>
      <c r="AB245" s="13"/>
      <c r="AC245" s="13"/>
      <c r="AD245" s="13"/>
    </row>
    <row r="246">
      <c r="B246" s="108"/>
      <c r="Z246" s="13"/>
      <c r="AA246" s="13"/>
      <c r="AB246" s="13"/>
      <c r="AC246" s="13"/>
      <c r="AD246" s="13"/>
    </row>
    <row r="247">
      <c r="B247" s="108"/>
      <c r="Z247" s="13"/>
      <c r="AA247" s="13"/>
      <c r="AB247" s="13"/>
      <c r="AC247" s="13"/>
      <c r="AD247" s="13"/>
    </row>
    <row r="248">
      <c r="B248" s="108"/>
      <c r="Z248" s="13"/>
      <c r="AA248" s="13"/>
      <c r="AB248" s="13"/>
      <c r="AC248" s="13"/>
      <c r="AD248" s="13"/>
    </row>
    <row r="249">
      <c r="B249" s="108"/>
      <c r="Z249" s="13"/>
      <c r="AA249" s="13"/>
      <c r="AB249" s="13"/>
      <c r="AC249" s="13"/>
      <c r="AD249" s="13"/>
    </row>
    <row r="250">
      <c r="B250" s="108"/>
      <c r="Z250" s="13"/>
      <c r="AA250" s="13"/>
      <c r="AB250" s="13"/>
      <c r="AC250" s="13"/>
      <c r="AD250" s="13"/>
    </row>
    <row r="251">
      <c r="B251" s="108"/>
      <c r="Z251" s="13"/>
      <c r="AA251" s="13"/>
      <c r="AB251" s="13"/>
      <c r="AC251" s="13"/>
      <c r="AD251" s="13"/>
    </row>
    <row r="252">
      <c r="B252" s="108"/>
      <c r="Z252" s="13"/>
      <c r="AA252" s="13"/>
      <c r="AB252" s="13"/>
      <c r="AC252" s="13"/>
      <c r="AD252" s="13"/>
    </row>
    <row r="253">
      <c r="B253" s="108"/>
      <c r="Z253" s="13"/>
      <c r="AA253" s="13"/>
      <c r="AB253" s="13"/>
      <c r="AC253" s="13"/>
      <c r="AD253" s="13"/>
    </row>
    <row r="254">
      <c r="B254" s="108"/>
      <c r="Z254" s="13"/>
      <c r="AA254" s="13"/>
      <c r="AB254" s="13"/>
      <c r="AC254" s="13"/>
      <c r="AD254" s="13"/>
    </row>
    <row r="255">
      <c r="B255" s="108"/>
      <c r="Z255" s="13"/>
      <c r="AA255" s="13"/>
      <c r="AB255" s="13"/>
      <c r="AC255" s="13"/>
      <c r="AD255" s="13"/>
    </row>
    <row r="256">
      <c r="B256" s="108"/>
      <c r="Z256" s="13"/>
      <c r="AA256" s="13"/>
      <c r="AB256" s="13"/>
      <c r="AC256" s="13"/>
      <c r="AD256" s="13"/>
    </row>
    <row r="257">
      <c r="B257" s="108"/>
      <c r="Z257" s="13"/>
      <c r="AA257" s="13"/>
      <c r="AB257" s="13"/>
      <c r="AC257" s="13"/>
      <c r="AD257" s="13"/>
    </row>
    <row r="258">
      <c r="B258" s="108"/>
      <c r="Z258" s="13"/>
      <c r="AA258" s="13"/>
      <c r="AB258" s="13"/>
      <c r="AC258" s="13"/>
      <c r="AD258" s="13"/>
    </row>
    <row r="259">
      <c r="B259" s="108"/>
      <c r="Z259" s="13"/>
      <c r="AA259" s="13"/>
      <c r="AB259" s="13"/>
      <c r="AC259" s="13"/>
      <c r="AD259" s="13"/>
    </row>
    <row r="260">
      <c r="B260" s="108"/>
      <c r="Z260" s="13"/>
      <c r="AA260" s="13"/>
      <c r="AB260" s="13"/>
      <c r="AC260" s="13"/>
      <c r="AD260" s="13"/>
    </row>
    <row r="261">
      <c r="B261" s="108"/>
      <c r="Z261" s="13"/>
      <c r="AA261" s="13"/>
      <c r="AB261" s="13"/>
      <c r="AC261" s="13"/>
      <c r="AD261" s="13"/>
    </row>
    <row r="262">
      <c r="B262" s="108"/>
      <c r="Z262" s="13"/>
      <c r="AA262" s="13"/>
      <c r="AB262" s="13"/>
      <c r="AC262" s="13"/>
      <c r="AD262" s="13"/>
    </row>
    <row r="263">
      <c r="B263" s="108"/>
      <c r="Z263" s="13"/>
      <c r="AA263" s="13"/>
      <c r="AB263" s="13"/>
      <c r="AC263" s="13"/>
      <c r="AD263" s="13"/>
    </row>
    <row r="264">
      <c r="B264" s="108"/>
      <c r="Z264" s="13"/>
      <c r="AA264" s="13"/>
      <c r="AB264" s="13"/>
      <c r="AC264" s="13"/>
      <c r="AD264" s="13"/>
    </row>
    <row r="265">
      <c r="B265" s="108"/>
      <c r="Z265" s="13"/>
      <c r="AA265" s="13"/>
      <c r="AB265" s="13"/>
      <c r="AC265" s="13"/>
      <c r="AD265" s="13"/>
    </row>
    <row r="266">
      <c r="B266" s="108"/>
      <c r="Z266" s="13"/>
      <c r="AA266" s="13"/>
      <c r="AB266" s="13"/>
      <c r="AC266" s="13"/>
      <c r="AD266" s="13"/>
    </row>
    <row r="267">
      <c r="B267" s="108"/>
      <c r="Z267" s="13"/>
      <c r="AA267" s="13"/>
      <c r="AB267" s="13"/>
      <c r="AC267" s="13"/>
      <c r="AD267" s="13"/>
    </row>
    <row r="268">
      <c r="B268" s="108"/>
      <c r="Z268" s="13"/>
      <c r="AA268" s="13"/>
      <c r="AB268" s="13"/>
      <c r="AC268" s="13"/>
      <c r="AD268" s="13"/>
    </row>
    <row r="269">
      <c r="B269" s="108"/>
      <c r="Z269" s="13"/>
      <c r="AA269" s="13"/>
      <c r="AB269" s="13"/>
      <c r="AC269" s="13"/>
      <c r="AD269" s="13"/>
    </row>
    <row r="270">
      <c r="B270" s="108"/>
      <c r="Z270" s="13"/>
      <c r="AA270" s="13"/>
      <c r="AB270" s="13"/>
      <c r="AC270" s="13"/>
      <c r="AD270" s="13"/>
    </row>
    <row r="271">
      <c r="B271" s="108"/>
      <c r="Z271" s="13"/>
      <c r="AA271" s="13"/>
      <c r="AB271" s="13"/>
      <c r="AC271" s="13"/>
      <c r="AD271" s="13"/>
    </row>
    <row r="272">
      <c r="B272" s="108"/>
      <c r="Z272" s="13"/>
      <c r="AA272" s="13"/>
      <c r="AB272" s="13"/>
      <c r="AC272" s="13"/>
      <c r="AD272" s="13"/>
    </row>
    <row r="273">
      <c r="B273" s="108"/>
      <c r="Z273" s="13"/>
      <c r="AA273" s="13"/>
      <c r="AB273" s="13"/>
      <c r="AC273" s="13"/>
      <c r="AD273" s="13"/>
    </row>
    <row r="274">
      <c r="B274" s="108"/>
      <c r="Z274" s="13"/>
      <c r="AA274" s="13"/>
      <c r="AB274" s="13"/>
      <c r="AC274" s="13"/>
      <c r="AD274" s="13"/>
    </row>
    <row r="275">
      <c r="B275" s="108"/>
      <c r="Z275" s="13"/>
      <c r="AA275" s="13"/>
      <c r="AB275" s="13"/>
      <c r="AC275" s="13"/>
      <c r="AD275" s="13"/>
    </row>
    <row r="276">
      <c r="B276" s="108"/>
      <c r="Z276" s="13"/>
      <c r="AA276" s="13"/>
      <c r="AB276" s="13"/>
      <c r="AC276" s="13"/>
      <c r="AD276" s="13"/>
    </row>
    <row r="277">
      <c r="B277" s="108"/>
      <c r="Z277" s="13"/>
      <c r="AA277" s="13"/>
      <c r="AB277" s="13"/>
      <c r="AC277" s="13"/>
      <c r="AD277" s="13"/>
    </row>
    <row r="278">
      <c r="B278" s="108"/>
      <c r="Z278" s="13"/>
      <c r="AA278" s="13"/>
      <c r="AB278" s="13"/>
      <c r="AC278" s="13"/>
      <c r="AD278" s="13"/>
    </row>
    <row r="279">
      <c r="B279" s="108"/>
      <c r="Z279" s="13"/>
      <c r="AA279" s="13"/>
      <c r="AB279" s="13"/>
      <c r="AC279" s="13"/>
      <c r="AD279" s="13"/>
    </row>
    <row r="280">
      <c r="B280" s="108"/>
      <c r="Z280" s="13"/>
      <c r="AA280" s="13"/>
      <c r="AB280" s="13"/>
      <c r="AC280" s="13"/>
      <c r="AD280" s="13"/>
    </row>
    <row r="281">
      <c r="B281" s="108"/>
      <c r="Z281" s="13"/>
      <c r="AA281" s="13"/>
      <c r="AB281" s="13"/>
      <c r="AC281" s="13"/>
      <c r="AD281" s="13"/>
    </row>
    <row r="282">
      <c r="B282" s="108"/>
      <c r="Z282" s="13"/>
      <c r="AA282" s="13"/>
      <c r="AB282" s="13"/>
      <c r="AC282" s="13"/>
      <c r="AD282" s="13"/>
    </row>
    <row r="283">
      <c r="B283" s="108"/>
      <c r="Z283" s="13"/>
      <c r="AA283" s="13"/>
      <c r="AB283" s="13"/>
      <c r="AC283" s="13"/>
      <c r="AD283" s="13"/>
    </row>
    <row r="284">
      <c r="B284" s="108"/>
      <c r="Z284" s="13"/>
      <c r="AA284" s="13"/>
      <c r="AB284" s="13"/>
      <c r="AC284" s="13"/>
      <c r="AD284" s="13"/>
    </row>
    <row r="285">
      <c r="B285" s="108"/>
      <c r="Z285" s="13"/>
      <c r="AA285" s="13"/>
      <c r="AB285" s="13"/>
      <c r="AC285" s="13"/>
      <c r="AD285" s="13"/>
    </row>
    <row r="286">
      <c r="B286" s="108"/>
      <c r="Z286" s="13"/>
      <c r="AA286" s="13"/>
      <c r="AB286" s="13"/>
      <c r="AC286" s="13"/>
      <c r="AD286" s="13"/>
    </row>
    <row r="287">
      <c r="B287" s="108"/>
      <c r="Z287" s="13"/>
      <c r="AA287" s="13"/>
      <c r="AB287" s="13"/>
      <c r="AC287" s="13"/>
      <c r="AD287" s="13"/>
    </row>
    <row r="288">
      <c r="B288" s="108"/>
      <c r="Z288" s="13"/>
      <c r="AA288" s="13"/>
      <c r="AB288" s="13"/>
      <c r="AC288" s="13"/>
      <c r="AD288" s="13"/>
    </row>
    <row r="289">
      <c r="B289" s="108"/>
      <c r="Z289" s="13"/>
      <c r="AA289" s="13"/>
      <c r="AB289" s="13"/>
      <c r="AC289" s="13"/>
      <c r="AD289" s="13"/>
    </row>
    <row r="290">
      <c r="B290" s="108"/>
      <c r="Z290" s="13"/>
      <c r="AA290" s="13"/>
      <c r="AB290" s="13"/>
      <c r="AC290" s="13"/>
      <c r="AD290" s="13"/>
    </row>
    <row r="291">
      <c r="B291" s="108"/>
      <c r="Z291" s="13"/>
      <c r="AA291" s="13"/>
      <c r="AB291" s="13"/>
      <c r="AC291" s="13"/>
      <c r="AD291" s="13"/>
    </row>
    <row r="292">
      <c r="B292" s="108"/>
      <c r="Z292" s="13"/>
      <c r="AA292" s="13"/>
      <c r="AB292" s="13"/>
      <c r="AC292" s="13"/>
      <c r="AD292" s="13"/>
    </row>
    <row r="293">
      <c r="B293" s="108"/>
      <c r="Z293" s="13"/>
      <c r="AA293" s="13"/>
      <c r="AB293" s="13"/>
      <c r="AC293" s="13"/>
      <c r="AD293" s="13"/>
    </row>
    <row r="294">
      <c r="B294" s="108"/>
      <c r="Z294" s="13"/>
      <c r="AA294" s="13"/>
      <c r="AB294" s="13"/>
      <c r="AC294" s="13"/>
      <c r="AD294" s="13"/>
    </row>
    <row r="295">
      <c r="B295" s="108"/>
      <c r="Z295" s="13"/>
      <c r="AA295" s="13"/>
      <c r="AB295" s="13"/>
      <c r="AC295" s="13"/>
      <c r="AD295" s="13"/>
    </row>
    <row r="296">
      <c r="B296" s="108"/>
      <c r="Z296" s="13"/>
      <c r="AA296" s="13"/>
      <c r="AB296" s="13"/>
      <c r="AC296" s="13"/>
      <c r="AD296" s="13"/>
    </row>
    <row r="297">
      <c r="B297" s="108"/>
      <c r="Z297" s="13"/>
      <c r="AA297" s="13"/>
      <c r="AB297" s="13"/>
      <c r="AC297" s="13"/>
      <c r="AD297" s="13"/>
    </row>
    <row r="298">
      <c r="B298" s="108"/>
      <c r="Z298" s="13"/>
      <c r="AA298" s="13"/>
      <c r="AB298" s="13"/>
      <c r="AC298" s="13"/>
      <c r="AD298" s="13"/>
    </row>
    <row r="299">
      <c r="B299" s="108"/>
      <c r="Z299" s="13"/>
      <c r="AA299" s="13"/>
      <c r="AB299" s="13"/>
      <c r="AC299" s="13"/>
      <c r="AD299" s="13"/>
    </row>
    <row r="300">
      <c r="B300" s="108"/>
      <c r="Z300" s="13"/>
      <c r="AA300" s="13"/>
      <c r="AB300" s="13"/>
      <c r="AC300" s="13"/>
      <c r="AD300" s="13"/>
    </row>
    <row r="301">
      <c r="B301" s="108"/>
      <c r="Z301" s="13"/>
      <c r="AA301" s="13"/>
      <c r="AB301" s="13"/>
      <c r="AC301" s="13"/>
      <c r="AD301" s="13"/>
    </row>
    <row r="302">
      <c r="B302" s="108"/>
      <c r="Z302" s="13"/>
      <c r="AA302" s="13"/>
      <c r="AB302" s="13"/>
      <c r="AC302" s="13"/>
      <c r="AD302" s="13"/>
    </row>
    <row r="303">
      <c r="B303" s="108"/>
      <c r="Z303" s="13"/>
      <c r="AA303" s="13"/>
      <c r="AB303" s="13"/>
      <c r="AC303" s="13"/>
      <c r="AD303" s="13"/>
    </row>
    <row r="304">
      <c r="B304" s="108"/>
      <c r="Z304" s="13"/>
      <c r="AA304" s="13"/>
      <c r="AB304" s="13"/>
      <c r="AC304" s="13"/>
      <c r="AD304" s="13"/>
    </row>
    <row r="305">
      <c r="B305" s="108"/>
      <c r="Z305" s="13"/>
      <c r="AA305" s="13"/>
      <c r="AB305" s="13"/>
      <c r="AC305" s="13"/>
      <c r="AD305" s="13"/>
    </row>
    <row r="306">
      <c r="B306" s="108"/>
      <c r="Z306" s="13"/>
      <c r="AA306" s="13"/>
      <c r="AB306" s="13"/>
      <c r="AC306" s="13"/>
      <c r="AD306" s="13"/>
    </row>
    <row r="307">
      <c r="B307" s="108"/>
      <c r="Z307" s="13"/>
      <c r="AA307" s="13"/>
      <c r="AB307" s="13"/>
      <c r="AC307" s="13"/>
      <c r="AD307" s="13"/>
    </row>
    <row r="308">
      <c r="B308" s="108"/>
      <c r="Z308" s="13"/>
      <c r="AA308" s="13"/>
      <c r="AB308" s="13"/>
      <c r="AC308" s="13"/>
      <c r="AD308" s="13"/>
    </row>
    <row r="309">
      <c r="B309" s="108"/>
      <c r="Z309" s="13"/>
      <c r="AA309" s="13"/>
      <c r="AB309" s="13"/>
      <c r="AC309" s="13"/>
      <c r="AD309" s="13"/>
    </row>
    <row r="310">
      <c r="B310" s="108"/>
      <c r="Z310" s="13"/>
      <c r="AA310" s="13"/>
      <c r="AB310" s="13"/>
      <c r="AC310" s="13"/>
      <c r="AD310" s="13"/>
    </row>
    <row r="311">
      <c r="B311" s="108"/>
      <c r="Z311" s="13"/>
      <c r="AA311" s="13"/>
      <c r="AB311" s="13"/>
      <c r="AC311" s="13"/>
      <c r="AD311" s="13"/>
    </row>
    <row r="312">
      <c r="B312" s="108"/>
      <c r="Z312" s="13"/>
      <c r="AA312" s="13"/>
      <c r="AB312" s="13"/>
      <c r="AC312" s="13"/>
      <c r="AD312" s="13"/>
    </row>
    <row r="313">
      <c r="B313" s="108"/>
      <c r="Z313" s="13"/>
      <c r="AA313" s="13"/>
      <c r="AB313" s="13"/>
      <c r="AC313" s="13"/>
      <c r="AD313" s="13"/>
    </row>
    <row r="314">
      <c r="B314" s="108"/>
      <c r="Z314" s="13"/>
      <c r="AA314" s="13"/>
      <c r="AB314" s="13"/>
      <c r="AC314" s="13"/>
      <c r="AD314" s="13"/>
    </row>
    <row r="315">
      <c r="B315" s="108"/>
      <c r="Z315" s="13"/>
      <c r="AA315" s="13"/>
      <c r="AB315" s="13"/>
      <c r="AC315" s="13"/>
      <c r="AD315" s="13"/>
    </row>
    <row r="316">
      <c r="B316" s="108"/>
      <c r="Z316" s="13"/>
      <c r="AA316" s="13"/>
      <c r="AB316" s="13"/>
      <c r="AC316" s="13"/>
      <c r="AD316" s="13"/>
    </row>
    <row r="317">
      <c r="B317" s="108"/>
      <c r="Z317" s="13"/>
      <c r="AA317" s="13"/>
      <c r="AB317" s="13"/>
      <c r="AC317" s="13"/>
      <c r="AD317" s="13"/>
    </row>
    <row r="318">
      <c r="B318" s="108"/>
      <c r="Z318" s="13"/>
      <c r="AA318" s="13"/>
      <c r="AB318" s="13"/>
      <c r="AC318" s="13"/>
      <c r="AD318" s="13"/>
    </row>
    <row r="319">
      <c r="B319" s="108"/>
      <c r="Z319" s="13"/>
      <c r="AA319" s="13"/>
      <c r="AB319" s="13"/>
      <c r="AC319" s="13"/>
      <c r="AD319" s="13"/>
    </row>
    <row r="320">
      <c r="B320" s="108"/>
      <c r="Z320" s="13"/>
      <c r="AA320" s="13"/>
      <c r="AB320" s="13"/>
      <c r="AC320" s="13"/>
      <c r="AD320" s="13"/>
    </row>
    <row r="321">
      <c r="B321" s="108"/>
      <c r="Z321" s="13"/>
      <c r="AA321" s="13"/>
      <c r="AB321" s="13"/>
      <c r="AC321" s="13"/>
      <c r="AD321" s="13"/>
    </row>
    <row r="322">
      <c r="B322" s="108"/>
      <c r="Z322" s="13"/>
      <c r="AA322" s="13"/>
      <c r="AB322" s="13"/>
      <c r="AC322" s="13"/>
      <c r="AD322" s="13"/>
    </row>
    <row r="323">
      <c r="B323" s="108"/>
      <c r="Z323" s="13"/>
      <c r="AA323" s="13"/>
      <c r="AB323" s="13"/>
      <c r="AC323" s="13"/>
      <c r="AD323" s="13"/>
    </row>
    <row r="324">
      <c r="B324" s="108"/>
      <c r="Z324" s="13"/>
      <c r="AA324" s="13"/>
      <c r="AB324" s="13"/>
      <c r="AC324" s="13"/>
      <c r="AD324" s="13"/>
    </row>
    <row r="325">
      <c r="B325" s="108"/>
      <c r="Z325" s="13"/>
      <c r="AA325" s="13"/>
      <c r="AB325" s="13"/>
      <c r="AC325" s="13"/>
      <c r="AD325" s="13"/>
    </row>
    <row r="326">
      <c r="B326" s="108"/>
      <c r="Z326" s="13"/>
      <c r="AA326" s="13"/>
      <c r="AB326" s="13"/>
      <c r="AC326" s="13"/>
      <c r="AD326" s="13"/>
    </row>
    <row r="327">
      <c r="B327" s="108"/>
      <c r="Z327" s="13"/>
      <c r="AA327" s="13"/>
      <c r="AB327" s="13"/>
      <c r="AC327" s="13"/>
      <c r="AD327" s="13"/>
    </row>
    <row r="328">
      <c r="B328" s="108"/>
      <c r="Z328" s="13"/>
      <c r="AA328" s="13"/>
      <c r="AB328" s="13"/>
      <c r="AC328" s="13"/>
      <c r="AD328" s="13"/>
    </row>
    <row r="329">
      <c r="B329" s="108"/>
      <c r="Z329" s="13"/>
      <c r="AA329" s="13"/>
      <c r="AB329" s="13"/>
      <c r="AC329" s="13"/>
      <c r="AD329" s="13"/>
    </row>
    <row r="330">
      <c r="B330" s="108"/>
      <c r="Z330" s="13"/>
      <c r="AA330" s="13"/>
      <c r="AB330" s="13"/>
      <c r="AC330" s="13"/>
      <c r="AD330" s="13"/>
    </row>
    <row r="331">
      <c r="B331" s="108"/>
      <c r="Z331" s="13"/>
      <c r="AA331" s="13"/>
      <c r="AB331" s="13"/>
      <c r="AC331" s="13"/>
      <c r="AD331" s="13"/>
    </row>
    <row r="332">
      <c r="B332" s="108"/>
      <c r="Z332" s="13"/>
      <c r="AA332" s="13"/>
      <c r="AB332" s="13"/>
      <c r="AC332" s="13"/>
      <c r="AD332" s="13"/>
    </row>
    <row r="333">
      <c r="B333" s="108"/>
      <c r="Z333" s="13"/>
      <c r="AA333" s="13"/>
      <c r="AB333" s="13"/>
      <c r="AC333" s="13"/>
      <c r="AD333" s="13"/>
    </row>
    <row r="334">
      <c r="B334" s="108"/>
      <c r="Z334" s="13"/>
      <c r="AA334" s="13"/>
      <c r="AB334" s="13"/>
      <c r="AC334" s="13"/>
      <c r="AD334" s="13"/>
    </row>
    <row r="335">
      <c r="B335" s="108"/>
      <c r="Z335" s="13"/>
      <c r="AA335" s="13"/>
      <c r="AB335" s="13"/>
      <c r="AC335" s="13"/>
      <c r="AD335" s="13"/>
    </row>
    <row r="336">
      <c r="B336" s="108"/>
      <c r="Z336" s="13"/>
      <c r="AA336" s="13"/>
      <c r="AB336" s="13"/>
      <c r="AC336" s="13"/>
      <c r="AD336" s="13"/>
    </row>
    <row r="337">
      <c r="B337" s="108"/>
      <c r="Z337" s="13"/>
      <c r="AA337" s="13"/>
      <c r="AB337" s="13"/>
      <c r="AC337" s="13"/>
      <c r="AD337" s="13"/>
    </row>
    <row r="338">
      <c r="B338" s="108"/>
      <c r="Z338" s="13"/>
      <c r="AA338" s="13"/>
      <c r="AB338" s="13"/>
      <c r="AC338" s="13"/>
      <c r="AD338" s="13"/>
    </row>
    <row r="339">
      <c r="B339" s="108"/>
      <c r="Z339" s="13"/>
      <c r="AA339" s="13"/>
      <c r="AB339" s="13"/>
      <c r="AC339" s="13"/>
      <c r="AD339" s="13"/>
    </row>
    <row r="340">
      <c r="B340" s="108"/>
      <c r="Z340" s="13"/>
      <c r="AA340" s="13"/>
      <c r="AB340" s="13"/>
      <c r="AC340" s="13"/>
      <c r="AD340" s="13"/>
    </row>
    <row r="341">
      <c r="B341" s="108"/>
      <c r="Z341" s="13"/>
      <c r="AA341" s="13"/>
      <c r="AB341" s="13"/>
      <c r="AC341" s="13"/>
      <c r="AD341" s="13"/>
    </row>
    <row r="342">
      <c r="B342" s="108"/>
      <c r="Z342" s="13"/>
      <c r="AA342" s="13"/>
      <c r="AB342" s="13"/>
      <c r="AC342" s="13"/>
      <c r="AD342" s="13"/>
    </row>
    <row r="343">
      <c r="B343" s="108"/>
      <c r="Z343" s="13"/>
      <c r="AA343" s="13"/>
      <c r="AB343" s="13"/>
      <c r="AC343" s="13"/>
      <c r="AD343" s="13"/>
    </row>
    <row r="344">
      <c r="B344" s="108"/>
      <c r="Z344" s="13"/>
      <c r="AA344" s="13"/>
      <c r="AB344" s="13"/>
      <c r="AC344" s="13"/>
      <c r="AD344" s="13"/>
    </row>
    <row r="345">
      <c r="B345" s="108"/>
      <c r="Z345" s="13"/>
      <c r="AA345" s="13"/>
      <c r="AB345" s="13"/>
      <c r="AC345" s="13"/>
      <c r="AD345" s="13"/>
    </row>
    <row r="346">
      <c r="B346" s="108"/>
      <c r="Z346" s="13"/>
      <c r="AA346" s="13"/>
      <c r="AB346" s="13"/>
      <c r="AC346" s="13"/>
      <c r="AD346" s="13"/>
    </row>
    <row r="347">
      <c r="B347" s="108"/>
      <c r="Z347" s="13"/>
      <c r="AA347" s="13"/>
      <c r="AB347" s="13"/>
      <c r="AC347" s="13"/>
      <c r="AD347" s="13"/>
    </row>
    <row r="348">
      <c r="B348" s="108"/>
      <c r="Z348" s="13"/>
      <c r="AA348" s="13"/>
      <c r="AB348" s="13"/>
      <c r="AC348" s="13"/>
      <c r="AD348" s="13"/>
    </row>
    <row r="349">
      <c r="B349" s="108"/>
      <c r="Z349" s="13"/>
      <c r="AA349" s="13"/>
      <c r="AB349" s="13"/>
      <c r="AC349" s="13"/>
      <c r="AD349" s="13"/>
    </row>
    <row r="350">
      <c r="B350" s="108"/>
      <c r="Z350" s="13"/>
      <c r="AA350" s="13"/>
      <c r="AB350" s="13"/>
      <c r="AC350" s="13"/>
      <c r="AD350" s="13"/>
    </row>
    <row r="351">
      <c r="B351" s="108"/>
      <c r="Z351" s="13"/>
      <c r="AA351" s="13"/>
      <c r="AB351" s="13"/>
      <c r="AC351" s="13"/>
      <c r="AD351" s="13"/>
    </row>
    <row r="352">
      <c r="B352" s="108"/>
      <c r="Z352" s="13"/>
      <c r="AA352" s="13"/>
      <c r="AB352" s="13"/>
      <c r="AC352" s="13"/>
      <c r="AD352" s="13"/>
    </row>
    <row r="353">
      <c r="B353" s="108"/>
      <c r="Z353" s="13"/>
      <c r="AA353" s="13"/>
      <c r="AB353" s="13"/>
      <c r="AC353" s="13"/>
      <c r="AD353" s="13"/>
    </row>
    <row r="354">
      <c r="B354" s="108"/>
      <c r="Z354" s="13"/>
      <c r="AA354" s="13"/>
      <c r="AB354" s="13"/>
      <c r="AC354" s="13"/>
      <c r="AD354" s="13"/>
    </row>
    <row r="355">
      <c r="B355" s="108"/>
      <c r="Z355" s="13"/>
      <c r="AA355" s="13"/>
      <c r="AB355" s="13"/>
      <c r="AC355" s="13"/>
      <c r="AD355" s="13"/>
    </row>
    <row r="356">
      <c r="B356" s="108"/>
      <c r="Z356" s="13"/>
      <c r="AA356" s="13"/>
      <c r="AB356" s="13"/>
      <c r="AC356" s="13"/>
      <c r="AD356" s="13"/>
    </row>
    <row r="357">
      <c r="B357" s="108"/>
      <c r="Z357" s="13"/>
      <c r="AA357" s="13"/>
      <c r="AB357" s="13"/>
      <c r="AC357" s="13"/>
      <c r="AD357" s="13"/>
    </row>
    <row r="358">
      <c r="B358" s="108"/>
      <c r="Z358" s="13"/>
      <c r="AA358" s="13"/>
      <c r="AB358" s="13"/>
      <c r="AC358" s="13"/>
      <c r="AD358" s="13"/>
    </row>
    <row r="359">
      <c r="B359" s="108"/>
      <c r="Z359" s="13"/>
      <c r="AA359" s="13"/>
      <c r="AB359" s="13"/>
      <c r="AC359" s="13"/>
      <c r="AD359" s="13"/>
    </row>
    <row r="360">
      <c r="B360" s="108"/>
      <c r="Z360" s="13"/>
      <c r="AA360" s="13"/>
      <c r="AB360" s="13"/>
      <c r="AC360" s="13"/>
      <c r="AD360" s="13"/>
    </row>
    <row r="361">
      <c r="B361" s="108"/>
      <c r="Z361" s="13"/>
      <c r="AA361" s="13"/>
      <c r="AB361" s="13"/>
      <c r="AC361" s="13"/>
      <c r="AD361" s="13"/>
    </row>
    <row r="362">
      <c r="B362" s="108"/>
      <c r="Z362" s="13"/>
      <c r="AA362" s="13"/>
      <c r="AB362" s="13"/>
      <c r="AC362" s="13"/>
      <c r="AD362" s="13"/>
    </row>
    <row r="363">
      <c r="B363" s="108"/>
      <c r="Z363" s="13"/>
      <c r="AA363" s="13"/>
      <c r="AB363" s="13"/>
      <c r="AC363" s="13"/>
      <c r="AD363" s="13"/>
    </row>
    <row r="364">
      <c r="B364" s="108"/>
      <c r="Z364" s="13"/>
      <c r="AA364" s="13"/>
      <c r="AB364" s="13"/>
      <c r="AC364" s="13"/>
      <c r="AD364" s="13"/>
    </row>
    <row r="365">
      <c r="B365" s="108"/>
      <c r="Z365" s="13"/>
      <c r="AA365" s="13"/>
      <c r="AB365" s="13"/>
      <c r="AC365" s="13"/>
      <c r="AD365" s="13"/>
    </row>
    <row r="366">
      <c r="B366" s="108"/>
      <c r="Z366" s="13"/>
      <c r="AA366" s="13"/>
      <c r="AB366" s="13"/>
      <c r="AC366" s="13"/>
      <c r="AD366" s="13"/>
    </row>
    <row r="367">
      <c r="B367" s="108"/>
      <c r="Z367" s="13"/>
      <c r="AA367" s="13"/>
      <c r="AB367" s="13"/>
      <c r="AC367" s="13"/>
      <c r="AD367" s="13"/>
    </row>
    <row r="368">
      <c r="B368" s="108"/>
      <c r="Z368" s="13"/>
      <c r="AA368" s="13"/>
      <c r="AB368" s="13"/>
      <c r="AC368" s="13"/>
      <c r="AD368" s="13"/>
    </row>
    <row r="369">
      <c r="B369" s="108"/>
      <c r="Z369" s="13"/>
      <c r="AA369" s="13"/>
      <c r="AB369" s="13"/>
      <c r="AC369" s="13"/>
      <c r="AD369" s="13"/>
    </row>
    <row r="370">
      <c r="B370" s="108"/>
      <c r="Z370" s="13"/>
      <c r="AA370" s="13"/>
      <c r="AB370" s="13"/>
      <c r="AC370" s="13"/>
      <c r="AD370" s="13"/>
    </row>
    <row r="371">
      <c r="B371" s="108"/>
      <c r="Z371" s="13"/>
      <c r="AA371" s="13"/>
      <c r="AB371" s="13"/>
      <c r="AC371" s="13"/>
      <c r="AD371" s="13"/>
    </row>
    <row r="372">
      <c r="B372" s="108"/>
      <c r="Z372" s="13"/>
      <c r="AA372" s="13"/>
      <c r="AB372" s="13"/>
      <c r="AC372" s="13"/>
      <c r="AD372" s="13"/>
    </row>
    <row r="373">
      <c r="B373" s="108"/>
      <c r="Z373" s="13"/>
      <c r="AA373" s="13"/>
      <c r="AB373" s="13"/>
      <c r="AC373" s="13"/>
      <c r="AD373" s="13"/>
    </row>
    <row r="374">
      <c r="B374" s="108"/>
      <c r="Z374" s="13"/>
      <c r="AA374" s="13"/>
      <c r="AB374" s="13"/>
      <c r="AC374" s="13"/>
      <c r="AD374" s="13"/>
    </row>
    <row r="375">
      <c r="B375" s="108"/>
      <c r="Z375" s="13"/>
      <c r="AA375" s="13"/>
      <c r="AB375" s="13"/>
      <c r="AC375" s="13"/>
      <c r="AD375" s="13"/>
    </row>
    <row r="376">
      <c r="B376" s="108"/>
      <c r="Z376" s="13"/>
      <c r="AA376" s="13"/>
      <c r="AB376" s="13"/>
      <c r="AC376" s="13"/>
      <c r="AD376" s="13"/>
    </row>
    <row r="377">
      <c r="B377" s="108"/>
      <c r="Z377" s="13"/>
      <c r="AA377" s="13"/>
      <c r="AB377" s="13"/>
      <c r="AC377" s="13"/>
      <c r="AD377" s="13"/>
    </row>
    <row r="378">
      <c r="B378" s="108"/>
      <c r="Z378" s="13"/>
      <c r="AA378" s="13"/>
      <c r="AB378" s="13"/>
      <c r="AC378" s="13"/>
      <c r="AD378" s="13"/>
    </row>
    <row r="379">
      <c r="B379" s="108"/>
      <c r="Z379" s="13"/>
      <c r="AA379" s="13"/>
      <c r="AB379" s="13"/>
      <c r="AC379" s="13"/>
      <c r="AD379" s="13"/>
    </row>
    <row r="380">
      <c r="B380" s="108"/>
      <c r="Z380" s="13"/>
      <c r="AA380" s="13"/>
      <c r="AB380" s="13"/>
      <c r="AC380" s="13"/>
      <c r="AD380" s="13"/>
    </row>
    <row r="381">
      <c r="B381" s="108"/>
      <c r="Z381" s="13"/>
      <c r="AA381" s="13"/>
      <c r="AB381" s="13"/>
      <c r="AC381" s="13"/>
      <c r="AD381" s="13"/>
    </row>
    <row r="382">
      <c r="B382" s="108"/>
      <c r="Z382" s="13"/>
      <c r="AA382" s="13"/>
      <c r="AB382" s="13"/>
      <c r="AC382" s="13"/>
      <c r="AD382" s="13"/>
    </row>
    <row r="383">
      <c r="B383" s="108"/>
      <c r="Z383" s="13"/>
      <c r="AA383" s="13"/>
      <c r="AB383" s="13"/>
      <c r="AC383" s="13"/>
      <c r="AD383" s="13"/>
    </row>
    <row r="384">
      <c r="B384" s="108"/>
      <c r="Z384" s="13"/>
      <c r="AA384" s="13"/>
      <c r="AB384" s="13"/>
      <c r="AC384" s="13"/>
      <c r="AD384" s="13"/>
    </row>
    <row r="385">
      <c r="B385" s="108"/>
      <c r="Z385" s="13"/>
      <c r="AA385" s="13"/>
      <c r="AB385" s="13"/>
      <c r="AC385" s="13"/>
      <c r="AD385" s="13"/>
    </row>
    <row r="386">
      <c r="B386" s="108"/>
      <c r="Z386" s="13"/>
      <c r="AA386" s="13"/>
      <c r="AB386" s="13"/>
      <c r="AC386" s="13"/>
      <c r="AD386" s="13"/>
    </row>
    <row r="387">
      <c r="B387" s="108"/>
      <c r="Z387" s="13"/>
      <c r="AA387" s="13"/>
      <c r="AB387" s="13"/>
      <c r="AC387" s="13"/>
      <c r="AD387" s="13"/>
    </row>
    <row r="388">
      <c r="B388" s="108"/>
      <c r="Z388" s="13"/>
      <c r="AA388" s="13"/>
      <c r="AB388" s="13"/>
      <c r="AC388" s="13"/>
      <c r="AD388" s="13"/>
    </row>
    <row r="389">
      <c r="B389" s="108"/>
      <c r="Z389" s="13"/>
      <c r="AA389" s="13"/>
      <c r="AB389" s="13"/>
      <c r="AC389" s="13"/>
      <c r="AD389" s="13"/>
    </row>
    <row r="390">
      <c r="B390" s="108"/>
      <c r="Z390" s="13"/>
      <c r="AA390" s="13"/>
      <c r="AB390" s="13"/>
      <c r="AC390" s="13"/>
      <c r="AD390" s="13"/>
    </row>
    <row r="391">
      <c r="B391" s="108"/>
      <c r="Z391" s="13"/>
      <c r="AA391" s="13"/>
      <c r="AB391" s="13"/>
      <c r="AC391" s="13"/>
      <c r="AD391" s="13"/>
    </row>
    <row r="392">
      <c r="B392" s="108"/>
      <c r="Z392" s="13"/>
      <c r="AA392" s="13"/>
      <c r="AB392" s="13"/>
      <c r="AC392" s="13"/>
      <c r="AD392" s="13"/>
    </row>
    <row r="393">
      <c r="B393" s="108"/>
      <c r="Z393" s="13"/>
      <c r="AA393" s="13"/>
      <c r="AB393" s="13"/>
      <c r="AC393" s="13"/>
      <c r="AD393" s="13"/>
    </row>
    <row r="394">
      <c r="B394" s="108"/>
      <c r="Z394" s="13"/>
      <c r="AA394" s="13"/>
      <c r="AB394" s="13"/>
      <c r="AC394" s="13"/>
      <c r="AD394" s="13"/>
    </row>
    <row r="395">
      <c r="B395" s="108"/>
      <c r="Z395" s="13"/>
      <c r="AA395" s="13"/>
      <c r="AB395" s="13"/>
      <c r="AC395" s="13"/>
      <c r="AD395" s="13"/>
    </row>
    <row r="396">
      <c r="B396" s="108"/>
      <c r="Z396" s="13"/>
      <c r="AA396" s="13"/>
      <c r="AB396" s="13"/>
      <c r="AC396" s="13"/>
      <c r="AD396" s="13"/>
    </row>
    <row r="397">
      <c r="B397" s="108"/>
      <c r="Z397" s="13"/>
      <c r="AA397" s="13"/>
      <c r="AB397" s="13"/>
      <c r="AC397" s="13"/>
      <c r="AD397" s="13"/>
    </row>
    <row r="398">
      <c r="B398" s="108"/>
      <c r="Z398" s="13"/>
      <c r="AA398" s="13"/>
      <c r="AB398" s="13"/>
      <c r="AC398" s="13"/>
      <c r="AD398" s="13"/>
    </row>
    <row r="399">
      <c r="B399" s="108"/>
      <c r="Z399" s="13"/>
      <c r="AA399" s="13"/>
      <c r="AB399" s="13"/>
      <c r="AC399" s="13"/>
      <c r="AD399" s="13"/>
    </row>
    <row r="400">
      <c r="B400" s="108"/>
      <c r="Z400" s="13"/>
      <c r="AA400" s="13"/>
      <c r="AB400" s="13"/>
      <c r="AC400" s="13"/>
      <c r="AD400" s="13"/>
    </row>
    <row r="401">
      <c r="B401" s="108"/>
      <c r="Z401" s="13"/>
      <c r="AA401" s="13"/>
      <c r="AB401" s="13"/>
      <c r="AC401" s="13"/>
      <c r="AD401" s="13"/>
    </row>
    <row r="402">
      <c r="B402" s="108"/>
      <c r="Z402" s="13"/>
      <c r="AA402" s="13"/>
      <c r="AB402" s="13"/>
      <c r="AC402" s="13"/>
      <c r="AD402" s="13"/>
    </row>
    <row r="403">
      <c r="B403" s="108"/>
      <c r="Z403" s="13"/>
      <c r="AA403" s="13"/>
      <c r="AB403" s="13"/>
      <c r="AC403" s="13"/>
      <c r="AD403" s="13"/>
    </row>
    <row r="404">
      <c r="B404" s="108"/>
      <c r="Z404" s="13"/>
      <c r="AA404" s="13"/>
      <c r="AB404" s="13"/>
      <c r="AC404" s="13"/>
      <c r="AD404" s="13"/>
    </row>
    <row r="405">
      <c r="B405" s="108"/>
      <c r="Z405" s="13"/>
      <c r="AA405" s="13"/>
      <c r="AB405" s="13"/>
      <c r="AC405" s="13"/>
      <c r="AD405" s="13"/>
    </row>
    <row r="406">
      <c r="B406" s="108"/>
      <c r="Z406" s="13"/>
      <c r="AA406" s="13"/>
      <c r="AB406" s="13"/>
      <c r="AC406" s="13"/>
      <c r="AD406" s="13"/>
    </row>
    <row r="407">
      <c r="B407" s="108"/>
      <c r="Z407" s="13"/>
      <c r="AA407" s="13"/>
      <c r="AB407" s="13"/>
      <c r="AC407" s="13"/>
      <c r="AD407" s="13"/>
    </row>
    <row r="408">
      <c r="B408" s="108"/>
      <c r="Z408" s="13"/>
      <c r="AA408" s="13"/>
      <c r="AB408" s="13"/>
      <c r="AC408" s="13"/>
      <c r="AD408" s="13"/>
    </row>
    <row r="409">
      <c r="B409" s="108"/>
      <c r="Z409" s="13"/>
      <c r="AA409" s="13"/>
      <c r="AB409" s="13"/>
      <c r="AC409" s="13"/>
      <c r="AD409" s="13"/>
    </row>
    <row r="410">
      <c r="B410" s="108"/>
      <c r="Z410" s="13"/>
      <c r="AA410" s="13"/>
      <c r="AB410" s="13"/>
      <c r="AC410" s="13"/>
      <c r="AD410" s="13"/>
    </row>
    <row r="411">
      <c r="B411" s="108"/>
      <c r="Z411" s="13"/>
      <c r="AA411" s="13"/>
      <c r="AB411" s="13"/>
      <c r="AC411" s="13"/>
      <c r="AD411" s="13"/>
    </row>
    <row r="412">
      <c r="B412" s="108"/>
      <c r="Z412" s="13"/>
      <c r="AA412" s="13"/>
      <c r="AB412" s="13"/>
      <c r="AC412" s="13"/>
      <c r="AD412" s="13"/>
    </row>
    <row r="413">
      <c r="B413" s="108"/>
      <c r="Z413" s="13"/>
      <c r="AA413" s="13"/>
      <c r="AB413" s="13"/>
      <c r="AC413" s="13"/>
      <c r="AD413" s="13"/>
    </row>
    <row r="414">
      <c r="B414" s="108"/>
      <c r="Z414" s="13"/>
      <c r="AA414" s="13"/>
      <c r="AB414" s="13"/>
      <c r="AC414" s="13"/>
      <c r="AD414" s="13"/>
    </row>
    <row r="415">
      <c r="B415" s="108"/>
      <c r="Z415" s="13"/>
      <c r="AA415" s="13"/>
      <c r="AB415" s="13"/>
      <c r="AC415" s="13"/>
      <c r="AD415" s="13"/>
    </row>
    <row r="416">
      <c r="B416" s="108"/>
      <c r="Z416" s="13"/>
      <c r="AA416" s="13"/>
      <c r="AB416" s="13"/>
      <c r="AC416" s="13"/>
      <c r="AD416" s="13"/>
    </row>
    <row r="417">
      <c r="B417" s="108"/>
      <c r="Z417" s="13"/>
      <c r="AA417" s="13"/>
      <c r="AB417" s="13"/>
      <c r="AC417" s="13"/>
      <c r="AD417" s="13"/>
    </row>
    <row r="418">
      <c r="B418" s="108"/>
      <c r="Z418" s="13"/>
      <c r="AA418" s="13"/>
      <c r="AB418" s="13"/>
      <c r="AC418" s="13"/>
      <c r="AD418" s="13"/>
    </row>
    <row r="419">
      <c r="B419" s="108"/>
      <c r="Z419" s="13"/>
      <c r="AA419" s="13"/>
      <c r="AB419" s="13"/>
      <c r="AC419" s="13"/>
      <c r="AD419" s="13"/>
    </row>
    <row r="420">
      <c r="B420" s="108"/>
      <c r="Z420" s="13"/>
      <c r="AA420" s="13"/>
      <c r="AB420" s="13"/>
      <c r="AC420" s="13"/>
      <c r="AD420" s="13"/>
    </row>
    <row r="421">
      <c r="B421" s="108"/>
      <c r="Z421" s="13"/>
      <c r="AA421" s="13"/>
      <c r="AB421" s="13"/>
      <c r="AC421" s="13"/>
      <c r="AD421" s="13"/>
    </row>
    <row r="422">
      <c r="B422" s="108"/>
      <c r="Z422" s="13"/>
      <c r="AA422" s="13"/>
      <c r="AB422" s="13"/>
      <c r="AC422" s="13"/>
      <c r="AD422" s="13"/>
    </row>
    <row r="423">
      <c r="B423" s="108"/>
      <c r="Z423" s="13"/>
      <c r="AA423" s="13"/>
      <c r="AB423" s="13"/>
      <c r="AC423" s="13"/>
      <c r="AD423" s="13"/>
    </row>
    <row r="424">
      <c r="B424" s="108"/>
      <c r="Z424" s="13"/>
      <c r="AA424" s="13"/>
      <c r="AB424" s="13"/>
      <c r="AC424" s="13"/>
      <c r="AD424" s="13"/>
    </row>
    <row r="425">
      <c r="B425" s="108"/>
      <c r="Z425" s="13"/>
      <c r="AA425" s="13"/>
      <c r="AB425" s="13"/>
      <c r="AC425" s="13"/>
      <c r="AD425" s="13"/>
    </row>
    <row r="426">
      <c r="B426" s="108"/>
      <c r="Z426" s="13"/>
      <c r="AA426" s="13"/>
      <c r="AB426" s="13"/>
      <c r="AC426" s="13"/>
      <c r="AD426" s="13"/>
    </row>
    <row r="427">
      <c r="B427" s="108"/>
      <c r="Z427" s="13"/>
      <c r="AA427" s="13"/>
      <c r="AB427" s="13"/>
      <c r="AC427" s="13"/>
      <c r="AD427" s="13"/>
    </row>
    <row r="428">
      <c r="B428" s="108"/>
      <c r="Z428" s="13"/>
      <c r="AA428" s="13"/>
      <c r="AB428" s="13"/>
      <c r="AC428" s="13"/>
      <c r="AD428" s="13"/>
    </row>
    <row r="429">
      <c r="B429" s="108"/>
      <c r="Z429" s="13"/>
      <c r="AA429" s="13"/>
      <c r="AB429" s="13"/>
      <c r="AC429" s="13"/>
      <c r="AD429" s="13"/>
    </row>
    <row r="430">
      <c r="B430" s="108"/>
      <c r="Z430" s="13"/>
      <c r="AA430" s="13"/>
      <c r="AB430" s="13"/>
      <c r="AC430" s="13"/>
      <c r="AD430" s="13"/>
    </row>
    <row r="431">
      <c r="B431" s="108"/>
      <c r="Z431" s="13"/>
      <c r="AA431" s="13"/>
      <c r="AB431" s="13"/>
      <c r="AC431" s="13"/>
      <c r="AD431" s="13"/>
    </row>
    <row r="432">
      <c r="B432" s="108"/>
      <c r="Z432" s="13"/>
      <c r="AA432" s="13"/>
      <c r="AB432" s="13"/>
      <c r="AC432" s="13"/>
      <c r="AD432" s="13"/>
    </row>
    <row r="433">
      <c r="B433" s="108"/>
      <c r="Z433" s="13"/>
      <c r="AA433" s="13"/>
      <c r="AB433" s="13"/>
      <c r="AC433" s="13"/>
      <c r="AD433" s="13"/>
    </row>
    <row r="434">
      <c r="B434" s="108"/>
      <c r="Z434" s="13"/>
      <c r="AA434" s="13"/>
      <c r="AB434" s="13"/>
      <c r="AC434" s="13"/>
      <c r="AD434" s="13"/>
    </row>
    <row r="435">
      <c r="B435" s="108"/>
      <c r="Z435" s="13"/>
      <c r="AA435" s="13"/>
      <c r="AB435" s="13"/>
      <c r="AC435" s="13"/>
      <c r="AD435" s="13"/>
    </row>
    <row r="436">
      <c r="B436" s="108"/>
      <c r="Z436" s="13"/>
      <c r="AA436" s="13"/>
      <c r="AB436" s="13"/>
      <c r="AC436" s="13"/>
      <c r="AD436" s="13"/>
    </row>
    <row r="437">
      <c r="B437" s="108"/>
      <c r="Z437" s="13"/>
      <c r="AA437" s="13"/>
      <c r="AB437" s="13"/>
      <c r="AC437" s="13"/>
      <c r="AD437" s="13"/>
    </row>
    <row r="438">
      <c r="B438" s="108"/>
      <c r="Z438" s="13"/>
      <c r="AA438" s="13"/>
      <c r="AB438" s="13"/>
      <c r="AC438" s="13"/>
      <c r="AD438" s="13"/>
    </row>
    <row r="439">
      <c r="B439" s="108"/>
      <c r="Z439" s="13"/>
      <c r="AA439" s="13"/>
      <c r="AB439" s="13"/>
      <c r="AC439" s="13"/>
      <c r="AD439" s="13"/>
    </row>
    <row r="440">
      <c r="B440" s="108"/>
      <c r="Z440" s="13"/>
      <c r="AA440" s="13"/>
      <c r="AB440" s="13"/>
      <c r="AC440" s="13"/>
      <c r="AD440" s="13"/>
    </row>
    <row r="441">
      <c r="B441" s="108"/>
      <c r="Z441" s="13"/>
      <c r="AA441" s="13"/>
      <c r="AB441" s="13"/>
      <c r="AC441" s="13"/>
      <c r="AD441" s="13"/>
    </row>
    <row r="442">
      <c r="B442" s="108"/>
      <c r="Z442" s="13"/>
      <c r="AA442" s="13"/>
      <c r="AB442" s="13"/>
      <c r="AC442" s="13"/>
      <c r="AD442" s="13"/>
    </row>
    <row r="443">
      <c r="B443" s="108"/>
      <c r="Z443" s="13"/>
      <c r="AA443" s="13"/>
      <c r="AB443" s="13"/>
      <c r="AC443" s="13"/>
      <c r="AD443" s="13"/>
    </row>
    <row r="444">
      <c r="B444" s="108"/>
      <c r="Z444" s="13"/>
      <c r="AA444" s="13"/>
      <c r="AB444" s="13"/>
      <c r="AC444" s="13"/>
      <c r="AD444" s="13"/>
    </row>
    <row r="445">
      <c r="B445" s="108"/>
      <c r="Z445" s="13"/>
      <c r="AA445" s="13"/>
      <c r="AB445" s="13"/>
      <c r="AC445" s="13"/>
      <c r="AD445" s="13"/>
    </row>
    <row r="446">
      <c r="B446" s="108"/>
      <c r="Z446" s="13"/>
      <c r="AA446" s="13"/>
      <c r="AB446" s="13"/>
      <c r="AC446" s="13"/>
      <c r="AD446" s="13"/>
    </row>
    <row r="447">
      <c r="B447" s="108"/>
      <c r="Z447" s="13"/>
      <c r="AA447" s="13"/>
      <c r="AB447" s="13"/>
      <c r="AC447" s="13"/>
      <c r="AD447" s="13"/>
    </row>
    <row r="448">
      <c r="B448" s="108"/>
      <c r="Z448" s="13"/>
      <c r="AA448" s="13"/>
      <c r="AB448" s="13"/>
      <c r="AC448" s="13"/>
      <c r="AD448" s="13"/>
    </row>
    <row r="449">
      <c r="B449" s="108"/>
      <c r="Z449" s="13"/>
      <c r="AA449" s="13"/>
      <c r="AB449" s="13"/>
      <c r="AC449" s="13"/>
      <c r="AD449" s="13"/>
    </row>
    <row r="450">
      <c r="B450" s="108"/>
      <c r="Z450" s="13"/>
      <c r="AA450" s="13"/>
      <c r="AB450" s="13"/>
      <c r="AC450" s="13"/>
      <c r="AD450" s="13"/>
    </row>
    <row r="451">
      <c r="B451" s="108"/>
      <c r="Z451" s="13"/>
      <c r="AA451" s="13"/>
      <c r="AB451" s="13"/>
      <c r="AC451" s="13"/>
      <c r="AD451" s="13"/>
    </row>
    <row r="452">
      <c r="B452" s="108"/>
      <c r="Z452" s="13"/>
      <c r="AA452" s="13"/>
      <c r="AB452" s="13"/>
      <c r="AC452" s="13"/>
      <c r="AD452" s="13"/>
    </row>
    <row r="453">
      <c r="B453" s="108"/>
      <c r="Z453" s="13"/>
      <c r="AA453" s="13"/>
      <c r="AB453" s="13"/>
      <c r="AC453" s="13"/>
      <c r="AD453" s="13"/>
    </row>
    <row r="454">
      <c r="B454" s="108"/>
      <c r="Z454" s="13"/>
      <c r="AA454" s="13"/>
      <c r="AB454" s="13"/>
      <c r="AC454" s="13"/>
      <c r="AD454" s="13"/>
    </row>
    <row r="455">
      <c r="B455" s="108"/>
      <c r="Z455" s="13"/>
      <c r="AA455" s="13"/>
      <c r="AB455" s="13"/>
      <c r="AC455" s="13"/>
      <c r="AD455" s="13"/>
    </row>
    <row r="456">
      <c r="B456" s="108"/>
      <c r="Z456" s="13"/>
      <c r="AA456" s="13"/>
      <c r="AB456" s="13"/>
      <c r="AC456" s="13"/>
      <c r="AD456" s="13"/>
    </row>
    <row r="457">
      <c r="B457" s="108"/>
      <c r="Z457" s="13"/>
      <c r="AA457" s="13"/>
      <c r="AB457" s="13"/>
      <c r="AC457" s="13"/>
      <c r="AD457" s="13"/>
    </row>
    <row r="458">
      <c r="B458" s="108"/>
      <c r="Z458" s="13"/>
      <c r="AA458" s="13"/>
      <c r="AB458" s="13"/>
      <c r="AC458" s="13"/>
      <c r="AD458" s="13"/>
    </row>
    <row r="459">
      <c r="B459" s="108"/>
      <c r="Z459" s="13"/>
      <c r="AA459" s="13"/>
      <c r="AB459" s="13"/>
      <c r="AC459" s="13"/>
      <c r="AD459" s="13"/>
    </row>
    <row r="460">
      <c r="B460" s="108"/>
      <c r="Z460" s="13"/>
      <c r="AA460" s="13"/>
      <c r="AB460" s="13"/>
      <c r="AC460" s="13"/>
      <c r="AD460" s="13"/>
    </row>
    <row r="461">
      <c r="B461" s="108"/>
      <c r="Z461" s="13"/>
      <c r="AA461" s="13"/>
      <c r="AB461" s="13"/>
      <c r="AC461" s="13"/>
      <c r="AD461" s="13"/>
    </row>
    <row r="462">
      <c r="B462" s="108"/>
      <c r="Z462" s="13"/>
      <c r="AA462" s="13"/>
      <c r="AB462" s="13"/>
      <c r="AC462" s="13"/>
      <c r="AD462" s="13"/>
    </row>
    <row r="463">
      <c r="B463" s="108"/>
      <c r="Z463" s="13"/>
      <c r="AA463" s="13"/>
      <c r="AB463" s="13"/>
      <c r="AC463" s="13"/>
      <c r="AD463" s="13"/>
    </row>
    <row r="464">
      <c r="B464" s="108"/>
      <c r="Z464" s="13"/>
      <c r="AA464" s="13"/>
      <c r="AB464" s="13"/>
      <c r="AC464" s="13"/>
      <c r="AD464" s="13"/>
    </row>
    <row r="465">
      <c r="B465" s="108"/>
      <c r="Z465" s="13"/>
      <c r="AA465" s="13"/>
      <c r="AB465" s="13"/>
      <c r="AC465" s="13"/>
      <c r="AD465" s="13"/>
    </row>
    <row r="466">
      <c r="B466" s="108"/>
      <c r="Z466" s="13"/>
      <c r="AA466" s="13"/>
      <c r="AB466" s="13"/>
      <c r="AC466" s="13"/>
      <c r="AD466" s="13"/>
    </row>
    <row r="467">
      <c r="B467" s="108"/>
      <c r="Z467" s="13"/>
      <c r="AA467" s="13"/>
      <c r="AB467" s="13"/>
      <c r="AC467" s="13"/>
      <c r="AD467" s="13"/>
    </row>
    <row r="468">
      <c r="B468" s="108"/>
      <c r="Z468" s="13"/>
      <c r="AA468" s="13"/>
      <c r="AB468" s="13"/>
      <c r="AC468" s="13"/>
      <c r="AD468" s="13"/>
    </row>
    <row r="469">
      <c r="B469" s="108"/>
      <c r="Z469" s="13"/>
      <c r="AA469" s="13"/>
      <c r="AB469" s="13"/>
      <c r="AC469" s="13"/>
      <c r="AD469" s="13"/>
    </row>
    <row r="470">
      <c r="B470" s="108"/>
      <c r="Z470" s="13"/>
      <c r="AA470" s="13"/>
      <c r="AB470" s="13"/>
      <c r="AC470" s="13"/>
      <c r="AD470" s="13"/>
    </row>
    <row r="471">
      <c r="B471" s="108"/>
      <c r="Z471" s="13"/>
      <c r="AA471" s="13"/>
      <c r="AB471" s="13"/>
      <c r="AC471" s="13"/>
      <c r="AD471" s="13"/>
    </row>
    <row r="472">
      <c r="B472" s="108"/>
      <c r="Z472" s="13"/>
      <c r="AA472" s="13"/>
      <c r="AB472" s="13"/>
      <c r="AC472" s="13"/>
      <c r="AD472" s="13"/>
    </row>
    <row r="473">
      <c r="B473" s="108"/>
      <c r="Z473" s="13"/>
      <c r="AA473" s="13"/>
      <c r="AB473" s="13"/>
      <c r="AC473" s="13"/>
      <c r="AD473" s="13"/>
    </row>
    <row r="474">
      <c r="B474" s="108"/>
      <c r="Z474" s="13"/>
      <c r="AA474" s="13"/>
      <c r="AB474" s="13"/>
      <c r="AC474" s="13"/>
      <c r="AD474" s="13"/>
    </row>
    <row r="475">
      <c r="B475" s="108"/>
      <c r="Z475" s="13"/>
      <c r="AA475" s="13"/>
      <c r="AB475" s="13"/>
      <c r="AC475" s="13"/>
      <c r="AD475" s="13"/>
    </row>
    <row r="476">
      <c r="B476" s="108"/>
      <c r="Z476" s="13"/>
      <c r="AA476" s="13"/>
      <c r="AB476" s="13"/>
      <c r="AC476" s="13"/>
      <c r="AD476" s="13"/>
    </row>
    <row r="477">
      <c r="B477" s="108"/>
      <c r="Z477" s="13"/>
      <c r="AA477" s="13"/>
      <c r="AB477" s="13"/>
      <c r="AC477" s="13"/>
      <c r="AD477" s="13"/>
    </row>
    <row r="478">
      <c r="B478" s="108"/>
      <c r="Z478" s="13"/>
      <c r="AA478" s="13"/>
      <c r="AB478" s="13"/>
      <c r="AC478" s="13"/>
      <c r="AD478" s="13"/>
    </row>
    <row r="479">
      <c r="B479" s="108"/>
      <c r="Z479" s="13"/>
      <c r="AA479" s="13"/>
      <c r="AB479" s="13"/>
      <c r="AC479" s="13"/>
      <c r="AD479" s="13"/>
    </row>
    <row r="480">
      <c r="B480" s="108"/>
      <c r="Z480" s="13"/>
      <c r="AA480" s="13"/>
      <c r="AB480" s="13"/>
      <c r="AC480" s="13"/>
      <c r="AD480" s="13"/>
    </row>
    <row r="481">
      <c r="B481" s="108"/>
      <c r="Z481" s="13"/>
      <c r="AA481" s="13"/>
      <c r="AB481" s="13"/>
      <c r="AC481" s="13"/>
      <c r="AD481" s="13"/>
    </row>
    <row r="482">
      <c r="B482" s="108"/>
      <c r="Z482" s="13"/>
      <c r="AA482" s="13"/>
      <c r="AB482" s="13"/>
      <c r="AC482" s="13"/>
      <c r="AD482" s="13"/>
    </row>
    <row r="483">
      <c r="B483" s="108"/>
      <c r="Z483" s="13"/>
      <c r="AA483" s="13"/>
      <c r="AB483" s="13"/>
      <c r="AC483" s="13"/>
      <c r="AD483" s="13"/>
    </row>
    <row r="484">
      <c r="B484" s="108"/>
      <c r="Z484" s="13"/>
      <c r="AA484" s="13"/>
      <c r="AB484" s="13"/>
      <c r="AC484" s="13"/>
      <c r="AD484" s="13"/>
    </row>
    <row r="485">
      <c r="B485" s="108"/>
      <c r="Z485" s="13"/>
      <c r="AA485" s="13"/>
      <c r="AB485" s="13"/>
      <c r="AC485" s="13"/>
      <c r="AD485" s="13"/>
    </row>
    <row r="486">
      <c r="B486" s="108"/>
      <c r="Z486" s="13"/>
      <c r="AA486" s="13"/>
      <c r="AB486" s="13"/>
      <c r="AC486" s="13"/>
      <c r="AD486" s="13"/>
    </row>
    <row r="487">
      <c r="B487" s="108"/>
      <c r="Z487" s="13"/>
      <c r="AA487" s="13"/>
      <c r="AB487" s="13"/>
      <c r="AC487" s="13"/>
      <c r="AD487" s="13"/>
    </row>
    <row r="488">
      <c r="B488" s="108"/>
      <c r="Z488" s="13"/>
      <c r="AA488" s="13"/>
      <c r="AB488" s="13"/>
      <c r="AC488" s="13"/>
      <c r="AD488" s="13"/>
    </row>
    <row r="489">
      <c r="B489" s="108"/>
      <c r="Z489" s="13"/>
      <c r="AA489" s="13"/>
      <c r="AB489" s="13"/>
      <c r="AC489" s="13"/>
      <c r="AD489" s="13"/>
    </row>
    <row r="490">
      <c r="B490" s="108"/>
      <c r="Z490" s="13"/>
      <c r="AA490" s="13"/>
      <c r="AB490" s="13"/>
      <c r="AC490" s="13"/>
      <c r="AD490" s="13"/>
    </row>
    <row r="491">
      <c r="B491" s="108"/>
      <c r="Z491" s="13"/>
      <c r="AA491" s="13"/>
      <c r="AB491" s="13"/>
      <c r="AC491" s="13"/>
      <c r="AD491" s="13"/>
    </row>
    <row r="492">
      <c r="B492" s="108"/>
      <c r="Z492" s="13"/>
      <c r="AA492" s="13"/>
      <c r="AB492" s="13"/>
      <c r="AC492" s="13"/>
      <c r="AD492" s="13"/>
    </row>
    <row r="493">
      <c r="B493" s="108"/>
      <c r="Z493" s="13"/>
      <c r="AA493" s="13"/>
      <c r="AB493" s="13"/>
      <c r="AC493" s="13"/>
      <c r="AD493" s="13"/>
    </row>
    <row r="494">
      <c r="B494" s="108"/>
      <c r="Z494" s="13"/>
      <c r="AA494" s="13"/>
      <c r="AB494" s="13"/>
      <c r="AC494" s="13"/>
      <c r="AD494" s="13"/>
    </row>
    <row r="495">
      <c r="B495" s="108"/>
      <c r="Z495" s="13"/>
      <c r="AA495" s="13"/>
      <c r="AB495" s="13"/>
      <c r="AC495" s="13"/>
      <c r="AD495" s="13"/>
    </row>
    <row r="496">
      <c r="B496" s="108"/>
      <c r="Z496" s="13"/>
      <c r="AA496" s="13"/>
      <c r="AB496" s="13"/>
      <c r="AC496" s="13"/>
      <c r="AD496" s="13"/>
    </row>
    <row r="497">
      <c r="B497" s="108"/>
      <c r="Z497" s="13"/>
      <c r="AA497" s="13"/>
      <c r="AB497" s="13"/>
      <c r="AC497" s="13"/>
      <c r="AD497" s="13"/>
    </row>
    <row r="498">
      <c r="B498" s="108"/>
      <c r="Z498" s="13"/>
      <c r="AA498" s="13"/>
      <c r="AB498" s="13"/>
      <c r="AC498" s="13"/>
      <c r="AD498" s="13"/>
    </row>
    <row r="499">
      <c r="B499" s="108"/>
      <c r="Z499" s="13"/>
      <c r="AA499" s="13"/>
      <c r="AB499" s="13"/>
      <c r="AC499" s="13"/>
      <c r="AD499" s="13"/>
    </row>
    <row r="500">
      <c r="B500" s="108"/>
      <c r="Z500" s="13"/>
      <c r="AA500" s="13"/>
      <c r="AB500" s="13"/>
      <c r="AC500" s="13"/>
      <c r="AD500" s="13"/>
    </row>
    <row r="501">
      <c r="B501" s="108"/>
      <c r="Z501" s="13"/>
      <c r="AA501" s="13"/>
      <c r="AB501" s="13"/>
      <c r="AC501" s="13"/>
      <c r="AD501" s="13"/>
    </row>
    <row r="502">
      <c r="B502" s="108"/>
      <c r="Z502" s="13"/>
      <c r="AA502" s="13"/>
      <c r="AB502" s="13"/>
      <c r="AC502" s="13"/>
      <c r="AD502" s="13"/>
    </row>
    <row r="503">
      <c r="B503" s="108"/>
      <c r="Z503" s="13"/>
      <c r="AA503" s="13"/>
      <c r="AB503" s="13"/>
      <c r="AC503" s="13"/>
      <c r="AD503" s="13"/>
    </row>
    <row r="504">
      <c r="B504" s="108"/>
      <c r="Z504" s="13"/>
      <c r="AA504" s="13"/>
      <c r="AB504" s="13"/>
      <c r="AC504" s="13"/>
      <c r="AD504" s="13"/>
    </row>
    <row r="505">
      <c r="B505" s="108"/>
      <c r="Z505" s="13"/>
      <c r="AA505" s="13"/>
      <c r="AB505" s="13"/>
      <c r="AC505" s="13"/>
      <c r="AD505" s="13"/>
    </row>
    <row r="506">
      <c r="B506" s="108"/>
      <c r="Z506" s="13"/>
      <c r="AA506" s="13"/>
      <c r="AB506" s="13"/>
      <c r="AC506" s="13"/>
      <c r="AD506" s="13"/>
    </row>
    <row r="507">
      <c r="B507" s="108"/>
      <c r="Z507" s="13"/>
      <c r="AA507" s="13"/>
      <c r="AB507" s="13"/>
      <c r="AC507" s="13"/>
      <c r="AD507" s="13"/>
    </row>
    <row r="508">
      <c r="B508" s="108"/>
      <c r="Z508" s="13"/>
      <c r="AA508" s="13"/>
      <c r="AB508" s="13"/>
      <c r="AC508" s="13"/>
      <c r="AD508" s="13"/>
    </row>
    <row r="509">
      <c r="B509" s="108"/>
      <c r="Z509" s="13"/>
      <c r="AA509" s="13"/>
      <c r="AB509" s="13"/>
      <c r="AC509" s="13"/>
      <c r="AD509" s="13"/>
    </row>
    <row r="510">
      <c r="B510" s="108"/>
      <c r="Z510" s="13"/>
      <c r="AA510" s="13"/>
      <c r="AB510" s="13"/>
      <c r="AC510" s="13"/>
      <c r="AD510" s="13"/>
    </row>
    <row r="511">
      <c r="B511" s="108"/>
      <c r="Z511" s="13"/>
      <c r="AA511" s="13"/>
      <c r="AB511" s="13"/>
      <c r="AC511" s="13"/>
      <c r="AD511" s="13"/>
    </row>
    <row r="512">
      <c r="B512" s="108"/>
      <c r="Z512" s="13"/>
      <c r="AA512" s="13"/>
      <c r="AB512" s="13"/>
      <c r="AC512" s="13"/>
      <c r="AD512" s="13"/>
    </row>
    <row r="513">
      <c r="B513" s="108"/>
      <c r="Z513" s="13"/>
      <c r="AA513" s="13"/>
      <c r="AB513" s="13"/>
      <c r="AC513" s="13"/>
      <c r="AD513" s="13"/>
    </row>
    <row r="514">
      <c r="B514" s="108"/>
      <c r="Z514" s="13"/>
      <c r="AA514" s="13"/>
      <c r="AB514" s="13"/>
      <c r="AC514" s="13"/>
      <c r="AD514" s="13"/>
    </row>
    <row r="515">
      <c r="B515" s="108"/>
      <c r="Z515" s="13"/>
      <c r="AA515" s="13"/>
      <c r="AB515" s="13"/>
      <c r="AC515" s="13"/>
      <c r="AD515" s="13"/>
    </row>
    <row r="516">
      <c r="B516" s="108"/>
      <c r="Z516" s="13"/>
      <c r="AA516" s="13"/>
      <c r="AB516" s="13"/>
      <c r="AC516" s="13"/>
      <c r="AD516" s="13"/>
    </row>
    <row r="517">
      <c r="B517" s="108"/>
      <c r="Z517" s="13"/>
      <c r="AA517" s="13"/>
      <c r="AB517" s="13"/>
      <c r="AC517" s="13"/>
      <c r="AD517" s="13"/>
    </row>
    <row r="518">
      <c r="B518" s="108"/>
      <c r="Z518" s="13"/>
      <c r="AA518" s="13"/>
      <c r="AB518" s="13"/>
      <c r="AC518" s="13"/>
      <c r="AD518" s="13"/>
    </row>
    <row r="519">
      <c r="B519" s="108"/>
      <c r="Z519" s="13"/>
      <c r="AA519" s="13"/>
      <c r="AB519" s="13"/>
      <c r="AC519" s="13"/>
      <c r="AD519" s="13"/>
    </row>
    <row r="520">
      <c r="B520" s="108"/>
      <c r="Z520" s="13"/>
      <c r="AA520" s="13"/>
      <c r="AB520" s="13"/>
      <c r="AC520" s="13"/>
      <c r="AD520" s="13"/>
    </row>
    <row r="521">
      <c r="B521" s="108"/>
      <c r="Z521" s="13"/>
      <c r="AA521" s="13"/>
      <c r="AB521" s="13"/>
      <c r="AC521" s="13"/>
      <c r="AD521" s="13"/>
    </row>
    <row r="522">
      <c r="B522" s="108"/>
      <c r="Z522" s="13"/>
      <c r="AA522" s="13"/>
      <c r="AB522" s="13"/>
      <c r="AC522" s="13"/>
      <c r="AD522" s="13"/>
    </row>
    <row r="523">
      <c r="B523" s="108"/>
      <c r="Z523" s="13"/>
      <c r="AA523" s="13"/>
      <c r="AB523" s="13"/>
      <c r="AC523" s="13"/>
      <c r="AD523" s="13"/>
    </row>
    <row r="524">
      <c r="B524" s="108"/>
      <c r="Z524" s="13"/>
      <c r="AA524" s="13"/>
      <c r="AB524" s="13"/>
      <c r="AC524" s="13"/>
      <c r="AD524" s="13"/>
    </row>
    <row r="525">
      <c r="B525" s="108"/>
      <c r="Z525" s="13"/>
      <c r="AA525" s="13"/>
      <c r="AB525" s="13"/>
      <c r="AC525" s="13"/>
      <c r="AD525" s="13"/>
    </row>
    <row r="526">
      <c r="B526" s="108"/>
      <c r="Z526" s="13"/>
      <c r="AA526" s="13"/>
      <c r="AB526" s="13"/>
      <c r="AC526" s="13"/>
      <c r="AD526" s="13"/>
    </row>
    <row r="527">
      <c r="B527" s="108"/>
      <c r="Z527" s="13"/>
      <c r="AA527" s="13"/>
      <c r="AB527" s="13"/>
      <c r="AC527" s="13"/>
      <c r="AD527" s="13"/>
    </row>
    <row r="528">
      <c r="B528" s="108"/>
      <c r="Z528" s="13"/>
      <c r="AA528" s="13"/>
      <c r="AB528" s="13"/>
      <c r="AC528" s="13"/>
      <c r="AD528" s="13"/>
    </row>
    <row r="529">
      <c r="B529" s="108"/>
      <c r="Z529" s="13"/>
      <c r="AA529" s="13"/>
      <c r="AB529" s="13"/>
      <c r="AC529" s="13"/>
      <c r="AD529" s="13"/>
    </row>
    <row r="530">
      <c r="B530" s="108"/>
      <c r="Z530" s="13"/>
      <c r="AA530" s="13"/>
      <c r="AB530" s="13"/>
      <c r="AC530" s="13"/>
      <c r="AD530" s="13"/>
    </row>
    <row r="531">
      <c r="B531" s="108"/>
      <c r="Z531" s="13"/>
      <c r="AA531" s="13"/>
      <c r="AB531" s="13"/>
      <c r="AC531" s="13"/>
      <c r="AD531" s="13"/>
    </row>
    <row r="532">
      <c r="B532" s="108"/>
      <c r="Z532" s="13"/>
      <c r="AA532" s="13"/>
      <c r="AB532" s="13"/>
      <c r="AC532" s="13"/>
      <c r="AD532" s="13"/>
    </row>
    <row r="533">
      <c r="B533" s="108"/>
      <c r="Z533" s="13"/>
      <c r="AA533" s="13"/>
      <c r="AB533" s="13"/>
      <c r="AC533" s="13"/>
      <c r="AD533" s="13"/>
    </row>
    <row r="534">
      <c r="B534" s="108"/>
      <c r="Z534" s="13"/>
      <c r="AA534" s="13"/>
      <c r="AB534" s="13"/>
      <c r="AC534" s="13"/>
      <c r="AD534" s="13"/>
    </row>
    <row r="535">
      <c r="B535" s="108"/>
      <c r="Z535" s="13"/>
      <c r="AA535" s="13"/>
      <c r="AB535" s="13"/>
      <c r="AC535" s="13"/>
      <c r="AD535" s="13"/>
    </row>
    <row r="536">
      <c r="B536" s="108"/>
      <c r="Z536" s="13"/>
      <c r="AA536" s="13"/>
      <c r="AB536" s="13"/>
      <c r="AC536" s="13"/>
      <c r="AD536" s="13"/>
    </row>
    <row r="537">
      <c r="B537" s="108"/>
      <c r="Z537" s="13"/>
      <c r="AA537" s="13"/>
      <c r="AB537" s="13"/>
      <c r="AC537" s="13"/>
      <c r="AD537" s="13"/>
    </row>
    <row r="538">
      <c r="B538" s="108"/>
      <c r="Z538" s="13"/>
      <c r="AA538" s="13"/>
      <c r="AB538" s="13"/>
      <c r="AC538" s="13"/>
      <c r="AD538" s="13"/>
    </row>
    <row r="539">
      <c r="B539" s="108"/>
      <c r="Z539" s="13"/>
      <c r="AA539" s="13"/>
      <c r="AB539" s="13"/>
      <c r="AC539" s="13"/>
      <c r="AD539" s="13"/>
    </row>
    <row r="540">
      <c r="B540" s="108"/>
      <c r="Z540" s="13"/>
      <c r="AA540" s="13"/>
      <c r="AB540" s="13"/>
      <c r="AC540" s="13"/>
      <c r="AD540" s="13"/>
    </row>
    <row r="541">
      <c r="B541" s="108"/>
      <c r="Z541" s="13"/>
      <c r="AA541" s="13"/>
      <c r="AB541" s="13"/>
      <c r="AC541" s="13"/>
      <c r="AD541" s="13"/>
    </row>
    <row r="542">
      <c r="B542" s="108"/>
      <c r="Z542" s="13"/>
      <c r="AA542" s="13"/>
      <c r="AB542" s="13"/>
      <c r="AC542" s="13"/>
      <c r="AD542" s="13"/>
    </row>
    <row r="543">
      <c r="B543" s="108"/>
      <c r="Z543" s="13"/>
      <c r="AA543" s="13"/>
      <c r="AB543" s="13"/>
      <c r="AC543" s="13"/>
      <c r="AD543" s="13"/>
    </row>
    <row r="544">
      <c r="B544" s="108"/>
      <c r="Z544" s="13"/>
      <c r="AA544" s="13"/>
      <c r="AB544" s="13"/>
      <c r="AC544" s="13"/>
      <c r="AD544" s="13"/>
    </row>
    <row r="545">
      <c r="B545" s="108"/>
      <c r="Z545" s="13"/>
      <c r="AA545" s="13"/>
      <c r="AB545" s="13"/>
      <c r="AC545" s="13"/>
      <c r="AD545" s="13"/>
    </row>
    <row r="546">
      <c r="B546" s="108"/>
      <c r="Z546" s="13"/>
      <c r="AA546" s="13"/>
      <c r="AB546" s="13"/>
      <c r="AC546" s="13"/>
      <c r="AD546" s="13"/>
    </row>
    <row r="547">
      <c r="B547" s="108"/>
      <c r="Z547" s="13"/>
      <c r="AA547" s="13"/>
      <c r="AB547" s="13"/>
      <c r="AC547" s="13"/>
      <c r="AD547" s="13"/>
    </row>
    <row r="548">
      <c r="B548" s="108"/>
      <c r="Z548" s="13"/>
      <c r="AA548" s="13"/>
      <c r="AB548" s="13"/>
      <c r="AC548" s="13"/>
      <c r="AD548" s="13"/>
    </row>
    <row r="549">
      <c r="B549" s="108"/>
      <c r="Z549" s="13"/>
      <c r="AA549" s="13"/>
      <c r="AB549" s="13"/>
      <c r="AC549" s="13"/>
      <c r="AD549" s="13"/>
    </row>
    <row r="550">
      <c r="B550" s="108"/>
      <c r="Z550" s="13"/>
      <c r="AA550" s="13"/>
      <c r="AB550" s="13"/>
      <c r="AC550" s="13"/>
      <c r="AD550" s="13"/>
    </row>
    <row r="551">
      <c r="B551" s="108"/>
      <c r="Z551" s="13"/>
      <c r="AA551" s="13"/>
      <c r="AB551" s="13"/>
      <c r="AC551" s="13"/>
      <c r="AD551" s="13"/>
    </row>
    <row r="552">
      <c r="B552" s="108"/>
      <c r="Z552" s="13"/>
      <c r="AA552" s="13"/>
      <c r="AB552" s="13"/>
      <c r="AC552" s="13"/>
      <c r="AD552" s="13"/>
    </row>
    <row r="553">
      <c r="B553" s="108"/>
      <c r="Z553" s="13"/>
      <c r="AA553" s="13"/>
      <c r="AB553" s="13"/>
      <c r="AC553" s="13"/>
      <c r="AD553" s="13"/>
    </row>
    <row r="554">
      <c r="B554" s="108"/>
      <c r="Z554" s="13"/>
      <c r="AA554" s="13"/>
      <c r="AB554" s="13"/>
      <c r="AC554" s="13"/>
      <c r="AD554" s="13"/>
    </row>
    <row r="555">
      <c r="B555" s="108"/>
      <c r="Z555" s="13"/>
      <c r="AA555" s="13"/>
      <c r="AB555" s="13"/>
      <c r="AC555" s="13"/>
      <c r="AD555" s="13"/>
    </row>
    <row r="556">
      <c r="B556" s="108"/>
      <c r="Z556" s="13"/>
      <c r="AA556" s="13"/>
      <c r="AB556" s="13"/>
      <c r="AC556" s="13"/>
      <c r="AD556" s="13"/>
    </row>
    <row r="557">
      <c r="B557" s="108"/>
      <c r="Z557" s="13"/>
      <c r="AA557" s="13"/>
      <c r="AB557" s="13"/>
      <c r="AC557" s="13"/>
      <c r="AD557" s="13"/>
    </row>
    <row r="558">
      <c r="B558" s="108"/>
      <c r="Z558" s="13"/>
      <c r="AA558" s="13"/>
      <c r="AB558" s="13"/>
      <c r="AC558" s="13"/>
      <c r="AD558" s="13"/>
    </row>
    <row r="559">
      <c r="B559" s="108"/>
      <c r="Z559" s="13"/>
      <c r="AA559" s="13"/>
      <c r="AB559" s="13"/>
      <c r="AC559" s="13"/>
      <c r="AD559" s="13"/>
    </row>
    <row r="560">
      <c r="B560" s="108"/>
      <c r="Z560" s="13"/>
      <c r="AA560" s="13"/>
      <c r="AB560" s="13"/>
      <c r="AC560" s="13"/>
      <c r="AD560" s="13"/>
    </row>
    <row r="561">
      <c r="B561" s="108"/>
      <c r="Z561" s="13"/>
      <c r="AA561" s="13"/>
      <c r="AB561" s="13"/>
      <c r="AC561" s="13"/>
      <c r="AD561" s="13"/>
    </row>
    <row r="562">
      <c r="B562" s="108"/>
      <c r="Z562" s="13"/>
      <c r="AA562" s="13"/>
      <c r="AB562" s="13"/>
      <c r="AC562" s="13"/>
      <c r="AD562" s="13"/>
    </row>
    <row r="563">
      <c r="B563" s="108"/>
      <c r="Z563" s="13"/>
      <c r="AA563" s="13"/>
      <c r="AB563" s="13"/>
      <c r="AC563" s="13"/>
      <c r="AD563" s="13"/>
    </row>
    <row r="564">
      <c r="B564" s="108"/>
      <c r="Z564" s="13"/>
      <c r="AA564" s="13"/>
      <c r="AB564" s="13"/>
      <c r="AC564" s="13"/>
      <c r="AD564" s="13"/>
    </row>
    <row r="565">
      <c r="B565" s="108"/>
      <c r="Z565" s="13"/>
      <c r="AA565" s="13"/>
      <c r="AB565" s="13"/>
      <c r="AC565" s="13"/>
      <c r="AD565" s="13"/>
    </row>
    <row r="566">
      <c r="B566" s="108"/>
      <c r="Z566" s="13"/>
      <c r="AA566" s="13"/>
      <c r="AB566" s="13"/>
      <c r="AC566" s="13"/>
      <c r="AD566" s="13"/>
    </row>
    <row r="567">
      <c r="B567" s="108"/>
      <c r="Z567" s="13"/>
      <c r="AA567" s="13"/>
      <c r="AB567" s="13"/>
      <c r="AC567" s="13"/>
      <c r="AD567" s="13"/>
    </row>
    <row r="568">
      <c r="B568" s="108"/>
      <c r="Z568" s="13"/>
      <c r="AA568" s="13"/>
      <c r="AB568" s="13"/>
      <c r="AC568" s="13"/>
      <c r="AD568" s="13"/>
    </row>
    <row r="569">
      <c r="B569" s="108"/>
      <c r="Z569" s="13"/>
      <c r="AA569" s="13"/>
      <c r="AB569" s="13"/>
      <c r="AC569" s="13"/>
      <c r="AD569" s="13"/>
    </row>
    <row r="570">
      <c r="B570" s="108"/>
      <c r="Z570" s="13"/>
      <c r="AA570" s="13"/>
      <c r="AB570" s="13"/>
      <c r="AC570" s="13"/>
      <c r="AD570" s="13"/>
    </row>
    <row r="571">
      <c r="B571" s="108"/>
      <c r="Z571" s="13"/>
      <c r="AA571" s="13"/>
      <c r="AB571" s="13"/>
      <c r="AC571" s="13"/>
      <c r="AD571" s="13"/>
    </row>
    <row r="572">
      <c r="B572" s="108"/>
      <c r="Z572" s="13"/>
      <c r="AA572" s="13"/>
      <c r="AB572" s="13"/>
      <c r="AC572" s="13"/>
      <c r="AD572" s="13"/>
    </row>
    <row r="573">
      <c r="B573" s="108"/>
      <c r="Z573" s="13"/>
      <c r="AA573" s="13"/>
      <c r="AB573" s="13"/>
      <c r="AC573" s="13"/>
      <c r="AD573" s="13"/>
    </row>
    <row r="574">
      <c r="B574" s="108"/>
      <c r="Z574" s="13"/>
      <c r="AA574" s="13"/>
      <c r="AB574" s="13"/>
      <c r="AC574" s="13"/>
      <c r="AD574" s="13"/>
    </row>
    <row r="575">
      <c r="B575" s="108"/>
      <c r="Z575" s="13"/>
      <c r="AA575" s="13"/>
      <c r="AB575" s="13"/>
      <c r="AC575" s="13"/>
      <c r="AD575" s="13"/>
    </row>
    <row r="576">
      <c r="B576" s="108"/>
      <c r="Z576" s="13"/>
      <c r="AA576" s="13"/>
      <c r="AB576" s="13"/>
      <c r="AC576" s="13"/>
      <c r="AD576" s="13"/>
    </row>
    <row r="577">
      <c r="B577" s="108"/>
      <c r="Z577" s="13"/>
      <c r="AA577" s="13"/>
      <c r="AB577" s="13"/>
      <c r="AC577" s="13"/>
      <c r="AD577" s="13"/>
    </row>
    <row r="578">
      <c r="B578" s="108"/>
      <c r="Z578" s="13"/>
      <c r="AA578" s="13"/>
      <c r="AB578" s="13"/>
      <c r="AC578" s="13"/>
      <c r="AD578" s="13"/>
    </row>
    <row r="579">
      <c r="B579" s="108"/>
      <c r="Z579" s="13"/>
      <c r="AA579" s="13"/>
      <c r="AB579" s="13"/>
      <c r="AC579" s="13"/>
      <c r="AD579" s="13"/>
    </row>
    <row r="580">
      <c r="B580" s="108"/>
      <c r="Z580" s="13"/>
      <c r="AA580" s="13"/>
      <c r="AB580" s="13"/>
      <c r="AC580" s="13"/>
      <c r="AD580" s="13"/>
    </row>
    <row r="581">
      <c r="B581" s="108"/>
      <c r="Z581" s="13"/>
      <c r="AA581" s="13"/>
      <c r="AB581" s="13"/>
      <c r="AC581" s="13"/>
      <c r="AD581" s="13"/>
    </row>
    <row r="582">
      <c r="B582" s="108"/>
      <c r="Z582" s="13"/>
      <c r="AA582" s="13"/>
      <c r="AB582" s="13"/>
      <c r="AC582" s="13"/>
      <c r="AD582" s="13"/>
    </row>
    <row r="583">
      <c r="B583" s="108"/>
      <c r="Z583" s="13"/>
      <c r="AA583" s="13"/>
      <c r="AB583" s="13"/>
      <c r="AC583" s="13"/>
      <c r="AD583" s="13"/>
    </row>
    <row r="584">
      <c r="B584" s="108"/>
      <c r="Z584" s="13"/>
      <c r="AA584" s="13"/>
      <c r="AB584" s="13"/>
      <c r="AC584" s="13"/>
      <c r="AD584" s="13"/>
    </row>
    <row r="585">
      <c r="B585" s="108"/>
      <c r="Z585" s="13"/>
      <c r="AA585" s="13"/>
      <c r="AB585" s="13"/>
      <c r="AC585" s="13"/>
      <c r="AD585" s="13"/>
    </row>
    <row r="586">
      <c r="B586" s="108"/>
      <c r="Z586" s="13"/>
      <c r="AA586" s="13"/>
      <c r="AB586" s="13"/>
      <c r="AC586" s="13"/>
      <c r="AD586" s="13"/>
    </row>
    <row r="587">
      <c r="B587" s="108"/>
      <c r="Z587" s="13"/>
      <c r="AA587" s="13"/>
      <c r="AB587" s="13"/>
      <c r="AC587" s="13"/>
      <c r="AD587" s="13"/>
    </row>
    <row r="588">
      <c r="B588" s="108"/>
      <c r="Z588" s="13"/>
      <c r="AA588" s="13"/>
      <c r="AB588" s="13"/>
      <c r="AC588" s="13"/>
      <c r="AD588" s="13"/>
    </row>
    <row r="589">
      <c r="B589" s="108"/>
      <c r="Z589" s="13"/>
      <c r="AA589" s="13"/>
      <c r="AB589" s="13"/>
      <c r="AC589" s="13"/>
      <c r="AD589" s="13"/>
    </row>
    <row r="590">
      <c r="B590" s="108"/>
      <c r="Z590" s="13"/>
      <c r="AA590" s="13"/>
      <c r="AB590" s="13"/>
      <c r="AC590" s="13"/>
      <c r="AD590" s="13"/>
    </row>
    <row r="591">
      <c r="B591" s="108"/>
      <c r="Z591" s="13"/>
      <c r="AA591" s="13"/>
      <c r="AB591" s="13"/>
      <c r="AC591" s="13"/>
      <c r="AD591" s="13"/>
    </row>
    <row r="592">
      <c r="B592" s="108"/>
      <c r="Z592" s="13"/>
      <c r="AA592" s="13"/>
      <c r="AB592" s="13"/>
      <c r="AC592" s="13"/>
      <c r="AD592" s="13"/>
    </row>
    <row r="593">
      <c r="B593" s="108"/>
      <c r="Z593" s="13"/>
      <c r="AA593" s="13"/>
      <c r="AB593" s="13"/>
      <c r="AC593" s="13"/>
      <c r="AD593" s="13"/>
    </row>
    <row r="594">
      <c r="B594" s="108"/>
      <c r="Z594" s="13"/>
      <c r="AA594" s="13"/>
      <c r="AB594" s="13"/>
      <c r="AC594" s="13"/>
      <c r="AD594" s="13"/>
    </row>
    <row r="595">
      <c r="B595" s="108"/>
      <c r="Z595" s="13"/>
      <c r="AA595" s="13"/>
      <c r="AB595" s="13"/>
      <c r="AC595" s="13"/>
      <c r="AD595" s="13"/>
    </row>
    <row r="596">
      <c r="B596" s="108"/>
      <c r="Z596" s="13"/>
      <c r="AA596" s="13"/>
      <c r="AB596" s="13"/>
      <c r="AC596" s="13"/>
      <c r="AD596" s="13"/>
    </row>
    <row r="597">
      <c r="B597" s="108"/>
      <c r="Z597" s="13"/>
      <c r="AA597" s="13"/>
      <c r="AB597" s="13"/>
      <c r="AC597" s="13"/>
      <c r="AD597" s="13"/>
    </row>
    <row r="598">
      <c r="B598" s="108"/>
      <c r="Z598" s="13"/>
      <c r="AA598" s="13"/>
      <c r="AB598" s="13"/>
      <c r="AC598" s="13"/>
      <c r="AD598" s="13"/>
    </row>
    <row r="599">
      <c r="B599" s="108"/>
      <c r="Z599" s="13"/>
      <c r="AA599" s="13"/>
      <c r="AB599" s="13"/>
      <c r="AC599" s="13"/>
      <c r="AD599" s="13"/>
    </row>
    <row r="600">
      <c r="B600" s="108"/>
      <c r="Z600" s="13"/>
      <c r="AA600" s="13"/>
      <c r="AB600" s="13"/>
      <c r="AC600" s="13"/>
      <c r="AD600" s="13"/>
    </row>
    <row r="601">
      <c r="B601" s="108"/>
      <c r="Z601" s="13"/>
      <c r="AA601" s="13"/>
      <c r="AB601" s="13"/>
      <c r="AC601" s="13"/>
      <c r="AD601" s="13"/>
    </row>
    <row r="602">
      <c r="B602" s="108"/>
      <c r="Z602" s="13"/>
      <c r="AA602" s="13"/>
      <c r="AB602" s="13"/>
      <c r="AC602" s="13"/>
      <c r="AD602" s="13"/>
    </row>
    <row r="603">
      <c r="B603" s="108"/>
      <c r="Z603" s="13"/>
      <c r="AA603" s="13"/>
      <c r="AB603" s="13"/>
      <c r="AC603" s="13"/>
      <c r="AD603" s="13"/>
    </row>
    <row r="604">
      <c r="B604" s="108"/>
      <c r="Z604" s="13"/>
      <c r="AA604" s="13"/>
      <c r="AB604" s="13"/>
      <c r="AC604" s="13"/>
      <c r="AD604" s="13"/>
    </row>
    <row r="605">
      <c r="B605" s="108"/>
      <c r="Z605" s="13"/>
      <c r="AA605" s="13"/>
      <c r="AB605" s="13"/>
      <c r="AC605" s="13"/>
      <c r="AD605" s="13"/>
    </row>
    <row r="606">
      <c r="B606" s="108"/>
      <c r="Z606" s="13"/>
      <c r="AA606" s="13"/>
      <c r="AB606" s="13"/>
      <c r="AC606" s="13"/>
      <c r="AD606" s="13"/>
    </row>
    <row r="607">
      <c r="B607" s="108"/>
      <c r="Z607" s="13"/>
      <c r="AA607" s="13"/>
      <c r="AB607" s="13"/>
      <c r="AC607" s="13"/>
      <c r="AD607" s="13"/>
    </row>
    <row r="608">
      <c r="B608" s="108"/>
      <c r="Z608" s="13"/>
      <c r="AA608" s="13"/>
      <c r="AB608" s="13"/>
      <c r="AC608" s="13"/>
      <c r="AD608" s="13"/>
    </row>
    <row r="609">
      <c r="B609" s="108"/>
      <c r="Z609" s="13"/>
      <c r="AA609" s="13"/>
      <c r="AB609" s="13"/>
      <c r="AC609" s="13"/>
      <c r="AD609" s="13"/>
    </row>
    <row r="610">
      <c r="B610" s="108"/>
      <c r="Z610" s="13"/>
      <c r="AA610" s="13"/>
      <c r="AB610" s="13"/>
      <c r="AC610" s="13"/>
      <c r="AD610" s="13"/>
    </row>
    <row r="611">
      <c r="B611" s="108"/>
      <c r="Z611" s="13"/>
      <c r="AA611" s="13"/>
      <c r="AB611" s="13"/>
      <c r="AC611" s="13"/>
      <c r="AD611" s="13"/>
    </row>
    <row r="612">
      <c r="B612" s="108"/>
      <c r="Z612" s="13"/>
      <c r="AA612" s="13"/>
      <c r="AB612" s="13"/>
      <c r="AC612" s="13"/>
      <c r="AD612" s="13"/>
    </row>
    <row r="613">
      <c r="B613" s="108"/>
      <c r="Z613" s="13"/>
      <c r="AA613" s="13"/>
      <c r="AB613" s="13"/>
      <c r="AC613" s="13"/>
      <c r="AD613" s="13"/>
    </row>
    <row r="614">
      <c r="B614" s="108"/>
      <c r="Z614" s="13"/>
      <c r="AA614" s="13"/>
      <c r="AB614" s="13"/>
      <c r="AC614" s="13"/>
      <c r="AD614" s="13"/>
    </row>
    <row r="615">
      <c r="B615" s="108"/>
      <c r="Z615" s="13"/>
      <c r="AA615" s="13"/>
      <c r="AB615" s="13"/>
      <c r="AC615" s="13"/>
      <c r="AD615" s="13"/>
    </row>
    <row r="616">
      <c r="B616" s="108"/>
      <c r="Z616" s="13"/>
      <c r="AA616" s="13"/>
      <c r="AB616" s="13"/>
      <c r="AC616" s="13"/>
      <c r="AD616" s="13"/>
    </row>
    <row r="617">
      <c r="B617" s="108"/>
      <c r="Z617" s="13"/>
      <c r="AA617" s="13"/>
      <c r="AB617" s="13"/>
      <c r="AC617" s="13"/>
      <c r="AD617" s="13"/>
    </row>
    <row r="618">
      <c r="B618" s="108"/>
      <c r="Z618" s="13"/>
      <c r="AA618" s="13"/>
      <c r="AB618" s="13"/>
      <c r="AC618" s="13"/>
      <c r="AD618" s="13"/>
    </row>
    <row r="619">
      <c r="B619" s="108"/>
      <c r="Z619" s="13"/>
      <c r="AA619" s="13"/>
      <c r="AB619" s="13"/>
      <c r="AC619" s="13"/>
      <c r="AD619" s="13"/>
    </row>
    <row r="620">
      <c r="B620" s="108"/>
      <c r="Z620" s="13"/>
      <c r="AA620" s="13"/>
      <c r="AB620" s="13"/>
      <c r="AC620" s="13"/>
      <c r="AD620" s="13"/>
    </row>
    <row r="621">
      <c r="B621" s="108"/>
      <c r="Z621" s="13"/>
      <c r="AA621" s="13"/>
      <c r="AB621" s="13"/>
      <c r="AC621" s="13"/>
      <c r="AD621" s="13"/>
    </row>
    <row r="622">
      <c r="B622" s="108"/>
      <c r="Z622" s="13"/>
      <c r="AA622" s="13"/>
      <c r="AB622" s="13"/>
      <c r="AC622" s="13"/>
      <c r="AD622" s="13"/>
    </row>
    <row r="623">
      <c r="B623" s="108"/>
      <c r="Z623" s="13"/>
      <c r="AA623" s="13"/>
      <c r="AB623" s="13"/>
      <c r="AC623" s="13"/>
      <c r="AD623" s="13"/>
    </row>
    <row r="624">
      <c r="B624" s="108"/>
      <c r="Z624" s="13"/>
      <c r="AA624" s="13"/>
      <c r="AB624" s="13"/>
      <c r="AC624" s="13"/>
      <c r="AD624" s="13"/>
    </row>
    <row r="625">
      <c r="B625" s="108"/>
      <c r="Z625" s="13"/>
      <c r="AA625" s="13"/>
      <c r="AB625" s="13"/>
      <c r="AC625" s="13"/>
      <c r="AD625" s="13"/>
    </row>
    <row r="626">
      <c r="B626" s="108"/>
      <c r="Z626" s="13"/>
      <c r="AA626" s="13"/>
      <c r="AB626" s="13"/>
      <c r="AC626" s="13"/>
      <c r="AD626" s="13"/>
    </row>
    <row r="627">
      <c r="B627" s="108"/>
      <c r="Z627" s="13"/>
      <c r="AA627" s="13"/>
      <c r="AB627" s="13"/>
      <c r="AC627" s="13"/>
      <c r="AD627" s="13"/>
    </row>
    <row r="628">
      <c r="B628" s="108"/>
      <c r="Z628" s="13"/>
      <c r="AA628" s="13"/>
      <c r="AB628" s="13"/>
      <c r="AC628" s="13"/>
      <c r="AD628" s="13"/>
    </row>
    <row r="629">
      <c r="B629" s="108"/>
      <c r="Z629" s="13"/>
      <c r="AA629" s="13"/>
      <c r="AB629" s="13"/>
      <c r="AC629" s="13"/>
      <c r="AD629" s="13"/>
    </row>
    <row r="630">
      <c r="B630" s="108"/>
      <c r="Z630" s="13"/>
      <c r="AA630" s="13"/>
      <c r="AB630" s="13"/>
      <c r="AC630" s="13"/>
      <c r="AD630" s="13"/>
    </row>
    <row r="631">
      <c r="B631" s="108"/>
      <c r="Z631" s="13"/>
      <c r="AA631" s="13"/>
      <c r="AB631" s="13"/>
      <c r="AC631" s="13"/>
      <c r="AD631" s="13"/>
    </row>
    <row r="632">
      <c r="B632" s="108"/>
      <c r="Z632" s="13"/>
      <c r="AA632" s="13"/>
      <c r="AB632" s="13"/>
      <c r="AC632" s="13"/>
      <c r="AD632" s="13"/>
    </row>
    <row r="633">
      <c r="B633" s="108"/>
      <c r="Z633" s="13"/>
      <c r="AA633" s="13"/>
      <c r="AB633" s="13"/>
      <c r="AC633" s="13"/>
      <c r="AD633" s="13"/>
    </row>
    <row r="634">
      <c r="B634" s="108"/>
      <c r="Z634" s="13"/>
      <c r="AA634" s="13"/>
      <c r="AB634" s="13"/>
      <c r="AC634" s="13"/>
      <c r="AD634" s="13"/>
    </row>
    <row r="635">
      <c r="B635" s="108"/>
      <c r="Z635" s="13"/>
      <c r="AA635" s="13"/>
      <c r="AB635" s="13"/>
      <c r="AC635" s="13"/>
      <c r="AD635" s="13"/>
    </row>
    <row r="636">
      <c r="B636" s="108"/>
      <c r="Z636" s="13"/>
      <c r="AA636" s="13"/>
      <c r="AB636" s="13"/>
      <c r="AC636" s="13"/>
      <c r="AD636" s="13"/>
    </row>
    <row r="637">
      <c r="B637" s="108"/>
      <c r="Z637" s="13"/>
      <c r="AA637" s="13"/>
      <c r="AB637" s="13"/>
      <c r="AC637" s="13"/>
      <c r="AD637" s="13"/>
    </row>
    <row r="638">
      <c r="B638" s="108"/>
      <c r="Z638" s="13"/>
      <c r="AA638" s="13"/>
      <c r="AB638" s="13"/>
      <c r="AC638" s="13"/>
      <c r="AD638" s="13"/>
    </row>
    <row r="639">
      <c r="B639" s="108"/>
      <c r="Z639" s="13"/>
      <c r="AA639" s="13"/>
      <c r="AB639" s="13"/>
      <c r="AC639" s="13"/>
      <c r="AD639" s="13"/>
    </row>
    <row r="640">
      <c r="B640" s="108"/>
      <c r="Z640" s="13"/>
      <c r="AA640" s="13"/>
      <c r="AB640" s="13"/>
      <c r="AC640" s="13"/>
      <c r="AD640" s="13"/>
    </row>
    <row r="641">
      <c r="B641" s="108"/>
      <c r="Z641" s="13"/>
      <c r="AA641" s="13"/>
      <c r="AB641" s="13"/>
      <c r="AC641" s="13"/>
      <c r="AD641" s="13"/>
    </row>
    <row r="642">
      <c r="B642" s="108"/>
      <c r="Z642" s="13"/>
      <c r="AA642" s="13"/>
      <c r="AB642" s="13"/>
      <c r="AC642" s="13"/>
      <c r="AD642" s="13"/>
    </row>
    <row r="643">
      <c r="B643" s="108"/>
      <c r="Z643" s="13"/>
      <c r="AA643" s="13"/>
      <c r="AB643" s="13"/>
      <c r="AC643" s="13"/>
      <c r="AD643" s="13"/>
    </row>
    <row r="644">
      <c r="B644" s="108"/>
      <c r="Z644" s="13"/>
      <c r="AA644" s="13"/>
      <c r="AB644" s="13"/>
      <c r="AC644" s="13"/>
      <c r="AD644" s="13"/>
    </row>
    <row r="645">
      <c r="B645" s="108"/>
      <c r="Z645" s="13"/>
      <c r="AA645" s="13"/>
      <c r="AB645" s="13"/>
      <c r="AC645" s="13"/>
      <c r="AD645" s="13"/>
    </row>
    <row r="646">
      <c r="B646" s="108"/>
      <c r="Z646" s="13"/>
      <c r="AA646" s="13"/>
      <c r="AB646" s="13"/>
      <c r="AC646" s="13"/>
      <c r="AD646" s="13"/>
    </row>
    <row r="647">
      <c r="B647" s="108"/>
      <c r="Z647" s="13"/>
      <c r="AA647" s="13"/>
      <c r="AB647" s="13"/>
      <c r="AC647" s="13"/>
      <c r="AD647" s="13"/>
    </row>
    <row r="648">
      <c r="B648" s="108"/>
      <c r="Z648" s="13"/>
      <c r="AA648" s="13"/>
      <c r="AB648" s="13"/>
      <c r="AC648" s="13"/>
      <c r="AD648" s="13"/>
    </row>
    <row r="649">
      <c r="B649" s="108"/>
      <c r="Z649" s="13"/>
      <c r="AA649" s="13"/>
      <c r="AB649" s="13"/>
      <c r="AC649" s="13"/>
      <c r="AD649" s="13"/>
    </row>
    <row r="650">
      <c r="B650" s="108"/>
      <c r="Z650" s="13"/>
      <c r="AA650" s="13"/>
      <c r="AB650" s="13"/>
      <c r="AC650" s="13"/>
      <c r="AD650" s="13"/>
    </row>
    <row r="651">
      <c r="B651" s="108"/>
      <c r="Z651" s="13"/>
      <c r="AA651" s="13"/>
      <c r="AB651" s="13"/>
      <c r="AC651" s="13"/>
      <c r="AD651" s="13"/>
    </row>
    <row r="652">
      <c r="B652" s="108"/>
      <c r="Z652" s="13"/>
      <c r="AA652" s="13"/>
      <c r="AB652" s="13"/>
      <c r="AC652" s="13"/>
      <c r="AD652" s="13"/>
    </row>
    <row r="653">
      <c r="B653" s="108"/>
      <c r="Z653" s="13"/>
      <c r="AA653" s="13"/>
      <c r="AB653" s="13"/>
      <c r="AC653" s="13"/>
      <c r="AD653" s="13"/>
    </row>
    <row r="654">
      <c r="B654" s="108"/>
      <c r="Z654" s="13"/>
      <c r="AA654" s="13"/>
      <c r="AB654" s="13"/>
      <c r="AC654" s="13"/>
      <c r="AD654" s="13"/>
    </row>
    <row r="655">
      <c r="B655" s="108"/>
      <c r="Z655" s="13"/>
      <c r="AA655" s="13"/>
      <c r="AB655" s="13"/>
      <c r="AC655" s="13"/>
      <c r="AD655" s="13"/>
    </row>
    <row r="656">
      <c r="B656" s="108"/>
      <c r="Z656" s="13"/>
      <c r="AA656" s="13"/>
      <c r="AB656" s="13"/>
      <c r="AC656" s="13"/>
      <c r="AD656" s="13"/>
    </row>
    <row r="657">
      <c r="B657" s="108"/>
      <c r="Z657" s="13"/>
      <c r="AA657" s="13"/>
      <c r="AB657" s="13"/>
      <c r="AC657" s="13"/>
      <c r="AD657" s="13"/>
    </row>
    <row r="658">
      <c r="B658" s="108"/>
      <c r="Z658" s="13"/>
      <c r="AA658" s="13"/>
      <c r="AB658" s="13"/>
      <c r="AC658" s="13"/>
      <c r="AD658" s="13"/>
    </row>
    <row r="659">
      <c r="B659" s="108"/>
      <c r="Z659" s="13"/>
      <c r="AA659" s="13"/>
      <c r="AB659" s="13"/>
      <c r="AC659" s="13"/>
      <c r="AD659" s="13"/>
    </row>
    <row r="660">
      <c r="B660" s="108"/>
      <c r="Z660" s="13"/>
      <c r="AA660" s="13"/>
      <c r="AB660" s="13"/>
      <c r="AC660" s="13"/>
      <c r="AD660" s="13"/>
    </row>
    <row r="661">
      <c r="B661" s="108"/>
      <c r="Z661" s="13"/>
      <c r="AA661" s="13"/>
      <c r="AB661" s="13"/>
      <c r="AC661" s="13"/>
      <c r="AD661" s="13"/>
    </row>
    <row r="662">
      <c r="B662" s="108"/>
      <c r="Z662" s="13"/>
      <c r="AA662" s="13"/>
      <c r="AB662" s="13"/>
      <c r="AC662" s="13"/>
      <c r="AD662" s="13"/>
    </row>
    <row r="663">
      <c r="B663" s="108"/>
      <c r="Z663" s="13"/>
      <c r="AA663" s="13"/>
      <c r="AB663" s="13"/>
      <c r="AC663" s="13"/>
      <c r="AD663" s="13"/>
    </row>
    <row r="664">
      <c r="B664" s="108"/>
      <c r="Z664" s="13"/>
      <c r="AA664" s="13"/>
      <c r="AB664" s="13"/>
      <c r="AC664" s="13"/>
      <c r="AD664" s="13"/>
    </row>
    <row r="665">
      <c r="B665" s="108"/>
      <c r="Z665" s="13"/>
      <c r="AA665" s="13"/>
      <c r="AB665" s="13"/>
      <c r="AC665" s="13"/>
      <c r="AD665" s="13"/>
    </row>
    <row r="666">
      <c r="B666" s="108"/>
      <c r="Z666" s="13"/>
      <c r="AA666" s="13"/>
      <c r="AB666" s="13"/>
      <c r="AC666" s="13"/>
      <c r="AD666" s="13"/>
    </row>
    <row r="667">
      <c r="B667" s="108"/>
      <c r="Z667" s="13"/>
      <c r="AA667" s="13"/>
      <c r="AB667" s="13"/>
      <c r="AC667" s="13"/>
      <c r="AD667" s="13"/>
    </row>
    <row r="668">
      <c r="B668" s="108"/>
      <c r="Z668" s="13"/>
      <c r="AA668" s="13"/>
      <c r="AB668" s="13"/>
      <c r="AC668" s="13"/>
      <c r="AD668" s="13"/>
    </row>
    <row r="669">
      <c r="B669" s="108"/>
      <c r="Z669" s="13"/>
      <c r="AA669" s="13"/>
      <c r="AB669" s="13"/>
      <c r="AC669" s="13"/>
      <c r="AD669" s="13"/>
    </row>
    <row r="670">
      <c r="B670" s="108"/>
      <c r="Z670" s="13"/>
      <c r="AA670" s="13"/>
      <c r="AB670" s="13"/>
      <c r="AC670" s="13"/>
      <c r="AD670" s="13"/>
    </row>
    <row r="671">
      <c r="B671" s="108"/>
      <c r="Z671" s="13"/>
      <c r="AA671" s="13"/>
      <c r="AB671" s="13"/>
      <c r="AC671" s="13"/>
      <c r="AD671" s="13"/>
    </row>
    <row r="672">
      <c r="B672" s="108"/>
      <c r="Z672" s="13"/>
      <c r="AA672" s="13"/>
      <c r="AB672" s="13"/>
      <c r="AC672" s="13"/>
      <c r="AD672" s="13"/>
    </row>
    <row r="673">
      <c r="B673" s="108"/>
      <c r="Z673" s="13"/>
      <c r="AA673" s="13"/>
      <c r="AB673" s="13"/>
      <c r="AC673" s="13"/>
      <c r="AD673" s="13"/>
    </row>
    <row r="674">
      <c r="B674" s="108"/>
      <c r="Z674" s="13"/>
      <c r="AA674" s="13"/>
      <c r="AB674" s="13"/>
      <c r="AC674" s="13"/>
      <c r="AD674" s="13"/>
    </row>
    <row r="675">
      <c r="B675" s="108"/>
      <c r="Z675" s="13"/>
      <c r="AA675" s="13"/>
      <c r="AB675" s="13"/>
      <c r="AC675" s="13"/>
      <c r="AD675" s="13"/>
    </row>
    <row r="676">
      <c r="B676" s="108"/>
      <c r="Z676" s="13"/>
      <c r="AA676" s="13"/>
      <c r="AB676" s="13"/>
      <c r="AC676" s="13"/>
      <c r="AD676" s="13"/>
    </row>
    <row r="677">
      <c r="B677" s="108"/>
      <c r="Z677" s="13"/>
      <c r="AA677" s="13"/>
      <c r="AB677" s="13"/>
      <c r="AC677" s="13"/>
      <c r="AD677" s="13"/>
    </row>
    <row r="678">
      <c r="B678" s="108"/>
      <c r="Z678" s="13"/>
      <c r="AA678" s="13"/>
      <c r="AB678" s="13"/>
      <c r="AC678" s="13"/>
      <c r="AD678" s="13"/>
    </row>
    <row r="679">
      <c r="B679" s="108"/>
      <c r="Z679" s="13"/>
      <c r="AA679" s="13"/>
      <c r="AB679" s="13"/>
      <c r="AC679" s="13"/>
      <c r="AD679" s="13"/>
    </row>
    <row r="680">
      <c r="B680" s="108"/>
      <c r="Z680" s="13"/>
      <c r="AA680" s="13"/>
      <c r="AB680" s="13"/>
      <c r="AC680" s="13"/>
      <c r="AD680" s="13"/>
    </row>
    <row r="681">
      <c r="B681" s="108"/>
      <c r="Z681" s="13"/>
      <c r="AA681" s="13"/>
      <c r="AB681" s="13"/>
      <c r="AC681" s="13"/>
      <c r="AD681" s="13"/>
    </row>
    <row r="682">
      <c r="B682" s="108"/>
      <c r="Z682" s="13"/>
      <c r="AA682" s="13"/>
      <c r="AB682" s="13"/>
      <c r="AC682" s="13"/>
      <c r="AD682" s="13"/>
    </row>
    <row r="683">
      <c r="B683" s="108"/>
      <c r="Z683" s="13"/>
      <c r="AA683" s="13"/>
      <c r="AB683" s="13"/>
      <c r="AC683" s="13"/>
      <c r="AD683" s="13"/>
    </row>
    <row r="684">
      <c r="B684" s="108"/>
      <c r="Z684" s="13"/>
      <c r="AA684" s="13"/>
      <c r="AB684" s="13"/>
      <c r="AC684" s="13"/>
      <c r="AD684" s="13"/>
    </row>
    <row r="685">
      <c r="B685" s="108"/>
      <c r="Z685" s="13"/>
      <c r="AA685" s="13"/>
      <c r="AB685" s="13"/>
      <c r="AC685" s="13"/>
      <c r="AD685" s="13"/>
    </row>
    <row r="686">
      <c r="B686" s="108"/>
      <c r="Z686" s="13"/>
      <c r="AA686" s="13"/>
      <c r="AB686" s="13"/>
      <c r="AC686" s="13"/>
      <c r="AD686" s="13"/>
    </row>
    <row r="687">
      <c r="B687" s="108"/>
      <c r="Z687" s="13"/>
      <c r="AA687" s="13"/>
      <c r="AB687" s="13"/>
      <c r="AC687" s="13"/>
      <c r="AD687" s="13"/>
    </row>
    <row r="688">
      <c r="B688" s="108"/>
      <c r="Z688" s="13"/>
      <c r="AA688" s="13"/>
      <c r="AB688" s="13"/>
      <c r="AC688" s="13"/>
      <c r="AD688" s="13"/>
    </row>
    <row r="689">
      <c r="B689" s="108"/>
      <c r="Z689" s="13"/>
      <c r="AA689" s="13"/>
      <c r="AB689" s="13"/>
      <c r="AC689" s="13"/>
      <c r="AD689" s="13"/>
    </row>
    <row r="690">
      <c r="B690" s="108"/>
      <c r="Z690" s="13"/>
      <c r="AA690" s="13"/>
      <c r="AB690" s="13"/>
      <c r="AC690" s="13"/>
      <c r="AD690" s="13"/>
    </row>
    <row r="691">
      <c r="B691" s="108"/>
      <c r="Z691" s="13"/>
      <c r="AA691" s="13"/>
      <c r="AB691" s="13"/>
      <c r="AC691" s="13"/>
      <c r="AD691" s="13"/>
    </row>
    <row r="692">
      <c r="B692" s="108"/>
      <c r="Z692" s="13"/>
      <c r="AA692" s="13"/>
      <c r="AB692" s="13"/>
      <c r="AC692" s="13"/>
      <c r="AD692" s="13"/>
    </row>
    <row r="693">
      <c r="B693" s="108"/>
      <c r="Z693" s="13"/>
      <c r="AA693" s="13"/>
      <c r="AB693" s="13"/>
      <c r="AC693" s="13"/>
      <c r="AD693" s="13"/>
    </row>
    <row r="694">
      <c r="B694" s="108"/>
      <c r="Z694" s="13"/>
      <c r="AA694" s="13"/>
      <c r="AB694" s="13"/>
      <c r="AC694" s="13"/>
      <c r="AD694" s="13"/>
    </row>
    <row r="695">
      <c r="B695" s="108"/>
      <c r="Z695" s="13"/>
      <c r="AA695" s="13"/>
      <c r="AB695" s="13"/>
      <c r="AC695" s="13"/>
      <c r="AD695" s="13"/>
    </row>
    <row r="696">
      <c r="B696" s="108"/>
      <c r="Z696" s="13"/>
      <c r="AA696" s="13"/>
      <c r="AB696" s="13"/>
      <c r="AC696" s="13"/>
      <c r="AD696" s="13"/>
    </row>
    <row r="697">
      <c r="B697" s="108"/>
      <c r="Z697" s="13"/>
      <c r="AA697" s="13"/>
      <c r="AB697" s="13"/>
      <c r="AC697" s="13"/>
      <c r="AD697" s="13"/>
    </row>
    <row r="698">
      <c r="B698" s="108"/>
      <c r="Z698" s="13"/>
      <c r="AA698" s="13"/>
      <c r="AB698" s="13"/>
      <c r="AC698" s="13"/>
      <c r="AD698" s="13"/>
    </row>
    <row r="699">
      <c r="B699" s="108"/>
      <c r="Z699" s="13"/>
      <c r="AA699" s="13"/>
      <c r="AB699" s="13"/>
      <c r="AC699" s="13"/>
      <c r="AD699" s="13"/>
    </row>
    <row r="700">
      <c r="B700" s="108"/>
      <c r="Z700" s="13"/>
      <c r="AA700" s="13"/>
      <c r="AB700" s="13"/>
      <c r="AC700" s="13"/>
      <c r="AD700" s="13"/>
    </row>
    <row r="701">
      <c r="B701" s="108"/>
      <c r="Z701" s="13"/>
      <c r="AA701" s="13"/>
      <c r="AB701" s="13"/>
      <c r="AC701" s="13"/>
      <c r="AD701" s="13"/>
    </row>
    <row r="702">
      <c r="B702" s="108"/>
      <c r="Z702" s="13"/>
      <c r="AA702" s="13"/>
      <c r="AB702" s="13"/>
      <c r="AC702" s="13"/>
      <c r="AD702" s="13"/>
    </row>
    <row r="703">
      <c r="B703" s="108"/>
      <c r="Z703" s="13"/>
      <c r="AA703" s="13"/>
      <c r="AB703" s="13"/>
      <c r="AC703" s="13"/>
      <c r="AD703" s="13"/>
    </row>
    <row r="704">
      <c r="B704" s="108"/>
      <c r="Z704" s="13"/>
      <c r="AA704" s="13"/>
      <c r="AB704" s="13"/>
      <c r="AC704" s="13"/>
      <c r="AD704" s="13"/>
    </row>
    <row r="705">
      <c r="B705" s="108"/>
      <c r="Z705" s="13"/>
      <c r="AA705" s="13"/>
      <c r="AB705" s="13"/>
      <c r="AC705" s="13"/>
      <c r="AD705" s="13"/>
    </row>
    <row r="706">
      <c r="B706" s="108"/>
      <c r="Z706" s="13"/>
      <c r="AA706" s="13"/>
      <c r="AB706" s="13"/>
      <c r="AC706" s="13"/>
      <c r="AD706" s="13"/>
    </row>
    <row r="707">
      <c r="B707" s="108"/>
      <c r="Z707" s="13"/>
      <c r="AA707" s="13"/>
      <c r="AB707" s="13"/>
      <c r="AC707" s="13"/>
      <c r="AD707" s="13"/>
    </row>
    <row r="708">
      <c r="B708" s="108"/>
      <c r="Z708" s="13"/>
      <c r="AA708" s="13"/>
      <c r="AB708" s="13"/>
      <c r="AC708" s="13"/>
      <c r="AD708" s="13"/>
    </row>
    <row r="709">
      <c r="B709" s="108"/>
      <c r="Z709" s="13"/>
      <c r="AA709" s="13"/>
      <c r="AB709" s="13"/>
      <c r="AC709" s="13"/>
      <c r="AD709" s="13"/>
    </row>
    <row r="710">
      <c r="B710" s="108"/>
      <c r="Z710" s="13"/>
      <c r="AA710" s="13"/>
      <c r="AB710" s="13"/>
      <c r="AC710" s="13"/>
      <c r="AD710" s="13"/>
    </row>
    <row r="711">
      <c r="B711" s="108"/>
      <c r="Z711" s="13"/>
      <c r="AA711" s="13"/>
      <c r="AB711" s="13"/>
      <c r="AC711" s="13"/>
      <c r="AD711" s="13"/>
    </row>
    <row r="712">
      <c r="B712" s="108"/>
      <c r="Z712" s="13"/>
      <c r="AA712" s="13"/>
      <c r="AB712" s="13"/>
      <c r="AC712" s="13"/>
      <c r="AD712" s="13"/>
    </row>
    <row r="713">
      <c r="B713" s="108"/>
      <c r="Z713" s="13"/>
      <c r="AA713" s="13"/>
      <c r="AB713" s="13"/>
      <c r="AC713" s="13"/>
      <c r="AD713" s="13"/>
    </row>
    <row r="714">
      <c r="B714" s="108"/>
      <c r="Z714" s="13"/>
      <c r="AA714" s="13"/>
      <c r="AB714" s="13"/>
      <c r="AC714" s="13"/>
      <c r="AD714" s="13"/>
    </row>
    <row r="715">
      <c r="B715" s="108"/>
      <c r="Z715" s="13"/>
      <c r="AA715" s="13"/>
      <c r="AB715" s="13"/>
      <c r="AC715" s="13"/>
      <c r="AD715" s="13"/>
    </row>
    <row r="716">
      <c r="B716" s="108"/>
      <c r="Z716" s="13"/>
      <c r="AA716" s="13"/>
      <c r="AB716" s="13"/>
      <c r="AC716" s="13"/>
      <c r="AD716" s="13"/>
    </row>
    <row r="717">
      <c r="B717" s="108"/>
      <c r="Z717" s="13"/>
      <c r="AA717" s="13"/>
      <c r="AB717" s="13"/>
      <c r="AC717" s="13"/>
      <c r="AD717" s="13"/>
    </row>
    <row r="718">
      <c r="B718" s="108"/>
      <c r="Z718" s="13"/>
      <c r="AA718" s="13"/>
      <c r="AB718" s="13"/>
      <c r="AC718" s="13"/>
      <c r="AD718" s="13"/>
    </row>
    <row r="719">
      <c r="B719" s="108"/>
      <c r="Z719" s="13"/>
      <c r="AA719" s="13"/>
      <c r="AB719" s="13"/>
      <c r="AC719" s="13"/>
      <c r="AD719" s="13"/>
    </row>
    <row r="720">
      <c r="B720" s="108"/>
      <c r="Z720" s="13"/>
      <c r="AA720" s="13"/>
      <c r="AB720" s="13"/>
      <c r="AC720" s="13"/>
      <c r="AD720" s="13"/>
    </row>
    <row r="721">
      <c r="B721" s="108"/>
      <c r="Z721" s="13"/>
      <c r="AA721" s="13"/>
      <c r="AB721" s="13"/>
      <c r="AC721" s="13"/>
      <c r="AD721" s="13"/>
    </row>
    <row r="722">
      <c r="B722" s="108"/>
      <c r="Z722" s="13"/>
      <c r="AA722" s="13"/>
      <c r="AB722" s="13"/>
      <c r="AC722" s="13"/>
      <c r="AD722" s="13"/>
    </row>
    <row r="723">
      <c r="B723" s="108"/>
      <c r="Z723" s="13"/>
      <c r="AA723" s="13"/>
      <c r="AB723" s="13"/>
      <c r="AC723" s="13"/>
      <c r="AD723" s="13"/>
    </row>
    <row r="724">
      <c r="B724" s="108"/>
      <c r="Z724" s="13"/>
      <c r="AA724" s="13"/>
      <c r="AB724" s="13"/>
      <c r="AC724" s="13"/>
      <c r="AD724" s="13"/>
    </row>
    <row r="725">
      <c r="B725" s="108"/>
      <c r="Z725" s="13"/>
      <c r="AA725" s="13"/>
      <c r="AB725" s="13"/>
      <c r="AC725" s="13"/>
      <c r="AD725" s="13"/>
    </row>
    <row r="726">
      <c r="B726" s="108"/>
      <c r="Z726" s="13"/>
      <c r="AA726" s="13"/>
      <c r="AB726" s="13"/>
      <c r="AC726" s="13"/>
      <c r="AD726" s="13"/>
    </row>
    <row r="727">
      <c r="B727" s="108"/>
      <c r="Z727" s="13"/>
      <c r="AA727" s="13"/>
      <c r="AB727" s="13"/>
      <c r="AC727" s="13"/>
      <c r="AD727" s="13"/>
    </row>
    <row r="728">
      <c r="B728" s="108"/>
      <c r="Z728" s="13"/>
      <c r="AA728" s="13"/>
      <c r="AB728" s="13"/>
      <c r="AC728" s="13"/>
      <c r="AD728" s="13"/>
    </row>
    <row r="729">
      <c r="B729" s="108"/>
      <c r="Z729" s="13"/>
      <c r="AA729" s="13"/>
      <c r="AB729" s="13"/>
      <c r="AC729" s="13"/>
      <c r="AD729" s="13"/>
    </row>
    <row r="730">
      <c r="B730" s="108"/>
      <c r="Z730" s="13"/>
      <c r="AA730" s="13"/>
      <c r="AB730" s="13"/>
      <c r="AC730" s="13"/>
      <c r="AD730" s="13"/>
    </row>
    <row r="731">
      <c r="B731" s="108"/>
      <c r="Z731" s="13"/>
      <c r="AA731" s="13"/>
      <c r="AB731" s="13"/>
      <c r="AC731" s="13"/>
      <c r="AD731" s="13"/>
    </row>
    <row r="732">
      <c r="B732" s="108"/>
      <c r="Z732" s="13"/>
      <c r="AA732" s="13"/>
      <c r="AB732" s="13"/>
      <c r="AC732" s="13"/>
      <c r="AD732" s="13"/>
    </row>
    <row r="733">
      <c r="B733" s="108"/>
      <c r="Z733" s="13"/>
      <c r="AA733" s="13"/>
      <c r="AB733" s="13"/>
      <c r="AC733" s="13"/>
      <c r="AD733" s="13"/>
    </row>
    <row r="734">
      <c r="B734" s="108"/>
      <c r="Z734" s="13"/>
      <c r="AA734" s="13"/>
      <c r="AB734" s="13"/>
      <c r="AC734" s="13"/>
      <c r="AD734" s="13"/>
    </row>
    <row r="735">
      <c r="B735" s="108"/>
      <c r="Z735" s="13"/>
      <c r="AA735" s="13"/>
      <c r="AB735" s="13"/>
      <c r="AC735" s="13"/>
      <c r="AD735" s="13"/>
    </row>
    <row r="736">
      <c r="B736" s="108"/>
      <c r="Z736" s="13"/>
      <c r="AA736" s="13"/>
      <c r="AB736" s="13"/>
      <c r="AC736" s="13"/>
      <c r="AD736" s="13"/>
    </row>
    <row r="737">
      <c r="B737" s="108"/>
      <c r="Z737" s="13"/>
      <c r="AA737" s="13"/>
      <c r="AB737" s="13"/>
      <c r="AC737" s="13"/>
      <c r="AD737" s="13"/>
    </row>
    <row r="738">
      <c r="B738" s="108"/>
      <c r="Z738" s="13"/>
      <c r="AA738" s="13"/>
      <c r="AB738" s="13"/>
      <c r="AC738" s="13"/>
      <c r="AD738" s="13"/>
    </row>
    <row r="739">
      <c r="B739" s="108"/>
      <c r="Z739" s="13"/>
      <c r="AA739" s="13"/>
      <c r="AB739" s="13"/>
      <c r="AC739" s="13"/>
      <c r="AD739" s="13"/>
    </row>
    <row r="740">
      <c r="B740" s="108"/>
      <c r="Z740" s="13"/>
      <c r="AA740" s="13"/>
      <c r="AB740" s="13"/>
      <c r="AC740" s="13"/>
      <c r="AD740" s="13"/>
    </row>
    <row r="741">
      <c r="B741" s="108"/>
      <c r="Z741" s="13"/>
      <c r="AA741" s="13"/>
      <c r="AB741" s="13"/>
      <c r="AC741" s="13"/>
      <c r="AD741" s="13"/>
    </row>
    <row r="742">
      <c r="B742" s="108"/>
      <c r="Z742" s="13"/>
      <c r="AA742" s="13"/>
      <c r="AB742" s="13"/>
      <c r="AC742" s="13"/>
      <c r="AD742" s="13"/>
    </row>
    <row r="743">
      <c r="B743" s="108"/>
      <c r="Z743" s="13"/>
      <c r="AA743" s="13"/>
      <c r="AB743" s="13"/>
      <c r="AC743" s="13"/>
      <c r="AD743" s="13"/>
    </row>
    <row r="744">
      <c r="B744" s="108"/>
      <c r="Z744" s="13"/>
      <c r="AA744" s="13"/>
      <c r="AB744" s="13"/>
      <c r="AC744" s="13"/>
      <c r="AD744" s="13"/>
    </row>
    <row r="745">
      <c r="B745" s="108"/>
      <c r="Z745" s="13"/>
      <c r="AA745" s="13"/>
      <c r="AB745" s="13"/>
      <c r="AC745" s="13"/>
      <c r="AD745" s="13"/>
    </row>
    <row r="746">
      <c r="B746" s="108"/>
      <c r="Z746" s="13"/>
      <c r="AA746" s="13"/>
      <c r="AB746" s="13"/>
      <c r="AC746" s="13"/>
      <c r="AD746" s="13"/>
    </row>
    <row r="747">
      <c r="B747" s="108"/>
      <c r="Z747" s="13"/>
      <c r="AA747" s="13"/>
      <c r="AB747" s="13"/>
      <c r="AC747" s="13"/>
      <c r="AD747" s="13"/>
    </row>
    <row r="748">
      <c r="B748" s="108"/>
      <c r="Z748" s="13"/>
      <c r="AA748" s="13"/>
      <c r="AB748" s="13"/>
      <c r="AC748" s="13"/>
      <c r="AD748" s="13"/>
    </row>
    <row r="749">
      <c r="B749" s="108"/>
      <c r="Z749" s="13"/>
      <c r="AA749" s="13"/>
      <c r="AB749" s="13"/>
      <c r="AC749" s="13"/>
      <c r="AD749" s="13"/>
    </row>
    <row r="750">
      <c r="B750" s="108"/>
      <c r="Z750" s="13"/>
      <c r="AA750" s="13"/>
      <c r="AB750" s="13"/>
      <c r="AC750" s="13"/>
      <c r="AD750" s="13"/>
    </row>
    <row r="751">
      <c r="B751" s="108"/>
      <c r="Z751" s="13"/>
      <c r="AA751" s="13"/>
      <c r="AB751" s="13"/>
      <c r="AC751" s="13"/>
      <c r="AD751" s="13"/>
    </row>
    <row r="752">
      <c r="B752" s="108"/>
      <c r="Z752" s="13"/>
      <c r="AA752" s="13"/>
      <c r="AB752" s="13"/>
      <c r="AC752" s="13"/>
      <c r="AD752" s="13"/>
    </row>
    <row r="753">
      <c r="B753" s="108"/>
      <c r="Z753" s="13"/>
      <c r="AA753" s="13"/>
      <c r="AB753" s="13"/>
      <c r="AC753" s="13"/>
      <c r="AD753" s="13"/>
    </row>
    <row r="754">
      <c r="B754" s="108"/>
      <c r="Z754" s="13"/>
      <c r="AA754" s="13"/>
      <c r="AB754" s="13"/>
      <c r="AC754" s="13"/>
      <c r="AD754" s="13"/>
    </row>
    <row r="755">
      <c r="B755" s="108"/>
      <c r="Z755" s="13"/>
      <c r="AA755" s="13"/>
      <c r="AB755" s="13"/>
      <c r="AC755" s="13"/>
      <c r="AD755" s="13"/>
    </row>
    <row r="756">
      <c r="B756" s="108"/>
      <c r="Z756" s="13"/>
      <c r="AA756" s="13"/>
      <c r="AB756" s="13"/>
      <c r="AC756" s="13"/>
      <c r="AD756" s="13"/>
    </row>
    <row r="757">
      <c r="B757" s="108"/>
      <c r="Z757" s="13"/>
      <c r="AA757" s="13"/>
      <c r="AB757" s="13"/>
      <c r="AC757" s="13"/>
      <c r="AD757" s="13"/>
    </row>
    <row r="758">
      <c r="B758" s="108"/>
      <c r="Z758" s="13"/>
      <c r="AA758" s="13"/>
      <c r="AB758" s="13"/>
      <c r="AC758" s="13"/>
      <c r="AD758" s="13"/>
    </row>
    <row r="759">
      <c r="B759" s="108"/>
      <c r="Z759" s="13"/>
      <c r="AA759" s="13"/>
      <c r="AB759" s="13"/>
      <c r="AC759" s="13"/>
      <c r="AD759" s="13"/>
    </row>
    <row r="760">
      <c r="B760" s="108"/>
      <c r="Z760" s="13"/>
      <c r="AA760" s="13"/>
      <c r="AB760" s="13"/>
      <c r="AC760" s="13"/>
      <c r="AD760" s="13"/>
    </row>
    <row r="761">
      <c r="B761" s="108"/>
      <c r="Z761" s="13"/>
      <c r="AA761" s="13"/>
      <c r="AB761" s="13"/>
      <c r="AC761" s="13"/>
      <c r="AD761" s="13"/>
    </row>
    <row r="762">
      <c r="B762" s="108"/>
      <c r="Z762" s="13"/>
      <c r="AA762" s="13"/>
      <c r="AB762" s="13"/>
      <c r="AC762" s="13"/>
      <c r="AD762" s="13"/>
    </row>
    <row r="763">
      <c r="B763" s="108"/>
      <c r="Z763" s="13"/>
      <c r="AA763" s="13"/>
      <c r="AB763" s="13"/>
      <c r="AC763" s="13"/>
      <c r="AD763" s="13"/>
    </row>
    <row r="764">
      <c r="B764" s="108"/>
      <c r="Z764" s="13"/>
      <c r="AA764" s="13"/>
      <c r="AB764" s="13"/>
      <c r="AC764" s="13"/>
      <c r="AD764" s="13"/>
    </row>
    <row r="765">
      <c r="B765" s="108"/>
      <c r="Z765" s="13"/>
      <c r="AA765" s="13"/>
      <c r="AB765" s="13"/>
      <c r="AC765" s="13"/>
      <c r="AD765" s="13"/>
    </row>
    <row r="766">
      <c r="B766" s="108"/>
      <c r="Z766" s="13"/>
      <c r="AA766" s="13"/>
      <c r="AB766" s="13"/>
      <c r="AC766" s="13"/>
      <c r="AD766" s="13"/>
    </row>
    <row r="767">
      <c r="B767" s="108"/>
      <c r="Z767" s="13"/>
      <c r="AA767" s="13"/>
      <c r="AB767" s="13"/>
      <c r="AC767" s="13"/>
      <c r="AD767" s="13"/>
    </row>
    <row r="768">
      <c r="B768" s="108"/>
      <c r="Z768" s="13"/>
      <c r="AA768" s="13"/>
      <c r="AB768" s="13"/>
      <c r="AC768" s="13"/>
      <c r="AD768" s="13"/>
    </row>
    <row r="769">
      <c r="B769" s="108"/>
      <c r="Z769" s="13"/>
      <c r="AA769" s="13"/>
      <c r="AB769" s="13"/>
      <c r="AC769" s="13"/>
      <c r="AD769" s="13"/>
    </row>
    <row r="770">
      <c r="B770" s="108"/>
      <c r="Z770" s="13"/>
      <c r="AA770" s="13"/>
      <c r="AB770" s="13"/>
      <c r="AC770" s="13"/>
      <c r="AD770" s="13"/>
    </row>
    <row r="771">
      <c r="B771" s="108"/>
      <c r="Z771" s="13"/>
      <c r="AA771" s="13"/>
      <c r="AB771" s="13"/>
      <c r="AC771" s="13"/>
      <c r="AD771" s="13"/>
    </row>
    <row r="772">
      <c r="B772" s="108"/>
      <c r="Z772" s="13"/>
      <c r="AA772" s="13"/>
      <c r="AB772" s="13"/>
      <c r="AC772" s="13"/>
      <c r="AD772" s="13"/>
    </row>
    <row r="773">
      <c r="B773" s="108"/>
      <c r="Z773" s="13"/>
      <c r="AA773" s="13"/>
      <c r="AB773" s="13"/>
      <c r="AC773" s="13"/>
      <c r="AD773" s="13"/>
    </row>
    <row r="774">
      <c r="B774" s="108"/>
      <c r="Z774" s="13"/>
      <c r="AA774" s="13"/>
      <c r="AB774" s="13"/>
      <c r="AC774" s="13"/>
      <c r="AD774" s="13"/>
    </row>
    <row r="775">
      <c r="B775" s="108"/>
      <c r="Z775" s="13"/>
      <c r="AA775" s="13"/>
      <c r="AB775" s="13"/>
      <c r="AC775" s="13"/>
      <c r="AD775" s="13"/>
    </row>
    <row r="776">
      <c r="B776" s="108"/>
      <c r="Z776" s="13"/>
      <c r="AA776" s="13"/>
      <c r="AB776" s="13"/>
      <c r="AC776" s="13"/>
      <c r="AD776" s="13"/>
    </row>
    <row r="777">
      <c r="B777" s="108"/>
      <c r="Z777" s="13"/>
      <c r="AA777" s="13"/>
      <c r="AB777" s="13"/>
      <c r="AC777" s="13"/>
      <c r="AD777" s="13"/>
    </row>
    <row r="778">
      <c r="B778" s="108"/>
      <c r="Z778" s="13"/>
      <c r="AA778" s="13"/>
      <c r="AB778" s="13"/>
      <c r="AC778" s="13"/>
      <c r="AD778" s="13"/>
    </row>
    <row r="779">
      <c r="B779" s="108"/>
      <c r="Z779" s="13"/>
      <c r="AA779" s="13"/>
      <c r="AB779" s="13"/>
      <c r="AC779" s="13"/>
      <c r="AD779" s="13"/>
    </row>
    <row r="780">
      <c r="B780" s="108"/>
      <c r="Z780" s="13"/>
      <c r="AA780" s="13"/>
      <c r="AB780" s="13"/>
      <c r="AC780" s="13"/>
      <c r="AD780" s="13"/>
    </row>
    <row r="781">
      <c r="B781" s="108"/>
      <c r="Z781" s="13"/>
      <c r="AA781" s="13"/>
      <c r="AB781" s="13"/>
      <c r="AC781" s="13"/>
      <c r="AD781" s="13"/>
    </row>
    <row r="782">
      <c r="B782" s="108"/>
      <c r="Z782" s="13"/>
      <c r="AA782" s="13"/>
      <c r="AB782" s="13"/>
      <c r="AC782" s="13"/>
      <c r="AD782" s="13"/>
    </row>
    <row r="783">
      <c r="B783" s="108"/>
      <c r="Z783" s="13"/>
      <c r="AA783" s="13"/>
      <c r="AB783" s="13"/>
      <c r="AC783" s="13"/>
      <c r="AD783" s="13"/>
    </row>
    <row r="784">
      <c r="B784" s="108"/>
      <c r="Z784" s="13"/>
      <c r="AA784" s="13"/>
      <c r="AB784" s="13"/>
      <c r="AC784" s="13"/>
      <c r="AD784" s="13"/>
    </row>
    <row r="785">
      <c r="B785" s="108"/>
      <c r="Z785" s="13"/>
      <c r="AA785" s="13"/>
      <c r="AB785" s="13"/>
      <c r="AC785" s="13"/>
      <c r="AD785" s="13"/>
    </row>
    <row r="786">
      <c r="B786" s="108"/>
      <c r="Z786" s="13"/>
      <c r="AA786" s="13"/>
      <c r="AB786" s="13"/>
      <c r="AC786" s="13"/>
      <c r="AD786" s="13"/>
    </row>
    <row r="787">
      <c r="B787" s="108"/>
      <c r="Z787" s="13"/>
      <c r="AA787" s="13"/>
      <c r="AB787" s="13"/>
      <c r="AC787" s="13"/>
      <c r="AD787" s="13"/>
    </row>
    <row r="788">
      <c r="B788" s="108"/>
      <c r="Z788" s="13"/>
      <c r="AA788" s="13"/>
      <c r="AB788" s="13"/>
      <c r="AC788" s="13"/>
      <c r="AD788" s="13"/>
    </row>
    <row r="789">
      <c r="B789" s="108"/>
      <c r="Z789" s="13"/>
      <c r="AA789" s="13"/>
      <c r="AB789" s="13"/>
      <c r="AC789" s="13"/>
      <c r="AD789" s="13"/>
    </row>
    <row r="790">
      <c r="B790" s="108"/>
      <c r="Z790" s="13"/>
      <c r="AA790" s="13"/>
      <c r="AB790" s="13"/>
      <c r="AC790" s="13"/>
      <c r="AD790" s="13"/>
    </row>
    <row r="791">
      <c r="B791" s="108"/>
      <c r="Z791" s="13"/>
      <c r="AA791" s="13"/>
      <c r="AB791" s="13"/>
      <c r="AC791" s="13"/>
      <c r="AD791" s="13"/>
    </row>
    <row r="792">
      <c r="B792" s="108"/>
      <c r="Z792" s="13"/>
      <c r="AA792" s="13"/>
      <c r="AB792" s="13"/>
      <c r="AC792" s="13"/>
      <c r="AD792" s="13"/>
    </row>
    <row r="793">
      <c r="B793" s="108"/>
      <c r="Z793" s="13"/>
      <c r="AA793" s="13"/>
      <c r="AB793" s="13"/>
      <c r="AC793" s="13"/>
      <c r="AD793" s="13"/>
    </row>
    <row r="794">
      <c r="B794" s="108"/>
      <c r="Z794" s="13"/>
      <c r="AA794" s="13"/>
      <c r="AB794" s="13"/>
      <c r="AC794" s="13"/>
      <c r="AD794" s="13"/>
    </row>
    <row r="795">
      <c r="B795" s="108"/>
      <c r="Z795" s="13"/>
      <c r="AA795" s="13"/>
      <c r="AB795" s="13"/>
      <c r="AC795" s="13"/>
      <c r="AD795" s="13"/>
    </row>
    <row r="796">
      <c r="B796" s="108"/>
      <c r="Z796" s="13"/>
      <c r="AA796" s="13"/>
      <c r="AB796" s="13"/>
      <c r="AC796" s="13"/>
      <c r="AD796" s="13"/>
    </row>
    <row r="797">
      <c r="B797" s="108"/>
      <c r="Z797" s="13"/>
      <c r="AA797" s="13"/>
      <c r="AB797" s="13"/>
      <c r="AC797" s="13"/>
      <c r="AD797" s="13"/>
    </row>
    <row r="798">
      <c r="B798" s="108"/>
      <c r="Z798" s="13"/>
      <c r="AA798" s="13"/>
      <c r="AB798" s="13"/>
      <c r="AC798" s="13"/>
      <c r="AD798" s="13"/>
    </row>
    <row r="799">
      <c r="B799" s="108"/>
      <c r="Z799" s="13"/>
      <c r="AA799" s="13"/>
      <c r="AB799" s="13"/>
      <c r="AC799" s="13"/>
      <c r="AD799" s="13"/>
    </row>
    <row r="800">
      <c r="B800" s="108"/>
      <c r="Z800" s="13"/>
      <c r="AA800" s="13"/>
      <c r="AB800" s="13"/>
      <c r="AC800" s="13"/>
      <c r="AD800" s="13"/>
    </row>
    <row r="801">
      <c r="B801" s="108"/>
      <c r="Z801" s="13"/>
      <c r="AA801" s="13"/>
      <c r="AB801" s="13"/>
      <c r="AC801" s="13"/>
      <c r="AD801" s="13"/>
    </row>
    <row r="802">
      <c r="B802" s="108"/>
      <c r="Z802" s="13"/>
      <c r="AA802" s="13"/>
      <c r="AB802" s="13"/>
      <c r="AC802" s="13"/>
      <c r="AD802" s="13"/>
    </row>
    <row r="803">
      <c r="B803" s="108"/>
      <c r="Z803" s="13"/>
      <c r="AA803" s="13"/>
      <c r="AB803" s="13"/>
      <c r="AC803" s="13"/>
      <c r="AD803" s="13"/>
    </row>
    <row r="804">
      <c r="B804" s="108"/>
      <c r="Z804" s="13"/>
      <c r="AA804" s="13"/>
      <c r="AB804" s="13"/>
      <c r="AC804" s="13"/>
      <c r="AD804" s="13"/>
    </row>
    <row r="805">
      <c r="B805" s="108"/>
      <c r="Z805" s="13"/>
      <c r="AA805" s="13"/>
      <c r="AB805" s="13"/>
      <c r="AC805" s="13"/>
      <c r="AD805" s="13"/>
    </row>
    <row r="806">
      <c r="B806" s="108"/>
      <c r="Z806" s="13"/>
      <c r="AA806" s="13"/>
      <c r="AB806" s="13"/>
      <c r="AC806" s="13"/>
      <c r="AD806" s="13"/>
    </row>
    <row r="807">
      <c r="B807" s="108"/>
      <c r="Z807" s="13"/>
      <c r="AA807" s="13"/>
      <c r="AB807" s="13"/>
      <c r="AC807" s="13"/>
      <c r="AD807" s="13"/>
    </row>
    <row r="808">
      <c r="B808" s="108"/>
      <c r="Z808" s="13"/>
      <c r="AA808" s="13"/>
      <c r="AB808" s="13"/>
      <c r="AC808" s="13"/>
      <c r="AD808" s="13"/>
    </row>
    <row r="809">
      <c r="B809" s="108"/>
      <c r="Z809" s="13"/>
      <c r="AA809" s="13"/>
      <c r="AB809" s="13"/>
      <c r="AC809" s="13"/>
      <c r="AD809" s="13"/>
    </row>
    <row r="810">
      <c r="B810" s="108"/>
      <c r="Z810" s="13"/>
      <c r="AA810" s="13"/>
      <c r="AB810" s="13"/>
      <c r="AC810" s="13"/>
      <c r="AD810" s="13"/>
    </row>
    <row r="811">
      <c r="B811" s="108"/>
      <c r="Z811" s="13"/>
      <c r="AA811" s="13"/>
      <c r="AB811" s="13"/>
      <c r="AC811" s="13"/>
      <c r="AD811" s="13"/>
    </row>
    <row r="812">
      <c r="B812" s="108"/>
      <c r="Z812" s="13"/>
      <c r="AA812" s="13"/>
      <c r="AB812" s="13"/>
      <c r="AC812" s="13"/>
      <c r="AD812" s="13"/>
    </row>
    <row r="813">
      <c r="B813" s="108"/>
      <c r="Z813" s="13"/>
      <c r="AA813" s="13"/>
      <c r="AB813" s="13"/>
      <c r="AC813" s="13"/>
      <c r="AD813" s="13"/>
    </row>
    <row r="814">
      <c r="B814" s="108"/>
      <c r="Z814" s="13"/>
      <c r="AA814" s="13"/>
      <c r="AB814" s="13"/>
      <c r="AC814" s="13"/>
      <c r="AD814" s="13"/>
    </row>
    <row r="815">
      <c r="B815" s="108"/>
      <c r="Z815" s="13"/>
      <c r="AA815" s="13"/>
      <c r="AB815" s="13"/>
      <c r="AC815" s="13"/>
      <c r="AD815" s="13"/>
    </row>
    <row r="816">
      <c r="B816" s="108"/>
      <c r="Z816" s="13"/>
      <c r="AA816" s="13"/>
      <c r="AB816" s="13"/>
      <c r="AC816" s="13"/>
      <c r="AD816" s="13"/>
    </row>
    <row r="817">
      <c r="B817" s="108"/>
      <c r="Z817" s="13"/>
      <c r="AA817" s="13"/>
      <c r="AB817" s="13"/>
      <c r="AC817" s="13"/>
      <c r="AD817" s="13"/>
    </row>
    <row r="818">
      <c r="B818" s="108"/>
      <c r="Z818" s="13"/>
      <c r="AA818" s="13"/>
      <c r="AB818" s="13"/>
      <c r="AC818" s="13"/>
      <c r="AD818" s="13"/>
    </row>
    <row r="819">
      <c r="B819" s="108"/>
      <c r="Z819" s="13"/>
      <c r="AA819" s="13"/>
      <c r="AB819" s="13"/>
      <c r="AC819" s="13"/>
      <c r="AD819" s="13"/>
    </row>
    <row r="820">
      <c r="B820" s="108"/>
      <c r="Z820" s="13"/>
      <c r="AA820" s="13"/>
      <c r="AB820" s="13"/>
      <c r="AC820" s="13"/>
      <c r="AD820" s="13"/>
    </row>
    <row r="821">
      <c r="B821" s="108"/>
      <c r="Z821" s="13"/>
      <c r="AA821" s="13"/>
      <c r="AB821" s="13"/>
      <c r="AC821" s="13"/>
      <c r="AD821" s="13"/>
    </row>
    <row r="822">
      <c r="B822" s="108"/>
      <c r="Z822" s="13"/>
      <c r="AA822" s="13"/>
      <c r="AB822" s="13"/>
      <c r="AC822" s="13"/>
      <c r="AD822" s="13"/>
    </row>
    <row r="823">
      <c r="B823" s="108"/>
      <c r="Z823" s="13"/>
      <c r="AA823" s="13"/>
      <c r="AB823" s="13"/>
      <c r="AC823" s="13"/>
      <c r="AD823" s="13"/>
    </row>
    <row r="824">
      <c r="B824" s="108"/>
      <c r="Z824" s="13"/>
      <c r="AA824" s="13"/>
      <c r="AB824" s="13"/>
      <c r="AC824" s="13"/>
      <c r="AD824" s="13"/>
    </row>
    <row r="825">
      <c r="B825" s="108"/>
      <c r="Z825" s="13"/>
      <c r="AA825" s="13"/>
      <c r="AB825" s="13"/>
      <c r="AC825" s="13"/>
      <c r="AD825" s="13"/>
    </row>
    <row r="826">
      <c r="B826" s="108"/>
      <c r="Z826" s="13"/>
      <c r="AA826" s="13"/>
      <c r="AB826" s="13"/>
      <c r="AC826" s="13"/>
      <c r="AD826" s="13"/>
    </row>
    <row r="827">
      <c r="B827" s="108"/>
      <c r="Z827" s="13"/>
      <c r="AA827" s="13"/>
      <c r="AB827" s="13"/>
      <c r="AC827" s="13"/>
      <c r="AD827" s="13"/>
    </row>
    <row r="828">
      <c r="B828" s="108"/>
      <c r="Z828" s="13"/>
      <c r="AA828" s="13"/>
      <c r="AB828" s="13"/>
      <c r="AC828" s="13"/>
      <c r="AD828" s="13"/>
    </row>
    <row r="829">
      <c r="B829" s="108"/>
      <c r="Z829" s="13"/>
      <c r="AA829" s="13"/>
      <c r="AB829" s="13"/>
      <c r="AC829" s="13"/>
      <c r="AD829" s="13"/>
    </row>
    <row r="830">
      <c r="B830" s="108"/>
      <c r="Z830" s="13"/>
      <c r="AA830" s="13"/>
      <c r="AB830" s="13"/>
      <c r="AC830" s="13"/>
      <c r="AD830" s="13"/>
    </row>
    <row r="831">
      <c r="B831" s="108"/>
      <c r="Z831" s="13"/>
      <c r="AA831" s="13"/>
      <c r="AB831" s="13"/>
      <c r="AC831" s="13"/>
      <c r="AD831" s="13"/>
    </row>
    <row r="832">
      <c r="B832" s="108"/>
      <c r="Z832" s="13"/>
      <c r="AA832" s="13"/>
      <c r="AB832" s="13"/>
      <c r="AC832" s="13"/>
      <c r="AD832" s="13"/>
    </row>
    <row r="833">
      <c r="B833" s="108"/>
      <c r="Z833" s="13"/>
      <c r="AA833" s="13"/>
      <c r="AB833" s="13"/>
      <c r="AC833" s="13"/>
      <c r="AD833" s="13"/>
    </row>
    <row r="834">
      <c r="B834" s="108"/>
      <c r="Z834" s="13"/>
      <c r="AA834" s="13"/>
      <c r="AB834" s="13"/>
      <c r="AC834" s="13"/>
      <c r="AD834" s="13"/>
    </row>
    <row r="835">
      <c r="B835" s="108"/>
      <c r="Z835" s="13"/>
      <c r="AA835" s="13"/>
      <c r="AB835" s="13"/>
      <c r="AC835" s="13"/>
      <c r="AD835" s="13"/>
    </row>
    <row r="836">
      <c r="B836" s="108"/>
      <c r="Z836" s="13"/>
      <c r="AA836" s="13"/>
      <c r="AB836" s="13"/>
      <c r="AC836" s="13"/>
      <c r="AD836" s="13"/>
    </row>
    <row r="837">
      <c r="B837" s="108"/>
      <c r="Z837" s="13"/>
      <c r="AA837" s="13"/>
      <c r="AB837" s="13"/>
      <c r="AC837" s="13"/>
      <c r="AD837" s="13"/>
    </row>
    <row r="838">
      <c r="B838" s="108"/>
      <c r="Z838" s="13"/>
      <c r="AA838" s="13"/>
      <c r="AB838" s="13"/>
      <c r="AC838" s="13"/>
      <c r="AD838" s="13"/>
    </row>
    <row r="839">
      <c r="B839" s="108"/>
      <c r="Z839" s="13"/>
      <c r="AA839" s="13"/>
      <c r="AB839" s="13"/>
      <c r="AC839" s="13"/>
      <c r="AD839" s="13"/>
    </row>
    <row r="840">
      <c r="B840" s="108"/>
      <c r="Z840" s="13"/>
      <c r="AA840" s="13"/>
      <c r="AB840" s="13"/>
      <c r="AC840" s="13"/>
      <c r="AD840" s="13"/>
    </row>
    <row r="841">
      <c r="B841" s="108"/>
      <c r="Z841" s="13"/>
      <c r="AA841" s="13"/>
      <c r="AB841" s="13"/>
      <c r="AC841" s="13"/>
      <c r="AD841" s="13"/>
    </row>
    <row r="842">
      <c r="B842" s="108"/>
      <c r="Z842" s="13"/>
      <c r="AA842" s="13"/>
      <c r="AB842" s="13"/>
      <c r="AC842" s="13"/>
      <c r="AD842" s="13"/>
    </row>
    <row r="843">
      <c r="B843" s="108"/>
      <c r="Z843" s="13"/>
      <c r="AA843" s="13"/>
      <c r="AB843" s="13"/>
      <c r="AC843" s="13"/>
      <c r="AD843" s="13"/>
    </row>
    <row r="844">
      <c r="B844" s="108"/>
      <c r="Z844" s="13"/>
      <c r="AA844" s="13"/>
      <c r="AB844" s="13"/>
      <c r="AC844" s="13"/>
      <c r="AD844" s="13"/>
    </row>
    <row r="845">
      <c r="B845" s="108"/>
      <c r="Z845" s="13"/>
      <c r="AA845" s="13"/>
      <c r="AB845" s="13"/>
      <c r="AC845" s="13"/>
      <c r="AD845" s="13"/>
    </row>
    <row r="846">
      <c r="B846" s="108"/>
      <c r="Z846" s="13"/>
      <c r="AA846" s="13"/>
      <c r="AB846" s="13"/>
      <c r="AC846" s="13"/>
      <c r="AD846" s="13"/>
    </row>
    <row r="847">
      <c r="B847" s="108"/>
      <c r="Z847" s="13"/>
      <c r="AA847" s="13"/>
      <c r="AB847" s="13"/>
      <c r="AC847" s="13"/>
      <c r="AD847" s="13"/>
    </row>
    <row r="848">
      <c r="B848" s="108"/>
      <c r="Z848" s="13"/>
      <c r="AA848" s="13"/>
      <c r="AB848" s="13"/>
      <c r="AC848" s="13"/>
      <c r="AD848" s="13"/>
    </row>
    <row r="849">
      <c r="B849" s="108"/>
      <c r="Z849" s="13"/>
      <c r="AA849" s="13"/>
      <c r="AB849" s="13"/>
      <c r="AC849" s="13"/>
      <c r="AD849" s="13"/>
    </row>
    <row r="850">
      <c r="B850" s="108"/>
      <c r="Z850" s="13"/>
      <c r="AA850" s="13"/>
      <c r="AB850" s="13"/>
      <c r="AC850" s="13"/>
      <c r="AD850" s="13"/>
    </row>
    <row r="851">
      <c r="B851" s="108"/>
      <c r="Z851" s="13"/>
      <c r="AA851" s="13"/>
      <c r="AB851" s="13"/>
      <c r="AC851" s="13"/>
      <c r="AD851" s="13"/>
    </row>
    <row r="852">
      <c r="B852" s="108"/>
      <c r="Z852" s="13"/>
      <c r="AA852" s="13"/>
      <c r="AB852" s="13"/>
      <c r="AC852" s="13"/>
      <c r="AD852" s="13"/>
    </row>
    <row r="853">
      <c r="B853" s="108"/>
      <c r="Z853" s="13"/>
      <c r="AA853" s="13"/>
      <c r="AB853" s="13"/>
      <c r="AC853" s="13"/>
      <c r="AD853" s="13"/>
    </row>
    <row r="854">
      <c r="B854" s="108"/>
      <c r="Z854" s="13"/>
      <c r="AA854" s="13"/>
      <c r="AB854" s="13"/>
      <c r="AC854" s="13"/>
      <c r="AD854" s="13"/>
    </row>
    <row r="855">
      <c r="B855" s="108"/>
      <c r="Z855" s="13"/>
      <c r="AA855" s="13"/>
      <c r="AB855" s="13"/>
      <c r="AC855" s="13"/>
      <c r="AD855" s="13"/>
    </row>
    <row r="856">
      <c r="B856" s="108"/>
      <c r="Z856" s="13"/>
      <c r="AA856" s="13"/>
      <c r="AB856" s="13"/>
      <c r="AC856" s="13"/>
      <c r="AD856" s="13"/>
    </row>
    <row r="857">
      <c r="B857" s="108"/>
      <c r="Z857" s="13"/>
      <c r="AA857" s="13"/>
      <c r="AB857" s="13"/>
      <c r="AC857" s="13"/>
      <c r="AD857" s="13"/>
    </row>
    <row r="858">
      <c r="B858" s="108"/>
      <c r="Z858" s="13"/>
      <c r="AA858" s="13"/>
      <c r="AB858" s="13"/>
      <c r="AC858" s="13"/>
      <c r="AD858" s="13"/>
    </row>
    <row r="859">
      <c r="B859" s="108"/>
      <c r="Z859" s="13"/>
      <c r="AA859" s="13"/>
      <c r="AB859" s="13"/>
      <c r="AC859" s="13"/>
      <c r="AD859" s="13"/>
    </row>
    <row r="860">
      <c r="B860" s="108"/>
      <c r="Z860" s="13"/>
      <c r="AA860" s="13"/>
      <c r="AB860" s="13"/>
      <c r="AC860" s="13"/>
      <c r="AD860" s="13"/>
    </row>
    <row r="861">
      <c r="B861" s="108"/>
      <c r="Z861" s="13"/>
      <c r="AA861" s="13"/>
      <c r="AB861" s="13"/>
      <c r="AC861" s="13"/>
      <c r="AD861" s="13"/>
    </row>
    <row r="862">
      <c r="B862" s="108"/>
      <c r="Z862" s="13"/>
      <c r="AA862" s="13"/>
      <c r="AB862" s="13"/>
      <c r="AC862" s="13"/>
      <c r="AD862" s="13"/>
    </row>
    <row r="863">
      <c r="B863" s="108"/>
      <c r="Z863" s="13"/>
      <c r="AA863" s="13"/>
      <c r="AB863" s="13"/>
      <c r="AC863" s="13"/>
      <c r="AD863" s="13"/>
    </row>
    <row r="864">
      <c r="B864" s="108"/>
      <c r="Z864" s="13"/>
      <c r="AA864" s="13"/>
      <c r="AB864" s="13"/>
      <c r="AC864" s="13"/>
      <c r="AD864" s="13"/>
    </row>
    <row r="865">
      <c r="B865" s="108"/>
      <c r="Z865" s="13"/>
      <c r="AA865" s="13"/>
      <c r="AB865" s="13"/>
      <c r="AC865" s="13"/>
      <c r="AD865" s="13"/>
    </row>
    <row r="866">
      <c r="B866" s="108"/>
      <c r="Z866" s="13"/>
      <c r="AA866" s="13"/>
      <c r="AB866" s="13"/>
      <c r="AC866" s="13"/>
      <c r="AD866" s="13"/>
    </row>
    <row r="867">
      <c r="B867" s="108"/>
      <c r="Z867" s="13"/>
      <c r="AA867" s="13"/>
      <c r="AB867" s="13"/>
      <c r="AC867" s="13"/>
      <c r="AD867" s="13"/>
    </row>
    <row r="868">
      <c r="B868" s="108"/>
      <c r="Z868" s="13"/>
      <c r="AA868" s="13"/>
      <c r="AB868" s="13"/>
      <c r="AC868" s="13"/>
      <c r="AD868" s="13"/>
    </row>
    <row r="869">
      <c r="B869" s="108"/>
      <c r="Z869" s="13"/>
      <c r="AA869" s="13"/>
      <c r="AB869" s="13"/>
      <c r="AC869" s="13"/>
      <c r="AD869" s="13"/>
    </row>
    <row r="870">
      <c r="B870" s="108"/>
      <c r="Z870" s="13"/>
      <c r="AA870" s="13"/>
      <c r="AB870" s="13"/>
      <c r="AC870" s="13"/>
      <c r="AD870" s="13"/>
    </row>
    <row r="871">
      <c r="B871" s="108"/>
      <c r="Z871" s="13"/>
      <c r="AA871" s="13"/>
      <c r="AB871" s="13"/>
      <c r="AC871" s="13"/>
      <c r="AD871" s="13"/>
    </row>
    <row r="872">
      <c r="B872" s="108"/>
      <c r="Z872" s="13"/>
      <c r="AA872" s="13"/>
      <c r="AB872" s="13"/>
      <c r="AC872" s="13"/>
      <c r="AD872" s="13"/>
    </row>
    <row r="873">
      <c r="B873" s="108"/>
      <c r="Z873" s="13"/>
      <c r="AA873" s="13"/>
      <c r="AB873" s="13"/>
      <c r="AC873" s="13"/>
      <c r="AD873" s="13"/>
    </row>
    <row r="874">
      <c r="B874" s="108"/>
      <c r="Z874" s="13"/>
      <c r="AA874" s="13"/>
      <c r="AB874" s="13"/>
      <c r="AC874" s="13"/>
      <c r="AD874" s="13"/>
    </row>
    <row r="875">
      <c r="B875" s="108"/>
      <c r="Z875" s="13"/>
      <c r="AA875" s="13"/>
      <c r="AB875" s="13"/>
      <c r="AC875" s="13"/>
      <c r="AD875" s="13"/>
    </row>
    <row r="876">
      <c r="B876" s="108"/>
      <c r="Z876" s="13"/>
      <c r="AA876" s="13"/>
      <c r="AB876" s="13"/>
      <c r="AC876" s="13"/>
      <c r="AD876" s="13"/>
    </row>
    <row r="877">
      <c r="B877" s="108"/>
      <c r="Z877" s="13"/>
      <c r="AA877" s="13"/>
      <c r="AB877" s="13"/>
      <c r="AC877" s="13"/>
      <c r="AD877" s="13"/>
    </row>
    <row r="878">
      <c r="B878" s="108"/>
      <c r="Z878" s="13"/>
      <c r="AA878" s="13"/>
      <c r="AB878" s="13"/>
      <c r="AC878" s="13"/>
      <c r="AD878" s="13"/>
    </row>
    <row r="879">
      <c r="B879" s="108"/>
      <c r="Z879" s="13"/>
      <c r="AA879" s="13"/>
      <c r="AB879" s="13"/>
      <c r="AC879" s="13"/>
      <c r="AD879" s="13"/>
    </row>
    <row r="880">
      <c r="B880" s="108"/>
      <c r="Z880" s="13"/>
      <c r="AA880" s="13"/>
      <c r="AB880" s="13"/>
      <c r="AC880" s="13"/>
      <c r="AD880" s="13"/>
    </row>
    <row r="881">
      <c r="B881" s="108"/>
      <c r="Z881" s="13"/>
      <c r="AA881" s="13"/>
      <c r="AB881" s="13"/>
      <c r="AC881" s="13"/>
      <c r="AD881" s="13"/>
    </row>
    <row r="882">
      <c r="B882" s="108"/>
      <c r="Z882" s="13"/>
      <c r="AA882" s="13"/>
      <c r="AB882" s="13"/>
      <c r="AC882" s="13"/>
      <c r="AD882" s="13"/>
    </row>
    <row r="883">
      <c r="B883" s="108"/>
      <c r="Z883" s="13"/>
      <c r="AA883" s="13"/>
      <c r="AB883" s="13"/>
      <c r="AC883" s="13"/>
      <c r="AD883" s="13"/>
    </row>
    <row r="884">
      <c r="B884" s="108"/>
      <c r="Z884" s="13"/>
      <c r="AA884" s="13"/>
      <c r="AB884" s="13"/>
      <c r="AC884" s="13"/>
      <c r="AD884" s="13"/>
    </row>
    <row r="885">
      <c r="B885" s="108"/>
      <c r="Z885" s="13"/>
      <c r="AA885" s="13"/>
      <c r="AB885" s="13"/>
      <c r="AC885" s="13"/>
      <c r="AD885" s="13"/>
    </row>
    <row r="886">
      <c r="B886" s="108"/>
      <c r="Z886" s="13"/>
      <c r="AA886" s="13"/>
      <c r="AB886" s="13"/>
      <c r="AC886" s="13"/>
      <c r="AD886" s="13"/>
    </row>
    <row r="887">
      <c r="B887" s="108"/>
      <c r="Z887" s="13"/>
      <c r="AA887" s="13"/>
      <c r="AB887" s="13"/>
      <c r="AC887" s="13"/>
      <c r="AD887" s="13"/>
    </row>
    <row r="888">
      <c r="B888" s="108"/>
      <c r="Z888" s="13"/>
      <c r="AA888" s="13"/>
      <c r="AB888" s="13"/>
      <c r="AC888" s="13"/>
      <c r="AD888" s="13"/>
    </row>
    <row r="889">
      <c r="B889" s="108"/>
      <c r="Z889" s="13"/>
      <c r="AA889" s="13"/>
      <c r="AB889" s="13"/>
      <c r="AC889" s="13"/>
      <c r="AD889" s="13"/>
    </row>
    <row r="890">
      <c r="B890" s="108"/>
      <c r="Z890" s="13"/>
      <c r="AA890" s="13"/>
      <c r="AB890" s="13"/>
      <c r="AC890" s="13"/>
      <c r="AD890" s="13"/>
    </row>
    <row r="891">
      <c r="B891" s="108"/>
      <c r="Z891" s="13"/>
      <c r="AA891" s="13"/>
      <c r="AB891" s="13"/>
      <c r="AC891" s="13"/>
      <c r="AD891" s="13"/>
    </row>
    <row r="892">
      <c r="B892" s="108"/>
      <c r="Z892" s="13"/>
      <c r="AA892" s="13"/>
      <c r="AB892" s="13"/>
      <c r="AC892" s="13"/>
      <c r="AD892" s="13"/>
    </row>
    <row r="893">
      <c r="B893" s="108"/>
      <c r="Z893" s="13"/>
      <c r="AA893" s="13"/>
      <c r="AB893" s="13"/>
      <c r="AC893" s="13"/>
      <c r="AD893" s="13"/>
    </row>
  </sheetData>
  <mergeCells count="14">
    <mergeCell ref="H2:H3"/>
    <mergeCell ref="I2:I3"/>
    <mergeCell ref="J2:J3"/>
    <mergeCell ref="K2:K3"/>
    <mergeCell ref="L2:L3"/>
    <mergeCell ref="B62:K62"/>
    <mergeCell ref="B63:K63"/>
    <mergeCell ref="A2:A3"/>
    <mergeCell ref="B2:B3"/>
    <mergeCell ref="C2:C3"/>
    <mergeCell ref="D2:D3"/>
    <mergeCell ref="E2:E3"/>
    <mergeCell ref="F2:F3"/>
    <mergeCell ref="G2: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48.25"/>
    <col customWidth="1" min="3" max="3" width="6.25"/>
    <col customWidth="1" min="4" max="4" width="5.5"/>
    <col customWidth="1" min="5" max="5" width="20.88"/>
    <col customWidth="1" min="6" max="6" width="4.0"/>
    <col customWidth="1" min="7" max="7" width="6.25"/>
    <col customWidth="1" min="8" max="8" width="5.5"/>
    <col customWidth="1" min="9" max="9" width="4.38"/>
    <col customWidth="1" min="10" max="10" width="7.25"/>
    <col customWidth="1" min="11" max="11" width="7.13"/>
    <col customWidth="1" min="12" max="12" width="9.0"/>
  </cols>
  <sheetData>
    <row r="1">
      <c r="A1" s="38"/>
      <c r="B1" s="39"/>
      <c r="C1" s="40"/>
      <c r="D1" s="40"/>
      <c r="E1" s="40"/>
      <c r="F1" s="40"/>
      <c r="G1" s="41"/>
      <c r="H1" s="41"/>
      <c r="I1" s="38"/>
      <c r="J1" s="42"/>
      <c r="K1" s="42"/>
      <c r="L1" s="41"/>
      <c r="M1" s="43"/>
      <c r="N1" s="43"/>
      <c r="O1" s="43"/>
      <c r="P1" s="43"/>
      <c r="Q1" s="43"/>
      <c r="R1" s="43"/>
      <c r="S1" s="43"/>
      <c r="T1" s="43"/>
      <c r="U1" s="43"/>
      <c r="V1" s="43"/>
      <c r="W1" s="43"/>
      <c r="X1" s="43"/>
      <c r="Y1" s="43"/>
      <c r="Z1" s="43"/>
      <c r="AA1" s="43"/>
      <c r="AB1" s="43"/>
      <c r="AC1" s="43"/>
      <c r="AD1" s="43"/>
    </row>
    <row r="2">
      <c r="A2" s="44" t="s">
        <v>28</v>
      </c>
      <c r="B2" s="45" t="s">
        <v>222</v>
      </c>
      <c r="C2" s="46" t="s">
        <v>673</v>
      </c>
      <c r="D2" s="47" t="s">
        <v>674</v>
      </c>
      <c r="E2" s="47" t="s">
        <v>675</v>
      </c>
      <c r="F2" s="47" t="s">
        <v>676</v>
      </c>
      <c r="G2" s="48" t="s">
        <v>677</v>
      </c>
      <c r="H2" s="49" t="s">
        <v>674</v>
      </c>
      <c r="I2" s="50" t="s">
        <v>676</v>
      </c>
      <c r="J2" s="51" t="s">
        <v>34</v>
      </c>
      <c r="K2" s="51" t="s">
        <v>678</v>
      </c>
      <c r="L2" s="49" t="s">
        <v>679</v>
      </c>
      <c r="M2" s="43"/>
      <c r="N2" s="52" t="s">
        <v>680</v>
      </c>
      <c r="O2" s="43"/>
      <c r="P2" s="43"/>
      <c r="Q2" s="43"/>
      <c r="R2" s="43"/>
      <c r="S2" s="43"/>
      <c r="T2" s="43"/>
      <c r="U2" s="43"/>
      <c r="V2" s="43"/>
      <c r="W2" s="43"/>
      <c r="X2" s="43"/>
      <c r="Y2" s="43"/>
      <c r="Z2" s="43"/>
      <c r="AA2" s="43"/>
      <c r="AB2" s="43"/>
      <c r="AC2" s="43"/>
      <c r="AD2" s="43"/>
    </row>
    <row r="3">
      <c r="A3" s="53"/>
      <c r="B3" s="54"/>
      <c r="C3" s="54"/>
      <c r="D3" s="54"/>
      <c r="E3" s="54"/>
      <c r="F3" s="54"/>
      <c r="G3" s="54"/>
      <c r="H3" s="54"/>
      <c r="I3" s="54"/>
      <c r="J3" s="54"/>
      <c r="K3" s="54"/>
      <c r="L3" s="54"/>
      <c r="M3" s="43"/>
      <c r="N3" s="43"/>
      <c r="O3" s="43"/>
      <c r="P3" s="43"/>
      <c r="Q3" s="43"/>
      <c r="R3" s="43"/>
      <c r="S3" s="43"/>
      <c r="T3" s="43"/>
      <c r="U3" s="43"/>
      <c r="V3" s="43"/>
      <c r="W3" s="43"/>
      <c r="X3" s="43"/>
      <c r="Y3" s="43"/>
      <c r="Z3" s="43"/>
      <c r="AA3" s="43"/>
      <c r="AB3" s="43"/>
      <c r="AC3" s="43"/>
      <c r="AD3" s="43"/>
    </row>
    <row r="4">
      <c r="A4" s="55"/>
      <c r="B4" s="109" t="s">
        <v>708</v>
      </c>
      <c r="C4" s="57"/>
      <c r="D4" s="57"/>
      <c r="E4" s="57"/>
      <c r="F4" s="57"/>
      <c r="G4" s="58"/>
      <c r="H4" s="58"/>
      <c r="I4" s="59"/>
      <c r="J4" s="60"/>
      <c r="K4" s="60"/>
      <c r="L4" s="61"/>
      <c r="M4" s="43"/>
      <c r="N4" s="43"/>
      <c r="O4" s="43"/>
      <c r="P4" s="62"/>
      <c r="Q4" s="63"/>
      <c r="R4" s="63"/>
      <c r="S4" s="63"/>
      <c r="T4" s="63"/>
      <c r="U4" s="63"/>
      <c r="V4" s="63"/>
      <c r="W4" s="63"/>
      <c r="X4" s="63"/>
      <c r="Y4" s="63"/>
      <c r="Z4" s="63"/>
      <c r="AA4" s="63"/>
      <c r="AB4" s="63"/>
      <c r="AC4" s="63"/>
      <c r="AD4" s="63"/>
    </row>
    <row r="5">
      <c r="A5" s="55"/>
      <c r="B5" s="56" t="s">
        <v>682</v>
      </c>
      <c r="C5" s="57"/>
      <c r="D5" s="57"/>
      <c r="E5" s="57"/>
      <c r="F5" s="57"/>
      <c r="G5" s="58"/>
      <c r="H5" s="58"/>
      <c r="I5" s="59"/>
      <c r="J5" s="60"/>
      <c r="K5" s="60"/>
      <c r="L5" s="58"/>
      <c r="M5" s="62"/>
      <c r="N5" s="62"/>
      <c r="O5" s="62"/>
      <c r="P5" s="62"/>
      <c r="Q5" s="62"/>
      <c r="R5" s="62"/>
      <c r="S5" s="62"/>
      <c r="T5" s="62"/>
      <c r="U5" s="62"/>
      <c r="V5" s="62"/>
      <c r="W5" s="62"/>
      <c r="X5" s="62"/>
      <c r="Y5" s="62"/>
      <c r="Z5" s="62"/>
      <c r="AA5" s="62"/>
      <c r="AB5" s="62"/>
      <c r="AC5" s="62"/>
      <c r="AD5" s="62"/>
    </row>
    <row r="6" ht="33.0" customHeight="1">
      <c r="A6" s="64"/>
      <c r="B6" s="65" t="str">
        <f>Economy!I46</f>
        <v>Supply and installation of Base storage unit with MR Premium Carcass, HDF Shutter, Smooth finish laminate and soft close hinges  </v>
      </c>
      <c r="C6" s="66">
        <v>4.0</v>
      </c>
      <c r="D6" s="66">
        <v>1.5</v>
      </c>
      <c r="E6" s="67">
        <f t="shared" ref="E6:E13" si="2">C6*D6</f>
        <v>6</v>
      </c>
      <c r="F6" s="66" t="s">
        <v>683</v>
      </c>
      <c r="G6" s="68">
        <f t="shared" ref="G6:H6" si="1">C6*300</f>
        <v>1200</v>
      </c>
      <c r="H6" s="69">
        <f t="shared" si="1"/>
        <v>450</v>
      </c>
      <c r="I6" s="68" t="s">
        <v>684</v>
      </c>
      <c r="J6" s="70">
        <f>Economy!J46</f>
        <v>1375</v>
      </c>
      <c r="K6" s="71">
        <v>1.0</v>
      </c>
      <c r="L6" s="72">
        <f t="shared" ref="L6:L13" si="4">K6*J6*E6</f>
        <v>8250</v>
      </c>
      <c r="M6" s="62"/>
      <c r="N6" s="62"/>
      <c r="O6" s="62"/>
      <c r="P6" s="62"/>
      <c r="Q6" s="62"/>
      <c r="R6" s="62"/>
      <c r="S6" s="62"/>
      <c r="T6" s="62"/>
      <c r="U6" s="62"/>
      <c r="V6" s="62"/>
      <c r="W6" s="62"/>
      <c r="X6" s="62"/>
      <c r="Y6" s="62"/>
      <c r="Z6" s="62"/>
      <c r="AA6" s="62"/>
      <c r="AB6" s="62"/>
      <c r="AC6" s="43"/>
      <c r="AD6" s="43"/>
    </row>
    <row r="7">
      <c r="A7" s="64"/>
      <c r="B7" s="73" t="str">
        <f>Economy!I57</f>
        <v>Supply and installation of Base storage unit with MR Premium Carcass, Aluminium profile shutter with Tinted glass, Smooth finish laminate and soft close hinges  </v>
      </c>
      <c r="C7" s="66">
        <v>2.0</v>
      </c>
      <c r="D7" s="66">
        <v>1.5</v>
      </c>
      <c r="E7" s="67">
        <f t="shared" si="2"/>
        <v>3</v>
      </c>
      <c r="F7" s="66" t="s">
        <v>683</v>
      </c>
      <c r="G7" s="68">
        <f t="shared" ref="G7:H7" si="3">C7*300</f>
        <v>600</v>
      </c>
      <c r="H7" s="68">
        <f t="shared" si="3"/>
        <v>450</v>
      </c>
      <c r="I7" s="68" t="s">
        <v>684</v>
      </c>
      <c r="J7" s="70">
        <f>Economy!J57</f>
        <v>2125</v>
      </c>
      <c r="K7" s="71">
        <v>1.0</v>
      </c>
      <c r="L7" s="72">
        <f t="shared" si="4"/>
        <v>6375</v>
      </c>
      <c r="M7" s="74" t="s">
        <v>685</v>
      </c>
      <c r="N7" s="62"/>
      <c r="O7" s="62"/>
      <c r="P7" s="62"/>
      <c r="Q7" s="62"/>
      <c r="R7" s="62"/>
      <c r="S7" s="62"/>
      <c r="T7" s="62"/>
      <c r="U7" s="62"/>
      <c r="V7" s="62"/>
      <c r="W7" s="62"/>
      <c r="X7" s="62"/>
      <c r="Y7" s="62"/>
      <c r="Z7" s="62"/>
      <c r="AA7" s="62"/>
      <c r="AB7" s="62"/>
      <c r="AC7" s="43"/>
      <c r="AD7" s="43"/>
    </row>
    <row r="8">
      <c r="A8" s="64"/>
      <c r="B8" s="73" t="str">
        <f>Economy!I58</f>
        <v>Supply and installation of Wall storage unit with MR Premium Carcass, Aluminium profile shutter with Tinted glass, Smooth finish laminate and soft close hinges  </v>
      </c>
      <c r="C8" s="66">
        <v>1.5</v>
      </c>
      <c r="D8" s="66">
        <v>5.0</v>
      </c>
      <c r="E8" s="67">
        <f t="shared" si="2"/>
        <v>7.5</v>
      </c>
      <c r="F8" s="66" t="s">
        <v>683</v>
      </c>
      <c r="G8" s="68">
        <f t="shared" ref="G8:H8" si="5">C8*300</f>
        <v>450</v>
      </c>
      <c r="H8" s="68">
        <f t="shared" si="5"/>
        <v>1500</v>
      </c>
      <c r="I8" s="68" t="s">
        <v>684</v>
      </c>
      <c r="J8" s="70">
        <f>Economy!J57</f>
        <v>2125</v>
      </c>
      <c r="K8" s="71">
        <v>1.0</v>
      </c>
      <c r="L8" s="72">
        <f t="shared" si="4"/>
        <v>15937.5</v>
      </c>
      <c r="M8" s="62"/>
      <c r="N8" s="62"/>
      <c r="O8" s="62"/>
      <c r="P8" s="62"/>
      <c r="Q8" s="62"/>
      <c r="R8" s="62"/>
      <c r="S8" s="62"/>
      <c r="T8" s="62"/>
      <c r="U8" s="62"/>
      <c r="V8" s="62"/>
      <c r="W8" s="62"/>
      <c r="X8" s="62"/>
      <c r="Y8" s="62"/>
      <c r="Z8" s="62"/>
      <c r="AA8" s="62"/>
      <c r="AB8" s="62"/>
      <c r="AC8" s="43"/>
      <c r="AD8" s="43"/>
    </row>
    <row r="9">
      <c r="A9" s="75"/>
      <c r="B9" s="76" t="str">
        <f>Economy!I81</f>
        <v>Supply and installation of Wall Panel with MR Premium Carcass, Smooth finish laminate </v>
      </c>
      <c r="C9" s="66">
        <v>6.0</v>
      </c>
      <c r="D9" s="66">
        <v>4.25</v>
      </c>
      <c r="E9" s="67">
        <f t="shared" si="2"/>
        <v>25.5</v>
      </c>
      <c r="F9" s="66" t="s">
        <v>683</v>
      </c>
      <c r="G9" s="68">
        <f t="shared" ref="G9:H9" si="6">C9*300</f>
        <v>1800</v>
      </c>
      <c r="H9" s="68">
        <f t="shared" si="6"/>
        <v>1275</v>
      </c>
      <c r="I9" s="77" t="s">
        <v>684</v>
      </c>
      <c r="J9" s="60">
        <f>Economy!J81</f>
        <v>775</v>
      </c>
      <c r="K9" s="79">
        <v>1.0</v>
      </c>
      <c r="L9" s="72">
        <f t="shared" si="4"/>
        <v>19762.5</v>
      </c>
      <c r="M9" s="43"/>
      <c r="N9" s="43"/>
      <c r="O9" s="43"/>
      <c r="P9" s="43"/>
      <c r="Q9" s="43"/>
      <c r="R9" s="43"/>
      <c r="S9" s="62"/>
      <c r="T9" s="62"/>
      <c r="U9" s="62"/>
      <c r="V9" s="62"/>
      <c r="W9" s="62"/>
      <c r="X9" s="62"/>
      <c r="Y9" s="62"/>
      <c r="Z9" s="62"/>
      <c r="AA9" s="62"/>
      <c r="AB9" s="62"/>
      <c r="AC9" s="43"/>
      <c r="AD9" s="43"/>
    </row>
    <row r="10">
      <c r="A10" s="64"/>
      <c r="B10" s="65" t="str">
        <f>Economy!I46</f>
        <v>Supply and installation of Base storage unit with MR Premium Carcass, HDF Shutter, Smooth finish laminate and soft close hinges  </v>
      </c>
      <c r="C10" s="66">
        <v>3.5</v>
      </c>
      <c r="D10" s="66">
        <v>2.5</v>
      </c>
      <c r="E10" s="67">
        <f t="shared" si="2"/>
        <v>8.75</v>
      </c>
      <c r="F10" s="66" t="s">
        <v>683</v>
      </c>
      <c r="G10" s="68">
        <f t="shared" ref="G10:H10" si="7">C10*300</f>
        <v>1050</v>
      </c>
      <c r="H10" s="68">
        <f t="shared" si="7"/>
        <v>750</v>
      </c>
      <c r="I10" s="68" t="s">
        <v>684</v>
      </c>
      <c r="J10" s="70">
        <f>Economy!J46</f>
        <v>1375</v>
      </c>
      <c r="K10" s="71">
        <v>1.0</v>
      </c>
      <c r="L10" s="72">
        <f t="shared" si="4"/>
        <v>12031.25</v>
      </c>
      <c r="M10" s="62"/>
      <c r="N10" s="62"/>
      <c r="O10" s="62"/>
      <c r="P10" s="62"/>
      <c r="Q10" s="62"/>
      <c r="R10" s="62"/>
      <c r="S10" s="62"/>
      <c r="T10" s="62"/>
      <c r="U10" s="62"/>
      <c r="V10" s="62"/>
      <c r="W10" s="62"/>
      <c r="X10" s="62"/>
      <c r="Y10" s="62"/>
      <c r="Z10" s="62"/>
      <c r="AA10" s="62"/>
      <c r="AB10" s="62"/>
      <c r="AC10" s="43"/>
      <c r="AD10" s="43"/>
    </row>
    <row r="11">
      <c r="A11" s="64"/>
      <c r="B11" s="73" t="str">
        <f>Economy!I58</f>
        <v>Supply and installation of Wall storage unit with MR Premium Carcass, Aluminium profile shutter with Tinted glass, Smooth finish laminate and soft close hinges  </v>
      </c>
      <c r="C11" s="66">
        <v>3.5</v>
      </c>
      <c r="D11" s="66">
        <v>2.0</v>
      </c>
      <c r="E11" s="67">
        <f t="shared" si="2"/>
        <v>7</v>
      </c>
      <c r="F11" s="66" t="s">
        <v>683</v>
      </c>
      <c r="G11" s="68">
        <f t="shared" ref="G11:H11" si="8">C11*300</f>
        <v>1050</v>
      </c>
      <c r="H11" s="68">
        <f t="shared" si="8"/>
        <v>600</v>
      </c>
      <c r="I11" s="69" t="s">
        <v>684</v>
      </c>
      <c r="J11" s="70">
        <f>Economy!J57</f>
        <v>2125</v>
      </c>
      <c r="K11" s="71">
        <v>1.0</v>
      </c>
      <c r="L11" s="72">
        <f t="shared" si="4"/>
        <v>14875</v>
      </c>
      <c r="M11" s="62"/>
      <c r="N11" s="62"/>
      <c r="O11" s="62"/>
      <c r="P11" s="62"/>
      <c r="Q11" s="62"/>
      <c r="R11" s="62"/>
      <c r="S11" s="62"/>
      <c r="T11" s="62"/>
      <c r="U11" s="62"/>
      <c r="V11" s="62"/>
      <c r="W11" s="62"/>
      <c r="X11" s="62"/>
      <c r="Y11" s="62"/>
      <c r="Z11" s="62"/>
      <c r="AA11" s="62"/>
      <c r="AB11" s="62"/>
      <c r="AC11" s="43"/>
      <c r="AD11" s="43"/>
    </row>
    <row r="12">
      <c r="A12" s="64"/>
      <c r="B12" s="73" t="str">
        <f>Economy!I83</f>
        <v>Supply and installation of Jam Panel with MR Premium Carcass, Smooth finish laminate </v>
      </c>
      <c r="C12" s="66">
        <v>65.25</v>
      </c>
      <c r="D12" s="66">
        <v>1.0</v>
      </c>
      <c r="E12" s="67">
        <f t="shared" si="2"/>
        <v>65.25</v>
      </c>
      <c r="F12" s="66" t="s">
        <v>683</v>
      </c>
      <c r="G12" s="68">
        <f t="shared" ref="G12:H12" si="9">C12*300</f>
        <v>19575</v>
      </c>
      <c r="H12" s="68">
        <f t="shared" si="9"/>
        <v>300</v>
      </c>
      <c r="I12" s="69" t="s">
        <v>684</v>
      </c>
      <c r="J12" s="60">
        <f>Economy!J81</f>
        <v>775</v>
      </c>
      <c r="K12" s="71">
        <v>1.0</v>
      </c>
      <c r="L12" s="72">
        <f t="shared" si="4"/>
        <v>50568.75</v>
      </c>
      <c r="M12" s="74" t="s">
        <v>686</v>
      </c>
      <c r="N12" s="62"/>
      <c r="O12" s="62"/>
      <c r="P12" s="62"/>
      <c r="Q12" s="62"/>
      <c r="R12" s="62"/>
      <c r="S12" s="62"/>
      <c r="T12" s="62"/>
      <c r="U12" s="62"/>
      <c r="V12" s="62"/>
      <c r="W12" s="62"/>
      <c r="X12" s="62"/>
      <c r="Y12" s="62"/>
      <c r="Z12" s="62"/>
      <c r="AA12" s="62"/>
      <c r="AB12" s="62"/>
      <c r="AC12" s="43"/>
      <c r="AD12" s="43"/>
    </row>
    <row r="13">
      <c r="A13" s="64"/>
      <c r="B13" s="73" t="str">
        <f>Economy!I82</f>
        <v>Supply and installation of Pelmet Panel with MR Premium Carcass, Smooth finish laminate </v>
      </c>
      <c r="C13" s="66">
        <v>4.0</v>
      </c>
      <c r="D13" s="66">
        <v>1.5</v>
      </c>
      <c r="E13" s="67">
        <f t="shared" si="2"/>
        <v>6</v>
      </c>
      <c r="F13" s="66" t="s">
        <v>683</v>
      </c>
      <c r="G13" s="68">
        <f t="shared" ref="G13:H13" si="10">C13*300</f>
        <v>1200</v>
      </c>
      <c r="H13" s="68">
        <f t="shared" si="10"/>
        <v>450</v>
      </c>
      <c r="I13" s="69" t="s">
        <v>684</v>
      </c>
      <c r="J13" s="60">
        <f>Economy!J81</f>
        <v>775</v>
      </c>
      <c r="K13" s="71">
        <v>1.0</v>
      </c>
      <c r="L13" s="72">
        <f t="shared" si="4"/>
        <v>4650</v>
      </c>
      <c r="M13" s="62"/>
      <c r="N13" s="62"/>
      <c r="O13" s="62"/>
      <c r="P13" s="62"/>
      <c r="Q13" s="62"/>
      <c r="R13" s="62"/>
      <c r="S13" s="62"/>
      <c r="T13" s="62"/>
      <c r="U13" s="62"/>
      <c r="V13" s="62"/>
      <c r="W13" s="62"/>
      <c r="X13" s="62"/>
      <c r="Y13" s="62"/>
      <c r="Z13" s="62"/>
      <c r="AA13" s="62"/>
      <c r="AB13" s="62"/>
      <c r="AC13" s="43"/>
      <c r="AD13" s="43"/>
    </row>
    <row r="14">
      <c r="A14" s="55"/>
      <c r="B14" s="80" t="s">
        <v>687</v>
      </c>
      <c r="C14" s="60"/>
      <c r="D14" s="60"/>
      <c r="E14" s="81"/>
      <c r="F14" s="60"/>
      <c r="G14" s="58"/>
      <c r="H14" s="58"/>
      <c r="I14" s="58"/>
      <c r="J14" s="70"/>
      <c r="K14" s="70"/>
      <c r="L14" s="61"/>
      <c r="M14" s="62"/>
      <c r="N14" s="62"/>
      <c r="O14" s="62"/>
      <c r="P14" s="62"/>
      <c r="Q14" s="62"/>
      <c r="R14" s="62"/>
      <c r="S14" s="62"/>
      <c r="T14" s="62"/>
      <c r="U14" s="62"/>
      <c r="V14" s="62"/>
      <c r="W14" s="62"/>
      <c r="X14" s="62"/>
      <c r="Y14" s="62"/>
      <c r="Z14" s="62"/>
      <c r="AA14" s="62"/>
      <c r="AB14" s="62"/>
      <c r="AC14" s="62"/>
      <c r="AD14" s="62"/>
    </row>
    <row r="15">
      <c r="A15" s="64"/>
      <c r="B15" s="82" t="str">
        <f>Economy!I55</f>
        <v>Supply and installation of Base storage unit with MR Premium Carcass, Plywood Border with Fluted Glass Shutter, Smooth finish laminate and soft close hinges  </v>
      </c>
      <c r="C15" s="66">
        <v>3.0</v>
      </c>
      <c r="D15" s="66">
        <v>4.0</v>
      </c>
      <c r="E15" s="67">
        <f t="shared" ref="E15:E16" si="12">C15*D15</f>
        <v>12</v>
      </c>
      <c r="F15" s="66" t="s">
        <v>683</v>
      </c>
      <c r="G15" s="68">
        <f t="shared" ref="G15:H15" si="11">C15*300</f>
        <v>900</v>
      </c>
      <c r="H15" s="69">
        <f t="shared" si="11"/>
        <v>1200</v>
      </c>
      <c r="I15" s="68" t="s">
        <v>684</v>
      </c>
      <c r="J15" s="70">
        <f>Economy!J55</f>
        <v>1900</v>
      </c>
      <c r="K15" s="71">
        <v>1.0</v>
      </c>
      <c r="L15" s="72">
        <f t="shared" ref="L15:L16" si="14">K15*J15*E15</f>
        <v>22800</v>
      </c>
      <c r="M15" s="62"/>
      <c r="N15" s="83"/>
      <c r="O15" s="62"/>
      <c r="P15" s="62"/>
      <c r="Q15" s="62"/>
      <c r="R15" s="62"/>
      <c r="S15" s="62"/>
      <c r="T15" s="62"/>
      <c r="U15" s="62"/>
      <c r="V15" s="62"/>
      <c r="W15" s="62"/>
      <c r="X15" s="62"/>
      <c r="Y15" s="62"/>
      <c r="Z15" s="62"/>
      <c r="AA15" s="62"/>
      <c r="AB15" s="62"/>
      <c r="AC15" s="43"/>
      <c r="AD15" s="43"/>
    </row>
    <row r="16">
      <c r="A16" s="64"/>
      <c r="B16" s="65" t="str">
        <f>Economy!I46</f>
        <v>Supply and installation of Base storage unit with MR Premium Carcass, HDF Shutter, Smooth finish laminate and soft close hinges  </v>
      </c>
      <c r="C16" s="66">
        <v>3.0</v>
      </c>
      <c r="D16" s="66">
        <v>3.0</v>
      </c>
      <c r="E16" s="67">
        <f t="shared" si="12"/>
        <v>9</v>
      </c>
      <c r="F16" s="66" t="s">
        <v>683</v>
      </c>
      <c r="G16" s="69">
        <f t="shared" ref="G16:H16" si="13">C16*300</f>
        <v>900</v>
      </c>
      <c r="H16" s="69">
        <f t="shared" si="13"/>
        <v>900</v>
      </c>
      <c r="I16" s="68" t="s">
        <v>684</v>
      </c>
      <c r="J16" s="70">
        <f>Economy!J46</f>
        <v>1375</v>
      </c>
      <c r="K16" s="71">
        <v>1.0</v>
      </c>
      <c r="L16" s="72">
        <f t="shared" si="14"/>
        <v>12375</v>
      </c>
      <c r="M16" s="62"/>
      <c r="N16" s="62"/>
      <c r="O16" s="62"/>
      <c r="P16" s="62"/>
      <c r="Q16" s="62"/>
      <c r="R16" s="62"/>
      <c r="S16" s="62"/>
      <c r="T16" s="62"/>
      <c r="U16" s="62"/>
      <c r="V16" s="62"/>
      <c r="W16" s="62"/>
      <c r="X16" s="62"/>
      <c r="Y16" s="62"/>
      <c r="Z16" s="62"/>
      <c r="AA16" s="62"/>
      <c r="AB16" s="62"/>
      <c r="AC16" s="43"/>
      <c r="AD16" s="43"/>
    </row>
    <row r="17">
      <c r="A17" s="55"/>
      <c r="B17" s="56" t="s">
        <v>688</v>
      </c>
      <c r="C17" s="57"/>
      <c r="D17" s="57"/>
      <c r="E17" s="81"/>
      <c r="F17" s="57"/>
      <c r="G17" s="58"/>
      <c r="H17" s="58"/>
      <c r="I17" s="59"/>
      <c r="J17" s="70"/>
      <c r="K17" s="70"/>
      <c r="L17" s="61"/>
      <c r="M17" s="62"/>
      <c r="N17" s="62"/>
      <c r="O17" s="62"/>
      <c r="P17" s="62"/>
      <c r="Q17" s="62"/>
      <c r="R17" s="62"/>
      <c r="S17" s="62"/>
      <c r="T17" s="62"/>
      <c r="U17" s="62"/>
      <c r="V17" s="62"/>
      <c r="W17" s="62"/>
      <c r="X17" s="62"/>
      <c r="Y17" s="62"/>
      <c r="Z17" s="62"/>
      <c r="AA17" s="62"/>
      <c r="AB17" s="62"/>
      <c r="AC17" s="62"/>
      <c r="AD17" s="62"/>
    </row>
    <row r="18">
      <c r="A18" s="64"/>
      <c r="B18" s="82" t="str">
        <f>Economy!I3</f>
        <v>Supply and installation of Base storage unit with BWP Carcass, HDF Shutter, Smooth finish laminate and soft close hinges  </v>
      </c>
      <c r="C18" s="66">
        <v>16.5</v>
      </c>
      <c r="D18" s="66">
        <v>2.75</v>
      </c>
      <c r="E18" s="67">
        <f t="shared" ref="E18:E24" si="16">C18*D18</f>
        <v>45.375</v>
      </c>
      <c r="F18" s="66" t="s">
        <v>683</v>
      </c>
      <c r="G18" s="69">
        <f t="shared" ref="G18:H18" si="15">C18*300</f>
        <v>4950</v>
      </c>
      <c r="H18" s="69">
        <f t="shared" si="15"/>
        <v>825</v>
      </c>
      <c r="I18" s="68" t="s">
        <v>684</v>
      </c>
      <c r="J18" s="70">
        <f>Economy!J3</f>
        <v>1475</v>
      </c>
      <c r="K18" s="71">
        <v>1.0</v>
      </c>
      <c r="L18" s="72">
        <f t="shared" ref="L18:L24" si="18">K18*J18*E18</f>
        <v>66928.125</v>
      </c>
      <c r="M18" s="74" t="s">
        <v>709</v>
      </c>
      <c r="N18" s="62"/>
      <c r="O18" s="62"/>
      <c r="P18" s="62"/>
      <c r="Q18" s="62"/>
      <c r="R18" s="62"/>
      <c r="S18" s="62"/>
      <c r="T18" s="62"/>
      <c r="U18" s="62"/>
      <c r="V18" s="62"/>
      <c r="W18" s="62"/>
      <c r="X18" s="62"/>
      <c r="Y18" s="62"/>
      <c r="Z18" s="62"/>
      <c r="AA18" s="62"/>
      <c r="AB18" s="62"/>
      <c r="AC18" s="43"/>
      <c r="AD18" s="43"/>
    </row>
    <row r="19">
      <c r="A19" s="64"/>
      <c r="B19" s="82" t="str">
        <f>Economy!I4</f>
        <v>Supply and installation of Wall storage unit with BWP Carcass, HDF Shutter, Smooth finish laminate and soft close hinges  </v>
      </c>
      <c r="C19" s="66">
        <v>13.5</v>
      </c>
      <c r="D19" s="66">
        <v>2.25</v>
      </c>
      <c r="E19" s="67">
        <f t="shared" si="16"/>
        <v>30.375</v>
      </c>
      <c r="F19" s="66" t="s">
        <v>683</v>
      </c>
      <c r="G19" s="69">
        <f t="shared" ref="G19:H19" si="17">C19*300</f>
        <v>4050</v>
      </c>
      <c r="H19" s="69">
        <f t="shared" si="17"/>
        <v>675</v>
      </c>
      <c r="I19" s="68" t="s">
        <v>684</v>
      </c>
      <c r="J19" s="70">
        <f>Economy!J3</f>
        <v>1475</v>
      </c>
      <c r="K19" s="71">
        <v>1.0</v>
      </c>
      <c r="L19" s="72">
        <f t="shared" si="18"/>
        <v>44803.125</v>
      </c>
      <c r="M19" s="62"/>
      <c r="N19" s="62"/>
      <c r="O19" s="62"/>
      <c r="P19" s="62"/>
      <c r="Q19" s="62"/>
      <c r="R19" s="62"/>
      <c r="S19" s="62"/>
      <c r="T19" s="62"/>
      <c r="U19" s="62"/>
      <c r="V19" s="62"/>
      <c r="W19" s="62"/>
      <c r="X19" s="62"/>
      <c r="Y19" s="62"/>
      <c r="Z19" s="62"/>
      <c r="AA19" s="62"/>
      <c r="AB19" s="62"/>
      <c r="AC19" s="43"/>
      <c r="AD19" s="43"/>
    </row>
    <row r="20">
      <c r="A20" s="64"/>
      <c r="B20" s="82" t="str">
        <f>Economy!I34</f>
        <v>Supply and installation of Open unit - Inner 1mm with BWP Carcass and Smooth finish laminate</v>
      </c>
      <c r="C20" s="66">
        <v>5.25</v>
      </c>
      <c r="D20" s="66">
        <v>1.0</v>
      </c>
      <c r="E20" s="67">
        <f t="shared" si="16"/>
        <v>5.25</v>
      </c>
      <c r="F20" s="66" t="s">
        <v>683</v>
      </c>
      <c r="G20" s="69">
        <f t="shared" ref="G20:H20" si="19">C20*300</f>
        <v>1575</v>
      </c>
      <c r="H20" s="69">
        <f t="shared" si="19"/>
        <v>300</v>
      </c>
      <c r="I20" s="68" t="s">
        <v>684</v>
      </c>
      <c r="J20" s="70">
        <f>Economy!J34</f>
        <v>1475</v>
      </c>
      <c r="K20" s="71">
        <v>1.0</v>
      </c>
      <c r="L20" s="72">
        <f t="shared" si="18"/>
        <v>7743.75</v>
      </c>
      <c r="M20" s="62"/>
      <c r="N20" s="62"/>
      <c r="O20" s="62"/>
      <c r="P20" s="62"/>
      <c r="Q20" s="62"/>
      <c r="R20" s="62"/>
      <c r="S20" s="62"/>
      <c r="T20" s="62"/>
      <c r="U20" s="62"/>
      <c r="V20" s="62"/>
      <c r="W20" s="62"/>
      <c r="X20" s="62"/>
      <c r="Y20" s="62"/>
      <c r="Z20" s="62"/>
      <c r="AA20" s="62"/>
      <c r="AB20" s="62"/>
      <c r="AC20" s="43"/>
      <c r="AD20" s="43"/>
    </row>
    <row r="21">
      <c r="A21" s="64"/>
      <c r="B21" s="76" t="str">
        <f>Economy!I41</f>
        <v>Supply and installation of Chimney Panel with BWP Carcass and Smooth finish laminate</v>
      </c>
      <c r="C21" s="66">
        <v>3.25</v>
      </c>
      <c r="D21" s="66">
        <v>1.0</v>
      </c>
      <c r="E21" s="67">
        <f t="shared" si="16"/>
        <v>3.25</v>
      </c>
      <c r="F21" s="66" t="s">
        <v>683</v>
      </c>
      <c r="G21" s="69">
        <f t="shared" ref="G21:H21" si="20">C21*300</f>
        <v>975</v>
      </c>
      <c r="H21" s="69">
        <f t="shared" si="20"/>
        <v>300</v>
      </c>
      <c r="I21" s="68" t="s">
        <v>684</v>
      </c>
      <c r="J21" s="60">
        <f>Economy!J41</f>
        <v>875</v>
      </c>
      <c r="K21" s="71">
        <v>1.0</v>
      </c>
      <c r="L21" s="72">
        <f t="shared" si="18"/>
        <v>2843.75</v>
      </c>
      <c r="M21" s="74" t="s">
        <v>690</v>
      </c>
      <c r="N21" s="62"/>
      <c r="O21" s="62"/>
      <c r="P21" s="62"/>
      <c r="Q21" s="62"/>
      <c r="R21" s="62"/>
      <c r="S21" s="62"/>
      <c r="T21" s="62"/>
      <c r="U21" s="62"/>
      <c r="V21" s="62"/>
      <c r="W21" s="62"/>
      <c r="X21" s="62"/>
      <c r="Y21" s="62"/>
      <c r="Z21" s="62"/>
      <c r="AA21" s="62"/>
      <c r="AB21" s="62"/>
      <c r="AC21" s="43"/>
      <c r="AD21" s="43"/>
    </row>
    <row r="22">
      <c r="A22" s="64"/>
      <c r="B22" s="82" t="str">
        <f>Economy!I33</f>
        <v>Supply and installation of Open unit - Inner 0.8mm with BWP Carcass and Smooth finish laminate</v>
      </c>
      <c r="C22" s="66">
        <v>2.0</v>
      </c>
      <c r="D22" s="66">
        <v>4.25</v>
      </c>
      <c r="E22" s="67">
        <f t="shared" si="16"/>
        <v>8.5</v>
      </c>
      <c r="F22" s="66" t="s">
        <v>683</v>
      </c>
      <c r="G22" s="69">
        <f t="shared" ref="G22:H22" si="21">C22*300</f>
        <v>600</v>
      </c>
      <c r="H22" s="69">
        <f t="shared" si="21"/>
        <v>1275</v>
      </c>
      <c r="I22" s="68" t="s">
        <v>684</v>
      </c>
      <c r="J22" s="70">
        <f>Economy!J33</f>
        <v>1250</v>
      </c>
      <c r="K22" s="71">
        <v>1.0</v>
      </c>
      <c r="L22" s="72">
        <f t="shared" si="18"/>
        <v>10625</v>
      </c>
      <c r="M22" s="74" t="s">
        <v>691</v>
      </c>
      <c r="N22" s="62"/>
      <c r="O22" s="62"/>
      <c r="P22" s="62"/>
      <c r="Q22" s="62"/>
      <c r="R22" s="62"/>
      <c r="S22" s="62"/>
      <c r="T22" s="62"/>
      <c r="U22" s="62"/>
      <c r="V22" s="62"/>
      <c r="W22" s="62"/>
      <c r="X22" s="62"/>
      <c r="Y22" s="62"/>
      <c r="Z22" s="62"/>
      <c r="AA22" s="62"/>
      <c r="AB22" s="62"/>
      <c r="AC22" s="43"/>
      <c r="AD22" s="43"/>
    </row>
    <row r="23">
      <c r="A23" s="64"/>
      <c r="B23" s="82" t="str">
        <f>Economy!I75</f>
        <v>Supply and installation of Loft Frame and Shutter unit with MR Premium Frame, HDF Shutter, Smooth finish laminate and Soft Close hinges  </v>
      </c>
      <c r="C23" s="66">
        <v>18.5</v>
      </c>
      <c r="D23" s="66">
        <v>2.5</v>
      </c>
      <c r="E23" s="67">
        <f t="shared" si="16"/>
        <v>46.25</v>
      </c>
      <c r="F23" s="66" t="s">
        <v>683</v>
      </c>
      <c r="G23" s="69">
        <f t="shared" ref="G23:H23" si="22">C23*300</f>
        <v>5550</v>
      </c>
      <c r="H23" s="69">
        <f t="shared" si="22"/>
        <v>750</v>
      </c>
      <c r="I23" s="68" t="s">
        <v>684</v>
      </c>
      <c r="J23" s="70">
        <f>Economy!J75</f>
        <v>772</v>
      </c>
      <c r="K23" s="71">
        <v>1.0</v>
      </c>
      <c r="L23" s="72">
        <f t="shared" si="18"/>
        <v>35705</v>
      </c>
      <c r="M23" s="62"/>
      <c r="N23" s="62"/>
      <c r="O23" s="62"/>
      <c r="P23" s="62"/>
      <c r="Q23" s="62"/>
      <c r="R23" s="62"/>
      <c r="S23" s="62"/>
      <c r="T23" s="62"/>
      <c r="U23" s="62"/>
      <c r="V23" s="62"/>
      <c r="W23" s="62"/>
      <c r="X23" s="62"/>
      <c r="Y23" s="62"/>
      <c r="Z23" s="62"/>
      <c r="AA23" s="62"/>
      <c r="AB23" s="62"/>
      <c r="AC23" s="84"/>
      <c r="AD23" s="84"/>
    </row>
    <row r="24">
      <c r="A24" s="64"/>
      <c r="B24" s="82" t="str">
        <f>Economy!I81</f>
        <v>Supply and installation of Wall Panel with MR Premium Carcass, Smooth finish laminate </v>
      </c>
      <c r="C24" s="66">
        <v>16.5</v>
      </c>
      <c r="D24" s="66">
        <v>2.0</v>
      </c>
      <c r="E24" s="67">
        <f t="shared" si="16"/>
        <v>33</v>
      </c>
      <c r="F24" s="66" t="s">
        <v>683</v>
      </c>
      <c r="G24" s="69">
        <f t="shared" ref="G24:H24" si="23">C24*300</f>
        <v>4950</v>
      </c>
      <c r="H24" s="69">
        <f t="shared" si="23"/>
        <v>600</v>
      </c>
      <c r="I24" s="68" t="s">
        <v>684</v>
      </c>
      <c r="J24" s="60">
        <f>Economy!J81</f>
        <v>775</v>
      </c>
      <c r="K24" s="71">
        <v>1.0</v>
      </c>
      <c r="L24" s="72">
        <f t="shared" si="18"/>
        <v>25575</v>
      </c>
      <c r="M24" s="62"/>
      <c r="N24" s="62"/>
      <c r="O24" s="62"/>
      <c r="P24" s="62"/>
      <c r="Q24" s="62"/>
      <c r="R24" s="62"/>
      <c r="S24" s="62"/>
      <c r="T24" s="62"/>
      <c r="U24" s="62"/>
      <c r="V24" s="62"/>
      <c r="W24" s="62"/>
      <c r="X24" s="62"/>
      <c r="Y24" s="62"/>
      <c r="Z24" s="62"/>
      <c r="AA24" s="62"/>
      <c r="AB24" s="62"/>
      <c r="AC24" s="84"/>
      <c r="AD24" s="84"/>
    </row>
    <row r="25">
      <c r="A25" s="55"/>
      <c r="B25" s="109" t="s">
        <v>710</v>
      </c>
      <c r="C25" s="57"/>
      <c r="D25" s="57"/>
      <c r="E25" s="57"/>
      <c r="F25" s="57"/>
      <c r="G25" s="58"/>
      <c r="H25" s="58"/>
      <c r="I25" s="59"/>
      <c r="J25" s="60"/>
      <c r="K25" s="60"/>
      <c r="L25" s="58"/>
      <c r="M25" s="62"/>
      <c r="N25" s="62"/>
      <c r="O25" s="62"/>
      <c r="P25" s="62"/>
      <c r="Q25" s="62"/>
      <c r="R25" s="62"/>
      <c r="S25" s="62"/>
      <c r="T25" s="62"/>
      <c r="U25" s="62"/>
      <c r="V25" s="62"/>
      <c r="W25" s="62"/>
      <c r="X25" s="62"/>
      <c r="Y25" s="62"/>
      <c r="Z25" s="62"/>
      <c r="AA25" s="62"/>
      <c r="AB25" s="62"/>
      <c r="AC25" s="62"/>
      <c r="AD25" s="62"/>
    </row>
    <row r="26">
      <c r="A26" s="64"/>
      <c r="B26" s="82" t="str">
        <f>Economy!I49</f>
        <v>Supply and installation of Wardrobe with MR Premium Carcass, HDF Shutter, Smooth finish laminate and soft close hinges  </v>
      </c>
      <c r="C26" s="66">
        <v>6.5</v>
      </c>
      <c r="D26" s="66">
        <v>7.0</v>
      </c>
      <c r="E26" s="67">
        <f>C26*D26</f>
        <v>45.5</v>
      </c>
      <c r="F26" s="66" t="s">
        <v>683</v>
      </c>
      <c r="G26" s="69">
        <f t="shared" ref="G26:H26" si="24">C26*300</f>
        <v>1950</v>
      </c>
      <c r="H26" s="69">
        <f t="shared" si="24"/>
        <v>2100</v>
      </c>
      <c r="I26" s="68" t="s">
        <v>684</v>
      </c>
      <c r="J26" s="70">
        <f>Economy!J46</f>
        <v>1375</v>
      </c>
      <c r="K26" s="71">
        <v>1.0</v>
      </c>
      <c r="L26" s="72">
        <f t="shared" ref="L26:L34" si="26">K26*J26*E26</f>
        <v>62562.5</v>
      </c>
      <c r="M26" s="62"/>
      <c r="N26" s="62"/>
      <c r="O26" s="62"/>
      <c r="P26" s="62"/>
      <c r="Q26" s="62"/>
      <c r="R26" s="62"/>
      <c r="S26" s="62"/>
      <c r="T26" s="62"/>
      <c r="U26" s="62"/>
      <c r="V26" s="62"/>
      <c r="W26" s="62"/>
      <c r="X26" s="62"/>
      <c r="Y26" s="62"/>
      <c r="Z26" s="62"/>
      <c r="AA26" s="62"/>
      <c r="AB26" s="62"/>
      <c r="AC26" s="43"/>
      <c r="AD26" s="43"/>
    </row>
    <row r="27">
      <c r="A27" s="64"/>
      <c r="B27" s="82" t="str">
        <f>Economy!I48</f>
        <v>Supply and installation of Tall storage unit with MR Premium Carcass, HDF Shutter, Smooth finish laminate and soft close hinges  </v>
      </c>
      <c r="C27" s="66">
        <v>2.0</v>
      </c>
      <c r="D27" s="66">
        <v>7.0</v>
      </c>
      <c r="E27" s="67">
        <v>15.0</v>
      </c>
      <c r="F27" s="66" t="s">
        <v>683</v>
      </c>
      <c r="G27" s="69">
        <f t="shared" ref="G27:H27" si="25">C27*300</f>
        <v>600</v>
      </c>
      <c r="H27" s="69">
        <f t="shared" si="25"/>
        <v>2100</v>
      </c>
      <c r="I27" s="68" t="s">
        <v>684</v>
      </c>
      <c r="J27" s="70">
        <f>Economy!J46</f>
        <v>1375</v>
      </c>
      <c r="K27" s="71">
        <v>1.0</v>
      </c>
      <c r="L27" s="72">
        <f t="shared" si="26"/>
        <v>20625</v>
      </c>
      <c r="M27" s="62"/>
      <c r="N27" s="62"/>
      <c r="O27" s="62"/>
      <c r="P27" s="62"/>
      <c r="Q27" s="62"/>
      <c r="R27" s="62"/>
      <c r="S27" s="62"/>
      <c r="T27" s="62"/>
      <c r="U27" s="62"/>
      <c r="V27" s="62"/>
      <c r="W27" s="62"/>
      <c r="X27" s="62"/>
      <c r="Y27" s="62"/>
      <c r="Z27" s="62"/>
      <c r="AA27" s="62"/>
      <c r="AB27" s="62"/>
      <c r="AC27" s="43"/>
      <c r="AD27" s="43"/>
    </row>
    <row r="28">
      <c r="A28" s="64"/>
      <c r="B28" s="82" t="str">
        <f>Economy!I75</f>
        <v>Supply and installation of Loft Frame and Shutter unit with MR Premium Frame, HDF Shutter, Smooth finish laminate and Soft Close hinges  </v>
      </c>
      <c r="C28" s="66">
        <v>9.5</v>
      </c>
      <c r="D28" s="66">
        <v>2.5</v>
      </c>
      <c r="E28" s="67">
        <f t="shared" ref="E28:E34" si="28">C28*D28</f>
        <v>23.75</v>
      </c>
      <c r="F28" s="66" t="s">
        <v>683</v>
      </c>
      <c r="G28" s="69">
        <f t="shared" ref="G28:H28" si="27">C28*300</f>
        <v>2850</v>
      </c>
      <c r="H28" s="69">
        <f t="shared" si="27"/>
        <v>750</v>
      </c>
      <c r="I28" s="68" t="s">
        <v>684</v>
      </c>
      <c r="J28" s="70">
        <f>Economy!J75</f>
        <v>772</v>
      </c>
      <c r="K28" s="71">
        <v>1.0</v>
      </c>
      <c r="L28" s="72">
        <f t="shared" si="26"/>
        <v>18335</v>
      </c>
      <c r="M28" s="62"/>
      <c r="N28" s="62"/>
      <c r="O28" s="62"/>
      <c r="P28" s="62"/>
      <c r="Q28" s="62"/>
      <c r="R28" s="62"/>
      <c r="S28" s="62"/>
      <c r="T28" s="62"/>
      <c r="U28" s="62"/>
      <c r="V28" s="62"/>
      <c r="W28" s="62"/>
      <c r="X28" s="62"/>
      <c r="Y28" s="62"/>
      <c r="Z28" s="62"/>
      <c r="AA28" s="62"/>
      <c r="AB28" s="62"/>
      <c r="AC28" s="84"/>
      <c r="AD28" s="84"/>
    </row>
    <row r="29">
      <c r="A29" s="64"/>
      <c r="B29" s="73" t="str">
        <f>Economy!I76</f>
        <v>Supply and installation of Ledge with 25mm Ledge MR Premium and Smooth finish laminate </v>
      </c>
      <c r="C29" s="66">
        <v>10.75</v>
      </c>
      <c r="D29" s="66">
        <v>1.0</v>
      </c>
      <c r="E29" s="67">
        <f t="shared" si="28"/>
        <v>10.75</v>
      </c>
      <c r="F29" s="66" t="s">
        <v>683</v>
      </c>
      <c r="G29" s="69">
        <f t="shared" ref="G29:H29" si="29">C29*300</f>
        <v>3225</v>
      </c>
      <c r="H29" s="69">
        <f t="shared" si="29"/>
        <v>300</v>
      </c>
      <c r="I29" s="68" t="s">
        <v>684</v>
      </c>
      <c r="J29" s="70">
        <f>Economy!J76</f>
        <v>658</v>
      </c>
      <c r="K29" s="71">
        <v>1.0</v>
      </c>
      <c r="L29" s="72">
        <f t="shared" si="26"/>
        <v>7073.5</v>
      </c>
      <c r="M29" s="62"/>
      <c r="N29" s="62"/>
      <c r="O29" s="62"/>
      <c r="P29" s="62"/>
      <c r="Q29" s="62"/>
      <c r="R29" s="62"/>
      <c r="S29" s="62"/>
      <c r="T29" s="62"/>
      <c r="U29" s="62"/>
      <c r="V29" s="62"/>
      <c r="W29" s="62"/>
      <c r="X29" s="62"/>
      <c r="Y29" s="62"/>
      <c r="Z29" s="62"/>
      <c r="AA29" s="62"/>
      <c r="AB29" s="62"/>
      <c r="AC29" s="84"/>
      <c r="AD29" s="84"/>
    </row>
    <row r="30">
      <c r="A30" s="64"/>
      <c r="B30" s="73" t="str">
        <f>Economy!I76</f>
        <v>Supply and installation of Ledge with 25mm Ledge MR Premium and Smooth finish laminate </v>
      </c>
      <c r="C30" s="66">
        <v>5.0</v>
      </c>
      <c r="D30" s="66">
        <v>1.5</v>
      </c>
      <c r="E30" s="67">
        <f t="shared" si="28"/>
        <v>7.5</v>
      </c>
      <c r="F30" s="66" t="s">
        <v>683</v>
      </c>
      <c r="G30" s="68">
        <f t="shared" ref="G30:H30" si="30">C30*300</f>
        <v>1500</v>
      </c>
      <c r="H30" s="69">
        <f t="shared" si="30"/>
        <v>450</v>
      </c>
      <c r="I30" s="68" t="s">
        <v>684</v>
      </c>
      <c r="J30" s="70">
        <f>Economy!J76</f>
        <v>658</v>
      </c>
      <c r="K30" s="71">
        <v>1.0</v>
      </c>
      <c r="L30" s="72">
        <f t="shared" si="26"/>
        <v>4935</v>
      </c>
      <c r="M30" s="62"/>
      <c r="N30" s="62"/>
      <c r="O30" s="62"/>
      <c r="P30" s="62"/>
      <c r="Q30" s="62"/>
      <c r="R30" s="62"/>
      <c r="S30" s="62"/>
      <c r="T30" s="62"/>
      <c r="U30" s="62"/>
      <c r="V30" s="62"/>
      <c r="W30" s="62"/>
      <c r="X30" s="62"/>
      <c r="Y30" s="62"/>
      <c r="Z30" s="62"/>
      <c r="AA30" s="62"/>
      <c r="AB30" s="62"/>
      <c r="AC30" s="84"/>
      <c r="AD30" s="84"/>
    </row>
    <row r="31">
      <c r="A31" s="64"/>
      <c r="B31" s="73" t="str">
        <f>Economy!I50</f>
        <v>Supply and installation of Drawer Storage with MR Premium Carcass, HDF Shutter, Smooth finish laminate and soft close hinges  </v>
      </c>
      <c r="C31" s="66">
        <v>1.5</v>
      </c>
      <c r="D31" s="66">
        <v>1.5</v>
      </c>
      <c r="E31" s="67">
        <f t="shared" si="28"/>
        <v>2.25</v>
      </c>
      <c r="F31" s="66" t="s">
        <v>683</v>
      </c>
      <c r="G31" s="69">
        <f t="shared" ref="G31:H31" si="31">C31*300</f>
        <v>450</v>
      </c>
      <c r="H31" s="68">
        <f t="shared" si="31"/>
        <v>450</v>
      </c>
      <c r="I31" s="68" t="s">
        <v>684</v>
      </c>
      <c r="J31" s="70">
        <f>Economy!J46</f>
        <v>1375</v>
      </c>
      <c r="K31" s="71">
        <v>1.0</v>
      </c>
      <c r="L31" s="72">
        <f t="shared" si="26"/>
        <v>3093.75</v>
      </c>
      <c r="M31" s="74" t="s">
        <v>693</v>
      </c>
      <c r="N31" s="62"/>
      <c r="O31" s="62"/>
      <c r="P31" s="62"/>
      <c r="Q31" s="62"/>
      <c r="R31" s="62"/>
      <c r="S31" s="62"/>
      <c r="T31" s="62"/>
      <c r="U31" s="62"/>
      <c r="V31" s="62"/>
      <c r="W31" s="62"/>
      <c r="X31" s="62"/>
      <c r="Y31" s="62"/>
      <c r="Z31" s="62"/>
      <c r="AA31" s="62"/>
      <c r="AB31" s="62"/>
      <c r="AC31" s="43"/>
      <c r="AD31" s="43"/>
    </row>
    <row r="32">
      <c r="A32" s="64"/>
      <c r="B32" s="73" t="str">
        <f>Economy!I47</f>
        <v>Supply and installation of Wall storage unit with MR Premium Carcass, HDF Shutter, Smooth finish laminate and soft close hinges  </v>
      </c>
      <c r="C32" s="66">
        <v>2.0</v>
      </c>
      <c r="D32" s="66">
        <v>5.0</v>
      </c>
      <c r="E32" s="67">
        <f t="shared" si="28"/>
        <v>10</v>
      </c>
      <c r="F32" s="66" t="s">
        <v>683</v>
      </c>
      <c r="G32" s="69">
        <f t="shared" ref="G32:H32" si="32">C32*300</f>
        <v>600</v>
      </c>
      <c r="H32" s="68">
        <f t="shared" si="32"/>
        <v>1500</v>
      </c>
      <c r="I32" s="68" t="s">
        <v>684</v>
      </c>
      <c r="J32" s="70">
        <f>Economy!J46</f>
        <v>1375</v>
      </c>
      <c r="K32" s="71">
        <v>1.0</v>
      </c>
      <c r="L32" s="72">
        <f t="shared" si="26"/>
        <v>13750</v>
      </c>
      <c r="M32" s="74" t="s">
        <v>711</v>
      </c>
      <c r="N32" s="62"/>
      <c r="O32" s="62"/>
      <c r="P32" s="62"/>
      <c r="Q32" s="62"/>
      <c r="R32" s="62"/>
      <c r="S32" s="62"/>
      <c r="T32" s="62"/>
      <c r="U32" s="62"/>
      <c r="V32" s="62"/>
      <c r="W32" s="62"/>
      <c r="X32" s="62"/>
      <c r="Y32" s="62"/>
      <c r="Z32" s="62"/>
      <c r="AA32" s="62"/>
      <c r="AB32" s="62"/>
      <c r="AC32" s="43"/>
      <c r="AD32" s="43"/>
    </row>
    <row r="33">
      <c r="A33" s="64"/>
      <c r="B33" s="73" t="str">
        <f>Economy!I47</f>
        <v>Supply and installation of Wall storage unit with MR Premium Carcass, HDF Shutter, Smooth finish laminate and soft close hinges  </v>
      </c>
      <c r="C33" s="66">
        <v>1.75</v>
      </c>
      <c r="D33" s="66">
        <v>1.5</v>
      </c>
      <c r="E33" s="67">
        <f t="shared" si="28"/>
        <v>2.625</v>
      </c>
      <c r="F33" s="66" t="s">
        <v>683</v>
      </c>
      <c r="G33" s="69">
        <f t="shared" ref="G33:H33" si="33">C33*300</f>
        <v>525</v>
      </c>
      <c r="H33" s="68">
        <f t="shared" si="33"/>
        <v>450</v>
      </c>
      <c r="I33" s="68" t="s">
        <v>684</v>
      </c>
      <c r="J33" s="70">
        <f>Economy!J46</f>
        <v>1375</v>
      </c>
      <c r="K33" s="71">
        <v>1.0</v>
      </c>
      <c r="L33" s="72">
        <f t="shared" si="26"/>
        <v>3609.375</v>
      </c>
      <c r="M33" s="74" t="s">
        <v>693</v>
      </c>
      <c r="N33" s="62"/>
      <c r="O33" s="62"/>
      <c r="P33" s="62"/>
      <c r="Q33" s="62"/>
      <c r="R33" s="62"/>
      <c r="S33" s="62"/>
      <c r="T33" s="62"/>
      <c r="U33" s="62"/>
      <c r="V33" s="62"/>
      <c r="W33" s="62"/>
      <c r="X33" s="62"/>
      <c r="Y33" s="62"/>
      <c r="Z33" s="62"/>
      <c r="AA33" s="62"/>
      <c r="AB33" s="62"/>
      <c r="AC33" s="43"/>
      <c r="AD33" s="43"/>
    </row>
    <row r="34">
      <c r="A34" s="64"/>
      <c r="B34" s="82" t="str">
        <f>Economy!I82</f>
        <v>Supply and installation of Pelmet Panel with MR Premium Carcass, Smooth finish laminate </v>
      </c>
      <c r="C34" s="66">
        <v>4.0</v>
      </c>
      <c r="D34" s="66">
        <v>1.5</v>
      </c>
      <c r="E34" s="67">
        <f t="shared" si="28"/>
        <v>6</v>
      </c>
      <c r="F34" s="66" t="s">
        <v>683</v>
      </c>
      <c r="G34" s="69">
        <f t="shared" ref="G34:H34" si="34">C34*300</f>
        <v>1200</v>
      </c>
      <c r="H34" s="68">
        <f t="shared" si="34"/>
        <v>450</v>
      </c>
      <c r="I34" s="68" t="s">
        <v>684</v>
      </c>
      <c r="J34" s="60">
        <f>Economy!J81</f>
        <v>775</v>
      </c>
      <c r="K34" s="71">
        <v>1.0</v>
      </c>
      <c r="L34" s="72">
        <f t="shared" si="26"/>
        <v>4650</v>
      </c>
      <c r="M34" s="62"/>
      <c r="N34" s="62"/>
      <c r="O34" s="62"/>
      <c r="P34" s="62"/>
      <c r="Q34" s="62"/>
      <c r="R34" s="62"/>
      <c r="S34" s="62"/>
      <c r="T34" s="62"/>
      <c r="U34" s="62"/>
      <c r="V34" s="62"/>
      <c r="W34" s="62"/>
      <c r="X34" s="62"/>
      <c r="Y34" s="62"/>
      <c r="Z34" s="62"/>
      <c r="AA34" s="62"/>
      <c r="AB34" s="62"/>
      <c r="AC34" s="43"/>
      <c r="AD34" s="43"/>
    </row>
    <row r="35">
      <c r="A35" s="55"/>
      <c r="B35" s="109" t="s">
        <v>712</v>
      </c>
      <c r="C35" s="57"/>
      <c r="D35" s="57"/>
      <c r="E35" s="57"/>
      <c r="F35" s="57"/>
      <c r="G35" s="58"/>
      <c r="H35" s="59"/>
      <c r="I35" s="58"/>
      <c r="J35" s="60"/>
      <c r="K35" s="60"/>
      <c r="L35" s="58"/>
      <c r="M35" s="62"/>
      <c r="N35" s="62"/>
      <c r="O35" s="62"/>
      <c r="P35" s="62"/>
      <c r="Q35" s="62"/>
      <c r="R35" s="62"/>
      <c r="S35" s="62"/>
      <c r="T35" s="62"/>
      <c r="U35" s="62"/>
      <c r="V35" s="62"/>
      <c r="W35" s="62"/>
      <c r="X35" s="62"/>
      <c r="Y35" s="62"/>
      <c r="Z35" s="62"/>
      <c r="AA35" s="62"/>
      <c r="AB35" s="62"/>
      <c r="AC35" s="62"/>
      <c r="AD35" s="62"/>
    </row>
    <row r="36">
      <c r="A36" s="64"/>
      <c r="B36" s="82" t="str">
        <f>Economy!I49</f>
        <v>Supply and installation of Wardrobe with MR Premium Carcass, HDF Shutter, Smooth finish laminate and soft close hinges  </v>
      </c>
      <c r="C36" s="66">
        <v>5.75</v>
      </c>
      <c r="D36" s="66">
        <v>8.0</v>
      </c>
      <c r="E36" s="67">
        <f t="shared" ref="E36:E41" si="36">C36*D36</f>
        <v>46</v>
      </c>
      <c r="F36" s="66" t="s">
        <v>683</v>
      </c>
      <c r="G36" s="69">
        <f t="shared" ref="G36:H36" si="35">C36*300</f>
        <v>1725</v>
      </c>
      <c r="H36" s="68">
        <f t="shared" si="35"/>
        <v>2400</v>
      </c>
      <c r="I36" s="69" t="s">
        <v>684</v>
      </c>
      <c r="J36" s="70">
        <f>Economy!J46</f>
        <v>1375</v>
      </c>
      <c r="K36" s="71">
        <v>1.0</v>
      </c>
      <c r="L36" s="72">
        <f t="shared" ref="L36:L43" si="38">K36*J36*E36</f>
        <v>63250</v>
      </c>
      <c r="M36" s="62"/>
      <c r="N36" s="62"/>
      <c r="O36" s="62"/>
      <c r="P36" s="62"/>
      <c r="Q36" s="62"/>
      <c r="R36" s="62"/>
      <c r="S36" s="62"/>
      <c r="T36" s="62"/>
      <c r="U36" s="62"/>
      <c r="V36" s="62"/>
      <c r="W36" s="62"/>
      <c r="X36" s="62"/>
      <c r="Y36" s="62"/>
      <c r="Z36" s="62"/>
      <c r="AA36" s="62"/>
      <c r="AB36" s="62"/>
      <c r="AC36" s="43"/>
      <c r="AD36" s="43"/>
    </row>
    <row r="37">
      <c r="A37" s="64"/>
      <c r="B37" s="65" t="str">
        <f>Economy!I46</f>
        <v>Supply and installation of Base storage unit with MR Premium Carcass, HDF Shutter, Smooth finish laminate and soft close hinges  </v>
      </c>
      <c r="C37" s="66">
        <v>5.5</v>
      </c>
      <c r="D37" s="66">
        <v>2.0</v>
      </c>
      <c r="E37" s="67">
        <f t="shared" si="36"/>
        <v>11</v>
      </c>
      <c r="F37" s="66" t="s">
        <v>683</v>
      </c>
      <c r="G37" s="69">
        <f t="shared" ref="G37:H37" si="37">C37*300</f>
        <v>1650</v>
      </c>
      <c r="H37" s="68">
        <f t="shared" si="37"/>
        <v>600</v>
      </c>
      <c r="I37" s="69" t="s">
        <v>684</v>
      </c>
      <c r="J37" s="70">
        <f>Economy!J46</f>
        <v>1375</v>
      </c>
      <c r="K37" s="71">
        <v>1.0</v>
      </c>
      <c r="L37" s="72">
        <f t="shared" si="38"/>
        <v>15125</v>
      </c>
      <c r="M37" s="62"/>
      <c r="N37" s="62"/>
      <c r="O37" s="62"/>
      <c r="P37" s="62"/>
      <c r="Q37" s="62"/>
      <c r="R37" s="62"/>
      <c r="S37" s="62"/>
      <c r="T37" s="62"/>
      <c r="U37" s="62"/>
      <c r="V37" s="62"/>
      <c r="W37" s="62"/>
      <c r="X37" s="62"/>
      <c r="Y37" s="62"/>
      <c r="Z37" s="62"/>
      <c r="AA37" s="62"/>
      <c r="AB37" s="62"/>
      <c r="AC37" s="43"/>
      <c r="AD37" s="43"/>
    </row>
    <row r="38">
      <c r="A38" s="64"/>
      <c r="B38" s="82" t="str">
        <f>Economy!I75</f>
        <v>Supply and installation of Loft Frame and Shutter unit with MR Premium Frame, HDF Shutter, Smooth finish laminate and Soft Close hinges  </v>
      </c>
      <c r="C38" s="66">
        <v>11.25</v>
      </c>
      <c r="D38" s="66">
        <v>1.5</v>
      </c>
      <c r="E38" s="67">
        <f t="shared" si="36"/>
        <v>16.875</v>
      </c>
      <c r="F38" s="66" t="s">
        <v>683</v>
      </c>
      <c r="G38" s="68">
        <f t="shared" ref="G38:H38" si="39">C38*300</f>
        <v>3375</v>
      </c>
      <c r="H38" s="68">
        <f t="shared" si="39"/>
        <v>450</v>
      </c>
      <c r="I38" s="68" t="s">
        <v>684</v>
      </c>
      <c r="J38" s="70">
        <f>Economy!J75</f>
        <v>772</v>
      </c>
      <c r="K38" s="71">
        <v>1.0</v>
      </c>
      <c r="L38" s="72">
        <f t="shared" si="38"/>
        <v>13027.5</v>
      </c>
      <c r="M38" s="62"/>
      <c r="N38" s="62"/>
      <c r="O38" s="62"/>
      <c r="P38" s="62"/>
      <c r="Q38" s="62"/>
      <c r="R38" s="62"/>
      <c r="S38" s="62"/>
      <c r="T38" s="62"/>
      <c r="U38" s="62"/>
      <c r="V38" s="62"/>
      <c r="W38" s="62"/>
      <c r="X38" s="62"/>
      <c r="Y38" s="62"/>
      <c r="Z38" s="62"/>
      <c r="AA38" s="62"/>
      <c r="AB38" s="62"/>
      <c r="AC38" s="84"/>
      <c r="AD38" s="84"/>
    </row>
    <row r="39">
      <c r="A39" s="64"/>
      <c r="B39" s="82" t="str">
        <f>Economy!I85</f>
        <v>Supply and installation of Base Panel with MR Premium Carcass, Smooth finish laminate </v>
      </c>
      <c r="C39" s="66">
        <v>7.5</v>
      </c>
      <c r="D39" s="66">
        <v>2.0</v>
      </c>
      <c r="E39" s="67">
        <f t="shared" si="36"/>
        <v>15</v>
      </c>
      <c r="F39" s="66" t="s">
        <v>683</v>
      </c>
      <c r="G39" s="68">
        <f t="shared" ref="G39:H39" si="40">C39*300</f>
        <v>2250</v>
      </c>
      <c r="H39" s="68">
        <f t="shared" si="40"/>
        <v>600</v>
      </c>
      <c r="I39" s="68" t="s">
        <v>684</v>
      </c>
      <c r="J39" s="60">
        <f>Economy!J81</f>
        <v>775</v>
      </c>
      <c r="K39" s="71">
        <v>1.0</v>
      </c>
      <c r="L39" s="72">
        <f t="shared" si="38"/>
        <v>11625</v>
      </c>
      <c r="M39" s="62"/>
      <c r="N39" s="62"/>
      <c r="O39" s="62"/>
      <c r="P39" s="62"/>
      <c r="Q39" s="62"/>
      <c r="R39" s="62"/>
      <c r="S39" s="62"/>
      <c r="T39" s="62"/>
      <c r="U39" s="62"/>
      <c r="V39" s="62"/>
      <c r="W39" s="62"/>
      <c r="X39" s="62"/>
      <c r="Y39" s="62"/>
      <c r="Z39" s="62"/>
      <c r="AA39" s="62"/>
      <c r="AB39" s="62"/>
      <c r="AC39" s="84"/>
      <c r="AD39" s="84"/>
    </row>
    <row r="40">
      <c r="A40" s="64"/>
      <c r="B40" s="73" t="str">
        <f>Economy!I76</f>
        <v>Supply and installation of Ledge with 25mm Ledge MR Premium and Smooth finish laminate </v>
      </c>
      <c r="C40" s="66">
        <v>3.0</v>
      </c>
      <c r="D40" s="66">
        <v>1.0</v>
      </c>
      <c r="E40" s="67">
        <f t="shared" si="36"/>
        <v>3</v>
      </c>
      <c r="F40" s="66" t="s">
        <v>683</v>
      </c>
      <c r="G40" s="68">
        <f t="shared" ref="G40:H40" si="41">C40*300</f>
        <v>900</v>
      </c>
      <c r="H40" s="69">
        <f t="shared" si="41"/>
        <v>300</v>
      </c>
      <c r="I40" s="68" t="s">
        <v>684</v>
      </c>
      <c r="J40" s="70">
        <f>Economy!J76</f>
        <v>658</v>
      </c>
      <c r="K40" s="71">
        <v>1.0</v>
      </c>
      <c r="L40" s="72">
        <f t="shared" si="38"/>
        <v>1974</v>
      </c>
      <c r="M40" s="62"/>
      <c r="N40" s="62"/>
      <c r="O40" s="62"/>
      <c r="P40" s="62"/>
      <c r="Q40" s="62"/>
      <c r="R40" s="62"/>
      <c r="S40" s="62"/>
      <c r="T40" s="62"/>
      <c r="U40" s="62"/>
      <c r="V40" s="62"/>
      <c r="W40" s="62"/>
      <c r="X40" s="62"/>
      <c r="Y40" s="62"/>
      <c r="Z40" s="62"/>
      <c r="AA40" s="62"/>
      <c r="AB40" s="62"/>
      <c r="AC40" s="84"/>
      <c r="AD40" s="84"/>
    </row>
    <row r="41">
      <c r="A41" s="64"/>
      <c r="B41" s="73" t="str">
        <f>Economy!I80</f>
        <v>Supply and installation of Chamfered Wall Panel with MR Premium Carcass, Smooth finish laminate </v>
      </c>
      <c r="C41" s="66">
        <v>2.0</v>
      </c>
      <c r="D41" s="66">
        <v>3.5</v>
      </c>
      <c r="E41" s="67">
        <f t="shared" si="36"/>
        <v>7</v>
      </c>
      <c r="F41" s="66" t="s">
        <v>683</v>
      </c>
      <c r="G41" s="69">
        <f t="shared" ref="G41:H41" si="42">C41*300</f>
        <v>600</v>
      </c>
      <c r="H41" s="69">
        <f t="shared" si="42"/>
        <v>1050</v>
      </c>
      <c r="I41" s="68" t="s">
        <v>684</v>
      </c>
      <c r="J41" s="60">
        <f>Economy!J46</f>
        <v>1375</v>
      </c>
      <c r="K41" s="71">
        <v>1.0</v>
      </c>
      <c r="L41" s="72">
        <f t="shared" si="38"/>
        <v>9625</v>
      </c>
      <c r="M41" s="74" t="s">
        <v>713</v>
      </c>
      <c r="N41" s="62"/>
      <c r="O41" s="62"/>
      <c r="P41" s="62"/>
      <c r="Q41" s="62"/>
      <c r="R41" s="62"/>
      <c r="S41" s="62"/>
      <c r="T41" s="62"/>
      <c r="U41" s="62"/>
      <c r="V41" s="62"/>
      <c r="W41" s="62"/>
      <c r="X41" s="62"/>
      <c r="Y41" s="62"/>
      <c r="Z41" s="62"/>
      <c r="AA41" s="62"/>
      <c r="AB41" s="62"/>
      <c r="AC41" s="43"/>
      <c r="AD41" s="43"/>
    </row>
    <row r="42">
      <c r="A42" s="75"/>
      <c r="B42" s="73" t="str">
        <f>Economy!I50</f>
        <v>Supply and installation of Drawer Storage with MR Premium Carcass, HDF Shutter, Smooth finish laminate and soft close hinges  </v>
      </c>
      <c r="C42" s="66">
        <v>2.0</v>
      </c>
      <c r="D42" s="66">
        <v>1.5</v>
      </c>
      <c r="E42" s="85">
        <v>7.1</v>
      </c>
      <c r="F42" s="66" t="s">
        <v>683</v>
      </c>
      <c r="G42" s="86">
        <v>1425.0</v>
      </c>
      <c r="H42" s="86">
        <v>450.0</v>
      </c>
      <c r="I42" s="77" t="s">
        <v>684</v>
      </c>
      <c r="J42" s="70">
        <f>Economy!J46</f>
        <v>1375</v>
      </c>
      <c r="K42" s="79">
        <v>1.0</v>
      </c>
      <c r="L42" s="72">
        <f t="shared" si="38"/>
        <v>9762.5</v>
      </c>
      <c r="M42" s="43"/>
      <c r="N42" s="43"/>
      <c r="O42" s="43"/>
      <c r="P42" s="43"/>
      <c r="Q42" s="43"/>
      <c r="R42" s="43"/>
      <c r="S42" s="62"/>
      <c r="T42" s="62"/>
      <c r="U42" s="62"/>
      <c r="V42" s="62"/>
      <c r="W42" s="62"/>
      <c r="X42" s="62"/>
      <c r="Y42" s="62"/>
      <c r="Z42" s="62"/>
      <c r="AA42" s="62"/>
      <c r="AB42" s="62"/>
      <c r="AC42" s="84"/>
      <c r="AD42" s="84"/>
    </row>
    <row r="43">
      <c r="A43" s="64"/>
      <c r="B43" s="82" t="str">
        <f>Economy!I82</f>
        <v>Supply and installation of Pelmet Panel with MR Premium Carcass, Smooth finish laminate </v>
      </c>
      <c r="C43" s="66">
        <v>4.0</v>
      </c>
      <c r="D43" s="66">
        <v>1.5</v>
      </c>
      <c r="E43" s="67">
        <f>C43*D43</f>
        <v>6</v>
      </c>
      <c r="F43" s="66" t="s">
        <v>683</v>
      </c>
      <c r="G43" s="69">
        <f t="shared" ref="G43:H43" si="43">C43*300</f>
        <v>1200</v>
      </c>
      <c r="H43" s="69">
        <f t="shared" si="43"/>
        <v>450</v>
      </c>
      <c r="I43" s="68" t="s">
        <v>684</v>
      </c>
      <c r="J43" s="60">
        <f>Economy!J81</f>
        <v>775</v>
      </c>
      <c r="K43" s="71">
        <v>1.0</v>
      </c>
      <c r="L43" s="72">
        <f t="shared" si="38"/>
        <v>4650</v>
      </c>
      <c r="M43" s="62"/>
      <c r="N43" s="62"/>
      <c r="O43" s="62"/>
      <c r="P43" s="62"/>
      <c r="Q43" s="62"/>
      <c r="R43" s="62"/>
      <c r="S43" s="62"/>
      <c r="T43" s="62"/>
      <c r="U43" s="62"/>
      <c r="V43" s="62"/>
      <c r="W43" s="62"/>
      <c r="X43" s="62"/>
      <c r="Y43" s="62"/>
      <c r="Z43" s="62"/>
      <c r="AA43" s="62"/>
      <c r="AB43" s="62"/>
      <c r="AC43" s="43"/>
      <c r="AD43" s="43"/>
    </row>
    <row r="44">
      <c r="A44" s="55"/>
      <c r="B44" s="56" t="s">
        <v>697</v>
      </c>
      <c r="C44" s="57"/>
      <c r="D44" s="57"/>
      <c r="E44" s="57"/>
      <c r="F44" s="57"/>
      <c r="G44" s="58"/>
      <c r="H44" s="58"/>
      <c r="I44" s="59"/>
      <c r="J44" s="60"/>
      <c r="K44" s="60"/>
      <c r="L44" s="58"/>
      <c r="M44" s="62"/>
      <c r="N44" s="62"/>
      <c r="O44" s="62"/>
      <c r="P44" s="62"/>
      <c r="Q44" s="62"/>
      <c r="R44" s="62"/>
      <c r="S44" s="62"/>
      <c r="T44" s="62"/>
      <c r="U44" s="62"/>
      <c r="V44" s="62"/>
      <c r="W44" s="62"/>
      <c r="X44" s="62"/>
      <c r="Y44" s="62"/>
      <c r="Z44" s="62"/>
      <c r="AA44" s="62"/>
      <c r="AB44" s="62"/>
      <c r="AC44" s="62"/>
      <c r="AD44" s="62"/>
    </row>
    <row r="45">
      <c r="A45" s="64"/>
      <c r="B45" s="82" t="str">
        <f>Economy!I49</f>
        <v>Supply and installation of Wardrobe with MR Premium Carcass, HDF Shutter, Smooth finish laminate and soft close hinges  </v>
      </c>
      <c r="C45" s="66">
        <v>6.5</v>
      </c>
      <c r="D45" s="66">
        <v>7.0</v>
      </c>
      <c r="E45" s="67">
        <f t="shared" ref="E45:E47" si="45">C45*D45</f>
        <v>45.5</v>
      </c>
      <c r="F45" s="66" t="s">
        <v>683</v>
      </c>
      <c r="G45" s="69">
        <f t="shared" ref="G45:H45" si="44">C45*300</f>
        <v>1950</v>
      </c>
      <c r="H45" s="69">
        <f t="shared" si="44"/>
        <v>2100</v>
      </c>
      <c r="I45" s="68" t="s">
        <v>684</v>
      </c>
      <c r="J45" s="70">
        <f>Economy!J46</f>
        <v>1375</v>
      </c>
      <c r="K45" s="71">
        <v>1.0</v>
      </c>
      <c r="L45" s="72">
        <f t="shared" ref="L45:L54" si="47">K45*J45*E45</f>
        <v>62562.5</v>
      </c>
      <c r="M45" s="62"/>
      <c r="N45" s="62"/>
      <c r="O45" s="62"/>
      <c r="P45" s="62"/>
      <c r="Q45" s="62"/>
      <c r="R45" s="62"/>
      <c r="S45" s="62"/>
      <c r="T45" s="62"/>
      <c r="U45" s="62"/>
      <c r="V45" s="62"/>
      <c r="W45" s="62"/>
      <c r="X45" s="62"/>
      <c r="Y45" s="62"/>
      <c r="Z45" s="62"/>
      <c r="AA45" s="62"/>
      <c r="AB45" s="62"/>
      <c r="AC45" s="43"/>
      <c r="AD45" s="43"/>
    </row>
    <row r="46">
      <c r="A46" s="64"/>
      <c r="B46" s="73" t="str">
        <f>Economy!I76</f>
        <v>Supply and installation of Ledge with 25mm Ledge MR Premium and Smooth finish laminate </v>
      </c>
      <c r="C46" s="66">
        <v>10.25</v>
      </c>
      <c r="D46" s="66">
        <v>2.25</v>
      </c>
      <c r="E46" s="67">
        <f t="shared" si="45"/>
        <v>23.0625</v>
      </c>
      <c r="F46" s="66" t="s">
        <v>683</v>
      </c>
      <c r="G46" s="69">
        <f t="shared" ref="G46:H46" si="46">C46*300</f>
        <v>3075</v>
      </c>
      <c r="H46" s="69">
        <f t="shared" si="46"/>
        <v>675</v>
      </c>
      <c r="I46" s="68" t="s">
        <v>684</v>
      </c>
      <c r="J46" s="70">
        <f>Economy!J75</f>
        <v>772</v>
      </c>
      <c r="K46" s="71">
        <v>1.0</v>
      </c>
      <c r="L46" s="72">
        <f t="shared" si="47"/>
        <v>17804.25</v>
      </c>
      <c r="M46" s="62"/>
      <c r="N46" s="62"/>
      <c r="O46" s="62"/>
      <c r="P46" s="62"/>
      <c r="Q46" s="62"/>
      <c r="R46" s="62"/>
      <c r="S46" s="62"/>
      <c r="T46" s="62"/>
      <c r="U46" s="62"/>
      <c r="V46" s="62"/>
      <c r="W46" s="62"/>
      <c r="X46" s="62"/>
      <c r="Y46" s="62"/>
      <c r="Z46" s="62"/>
      <c r="AA46" s="62"/>
      <c r="AB46" s="62"/>
      <c r="AC46" s="84"/>
      <c r="AD46" s="84"/>
    </row>
    <row r="47">
      <c r="A47" s="64"/>
      <c r="B47" s="82" t="str">
        <f>Economy!I85</f>
        <v>Supply and installation of Base Panel with MR Premium Carcass, Smooth finish laminate </v>
      </c>
      <c r="C47" s="66">
        <v>3.0</v>
      </c>
      <c r="D47" s="66">
        <v>2.0</v>
      </c>
      <c r="E47" s="67">
        <f t="shared" si="45"/>
        <v>6</v>
      </c>
      <c r="F47" s="66" t="s">
        <v>683</v>
      </c>
      <c r="G47" s="69">
        <f t="shared" ref="G47:H47" si="48">C47*300</f>
        <v>900</v>
      </c>
      <c r="H47" s="69">
        <f t="shared" si="48"/>
        <v>600</v>
      </c>
      <c r="I47" s="68" t="s">
        <v>684</v>
      </c>
      <c r="J47" s="60">
        <f>Economy!J81</f>
        <v>775</v>
      </c>
      <c r="K47" s="71">
        <v>1.0</v>
      </c>
      <c r="L47" s="72">
        <f t="shared" si="47"/>
        <v>4650</v>
      </c>
      <c r="M47" s="62"/>
      <c r="N47" s="62"/>
      <c r="O47" s="62"/>
      <c r="P47" s="62"/>
      <c r="Q47" s="62"/>
      <c r="R47" s="62"/>
      <c r="S47" s="62"/>
      <c r="T47" s="62"/>
      <c r="U47" s="62"/>
      <c r="V47" s="62"/>
      <c r="W47" s="62"/>
      <c r="X47" s="62"/>
      <c r="Y47" s="62"/>
      <c r="Z47" s="62"/>
      <c r="AA47" s="62"/>
      <c r="AB47" s="62"/>
      <c r="AC47" s="84"/>
      <c r="AD47" s="84"/>
    </row>
    <row r="48">
      <c r="A48" s="64"/>
      <c r="B48" s="82" t="str">
        <f>Economy!I48</f>
        <v>Supply and installation of Tall storage unit with MR Premium Carcass, HDF Shutter, Smooth finish laminate and soft close hinges  </v>
      </c>
      <c r="C48" s="66">
        <v>2.25</v>
      </c>
      <c r="D48" s="66">
        <v>5.0</v>
      </c>
      <c r="E48" s="67">
        <v>15.0</v>
      </c>
      <c r="F48" s="66" t="s">
        <v>683</v>
      </c>
      <c r="G48" s="69">
        <f t="shared" ref="G48:H48" si="49">C48*300</f>
        <v>675</v>
      </c>
      <c r="H48" s="69">
        <f t="shared" si="49"/>
        <v>1500</v>
      </c>
      <c r="I48" s="68" t="s">
        <v>684</v>
      </c>
      <c r="J48" s="70">
        <f>Economy!J46</f>
        <v>1375</v>
      </c>
      <c r="K48" s="71">
        <v>1.0</v>
      </c>
      <c r="L48" s="72">
        <f t="shared" si="47"/>
        <v>20625</v>
      </c>
      <c r="M48" s="87" t="s">
        <v>698</v>
      </c>
      <c r="N48" s="62"/>
      <c r="O48" s="62"/>
      <c r="P48" s="62"/>
      <c r="Q48" s="62"/>
      <c r="R48" s="62"/>
      <c r="S48" s="62"/>
      <c r="T48" s="62"/>
      <c r="U48" s="62"/>
      <c r="V48" s="62"/>
      <c r="W48" s="62"/>
      <c r="X48" s="62"/>
      <c r="Y48" s="62"/>
      <c r="Z48" s="62"/>
      <c r="AA48" s="62"/>
      <c r="AB48" s="62"/>
      <c r="AC48" s="43"/>
      <c r="AD48" s="43"/>
    </row>
    <row r="49">
      <c r="A49" s="75"/>
      <c r="B49" s="73" t="str">
        <f>Economy!I50</f>
        <v>Supply and installation of Drawer Storage with MR Premium Carcass, HDF Shutter, Smooth finish laminate and soft close hinges  </v>
      </c>
      <c r="C49" s="66">
        <v>2.25</v>
      </c>
      <c r="D49" s="66">
        <v>1.5</v>
      </c>
      <c r="E49" s="85">
        <v>7.1</v>
      </c>
      <c r="F49" s="66" t="s">
        <v>683</v>
      </c>
      <c r="G49" s="69">
        <f t="shared" ref="G49:G54" si="50">C49*300</f>
        <v>675</v>
      </c>
      <c r="H49" s="86">
        <v>450.0</v>
      </c>
      <c r="I49" s="77" t="s">
        <v>684</v>
      </c>
      <c r="J49" s="70">
        <f>Economy!J46</f>
        <v>1375</v>
      </c>
      <c r="K49" s="79">
        <v>1.0</v>
      </c>
      <c r="L49" s="72">
        <f t="shared" si="47"/>
        <v>9762.5</v>
      </c>
      <c r="M49" s="43"/>
      <c r="N49" s="43"/>
      <c r="O49" s="43"/>
      <c r="P49" s="43"/>
      <c r="Q49" s="43"/>
      <c r="R49" s="43"/>
      <c r="S49" s="62"/>
      <c r="T49" s="62"/>
      <c r="U49" s="62"/>
      <c r="V49" s="62"/>
      <c r="W49" s="62"/>
      <c r="X49" s="62"/>
      <c r="Y49" s="62"/>
      <c r="Z49" s="62"/>
      <c r="AA49" s="62"/>
      <c r="AB49" s="62"/>
      <c r="AC49" s="84"/>
      <c r="AD49" s="84"/>
    </row>
    <row r="50">
      <c r="A50" s="64"/>
      <c r="B50" s="73" t="str">
        <f>Economy!I76</f>
        <v>Supply and installation of Ledge with 25mm Ledge MR Premium and Smooth finish laminate </v>
      </c>
      <c r="C50" s="66">
        <v>6.0</v>
      </c>
      <c r="D50" s="66">
        <v>2.0</v>
      </c>
      <c r="E50" s="67">
        <f t="shared" ref="E50:E54" si="51">C50*D50</f>
        <v>12</v>
      </c>
      <c r="F50" s="66" t="s">
        <v>683</v>
      </c>
      <c r="G50" s="69">
        <f t="shared" si="50"/>
        <v>1800</v>
      </c>
      <c r="H50" s="69">
        <f t="shared" ref="H50:H54" si="52">D50*300</f>
        <v>600</v>
      </c>
      <c r="I50" s="68" t="s">
        <v>684</v>
      </c>
      <c r="J50" s="70">
        <f>Economy!J76</f>
        <v>658</v>
      </c>
      <c r="K50" s="71">
        <v>1.0</v>
      </c>
      <c r="L50" s="72">
        <f t="shared" si="47"/>
        <v>7896</v>
      </c>
      <c r="M50" s="62"/>
      <c r="N50" s="62"/>
      <c r="O50" s="62"/>
      <c r="P50" s="62"/>
      <c r="Q50" s="62"/>
      <c r="R50" s="62"/>
      <c r="S50" s="62"/>
      <c r="T50" s="62"/>
      <c r="U50" s="62"/>
      <c r="V50" s="62"/>
      <c r="W50" s="62"/>
      <c r="X50" s="62"/>
      <c r="Y50" s="62"/>
      <c r="Z50" s="62"/>
      <c r="AA50" s="62"/>
      <c r="AB50" s="62"/>
      <c r="AC50" s="84"/>
      <c r="AD50" s="84"/>
    </row>
    <row r="51">
      <c r="A51" s="64"/>
      <c r="B51" s="73" t="str">
        <f>Economy!I52</f>
        <v>Supply and installation of Wall storage - Inner 1mm unit  with MR Premium Carcass, HDF Shutter, Smooth finish laminate and soft close hinges  </v>
      </c>
      <c r="C51" s="66">
        <v>1.75</v>
      </c>
      <c r="D51" s="66">
        <v>4.5</v>
      </c>
      <c r="E51" s="67">
        <f t="shared" si="51"/>
        <v>7.875</v>
      </c>
      <c r="F51" s="66" t="s">
        <v>683</v>
      </c>
      <c r="G51" s="69">
        <f t="shared" si="50"/>
        <v>525</v>
      </c>
      <c r="H51" s="69">
        <f t="shared" si="52"/>
        <v>1350</v>
      </c>
      <c r="I51" s="68" t="s">
        <v>684</v>
      </c>
      <c r="J51" s="70">
        <f>Economy!J46</f>
        <v>1375</v>
      </c>
      <c r="K51" s="71">
        <v>1.0</v>
      </c>
      <c r="L51" s="72">
        <f t="shared" si="47"/>
        <v>10828.125</v>
      </c>
      <c r="M51" s="62"/>
      <c r="N51" s="62"/>
      <c r="O51" s="62"/>
      <c r="P51" s="62"/>
      <c r="Q51" s="62"/>
      <c r="R51" s="62"/>
      <c r="S51" s="62"/>
      <c r="T51" s="62"/>
      <c r="U51" s="62"/>
      <c r="V51" s="62"/>
      <c r="W51" s="62"/>
      <c r="X51" s="62"/>
      <c r="Y51" s="62"/>
      <c r="Z51" s="62"/>
      <c r="AA51" s="62"/>
      <c r="AB51" s="62"/>
      <c r="AC51" s="43"/>
      <c r="AD51" s="43"/>
    </row>
    <row r="52">
      <c r="A52" s="64"/>
      <c r="B52" s="73" t="str">
        <f>Economy!I51</f>
        <v>Supply and installation of Base storage - Inner 1mm unit  with MR Premium Carcass, HDF Shutter, Smooth finish laminate and soft close hinges  </v>
      </c>
      <c r="C52" s="66">
        <v>1.75</v>
      </c>
      <c r="D52" s="66">
        <v>2.0</v>
      </c>
      <c r="E52" s="67">
        <f t="shared" si="51"/>
        <v>3.5</v>
      </c>
      <c r="F52" s="66" t="s">
        <v>683</v>
      </c>
      <c r="G52" s="69">
        <f t="shared" si="50"/>
        <v>525</v>
      </c>
      <c r="H52" s="69">
        <f t="shared" si="52"/>
        <v>600</v>
      </c>
      <c r="I52" s="68" t="s">
        <v>684</v>
      </c>
      <c r="J52" s="70">
        <f>Economy!J51</f>
        <v>1525</v>
      </c>
      <c r="K52" s="71">
        <v>1.0</v>
      </c>
      <c r="L52" s="72">
        <f t="shared" si="47"/>
        <v>5337.5</v>
      </c>
      <c r="M52" s="62"/>
      <c r="N52" s="62"/>
      <c r="O52" s="62"/>
      <c r="P52" s="62"/>
      <c r="Q52" s="62"/>
      <c r="R52" s="62"/>
      <c r="S52" s="62"/>
      <c r="T52" s="62"/>
      <c r="U52" s="62"/>
      <c r="V52" s="62"/>
      <c r="W52" s="62"/>
      <c r="X52" s="62"/>
      <c r="Y52" s="62"/>
      <c r="Z52" s="62"/>
      <c r="AA52" s="62"/>
      <c r="AB52" s="62"/>
      <c r="AC52" s="43"/>
      <c r="AD52" s="43"/>
    </row>
    <row r="53">
      <c r="A53" s="64"/>
      <c r="B53" s="73" t="str">
        <f>Economy!I76</f>
        <v>Supply and installation of Ledge with 25mm Ledge MR Premium and Smooth finish laminate </v>
      </c>
      <c r="C53" s="66">
        <v>4.0</v>
      </c>
      <c r="D53" s="66">
        <v>1.0</v>
      </c>
      <c r="E53" s="67">
        <f t="shared" si="51"/>
        <v>4</v>
      </c>
      <c r="F53" s="66" t="s">
        <v>683</v>
      </c>
      <c r="G53" s="69">
        <f t="shared" si="50"/>
        <v>1200</v>
      </c>
      <c r="H53" s="69">
        <f t="shared" si="52"/>
        <v>300</v>
      </c>
      <c r="I53" s="68" t="s">
        <v>684</v>
      </c>
      <c r="J53" s="70">
        <f>Economy!J76</f>
        <v>658</v>
      </c>
      <c r="K53" s="71">
        <v>1.0</v>
      </c>
      <c r="L53" s="72">
        <f t="shared" si="47"/>
        <v>2632</v>
      </c>
      <c r="M53" s="62"/>
      <c r="N53" s="62"/>
      <c r="O53" s="62"/>
      <c r="P53" s="62"/>
      <c r="Q53" s="62"/>
      <c r="R53" s="62"/>
      <c r="S53" s="62"/>
      <c r="T53" s="62"/>
      <c r="U53" s="62"/>
      <c r="V53" s="62"/>
      <c r="W53" s="62"/>
      <c r="X53" s="62"/>
      <c r="Y53" s="62"/>
      <c r="Z53" s="62"/>
      <c r="AA53" s="62"/>
      <c r="AB53" s="62"/>
      <c r="AC53" s="84"/>
      <c r="AD53" s="84"/>
    </row>
    <row r="54">
      <c r="A54" s="64"/>
      <c r="B54" s="73" t="str">
        <f>Economy!I82</f>
        <v>Supply and installation of Pelmet Panel with MR Premium Carcass, Smooth finish laminate </v>
      </c>
      <c r="C54" s="66">
        <v>4.0</v>
      </c>
      <c r="D54" s="66">
        <v>1.5</v>
      </c>
      <c r="E54" s="67">
        <f t="shared" si="51"/>
        <v>6</v>
      </c>
      <c r="F54" s="66" t="s">
        <v>683</v>
      </c>
      <c r="G54" s="69">
        <f t="shared" si="50"/>
        <v>1200</v>
      </c>
      <c r="H54" s="69">
        <f t="shared" si="52"/>
        <v>450</v>
      </c>
      <c r="I54" s="68" t="s">
        <v>684</v>
      </c>
      <c r="J54" s="60">
        <f>Economy!J81</f>
        <v>775</v>
      </c>
      <c r="K54" s="71">
        <v>1.0</v>
      </c>
      <c r="L54" s="72">
        <f t="shared" si="47"/>
        <v>4650</v>
      </c>
      <c r="M54" s="62"/>
      <c r="N54" s="62"/>
      <c r="O54" s="62"/>
      <c r="P54" s="62"/>
      <c r="Q54" s="62"/>
      <c r="R54" s="62"/>
      <c r="S54" s="62"/>
      <c r="T54" s="62"/>
      <c r="U54" s="62"/>
      <c r="V54" s="62"/>
      <c r="W54" s="62"/>
      <c r="X54" s="62"/>
      <c r="Y54" s="62"/>
      <c r="Z54" s="62"/>
      <c r="AA54" s="62"/>
      <c r="AB54" s="62"/>
      <c r="AC54" s="43"/>
      <c r="AD54" s="43"/>
    </row>
    <row r="55">
      <c r="A55" s="55"/>
      <c r="B55" s="56" t="s">
        <v>699</v>
      </c>
      <c r="C55" s="57"/>
      <c r="D55" s="57"/>
      <c r="E55" s="57"/>
      <c r="F55" s="57"/>
      <c r="G55" s="58"/>
      <c r="H55" s="58"/>
      <c r="I55" s="59"/>
      <c r="J55" s="60"/>
      <c r="K55" s="60"/>
      <c r="L55" s="58"/>
      <c r="M55" s="62"/>
      <c r="N55" s="62"/>
      <c r="O55" s="62"/>
      <c r="P55" s="62"/>
      <c r="Q55" s="62"/>
      <c r="R55" s="62"/>
      <c r="S55" s="62"/>
      <c r="T55" s="62"/>
      <c r="U55" s="62"/>
      <c r="V55" s="62"/>
      <c r="W55" s="62"/>
      <c r="X55" s="62"/>
      <c r="Y55" s="62"/>
      <c r="Z55" s="62"/>
      <c r="AA55" s="62"/>
      <c r="AB55" s="62"/>
      <c r="AC55" s="62"/>
      <c r="AD55" s="62"/>
    </row>
    <row r="56">
      <c r="A56" s="64"/>
      <c r="B56" s="82" t="str">
        <f>Economy!I5</f>
        <v>Supply and installation of Tall storage unit with BWP Carcass, HDF Shutter, Smooth finish laminate and soft close hinges  </v>
      </c>
      <c r="C56" s="66">
        <v>2.0</v>
      </c>
      <c r="D56" s="66">
        <v>6.0</v>
      </c>
      <c r="E56" s="67">
        <f>C56*D56</f>
        <v>12</v>
      </c>
      <c r="F56" s="66" t="s">
        <v>683</v>
      </c>
      <c r="G56" s="68">
        <f t="shared" ref="G56:H56" si="53">C56*300</f>
        <v>600</v>
      </c>
      <c r="H56" s="69">
        <f t="shared" si="53"/>
        <v>1800</v>
      </c>
      <c r="I56" s="68" t="s">
        <v>684</v>
      </c>
      <c r="J56" s="70">
        <f>Economy!J3</f>
        <v>1475</v>
      </c>
      <c r="K56" s="71">
        <v>1.0</v>
      </c>
      <c r="L56" s="72">
        <f>K56*J56*E56</f>
        <v>17700</v>
      </c>
      <c r="M56" s="62"/>
      <c r="N56" s="62"/>
      <c r="O56" s="62"/>
      <c r="P56" s="62"/>
      <c r="Q56" s="62"/>
      <c r="R56" s="62"/>
      <c r="S56" s="62"/>
      <c r="T56" s="62"/>
      <c r="U56" s="62"/>
      <c r="V56" s="62"/>
      <c r="W56" s="62"/>
      <c r="X56" s="62"/>
      <c r="Y56" s="62"/>
      <c r="Z56" s="62"/>
      <c r="AA56" s="62"/>
      <c r="AB56" s="62"/>
      <c r="AC56" s="43"/>
      <c r="AD56" s="43"/>
    </row>
    <row r="57">
      <c r="A57" s="55"/>
      <c r="B57" s="56" t="s">
        <v>700</v>
      </c>
      <c r="C57" s="57"/>
      <c r="D57" s="57"/>
      <c r="E57" s="57"/>
      <c r="F57" s="57"/>
      <c r="G57" s="59"/>
      <c r="H57" s="59"/>
      <c r="I57" s="59"/>
      <c r="J57" s="60"/>
      <c r="K57" s="60"/>
      <c r="L57" s="58"/>
      <c r="M57" s="62"/>
      <c r="N57" s="62"/>
      <c r="O57" s="62"/>
      <c r="P57" s="62"/>
      <c r="Q57" s="62"/>
      <c r="R57" s="62"/>
      <c r="S57" s="62"/>
      <c r="T57" s="62"/>
      <c r="U57" s="62"/>
      <c r="V57" s="62"/>
      <c r="W57" s="62"/>
      <c r="X57" s="62"/>
      <c r="Y57" s="62"/>
      <c r="Z57" s="62"/>
      <c r="AA57" s="62"/>
      <c r="AB57" s="62"/>
      <c r="AC57" s="62"/>
      <c r="AD57" s="62"/>
    </row>
    <row r="58">
      <c r="A58" s="64"/>
      <c r="B58" s="82" t="str">
        <f>Economy!I4</f>
        <v>Supply and installation of Wall storage unit with BWP Carcass, HDF Shutter, Smooth finish laminate and soft close hinges  </v>
      </c>
      <c r="C58" s="66">
        <v>2.0</v>
      </c>
      <c r="D58" s="66">
        <v>2.0</v>
      </c>
      <c r="E58" s="67">
        <f t="shared" ref="E58:E60" si="55">C58*D58</f>
        <v>4</v>
      </c>
      <c r="F58" s="66" t="s">
        <v>683</v>
      </c>
      <c r="G58" s="68">
        <f t="shared" ref="G58:H58" si="54">C58*300</f>
        <v>600</v>
      </c>
      <c r="H58" s="68">
        <f t="shared" si="54"/>
        <v>600</v>
      </c>
      <c r="I58" s="68" t="s">
        <v>684</v>
      </c>
      <c r="J58" s="70">
        <f>Economy!J3</f>
        <v>1475</v>
      </c>
      <c r="K58" s="71">
        <v>1.0</v>
      </c>
      <c r="L58" s="72">
        <f t="shared" ref="L58:L60" si="57">K58*J58*E58*K58</f>
        <v>5900</v>
      </c>
      <c r="M58" s="62"/>
      <c r="N58" s="62"/>
      <c r="O58" s="62"/>
      <c r="P58" s="62"/>
      <c r="Q58" s="62"/>
      <c r="R58" s="62"/>
      <c r="S58" s="62"/>
      <c r="T58" s="62"/>
      <c r="U58" s="62"/>
      <c r="V58" s="62"/>
      <c r="W58" s="62"/>
      <c r="X58" s="62"/>
      <c r="Y58" s="62"/>
      <c r="Z58" s="62"/>
      <c r="AA58" s="62"/>
      <c r="AB58" s="62"/>
      <c r="AC58" s="43"/>
      <c r="AD58" s="43"/>
    </row>
    <row r="59">
      <c r="A59" s="64"/>
      <c r="B59" s="82" t="str">
        <f>Economy!I4</f>
        <v>Supply and installation of Wall storage unit with BWP Carcass, HDF Shutter, Smooth finish laminate and soft close hinges  </v>
      </c>
      <c r="C59" s="66">
        <v>2.0</v>
      </c>
      <c r="D59" s="66">
        <v>2.0</v>
      </c>
      <c r="E59" s="67">
        <f t="shared" si="55"/>
        <v>4</v>
      </c>
      <c r="F59" s="66" t="s">
        <v>683</v>
      </c>
      <c r="G59" s="68">
        <f t="shared" ref="G59:H59" si="56">C59*300</f>
        <v>600</v>
      </c>
      <c r="H59" s="68">
        <f t="shared" si="56"/>
        <v>600</v>
      </c>
      <c r="I59" s="68" t="s">
        <v>684</v>
      </c>
      <c r="J59" s="70">
        <f>Economy!J3</f>
        <v>1475</v>
      </c>
      <c r="K59" s="71">
        <v>1.0</v>
      </c>
      <c r="L59" s="72">
        <f t="shared" si="57"/>
        <v>5900</v>
      </c>
      <c r="M59" s="62"/>
      <c r="N59" s="62"/>
      <c r="O59" s="62"/>
      <c r="P59" s="62"/>
      <c r="Q59" s="62"/>
      <c r="R59" s="62"/>
      <c r="S59" s="62"/>
      <c r="T59" s="62"/>
      <c r="U59" s="62"/>
      <c r="V59" s="62"/>
      <c r="W59" s="62"/>
      <c r="X59" s="62"/>
      <c r="Y59" s="62"/>
      <c r="Z59" s="62"/>
      <c r="AA59" s="62"/>
      <c r="AB59" s="62"/>
      <c r="AC59" s="43"/>
      <c r="AD59" s="43"/>
    </row>
    <row r="60">
      <c r="A60" s="64"/>
      <c r="B60" s="82" t="str">
        <f>Economy!I4</f>
        <v>Supply and installation of Wall storage unit with BWP Carcass, HDF Shutter, Smooth finish laminate and soft close hinges  </v>
      </c>
      <c r="C60" s="66">
        <v>2.0</v>
      </c>
      <c r="D60" s="66">
        <v>2.0</v>
      </c>
      <c r="E60" s="67">
        <f t="shared" si="55"/>
        <v>4</v>
      </c>
      <c r="F60" s="66" t="s">
        <v>683</v>
      </c>
      <c r="G60" s="68">
        <f t="shared" ref="G60:H60" si="58">C60*300</f>
        <v>600</v>
      </c>
      <c r="H60" s="68">
        <f t="shared" si="58"/>
        <v>600</v>
      </c>
      <c r="I60" s="68" t="s">
        <v>684</v>
      </c>
      <c r="J60" s="70">
        <f>Economy!J3</f>
        <v>1475</v>
      </c>
      <c r="K60" s="71">
        <v>1.0</v>
      </c>
      <c r="L60" s="72">
        <f t="shared" si="57"/>
        <v>5900</v>
      </c>
      <c r="M60" s="62"/>
      <c r="N60" s="62"/>
      <c r="O60" s="62"/>
      <c r="P60" s="62"/>
      <c r="Q60" s="62"/>
      <c r="R60" s="62"/>
      <c r="S60" s="62"/>
      <c r="T60" s="62"/>
      <c r="U60" s="62"/>
      <c r="V60" s="62"/>
      <c r="W60" s="62"/>
      <c r="X60" s="62"/>
      <c r="Y60" s="62"/>
      <c r="Z60" s="62"/>
      <c r="AA60" s="62"/>
      <c r="AB60" s="62"/>
      <c r="AC60" s="43"/>
      <c r="AD60" s="43"/>
    </row>
    <row r="61">
      <c r="A61" s="64"/>
      <c r="B61" s="88" t="s">
        <v>701</v>
      </c>
      <c r="C61" s="57"/>
      <c r="D61" s="57"/>
      <c r="E61" s="81"/>
      <c r="F61" s="57"/>
      <c r="G61" s="89"/>
      <c r="H61" s="89"/>
      <c r="I61" s="90"/>
      <c r="J61" s="70"/>
      <c r="K61" s="70"/>
      <c r="L61" s="91"/>
      <c r="M61" s="62"/>
      <c r="N61" s="92">
        <f>L62*0.4</f>
        <v>324667.9</v>
      </c>
      <c r="O61" s="62"/>
      <c r="P61" s="62"/>
      <c r="Q61" s="62"/>
      <c r="R61" s="62"/>
      <c r="S61" s="62"/>
      <c r="T61" s="62"/>
      <c r="U61" s="62"/>
      <c r="V61" s="62"/>
      <c r="W61" s="62"/>
      <c r="X61" s="62"/>
      <c r="Y61" s="62"/>
      <c r="Z61" s="62"/>
      <c r="AA61" s="62"/>
      <c r="AB61" s="62"/>
      <c r="AC61" s="62"/>
      <c r="AD61" s="62"/>
    </row>
    <row r="62">
      <c r="A62" s="55"/>
      <c r="B62" s="93" t="s">
        <v>702</v>
      </c>
      <c r="C62" s="94"/>
      <c r="D62" s="94"/>
      <c r="E62" s="94"/>
      <c r="F62" s="94"/>
      <c r="G62" s="94"/>
      <c r="H62" s="94"/>
      <c r="I62" s="94"/>
      <c r="J62" s="94"/>
      <c r="K62" s="95"/>
      <c r="L62" s="96">
        <f>SUM(L5:L60)</f>
        <v>811669.75</v>
      </c>
      <c r="M62" s="43"/>
      <c r="N62" s="43"/>
      <c r="O62" s="43"/>
      <c r="P62" s="43"/>
      <c r="Q62" s="43"/>
      <c r="R62" s="43"/>
      <c r="S62" s="43"/>
      <c r="T62" s="43"/>
      <c r="U62" s="43"/>
      <c r="V62" s="43"/>
      <c r="W62" s="43"/>
      <c r="X62" s="43"/>
      <c r="Y62" s="43"/>
      <c r="Z62" s="43"/>
      <c r="AA62" s="43"/>
      <c r="AB62" s="43"/>
      <c r="AC62" s="43"/>
      <c r="AD62" s="43"/>
    </row>
    <row r="63">
      <c r="A63" s="55"/>
      <c r="B63" s="97" t="s">
        <v>714</v>
      </c>
      <c r="C63" s="94"/>
      <c r="D63" s="94"/>
      <c r="E63" s="94"/>
      <c r="F63" s="94"/>
      <c r="G63" s="94"/>
      <c r="H63" s="94"/>
      <c r="I63" s="94"/>
      <c r="J63" s="94"/>
      <c r="K63" s="95"/>
      <c r="L63" s="98">
        <v>0.05</v>
      </c>
      <c r="M63" s="43"/>
      <c r="N63" s="43"/>
      <c r="O63" s="43"/>
      <c r="P63" s="43"/>
      <c r="Q63" s="43"/>
      <c r="R63" s="43"/>
      <c r="S63" s="43"/>
      <c r="T63" s="43"/>
      <c r="U63" s="43"/>
      <c r="V63" s="43"/>
      <c r="W63" s="43"/>
      <c r="X63" s="43"/>
      <c r="Y63" s="43"/>
      <c r="Z63" s="43"/>
      <c r="AA63" s="43"/>
      <c r="AB63" s="43"/>
      <c r="AC63" s="43"/>
      <c r="AD63" s="43"/>
    </row>
    <row r="64">
      <c r="A64" s="55"/>
      <c r="B64" s="97" t="s">
        <v>704</v>
      </c>
      <c r="C64" s="99"/>
      <c r="D64" s="99"/>
      <c r="E64" s="99"/>
      <c r="F64" s="99"/>
      <c r="G64" s="99"/>
      <c r="H64" s="99"/>
      <c r="I64" s="99"/>
      <c r="J64" s="99"/>
      <c r="K64" s="99"/>
      <c r="L64" s="96">
        <f>(L62*L63)+L62</f>
        <v>852253.2375</v>
      </c>
      <c r="M64" s="43"/>
      <c r="N64" s="43"/>
      <c r="O64" s="43"/>
      <c r="P64" s="43"/>
      <c r="Q64" s="43"/>
      <c r="R64" s="43"/>
      <c r="S64" s="43"/>
      <c r="T64" s="43"/>
      <c r="U64" s="43"/>
      <c r="V64" s="43"/>
      <c r="W64" s="43"/>
      <c r="X64" s="43"/>
      <c r="Y64" s="43"/>
      <c r="Z64" s="43"/>
      <c r="AA64" s="43"/>
      <c r="AB64" s="43"/>
      <c r="AC64" s="43"/>
      <c r="AD64" s="43"/>
    </row>
    <row r="65">
      <c r="A65" s="55"/>
      <c r="B65" s="93" t="s">
        <v>705</v>
      </c>
      <c r="C65" s="100"/>
      <c r="D65" s="100"/>
      <c r="E65" s="100"/>
      <c r="F65" s="100"/>
      <c r="G65" s="100"/>
      <c r="H65" s="100"/>
      <c r="I65" s="100"/>
      <c r="J65" s="100"/>
      <c r="K65" s="100"/>
      <c r="L65" s="96">
        <f>L64*18%</f>
        <v>153405.5828</v>
      </c>
      <c r="M65" s="43"/>
      <c r="N65" s="101"/>
      <c r="O65" s="43"/>
      <c r="P65" s="43"/>
      <c r="Q65" s="43"/>
      <c r="R65" s="43"/>
      <c r="S65" s="43"/>
      <c r="T65" s="43"/>
      <c r="U65" s="43"/>
      <c r="V65" s="43"/>
      <c r="W65" s="43"/>
      <c r="X65" s="43"/>
      <c r="Y65" s="43"/>
      <c r="Z65" s="43"/>
      <c r="AA65" s="43"/>
      <c r="AB65" s="43"/>
      <c r="AC65" s="43"/>
      <c r="AD65" s="43"/>
    </row>
    <row r="66">
      <c r="A66" s="102"/>
      <c r="B66" s="103" t="s">
        <v>706</v>
      </c>
      <c r="C66" s="104"/>
      <c r="D66" s="104"/>
      <c r="E66" s="104"/>
      <c r="F66" s="104"/>
      <c r="G66" s="104"/>
      <c r="H66" s="104"/>
      <c r="I66" s="104"/>
      <c r="J66" s="104"/>
      <c r="K66" s="104"/>
      <c r="L66" s="105">
        <f>L62+L65</f>
        <v>965075.3328</v>
      </c>
      <c r="M66" s="106"/>
      <c r="N66" s="43"/>
      <c r="O66" s="43"/>
      <c r="P66" s="43"/>
      <c r="Q66" s="43"/>
      <c r="R66" s="107" t="s">
        <v>707</v>
      </c>
      <c r="S66" s="43"/>
      <c r="T66" s="43"/>
      <c r="U66" s="43"/>
      <c r="V66" s="43"/>
      <c r="W66" s="43"/>
      <c r="X66" s="43"/>
      <c r="Y66" s="43"/>
      <c r="Z66" s="43"/>
      <c r="AA66" s="43"/>
      <c r="AB66" s="43"/>
      <c r="AC66" s="43"/>
      <c r="AD66" s="43"/>
    </row>
    <row r="67">
      <c r="B67" s="108"/>
      <c r="Z67" s="13"/>
      <c r="AA67" s="13"/>
      <c r="AB67" s="13"/>
      <c r="AC67" s="13"/>
      <c r="AD67" s="13"/>
    </row>
    <row r="68">
      <c r="B68" s="108"/>
      <c r="Z68" s="13"/>
      <c r="AA68" s="13"/>
      <c r="AB68" s="13"/>
      <c r="AC68" s="13"/>
      <c r="AD68" s="13"/>
    </row>
    <row r="69">
      <c r="B69" s="108"/>
      <c r="Z69" s="13"/>
      <c r="AA69" s="13"/>
      <c r="AB69" s="13"/>
      <c r="AC69" s="13"/>
      <c r="AD69" s="13"/>
    </row>
    <row r="70">
      <c r="B70" s="108"/>
      <c r="Z70" s="13"/>
      <c r="AA70" s="13"/>
      <c r="AB70" s="13"/>
      <c r="AC70" s="13"/>
      <c r="AD70" s="13"/>
    </row>
    <row r="71">
      <c r="B71" s="108"/>
      <c r="Z71" s="13"/>
      <c r="AA71" s="13"/>
      <c r="AB71" s="13"/>
      <c r="AC71" s="13"/>
      <c r="AD71" s="13"/>
    </row>
    <row r="72">
      <c r="B72" s="108"/>
      <c r="Z72" s="13"/>
      <c r="AA72" s="13"/>
      <c r="AB72" s="13"/>
      <c r="AC72" s="13"/>
      <c r="AD72" s="13"/>
    </row>
    <row r="73">
      <c r="B73" s="108"/>
      <c r="Z73" s="13"/>
      <c r="AA73" s="13"/>
      <c r="AB73" s="13"/>
      <c r="AC73" s="13"/>
      <c r="AD73" s="13"/>
    </row>
    <row r="74">
      <c r="B74" s="108"/>
      <c r="Z74" s="13"/>
      <c r="AA74" s="13"/>
      <c r="AB74" s="13"/>
      <c r="AC74" s="13"/>
      <c r="AD74" s="13"/>
    </row>
    <row r="75">
      <c r="B75" s="108"/>
      <c r="Z75" s="13"/>
      <c r="AA75" s="13"/>
      <c r="AB75" s="13"/>
      <c r="AC75" s="13"/>
      <c r="AD75" s="13"/>
    </row>
    <row r="76">
      <c r="B76" s="108"/>
      <c r="Z76" s="13"/>
      <c r="AA76" s="13"/>
      <c r="AB76" s="13"/>
      <c r="AC76" s="13"/>
      <c r="AD76" s="13"/>
    </row>
    <row r="77">
      <c r="B77" s="108"/>
      <c r="Z77" s="13"/>
      <c r="AA77" s="13"/>
      <c r="AB77" s="13"/>
      <c r="AC77" s="13"/>
      <c r="AD77" s="13"/>
    </row>
    <row r="78">
      <c r="B78" s="108"/>
      <c r="Z78" s="13"/>
      <c r="AA78" s="13"/>
      <c r="AB78" s="13"/>
      <c r="AC78" s="13"/>
      <c r="AD78" s="13"/>
    </row>
    <row r="79">
      <c r="B79" s="108"/>
      <c r="Z79" s="13"/>
      <c r="AA79" s="13"/>
      <c r="AB79" s="13"/>
      <c r="AC79" s="13"/>
      <c r="AD79" s="13"/>
    </row>
    <row r="80">
      <c r="B80" s="108"/>
      <c r="Z80" s="13"/>
      <c r="AA80" s="13"/>
      <c r="AB80" s="13"/>
      <c r="AC80" s="13"/>
      <c r="AD80" s="13"/>
    </row>
    <row r="81">
      <c r="B81" s="108"/>
      <c r="Z81" s="13"/>
      <c r="AA81" s="13"/>
      <c r="AB81" s="13"/>
      <c r="AC81" s="13"/>
      <c r="AD81" s="13"/>
    </row>
    <row r="82">
      <c r="B82" s="108"/>
      <c r="Z82" s="13"/>
      <c r="AA82" s="13"/>
      <c r="AB82" s="13"/>
      <c r="AC82" s="13"/>
      <c r="AD82" s="13"/>
    </row>
    <row r="83">
      <c r="B83" s="108"/>
      <c r="Z83" s="13"/>
      <c r="AA83" s="13"/>
      <c r="AB83" s="13"/>
      <c r="AC83" s="13"/>
      <c r="AD83" s="13"/>
    </row>
    <row r="84">
      <c r="B84" s="108"/>
      <c r="Z84" s="13"/>
      <c r="AA84" s="13"/>
      <c r="AB84" s="13"/>
      <c r="AC84" s="13"/>
      <c r="AD84" s="13"/>
    </row>
    <row r="85">
      <c r="B85" s="108"/>
      <c r="Z85" s="13"/>
      <c r="AA85" s="13"/>
      <c r="AB85" s="13"/>
      <c r="AC85" s="13"/>
      <c r="AD85" s="13"/>
    </row>
    <row r="86">
      <c r="B86" s="108"/>
      <c r="Z86" s="13"/>
      <c r="AA86" s="13"/>
      <c r="AB86" s="13"/>
      <c r="AC86" s="13"/>
      <c r="AD86" s="13"/>
    </row>
    <row r="87">
      <c r="B87" s="108"/>
      <c r="Z87" s="13"/>
      <c r="AA87" s="13"/>
      <c r="AB87" s="13"/>
      <c r="AC87" s="13"/>
      <c r="AD87" s="13"/>
    </row>
    <row r="88">
      <c r="B88" s="108"/>
      <c r="Z88" s="13"/>
      <c r="AA88" s="13"/>
      <c r="AB88" s="13"/>
      <c r="AC88" s="13"/>
      <c r="AD88" s="13"/>
    </row>
    <row r="89">
      <c r="B89" s="108"/>
      <c r="Z89" s="13"/>
      <c r="AA89" s="13"/>
      <c r="AB89" s="13"/>
      <c r="AC89" s="13"/>
      <c r="AD89" s="13"/>
    </row>
    <row r="90">
      <c r="B90" s="108"/>
      <c r="Z90" s="13"/>
      <c r="AA90" s="13"/>
      <c r="AB90" s="13"/>
      <c r="AC90" s="13"/>
      <c r="AD90" s="13"/>
    </row>
    <row r="91">
      <c r="B91" s="108"/>
      <c r="Z91" s="13"/>
      <c r="AA91" s="13"/>
      <c r="AB91" s="13"/>
      <c r="AC91" s="13"/>
      <c r="AD91" s="13"/>
    </row>
    <row r="92">
      <c r="B92" s="108"/>
      <c r="Z92" s="13"/>
      <c r="AA92" s="13"/>
      <c r="AB92" s="13"/>
      <c r="AC92" s="13"/>
      <c r="AD92" s="13"/>
    </row>
    <row r="93">
      <c r="B93" s="108"/>
      <c r="Z93" s="13"/>
      <c r="AA93" s="13"/>
      <c r="AB93" s="13"/>
      <c r="AC93" s="13"/>
      <c r="AD93" s="13"/>
    </row>
    <row r="94">
      <c r="B94" s="108"/>
      <c r="Z94" s="13"/>
      <c r="AA94" s="13"/>
      <c r="AB94" s="13"/>
      <c r="AC94" s="13"/>
      <c r="AD94" s="13"/>
    </row>
    <row r="95">
      <c r="B95" s="108"/>
      <c r="Z95" s="13"/>
      <c r="AA95" s="13"/>
      <c r="AB95" s="13"/>
      <c r="AC95" s="13"/>
      <c r="AD95" s="13"/>
    </row>
    <row r="96">
      <c r="B96" s="108"/>
      <c r="Z96" s="13"/>
      <c r="AA96" s="13"/>
      <c r="AB96" s="13"/>
      <c r="AC96" s="13"/>
      <c r="AD96" s="13"/>
    </row>
    <row r="97">
      <c r="B97" s="108"/>
      <c r="Z97" s="13"/>
      <c r="AA97" s="13"/>
      <c r="AB97" s="13"/>
      <c r="AC97" s="13"/>
      <c r="AD97" s="13"/>
    </row>
    <row r="98">
      <c r="B98" s="108"/>
      <c r="Z98" s="13"/>
      <c r="AA98" s="13"/>
      <c r="AB98" s="13"/>
      <c r="AC98" s="13"/>
      <c r="AD98" s="13"/>
    </row>
    <row r="99">
      <c r="B99" s="108"/>
      <c r="Z99" s="13"/>
      <c r="AA99" s="13"/>
      <c r="AB99" s="13"/>
      <c r="AC99" s="13"/>
      <c r="AD99" s="13"/>
    </row>
    <row r="100">
      <c r="B100" s="108"/>
      <c r="Z100" s="13"/>
      <c r="AA100" s="13"/>
      <c r="AB100" s="13"/>
      <c r="AC100" s="13"/>
      <c r="AD100" s="13"/>
    </row>
    <row r="101">
      <c r="B101" s="108"/>
      <c r="Z101" s="13"/>
      <c r="AA101" s="13"/>
      <c r="AB101" s="13"/>
      <c r="AC101" s="13"/>
      <c r="AD101" s="13"/>
    </row>
    <row r="102">
      <c r="B102" s="108"/>
      <c r="Z102" s="13"/>
      <c r="AA102" s="13"/>
      <c r="AB102" s="13"/>
      <c r="AC102" s="13"/>
      <c r="AD102" s="13"/>
    </row>
    <row r="103">
      <c r="B103" s="108"/>
      <c r="Z103" s="13"/>
      <c r="AA103" s="13"/>
      <c r="AB103" s="13"/>
      <c r="AC103" s="13"/>
      <c r="AD103" s="13"/>
    </row>
    <row r="104">
      <c r="B104" s="108"/>
      <c r="Z104" s="13"/>
      <c r="AA104" s="13"/>
      <c r="AB104" s="13"/>
      <c r="AC104" s="13"/>
      <c r="AD104" s="13"/>
    </row>
    <row r="105">
      <c r="B105" s="108"/>
      <c r="Z105" s="13"/>
      <c r="AA105" s="13"/>
      <c r="AB105" s="13"/>
      <c r="AC105" s="13"/>
      <c r="AD105" s="13"/>
    </row>
    <row r="106">
      <c r="B106" s="108"/>
      <c r="Z106" s="13"/>
      <c r="AA106" s="13"/>
      <c r="AB106" s="13"/>
      <c r="AC106" s="13"/>
      <c r="AD106" s="13"/>
    </row>
    <row r="107">
      <c r="B107" s="108"/>
      <c r="Z107" s="13"/>
      <c r="AA107" s="13"/>
      <c r="AB107" s="13"/>
      <c r="AC107" s="13"/>
      <c r="AD107" s="13"/>
    </row>
    <row r="108">
      <c r="B108" s="108"/>
      <c r="Z108" s="13"/>
      <c r="AA108" s="13"/>
      <c r="AB108" s="13"/>
      <c r="AC108" s="13"/>
      <c r="AD108" s="13"/>
    </row>
    <row r="109">
      <c r="B109" s="108"/>
      <c r="Z109" s="13"/>
      <c r="AA109" s="13"/>
      <c r="AB109" s="13"/>
      <c r="AC109" s="13"/>
      <c r="AD109" s="13"/>
    </row>
    <row r="110">
      <c r="B110" s="108"/>
      <c r="Z110" s="13"/>
      <c r="AA110" s="13"/>
      <c r="AB110" s="13"/>
      <c r="AC110" s="13"/>
      <c r="AD110" s="13"/>
    </row>
    <row r="111">
      <c r="B111" s="108"/>
      <c r="Z111" s="13"/>
      <c r="AA111" s="13"/>
      <c r="AB111" s="13"/>
      <c r="AC111" s="13"/>
      <c r="AD111" s="13"/>
    </row>
    <row r="112">
      <c r="B112" s="108"/>
      <c r="Z112" s="13"/>
      <c r="AA112" s="13"/>
      <c r="AB112" s="13"/>
      <c r="AC112" s="13"/>
      <c r="AD112" s="13"/>
    </row>
    <row r="113">
      <c r="B113" s="108"/>
      <c r="Z113" s="13"/>
      <c r="AA113" s="13"/>
      <c r="AB113" s="13"/>
      <c r="AC113" s="13"/>
      <c r="AD113" s="13"/>
    </row>
    <row r="114">
      <c r="B114" s="108"/>
      <c r="Z114" s="13"/>
      <c r="AA114" s="13"/>
      <c r="AB114" s="13"/>
      <c r="AC114" s="13"/>
      <c r="AD114" s="13"/>
    </row>
    <row r="115">
      <c r="B115" s="108"/>
      <c r="Z115" s="13"/>
      <c r="AA115" s="13"/>
      <c r="AB115" s="13"/>
      <c r="AC115" s="13"/>
      <c r="AD115" s="13"/>
    </row>
    <row r="116">
      <c r="B116" s="108"/>
      <c r="Z116" s="13"/>
      <c r="AA116" s="13"/>
      <c r="AB116" s="13"/>
      <c r="AC116" s="13"/>
      <c r="AD116" s="13"/>
    </row>
    <row r="117">
      <c r="B117" s="108"/>
      <c r="Z117" s="13"/>
      <c r="AA117" s="13"/>
      <c r="AB117" s="13"/>
      <c r="AC117" s="13"/>
      <c r="AD117" s="13"/>
    </row>
    <row r="118">
      <c r="B118" s="108"/>
      <c r="Z118" s="13"/>
      <c r="AA118" s="13"/>
      <c r="AB118" s="13"/>
      <c r="AC118" s="13"/>
      <c r="AD118" s="13"/>
    </row>
    <row r="119">
      <c r="B119" s="108"/>
      <c r="Z119" s="13"/>
      <c r="AA119" s="13"/>
      <c r="AB119" s="13"/>
      <c r="AC119" s="13"/>
      <c r="AD119" s="13"/>
    </row>
    <row r="120">
      <c r="B120" s="108"/>
      <c r="Z120" s="13"/>
      <c r="AA120" s="13"/>
      <c r="AB120" s="13"/>
      <c r="AC120" s="13"/>
      <c r="AD120" s="13"/>
    </row>
    <row r="121">
      <c r="B121" s="108"/>
      <c r="Z121" s="13"/>
      <c r="AA121" s="13"/>
      <c r="AB121" s="13"/>
      <c r="AC121" s="13"/>
      <c r="AD121" s="13"/>
    </row>
    <row r="122">
      <c r="B122" s="108"/>
      <c r="Z122" s="13"/>
      <c r="AA122" s="13"/>
      <c r="AB122" s="13"/>
      <c r="AC122" s="13"/>
      <c r="AD122" s="13"/>
    </row>
    <row r="123">
      <c r="B123" s="108"/>
      <c r="Z123" s="13"/>
      <c r="AA123" s="13"/>
      <c r="AB123" s="13"/>
      <c r="AC123" s="13"/>
      <c r="AD123" s="13"/>
    </row>
    <row r="124">
      <c r="B124" s="108"/>
      <c r="Z124" s="13"/>
      <c r="AA124" s="13"/>
      <c r="AB124" s="13"/>
      <c r="AC124" s="13"/>
      <c r="AD124" s="13"/>
    </row>
    <row r="125">
      <c r="B125" s="108"/>
      <c r="Z125" s="13"/>
      <c r="AA125" s="13"/>
      <c r="AB125" s="13"/>
      <c r="AC125" s="13"/>
      <c r="AD125" s="13"/>
    </row>
    <row r="126">
      <c r="B126" s="108"/>
      <c r="Z126" s="13"/>
      <c r="AA126" s="13"/>
      <c r="AB126" s="13"/>
      <c r="AC126" s="13"/>
      <c r="AD126" s="13"/>
    </row>
    <row r="127">
      <c r="B127" s="108"/>
      <c r="Z127" s="13"/>
      <c r="AA127" s="13"/>
      <c r="AB127" s="13"/>
      <c r="AC127" s="13"/>
      <c r="AD127" s="13"/>
    </row>
    <row r="128">
      <c r="B128" s="108"/>
      <c r="Z128" s="13"/>
      <c r="AA128" s="13"/>
      <c r="AB128" s="13"/>
      <c r="AC128" s="13"/>
      <c r="AD128" s="13"/>
    </row>
    <row r="129">
      <c r="B129" s="108"/>
      <c r="Z129" s="13"/>
      <c r="AA129" s="13"/>
      <c r="AB129" s="13"/>
      <c r="AC129" s="13"/>
      <c r="AD129" s="13"/>
    </row>
    <row r="130">
      <c r="B130" s="108"/>
      <c r="Z130" s="13"/>
      <c r="AA130" s="13"/>
      <c r="AB130" s="13"/>
      <c r="AC130" s="13"/>
      <c r="AD130" s="13"/>
    </row>
    <row r="131">
      <c r="B131" s="108"/>
      <c r="Z131" s="13"/>
      <c r="AA131" s="13"/>
      <c r="AB131" s="13"/>
      <c r="AC131" s="13"/>
      <c r="AD131" s="13"/>
    </row>
    <row r="132">
      <c r="B132" s="108"/>
      <c r="Z132" s="13"/>
      <c r="AA132" s="13"/>
      <c r="AB132" s="13"/>
      <c r="AC132" s="13"/>
      <c r="AD132" s="13"/>
    </row>
    <row r="133">
      <c r="B133" s="108"/>
      <c r="Z133" s="13"/>
      <c r="AA133" s="13"/>
      <c r="AB133" s="13"/>
      <c r="AC133" s="13"/>
      <c r="AD133" s="13"/>
    </row>
    <row r="134">
      <c r="B134" s="108"/>
      <c r="Z134" s="13"/>
      <c r="AA134" s="13"/>
      <c r="AB134" s="13"/>
      <c r="AC134" s="13"/>
      <c r="AD134" s="13"/>
    </row>
    <row r="135">
      <c r="B135" s="108"/>
      <c r="Z135" s="13"/>
      <c r="AA135" s="13"/>
      <c r="AB135" s="13"/>
      <c r="AC135" s="13"/>
      <c r="AD135" s="13"/>
    </row>
    <row r="136">
      <c r="B136" s="108"/>
      <c r="Z136" s="13"/>
      <c r="AA136" s="13"/>
      <c r="AB136" s="13"/>
      <c r="AC136" s="13"/>
      <c r="AD136" s="13"/>
    </row>
    <row r="137">
      <c r="B137" s="108"/>
      <c r="Z137" s="13"/>
      <c r="AA137" s="13"/>
      <c r="AB137" s="13"/>
      <c r="AC137" s="13"/>
      <c r="AD137" s="13"/>
    </row>
    <row r="138">
      <c r="B138" s="108"/>
      <c r="Z138" s="13"/>
      <c r="AA138" s="13"/>
      <c r="AB138" s="13"/>
      <c r="AC138" s="13"/>
      <c r="AD138" s="13"/>
    </row>
    <row r="139">
      <c r="B139" s="108"/>
      <c r="Z139" s="13"/>
      <c r="AA139" s="13"/>
      <c r="AB139" s="13"/>
      <c r="AC139" s="13"/>
      <c r="AD139" s="13"/>
    </row>
    <row r="140">
      <c r="B140" s="108"/>
      <c r="Z140" s="13"/>
      <c r="AA140" s="13"/>
      <c r="AB140" s="13"/>
      <c r="AC140" s="13"/>
      <c r="AD140" s="13"/>
    </row>
    <row r="141">
      <c r="B141" s="108"/>
      <c r="Z141" s="13"/>
      <c r="AA141" s="13"/>
      <c r="AB141" s="13"/>
      <c r="AC141" s="13"/>
      <c r="AD141" s="13"/>
    </row>
    <row r="142">
      <c r="B142" s="108"/>
      <c r="Z142" s="13"/>
      <c r="AA142" s="13"/>
      <c r="AB142" s="13"/>
      <c r="AC142" s="13"/>
      <c r="AD142" s="13"/>
    </row>
    <row r="143">
      <c r="B143" s="108"/>
      <c r="Z143" s="13"/>
      <c r="AA143" s="13"/>
      <c r="AB143" s="13"/>
      <c r="AC143" s="13"/>
      <c r="AD143" s="13"/>
    </row>
    <row r="144">
      <c r="B144" s="108"/>
      <c r="Z144" s="13"/>
      <c r="AA144" s="13"/>
      <c r="AB144" s="13"/>
      <c r="AC144" s="13"/>
      <c r="AD144" s="13"/>
    </row>
    <row r="145">
      <c r="B145" s="108"/>
      <c r="Z145" s="13"/>
      <c r="AA145" s="13"/>
      <c r="AB145" s="13"/>
      <c r="AC145" s="13"/>
      <c r="AD145" s="13"/>
    </row>
    <row r="146">
      <c r="B146" s="108"/>
      <c r="Z146" s="13"/>
      <c r="AA146" s="13"/>
      <c r="AB146" s="13"/>
      <c r="AC146" s="13"/>
      <c r="AD146" s="13"/>
    </row>
    <row r="147">
      <c r="B147" s="108"/>
      <c r="Z147" s="13"/>
      <c r="AA147" s="13"/>
      <c r="AB147" s="13"/>
      <c r="AC147" s="13"/>
      <c r="AD147" s="13"/>
    </row>
    <row r="148">
      <c r="B148" s="108"/>
      <c r="Z148" s="13"/>
      <c r="AA148" s="13"/>
      <c r="AB148" s="13"/>
      <c r="AC148" s="13"/>
      <c r="AD148" s="13"/>
    </row>
    <row r="149">
      <c r="B149" s="108"/>
      <c r="Z149" s="13"/>
      <c r="AA149" s="13"/>
      <c r="AB149" s="13"/>
      <c r="AC149" s="13"/>
      <c r="AD149" s="13"/>
    </row>
    <row r="150">
      <c r="B150" s="108"/>
      <c r="Z150" s="13"/>
      <c r="AA150" s="13"/>
      <c r="AB150" s="13"/>
      <c r="AC150" s="13"/>
      <c r="AD150" s="13"/>
    </row>
    <row r="151">
      <c r="B151" s="108"/>
      <c r="Z151" s="13"/>
      <c r="AA151" s="13"/>
      <c r="AB151" s="13"/>
      <c r="AC151" s="13"/>
      <c r="AD151" s="13"/>
    </row>
    <row r="152">
      <c r="B152" s="108"/>
      <c r="Z152" s="13"/>
      <c r="AA152" s="13"/>
      <c r="AB152" s="13"/>
      <c r="AC152" s="13"/>
      <c r="AD152" s="13"/>
    </row>
    <row r="153">
      <c r="B153" s="108"/>
      <c r="Z153" s="13"/>
      <c r="AA153" s="13"/>
      <c r="AB153" s="13"/>
      <c r="AC153" s="13"/>
      <c r="AD153" s="13"/>
    </row>
    <row r="154">
      <c r="B154" s="108"/>
      <c r="Z154" s="13"/>
      <c r="AA154" s="13"/>
      <c r="AB154" s="13"/>
      <c r="AC154" s="13"/>
      <c r="AD154" s="13"/>
    </row>
    <row r="155">
      <c r="B155" s="108"/>
      <c r="Z155" s="13"/>
      <c r="AA155" s="13"/>
      <c r="AB155" s="13"/>
      <c r="AC155" s="13"/>
      <c r="AD155" s="13"/>
    </row>
    <row r="156">
      <c r="B156" s="108"/>
      <c r="Z156" s="13"/>
      <c r="AA156" s="13"/>
      <c r="AB156" s="13"/>
      <c r="AC156" s="13"/>
      <c r="AD156" s="13"/>
    </row>
    <row r="157">
      <c r="B157" s="108"/>
      <c r="Z157" s="13"/>
      <c r="AA157" s="13"/>
      <c r="AB157" s="13"/>
      <c r="AC157" s="13"/>
      <c r="AD157" s="13"/>
    </row>
    <row r="158">
      <c r="B158" s="108"/>
      <c r="Z158" s="13"/>
      <c r="AA158" s="13"/>
      <c r="AB158" s="13"/>
      <c r="AC158" s="13"/>
      <c r="AD158" s="13"/>
    </row>
    <row r="159">
      <c r="B159" s="108"/>
      <c r="Z159" s="13"/>
      <c r="AA159" s="13"/>
      <c r="AB159" s="13"/>
      <c r="AC159" s="13"/>
      <c r="AD159" s="13"/>
    </row>
    <row r="160">
      <c r="B160" s="108"/>
      <c r="Z160" s="13"/>
      <c r="AA160" s="13"/>
      <c r="AB160" s="13"/>
      <c r="AC160" s="13"/>
      <c r="AD160" s="13"/>
    </row>
    <row r="161">
      <c r="B161" s="108"/>
      <c r="Z161" s="13"/>
      <c r="AA161" s="13"/>
      <c r="AB161" s="13"/>
      <c r="AC161" s="13"/>
      <c r="AD161" s="13"/>
    </row>
    <row r="162">
      <c r="B162" s="108"/>
      <c r="Z162" s="13"/>
      <c r="AA162" s="13"/>
      <c r="AB162" s="13"/>
      <c r="AC162" s="13"/>
      <c r="AD162" s="13"/>
    </row>
    <row r="163">
      <c r="B163" s="108"/>
      <c r="Z163" s="13"/>
      <c r="AA163" s="13"/>
      <c r="AB163" s="13"/>
      <c r="AC163" s="13"/>
      <c r="AD163" s="13"/>
    </row>
    <row r="164">
      <c r="B164" s="108"/>
      <c r="Z164" s="13"/>
      <c r="AA164" s="13"/>
      <c r="AB164" s="13"/>
      <c r="AC164" s="13"/>
      <c r="AD164" s="13"/>
    </row>
    <row r="165">
      <c r="B165" s="108"/>
      <c r="Z165" s="13"/>
      <c r="AA165" s="13"/>
      <c r="AB165" s="13"/>
      <c r="AC165" s="13"/>
      <c r="AD165" s="13"/>
    </row>
    <row r="166">
      <c r="B166" s="108"/>
      <c r="Z166" s="13"/>
      <c r="AA166" s="13"/>
      <c r="AB166" s="13"/>
      <c r="AC166" s="13"/>
      <c r="AD166" s="13"/>
    </row>
    <row r="167">
      <c r="B167" s="108"/>
      <c r="Z167" s="13"/>
      <c r="AA167" s="13"/>
      <c r="AB167" s="13"/>
      <c r="AC167" s="13"/>
      <c r="AD167" s="13"/>
    </row>
    <row r="168">
      <c r="B168" s="108"/>
      <c r="Z168" s="13"/>
      <c r="AA168" s="13"/>
      <c r="AB168" s="13"/>
      <c r="AC168" s="13"/>
      <c r="AD168" s="13"/>
    </row>
    <row r="169">
      <c r="B169" s="108"/>
      <c r="Z169" s="13"/>
      <c r="AA169" s="13"/>
      <c r="AB169" s="13"/>
      <c r="AC169" s="13"/>
      <c r="AD169" s="13"/>
    </row>
    <row r="170">
      <c r="B170" s="108"/>
      <c r="Z170" s="13"/>
      <c r="AA170" s="13"/>
      <c r="AB170" s="13"/>
      <c r="AC170" s="13"/>
      <c r="AD170" s="13"/>
    </row>
    <row r="171">
      <c r="B171" s="108"/>
      <c r="Z171" s="13"/>
      <c r="AA171" s="13"/>
      <c r="AB171" s="13"/>
      <c r="AC171" s="13"/>
      <c r="AD171" s="13"/>
    </row>
    <row r="172">
      <c r="B172" s="108"/>
      <c r="Z172" s="13"/>
      <c r="AA172" s="13"/>
      <c r="AB172" s="13"/>
      <c r="AC172" s="13"/>
      <c r="AD172" s="13"/>
    </row>
    <row r="173">
      <c r="B173" s="108"/>
      <c r="Z173" s="13"/>
      <c r="AA173" s="13"/>
      <c r="AB173" s="13"/>
      <c r="AC173" s="13"/>
      <c r="AD173" s="13"/>
    </row>
    <row r="174">
      <c r="B174" s="108"/>
      <c r="Z174" s="13"/>
      <c r="AA174" s="13"/>
      <c r="AB174" s="13"/>
      <c r="AC174" s="13"/>
      <c r="AD174" s="13"/>
    </row>
    <row r="175">
      <c r="B175" s="108"/>
      <c r="Z175" s="13"/>
      <c r="AA175" s="13"/>
      <c r="AB175" s="13"/>
      <c r="AC175" s="13"/>
      <c r="AD175" s="13"/>
    </row>
    <row r="176">
      <c r="B176" s="108"/>
      <c r="Z176" s="13"/>
      <c r="AA176" s="13"/>
      <c r="AB176" s="13"/>
      <c r="AC176" s="13"/>
      <c r="AD176" s="13"/>
    </row>
    <row r="177">
      <c r="B177" s="108"/>
      <c r="Z177" s="13"/>
      <c r="AA177" s="13"/>
      <c r="AB177" s="13"/>
      <c r="AC177" s="13"/>
      <c r="AD177" s="13"/>
    </row>
    <row r="178">
      <c r="B178" s="108"/>
      <c r="Z178" s="13"/>
      <c r="AA178" s="13"/>
      <c r="AB178" s="13"/>
      <c r="AC178" s="13"/>
      <c r="AD178" s="13"/>
    </row>
    <row r="179">
      <c r="B179" s="108"/>
      <c r="Z179" s="13"/>
      <c r="AA179" s="13"/>
      <c r="AB179" s="13"/>
      <c r="AC179" s="13"/>
      <c r="AD179" s="13"/>
    </row>
    <row r="180">
      <c r="B180" s="108"/>
      <c r="Z180" s="13"/>
      <c r="AA180" s="13"/>
      <c r="AB180" s="13"/>
      <c r="AC180" s="13"/>
      <c r="AD180" s="13"/>
    </row>
    <row r="181">
      <c r="B181" s="108"/>
      <c r="Z181" s="13"/>
      <c r="AA181" s="13"/>
      <c r="AB181" s="13"/>
      <c r="AC181" s="13"/>
      <c r="AD181" s="13"/>
    </row>
    <row r="182">
      <c r="B182" s="108"/>
      <c r="Z182" s="13"/>
      <c r="AA182" s="13"/>
      <c r="AB182" s="13"/>
      <c r="AC182" s="13"/>
      <c r="AD182" s="13"/>
    </row>
    <row r="183">
      <c r="B183" s="108"/>
      <c r="Z183" s="13"/>
      <c r="AA183" s="13"/>
      <c r="AB183" s="13"/>
      <c r="AC183" s="13"/>
      <c r="AD183" s="13"/>
    </row>
    <row r="184">
      <c r="B184" s="108"/>
      <c r="Z184" s="13"/>
      <c r="AA184" s="13"/>
      <c r="AB184" s="13"/>
      <c r="AC184" s="13"/>
      <c r="AD184" s="13"/>
    </row>
    <row r="185">
      <c r="B185" s="108"/>
      <c r="Z185" s="13"/>
      <c r="AA185" s="13"/>
      <c r="AB185" s="13"/>
      <c r="AC185" s="13"/>
      <c r="AD185" s="13"/>
    </row>
    <row r="186">
      <c r="B186" s="108"/>
      <c r="Z186" s="13"/>
      <c r="AA186" s="13"/>
      <c r="AB186" s="13"/>
      <c r="AC186" s="13"/>
      <c r="AD186" s="13"/>
    </row>
    <row r="187">
      <c r="B187" s="108"/>
      <c r="Z187" s="13"/>
      <c r="AA187" s="13"/>
      <c r="AB187" s="13"/>
      <c r="AC187" s="13"/>
      <c r="AD187" s="13"/>
    </row>
    <row r="188">
      <c r="B188" s="108"/>
      <c r="Z188" s="13"/>
      <c r="AA188" s="13"/>
      <c r="AB188" s="13"/>
      <c r="AC188" s="13"/>
      <c r="AD188" s="13"/>
    </row>
    <row r="189">
      <c r="B189" s="108"/>
      <c r="Z189" s="13"/>
      <c r="AA189" s="13"/>
      <c r="AB189" s="13"/>
      <c r="AC189" s="13"/>
      <c r="AD189" s="13"/>
    </row>
    <row r="190">
      <c r="B190" s="108"/>
      <c r="Z190" s="13"/>
      <c r="AA190" s="13"/>
      <c r="AB190" s="13"/>
      <c r="AC190" s="13"/>
      <c r="AD190" s="13"/>
    </row>
    <row r="191">
      <c r="B191" s="108"/>
      <c r="Z191" s="13"/>
      <c r="AA191" s="13"/>
      <c r="AB191" s="13"/>
      <c r="AC191" s="13"/>
      <c r="AD191" s="13"/>
    </row>
    <row r="192">
      <c r="B192" s="108"/>
      <c r="Z192" s="13"/>
      <c r="AA192" s="13"/>
      <c r="AB192" s="13"/>
      <c r="AC192" s="13"/>
      <c r="AD192" s="13"/>
    </row>
    <row r="193">
      <c r="B193" s="108"/>
      <c r="Z193" s="13"/>
      <c r="AA193" s="13"/>
      <c r="AB193" s="13"/>
      <c r="AC193" s="13"/>
      <c r="AD193" s="13"/>
    </row>
    <row r="194">
      <c r="B194" s="108"/>
      <c r="Z194" s="13"/>
      <c r="AA194" s="13"/>
      <c r="AB194" s="13"/>
      <c r="AC194" s="13"/>
      <c r="AD194" s="13"/>
    </row>
    <row r="195">
      <c r="B195" s="108"/>
      <c r="Z195" s="13"/>
      <c r="AA195" s="13"/>
      <c r="AB195" s="13"/>
      <c r="AC195" s="13"/>
      <c r="AD195" s="13"/>
    </row>
    <row r="196">
      <c r="B196" s="108"/>
      <c r="Z196" s="13"/>
      <c r="AA196" s="13"/>
      <c r="AB196" s="13"/>
      <c r="AC196" s="13"/>
      <c r="AD196" s="13"/>
    </row>
    <row r="197">
      <c r="B197" s="108"/>
      <c r="Z197" s="13"/>
      <c r="AA197" s="13"/>
      <c r="AB197" s="13"/>
      <c r="AC197" s="13"/>
      <c r="AD197" s="13"/>
    </row>
    <row r="198">
      <c r="B198" s="108"/>
      <c r="Z198" s="13"/>
      <c r="AA198" s="13"/>
      <c r="AB198" s="13"/>
      <c r="AC198" s="13"/>
      <c r="AD198" s="13"/>
    </row>
    <row r="199">
      <c r="B199" s="108"/>
      <c r="Z199" s="13"/>
      <c r="AA199" s="13"/>
      <c r="AB199" s="13"/>
      <c r="AC199" s="13"/>
      <c r="AD199" s="13"/>
    </row>
    <row r="200">
      <c r="B200" s="108"/>
      <c r="Z200" s="13"/>
      <c r="AA200" s="13"/>
      <c r="AB200" s="13"/>
      <c r="AC200" s="13"/>
      <c r="AD200" s="13"/>
    </row>
    <row r="201">
      <c r="B201" s="108"/>
      <c r="Z201" s="13"/>
      <c r="AA201" s="13"/>
      <c r="AB201" s="13"/>
      <c r="AC201" s="13"/>
      <c r="AD201" s="13"/>
    </row>
    <row r="202">
      <c r="B202" s="108"/>
      <c r="Z202" s="13"/>
      <c r="AA202" s="13"/>
      <c r="AB202" s="13"/>
      <c r="AC202" s="13"/>
      <c r="AD202" s="13"/>
    </row>
    <row r="203">
      <c r="B203" s="108"/>
      <c r="Z203" s="13"/>
      <c r="AA203" s="13"/>
      <c r="AB203" s="13"/>
      <c r="AC203" s="13"/>
      <c r="AD203" s="13"/>
    </row>
    <row r="204">
      <c r="B204" s="108"/>
      <c r="Z204" s="13"/>
      <c r="AA204" s="13"/>
      <c r="AB204" s="13"/>
      <c r="AC204" s="13"/>
      <c r="AD204" s="13"/>
    </row>
    <row r="205">
      <c r="B205" s="108"/>
      <c r="Z205" s="13"/>
      <c r="AA205" s="13"/>
      <c r="AB205" s="13"/>
      <c r="AC205" s="13"/>
      <c r="AD205" s="13"/>
    </row>
    <row r="206">
      <c r="B206" s="108"/>
      <c r="Z206" s="13"/>
      <c r="AA206" s="13"/>
      <c r="AB206" s="13"/>
      <c r="AC206" s="13"/>
      <c r="AD206" s="13"/>
    </row>
    <row r="207">
      <c r="B207" s="108"/>
      <c r="Z207" s="13"/>
      <c r="AA207" s="13"/>
      <c r="AB207" s="13"/>
      <c r="AC207" s="13"/>
      <c r="AD207" s="13"/>
    </row>
    <row r="208">
      <c r="B208" s="108"/>
      <c r="Z208" s="13"/>
      <c r="AA208" s="13"/>
      <c r="AB208" s="13"/>
      <c r="AC208" s="13"/>
      <c r="AD208" s="13"/>
    </row>
    <row r="209">
      <c r="B209" s="108"/>
      <c r="Z209" s="13"/>
      <c r="AA209" s="13"/>
      <c r="AB209" s="13"/>
      <c r="AC209" s="13"/>
      <c r="AD209" s="13"/>
    </row>
    <row r="210">
      <c r="B210" s="108"/>
      <c r="Z210" s="13"/>
      <c r="AA210" s="13"/>
      <c r="AB210" s="13"/>
      <c r="AC210" s="13"/>
      <c r="AD210" s="13"/>
    </row>
    <row r="211">
      <c r="B211" s="108"/>
      <c r="Z211" s="13"/>
      <c r="AA211" s="13"/>
      <c r="AB211" s="13"/>
      <c r="AC211" s="13"/>
      <c r="AD211" s="13"/>
    </row>
    <row r="212">
      <c r="B212" s="108"/>
      <c r="Z212" s="13"/>
      <c r="AA212" s="13"/>
      <c r="AB212" s="13"/>
      <c r="AC212" s="13"/>
      <c r="AD212" s="13"/>
    </row>
    <row r="213">
      <c r="B213" s="108"/>
      <c r="Z213" s="13"/>
      <c r="AA213" s="13"/>
      <c r="AB213" s="13"/>
      <c r="AC213" s="13"/>
      <c r="AD213" s="13"/>
    </row>
    <row r="214">
      <c r="B214" s="108"/>
      <c r="Z214" s="13"/>
      <c r="AA214" s="13"/>
      <c r="AB214" s="13"/>
      <c r="AC214" s="13"/>
      <c r="AD214" s="13"/>
    </row>
    <row r="215">
      <c r="B215" s="108"/>
      <c r="Z215" s="13"/>
      <c r="AA215" s="13"/>
      <c r="AB215" s="13"/>
      <c r="AC215" s="13"/>
      <c r="AD215" s="13"/>
    </row>
    <row r="216">
      <c r="B216" s="108"/>
      <c r="Z216" s="13"/>
      <c r="AA216" s="13"/>
      <c r="AB216" s="13"/>
      <c r="AC216" s="13"/>
      <c r="AD216" s="13"/>
    </row>
    <row r="217">
      <c r="B217" s="108"/>
      <c r="Z217" s="13"/>
      <c r="AA217" s="13"/>
      <c r="AB217" s="13"/>
      <c r="AC217" s="13"/>
      <c r="AD217" s="13"/>
    </row>
    <row r="218">
      <c r="B218" s="108"/>
      <c r="Z218" s="13"/>
      <c r="AA218" s="13"/>
      <c r="AB218" s="13"/>
      <c r="AC218" s="13"/>
      <c r="AD218" s="13"/>
    </row>
    <row r="219">
      <c r="B219" s="108"/>
      <c r="Z219" s="13"/>
      <c r="AA219" s="13"/>
      <c r="AB219" s="13"/>
      <c r="AC219" s="13"/>
      <c r="AD219" s="13"/>
    </row>
    <row r="220">
      <c r="B220" s="108"/>
      <c r="Z220" s="13"/>
      <c r="AA220" s="13"/>
      <c r="AB220" s="13"/>
      <c r="AC220" s="13"/>
      <c r="AD220" s="13"/>
    </row>
    <row r="221">
      <c r="B221" s="108"/>
      <c r="Z221" s="13"/>
      <c r="AA221" s="13"/>
      <c r="AB221" s="13"/>
      <c r="AC221" s="13"/>
      <c r="AD221" s="13"/>
    </row>
    <row r="222">
      <c r="B222" s="108"/>
      <c r="Z222" s="13"/>
      <c r="AA222" s="13"/>
      <c r="AB222" s="13"/>
      <c r="AC222" s="13"/>
      <c r="AD222" s="13"/>
    </row>
    <row r="223">
      <c r="B223" s="108"/>
      <c r="Z223" s="13"/>
      <c r="AA223" s="13"/>
      <c r="AB223" s="13"/>
      <c r="AC223" s="13"/>
      <c r="AD223" s="13"/>
    </row>
    <row r="224">
      <c r="B224" s="108"/>
      <c r="Z224" s="13"/>
      <c r="AA224" s="13"/>
      <c r="AB224" s="13"/>
      <c r="AC224" s="13"/>
      <c r="AD224" s="13"/>
    </row>
    <row r="225">
      <c r="B225" s="108"/>
      <c r="Z225" s="13"/>
      <c r="AA225" s="13"/>
      <c r="AB225" s="13"/>
      <c r="AC225" s="13"/>
      <c r="AD225" s="13"/>
    </row>
    <row r="226">
      <c r="B226" s="108"/>
      <c r="Z226" s="13"/>
      <c r="AA226" s="13"/>
      <c r="AB226" s="13"/>
      <c r="AC226" s="13"/>
      <c r="AD226" s="13"/>
    </row>
    <row r="227">
      <c r="B227" s="108"/>
      <c r="Z227" s="13"/>
      <c r="AA227" s="13"/>
      <c r="AB227" s="13"/>
      <c r="AC227" s="13"/>
      <c r="AD227" s="13"/>
    </row>
    <row r="228">
      <c r="B228" s="108"/>
      <c r="Z228" s="13"/>
      <c r="AA228" s="13"/>
      <c r="AB228" s="13"/>
      <c r="AC228" s="13"/>
      <c r="AD228" s="13"/>
    </row>
    <row r="229">
      <c r="B229" s="108"/>
      <c r="Z229" s="13"/>
      <c r="AA229" s="13"/>
      <c r="AB229" s="13"/>
      <c r="AC229" s="13"/>
      <c r="AD229" s="13"/>
    </row>
    <row r="230">
      <c r="B230" s="108"/>
      <c r="Z230" s="13"/>
      <c r="AA230" s="13"/>
      <c r="AB230" s="13"/>
      <c r="AC230" s="13"/>
      <c r="AD230" s="13"/>
    </row>
    <row r="231">
      <c r="B231" s="108"/>
      <c r="Z231" s="13"/>
      <c r="AA231" s="13"/>
      <c r="AB231" s="13"/>
      <c r="AC231" s="13"/>
      <c r="AD231" s="13"/>
    </row>
    <row r="232">
      <c r="B232" s="108"/>
      <c r="Z232" s="13"/>
      <c r="AA232" s="13"/>
      <c r="AB232" s="13"/>
      <c r="AC232" s="13"/>
      <c r="AD232" s="13"/>
    </row>
    <row r="233">
      <c r="B233" s="108"/>
      <c r="Z233" s="13"/>
      <c r="AA233" s="13"/>
      <c r="AB233" s="13"/>
      <c r="AC233" s="13"/>
      <c r="AD233" s="13"/>
    </row>
    <row r="234">
      <c r="B234" s="108"/>
      <c r="Z234" s="13"/>
      <c r="AA234" s="13"/>
      <c r="AB234" s="13"/>
      <c r="AC234" s="13"/>
      <c r="AD234" s="13"/>
    </row>
    <row r="235">
      <c r="B235" s="108"/>
      <c r="Z235" s="13"/>
      <c r="AA235" s="13"/>
      <c r="AB235" s="13"/>
      <c r="AC235" s="13"/>
      <c r="AD235" s="13"/>
    </row>
    <row r="236">
      <c r="B236" s="108"/>
      <c r="Z236" s="13"/>
      <c r="AA236" s="13"/>
      <c r="AB236" s="13"/>
      <c r="AC236" s="13"/>
      <c r="AD236" s="13"/>
    </row>
    <row r="237">
      <c r="B237" s="108"/>
      <c r="Z237" s="13"/>
      <c r="AA237" s="13"/>
      <c r="AB237" s="13"/>
      <c r="AC237" s="13"/>
      <c r="AD237" s="13"/>
    </row>
    <row r="238">
      <c r="B238" s="108"/>
      <c r="Z238" s="13"/>
      <c r="AA238" s="13"/>
      <c r="AB238" s="13"/>
      <c r="AC238" s="13"/>
      <c r="AD238" s="13"/>
    </row>
    <row r="239">
      <c r="B239" s="108"/>
      <c r="Z239" s="13"/>
      <c r="AA239" s="13"/>
      <c r="AB239" s="13"/>
      <c r="AC239" s="13"/>
      <c r="AD239" s="13"/>
    </row>
    <row r="240">
      <c r="B240" s="108"/>
      <c r="Z240" s="13"/>
      <c r="AA240" s="13"/>
      <c r="AB240" s="13"/>
      <c r="AC240" s="13"/>
      <c r="AD240" s="13"/>
    </row>
    <row r="241">
      <c r="B241" s="108"/>
      <c r="Z241" s="13"/>
      <c r="AA241" s="13"/>
      <c r="AB241" s="13"/>
      <c r="AC241" s="13"/>
      <c r="AD241" s="13"/>
    </row>
    <row r="242">
      <c r="B242" s="108"/>
      <c r="Z242" s="13"/>
      <c r="AA242" s="13"/>
      <c r="AB242" s="13"/>
      <c r="AC242" s="13"/>
      <c r="AD242" s="13"/>
    </row>
    <row r="243">
      <c r="B243" s="108"/>
      <c r="Z243" s="13"/>
      <c r="AA243" s="13"/>
      <c r="AB243" s="13"/>
      <c r="AC243" s="13"/>
      <c r="AD243" s="13"/>
    </row>
    <row r="244">
      <c r="B244" s="108"/>
      <c r="Z244" s="13"/>
      <c r="AA244" s="13"/>
      <c r="AB244" s="13"/>
      <c r="AC244" s="13"/>
      <c r="AD244" s="13"/>
    </row>
    <row r="245">
      <c r="B245" s="108"/>
      <c r="Z245" s="13"/>
      <c r="AA245" s="13"/>
      <c r="AB245" s="13"/>
      <c r="AC245" s="13"/>
      <c r="AD245" s="13"/>
    </row>
    <row r="246">
      <c r="B246" s="108"/>
      <c r="Z246" s="13"/>
      <c r="AA246" s="13"/>
      <c r="AB246" s="13"/>
      <c r="AC246" s="13"/>
      <c r="AD246" s="13"/>
    </row>
    <row r="247">
      <c r="B247" s="108"/>
      <c r="Z247" s="13"/>
      <c r="AA247" s="13"/>
      <c r="AB247" s="13"/>
      <c r="AC247" s="13"/>
      <c r="AD247" s="13"/>
    </row>
    <row r="248">
      <c r="B248" s="108"/>
      <c r="Z248" s="13"/>
      <c r="AA248" s="13"/>
      <c r="AB248" s="13"/>
      <c r="AC248" s="13"/>
      <c r="AD248" s="13"/>
    </row>
    <row r="249">
      <c r="B249" s="108"/>
      <c r="Z249" s="13"/>
      <c r="AA249" s="13"/>
      <c r="AB249" s="13"/>
      <c r="AC249" s="13"/>
      <c r="AD249" s="13"/>
    </row>
    <row r="250">
      <c r="B250" s="108"/>
      <c r="Z250" s="13"/>
      <c r="AA250" s="13"/>
      <c r="AB250" s="13"/>
      <c r="AC250" s="13"/>
      <c r="AD250" s="13"/>
    </row>
    <row r="251">
      <c r="B251" s="108"/>
      <c r="Z251" s="13"/>
      <c r="AA251" s="13"/>
      <c r="AB251" s="13"/>
      <c r="AC251" s="13"/>
      <c r="AD251" s="13"/>
    </row>
    <row r="252">
      <c r="B252" s="108"/>
      <c r="Z252" s="13"/>
      <c r="AA252" s="13"/>
      <c r="AB252" s="13"/>
      <c r="AC252" s="13"/>
      <c r="AD252" s="13"/>
    </row>
    <row r="253">
      <c r="B253" s="108"/>
      <c r="Z253" s="13"/>
      <c r="AA253" s="13"/>
      <c r="AB253" s="13"/>
      <c r="AC253" s="13"/>
      <c r="AD253" s="13"/>
    </row>
    <row r="254">
      <c r="B254" s="108"/>
      <c r="Z254" s="13"/>
      <c r="AA254" s="13"/>
      <c r="AB254" s="13"/>
      <c r="AC254" s="13"/>
      <c r="AD254" s="13"/>
    </row>
    <row r="255">
      <c r="B255" s="108"/>
      <c r="Z255" s="13"/>
      <c r="AA255" s="13"/>
      <c r="AB255" s="13"/>
      <c r="AC255" s="13"/>
      <c r="AD255" s="13"/>
    </row>
    <row r="256">
      <c r="B256" s="108"/>
      <c r="Z256" s="13"/>
      <c r="AA256" s="13"/>
      <c r="AB256" s="13"/>
      <c r="AC256" s="13"/>
      <c r="AD256" s="13"/>
    </row>
    <row r="257">
      <c r="B257" s="108"/>
      <c r="Z257" s="13"/>
      <c r="AA257" s="13"/>
      <c r="AB257" s="13"/>
      <c r="AC257" s="13"/>
      <c r="AD257" s="13"/>
    </row>
    <row r="258">
      <c r="B258" s="108"/>
      <c r="Z258" s="13"/>
      <c r="AA258" s="13"/>
      <c r="AB258" s="13"/>
      <c r="AC258" s="13"/>
      <c r="AD258" s="13"/>
    </row>
    <row r="259">
      <c r="B259" s="108"/>
      <c r="Z259" s="13"/>
      <c r="AA259" s="13"/>
      <c r="AB259" s="13"/>
      <c r="AC259" s="13"/>
      <c r="AD259" s="13"/>
    </row>
    <row r="260">
      <c r="B260" s="108"/>
      <c r="Z260" s="13"/>
      <c r="AA260" s="13"/>
      <c r="AB260" s="13"/>
      <c r="AC260" s="13"/>
      <c r="AD260" s="13"/>
    </row>
    <row r="261">
      <c r="B261" s="108"/>
      <c r="Z261" s="13"/>
      <c r="AA261" s="13"/>
      <c r="AB261" s="13"/>
      <c r="AC261" s="13"/>
      <c r="AD261" s="13"/>
    </row>
    <row r="262">
      <c r="B262" s="108"/>
      <c r="Z262" s="13"/>
      <c r="AA262" s="13"/>
      <c r="AB262" s="13"/>
      <c r="AC262" s="13"/>
      <c r="AD262" s="13"/>
    </row>
    <row r="263">
      <c r="B263" s="108"/>
      <c r="Z263" s="13"/>
      <c r="AA263" s="13"/>
      <c r="AB263" s="13"/>
      <c r="AC263" s="13"/>
      <c r="AD263" s="13"/>
    </row>
    <row r="264">
      <c r="B264" s="108"/>
      <c r="Z264" s="13"/>
      <c r="AA264" s="13"/>
      <c r="AB264" s="13"/>
      <c r="AC264" s="13"/>
      <c r="AD264" s="13"/>
    </row>
    <row r="265">
      <c r="B265" s="108"/>
      <c r="Z265" s="13"/>
      <c r="AA265" s="13"/>
      <c r="AB265" s="13"/>
      <c r="AC265" s="13"/>
      <c r="AD265" s="13"/>
    </row>
    <row r="266">
      <c r="B266" s="108"/>
      <c r="Z266" s="13"/>
      <c r="AA266" s="13"/>
      <c r="AB266" s="13"/>
      <c r="AC266" s="13"/>
      <c r="AD266" s="13"/>
    </row>
    <row r="267">
      <c r="B267" s="108"/>
      <c r="Z267" s="13"/>
      <c r="AA267" s="13"/>
      <c r="AB267" s="13"/>
      <c r="AC267" s="13"/>
      <c r="AD267" s="13"/>
    </row>
    <row r="268">
      <c r="B268" s="108"/>
      <c r="Z268" s="13"/>
      <c r="AA268" s="13"/>
      <c r="AB268" s="13"/>
      <c r="AC268" s="13"/>
      <c r="AD268" s="13"/>
    </row>
    <row r="269">
      <c r="B269" s="108"/>
      <c r="Z269" s="13"/>
      <c r="AA269" s="13"/>
      <c r="AB269" s="13"/>
      <c r="AC269" s="13"/>
      <c r="AD269" s="13"/>
    </row>
    <row r="270">
      <c r="B270" s="108"/>
      <c r="Z270" s="13"/>
      <c r="AA270" s="13"/>
      <c r="AB270" s="13"/>
      <c r="AC270" s="13"/>
      <c r="AD270" s="13"/>
    </row>
    <row r="271">
      <c r="B271" s="108"/>
      <c r="Z271" s="13"/>
      <c r="AA271" s="13"/>
      <c r="AB271" s="13"/>
      <c r="AC271" s="13"/>
      <c r="AD271" s="13"/>
    </row>
    <row r="272">
      <c r="B272" s="108"/>
      <c r="Z272" s="13"/>
      <c r="AA272" s="13"/>
      <c r="AB272" s="13"/>
      <c r="AC272" s="13"/>
      <c r="AD272" s="13"/>
    </row>
    <row r="273">
      <c r="B273" s="108"/>
      <c r="Z273" s="13"/>
      <c r="AA273" s="13"/>
      <c r="AB273" s="13"/>
      <c r="AC273" s="13"/>
      <c r="AD273" s="13"/>
    </row>
    <row r="274">
      <c r="B274" s="108"/>
      <c r="Z274" s="13"/>
      <c r="AA274" s="13"/>
      <c r="AB274" s="13"/>
      <c r="AC274" s="13"/>
      <c r="AD274" s="13"/>
    </row>
    <row r="275">
      <c r="B275" s="108"/>
      <c r="Z275" s="13"/>
      <c r="AA275" s="13"/>
      <c r="AB275" s="13"/>
      <c r="AC275" s="13"/>
      <c r="AD275" s="13"/>
    </row>
    <row r="276">
      <c r="B276" s="108"/>
      <c r="Z276" s="13"/>
      <c r="AA276" s="13"/>
      <c r="AB276" s="13"/>
      <c r="AC276" s="13"/>
      <c r="AD276" s="13"/>
    </row>
    <row r="277">
      <c r="B277" s="108"/>
      <c r="Z277" s="13"/>
      <c r="AA277" s="13"/>
      <c r="AB277" s="13"/>
      <c r="AC277" s="13"/>
      <c r="AD277" s="13"/>
    </row>
    <row r="278">
      <c r="B278" s="108"/>
      <c r="Z278" s="13"/>
      <c r="AA278" s="13"/>
      <c r="AB278" s="13"/>
      <c r="AC278" s="13"/>
      <c r="AD278" s="13"/>
    </row>
    <row r="279">
      <c r="B279" s="108"/>
      <c r="Z279" s="13"/>
      <c r="AA279" s="13"/>
      <c r="AB279" s="13"/>
      <c r="AC279" s="13"/>
      <c r="AD279" s="13"/>
    </row>
    <row r="280">
      <c r="B280" s="108"/>
      <c r="Z280" s="13"/>
      <c r="AA280" s="13"/>
      <c r="AB280" s="13"/>
      <c r="AC280" s="13"/>
      <c r="AD280" s="13"/>
    </row>
    <row r="281">
      <c r="B281" s="108"/>
      <c r="Z281" s="13"/>
      <c r="AA281" s="13"/>
      <c r="AB281" s="13"/>
      <c r="AC281" s="13"/>
      <c r="AD281" s="13"/>
    </row>
    <row r="282">
      <c r="B282" s="108"/>
      <c r="Z282" s="13"/>
      <c r="AA282" s="13"/>
      <c r="AB282" s="13"/>
      <c r="AC282" s="13"/>
      <c r="AD282" s="13"/>
    </row>
    <row r="283">
      <c r="B283" s="108"/>
      <c r="Z283" s="13"/>
      <c r="AA283" s="13"/>
      <c r="AB283" s="13"/>
      <c r="AC283" s="13"/>
      <c r="AD283" s="13"/>
    </row>
    <row r="284">
      <c r="B284" s="108"/>
      <c r="Z284" s="13"/>
      <c r="AA284" s="13"/>
      <c r="AB284" s="13"/>
      <c r="AC284" s="13"/>
      <c r="AD284" s="13"/>
    </row>
    <row r="285">
      <c r="B285" s="108"/>
      <c r="Z285" s="13"/>
      <c r="AA285" s="13"/>
      <c r="AB285" s="13"/>
      <c r="AC285" s="13"/>
      <c r="AD285" s="13"/>
    </row>
    <row r="286">
      <c r="B286" s="108"/>
      <c r="Z286" s="13"/>
      <c r="AA286" s="13"/>
      <c r="AB286" s="13"/>
      <c r="AC286" s="13"/>
      <c r="AD286" s="13"/>
    </row>
    <row r="287">
      <c r="B287" s="108"/>
      <c r="Z287" s="13"/>
      <c r="AA287" s="13"/>
      <c r="AB287" s="13"/>
      <c r="AC287" s="13"/>
      <c r="AD287" s="13"/>
    </row>
    <row r="288">
      <c r="B288" s="108"/>
      <c r="Z288" s="13"/>
      <c r="AA288" s="13"/>
      <c r="AB288" s="13"/>
      <c r="AC288" s="13"/>
      <c r="AD288" s="13"/>
    </row>
    <row r="289">
      <c r="B289" s="108"/>
      <c r="Z289" s="13"/>
      <c r="AA289" s="13"/>
      <c r="AB289" s="13"/>
      <c r="AC289" s="13"/>
      <c r="AD289" s="13"/>
    </row>
    <row r="290">
      <c r="B290" s="108"/>
      <c r="Z290" s="13"/>
      <c r="AA290" s="13"/>
      <c r="AB290" s="13"/>
      <c r="AC290" s="13"/>
      <c r="AD290" s="13"/>
    </row>
    <row r="291">
      <c r="B291" s="108"/>
      <c r="Z291" s="13"/>
      <c r="AA291" s="13"/>
      <c r="AB291" s="13"/>
      <c r="AC291" s="13"/>
      <c r="AD291" s="13"/>
    </row>
    <row r="292">
      <c r="B292" s="108"/>
      <c r="Z292" s="13"/>
      <c r="AA292" s="13"/>
      <c r="AB292" s="13"/>
      <c r="AC292" s="13"/>
      <c r="AD292" s="13"/>
    </row>
    <row r="293">
      <c r="B293" s="108"/>
      <c r="Z293" s="13"/>
      <c r="AA293" s="13"/>
      <c r="AB293" s="13"/>
      <c r="AC293" s="13"/>
      <c r="AD293" s="13"/>
    </row>
    <row r="294">
      <c r="B294" s="108"/>
      <c r="Z294" s="13"/>
      <c r="AA294" s="13"/>
      <c r="AB294" s="13"/>
      <c r="AC294" s="13"/>
      <c r="AD294" s="13"/>
    </row>
    <row r="295">
      <c r="B295" s="108"/>
      <c r="Z295" s="13"/>
      <c r="AA295" s="13"/>
      <c r="AB295" s="13"/>
      <c r="AC295" s="13"/>
      <c r="AD295" s="13"/>
    </row>
    <row r="296">
      <c r="B296" s="108"/>
      <c r="Z296" s="13"/>
      <c r="AA296" s="13"/>
      <c r="AB296" s="13"/>
      <c r="AC296" s="13"/>
      <c r="AD296" s="13"/>
    </row>
    <row r="297">
      <c r="B297" s="108"/>
      <c r="Z297" s="13"/>
      <c r="AA297" s="13"/>
      <c r="AB297" s="13"/>
      <c r="AC297" s="13"/>
      <c r="AD297" s="13"/>
    </row>
    <row r="298">
      <c r="B298" s="108"/>
      <c r="Z298" s="13"/>
      <c r="AA298" s="13"/>
      <c r="AB298" s="13"/>
      <c r="AC298" s="13"/>
      <c r="AD298" s="13"/>
    </row>
    <row r="299">
      <c r="B299" s="108"/>
      <c r="Z299" s="13"/>
      <c r="AA299" s="13"/>
      <c r="AB299" s="13"/>
      <c r="AC299" s="13"/>
      <c r="AD299" s="13"/>
    </row>
    <row r="300">
      <c r="B300" s="108"/>
      <c r="Z300" s="13"/>
      <c r="AA300" s="13"/>
      <c r="AB300" s="13"/>
      <c r="AC300" s="13"/>
      <c r="AD300" s="13"/>
    </row>
    <row r="301">
      <c r="B301" s="108"/>
      <c r="Z301" s="13"/>
      <c r="AA301" s="13"/>
      <c r="AB301" s="13"/>
      <c r="AC301" s="13"/>
      <c r="AD301" s="13"/>
    </row>
    <row r="302">
      <c r="B302" s="108"/>
      <c r="Z302" s="13"/>
      <c r="AA302" s="13"/>
      <c r="AB302" s="13"/>
      <c r="AC302" s="13"/>
      <c r="AD302" s="13"/>
    </row>
    <row r="303">
      <c r="B303" s="108"/>
      <c r="Z303" s="13"/>
      <c r="AA303" s="13"/>
      <c r="AB303" s="13"/>
      <c r="AC303" s="13"/>
      <c r="AD303" s="13"/>
    </row>
    <row r="304">
      <c r="B304" s="108"/>
      <c r="Z304" s="13"/>
      <c r="AA304" s="13"/>
      <c r="AB304" s="13"/>
      <c r="AC304" s="13"/>
      <c r="AD304" s="13"/>
    </row>
    <row r="305">
      <c r="B305" s="108"/>
      <c r="Z305" s="13"/>
      <c r="AA305" s="13"/>
      <c r="AB305" s="13"/>
      <c r="AC305" s="13"/>
      <c r="AD305" s="13"/>
    </row>
    <row r="306">
      <c r="B306" s="108"/>
      <c r="Z306" s="13"/>
      <c r="AA306" s="13"/>
      <c r="AB306" s="13"/>
      <c r="AC306" s="13"/>
      <c r="AD306" s="13"/>
    </row>
    <row r="307">
      <c r="B307" s="108"/>
      <c r="Z307" s="13"/>
      <c r="AA307" s="13"/>
      <c r="AB307" s="13"/>
      <c r="AC307" s="13"/>
      <c r="AD307" s="13"/>
    </row>
    <row r="308">
      <c r="B308" s="108"/>
      <c r="Z308" s="13"/>
      <c r="AA308" s="13"/>
      <c r="AB308" s="13"/>
      <c r="AC308" s="13"/>
      <c r="AD308" s="13"/>
    </row>
    <row r="309">
      <c r="B309" s="108"/>
      <c r="Z309" s="13"/>
      <c r="AA309" s="13"/>
      <c r="AB309" s="13"/>
      <c r="AC309" s="13"/>
      <c r="AD309" s="13"/>
    </row>
    <row r="310">
      <c r="B310" s="108"/>
      <c r="Z310" s="13"/>
      <c r="AA310" s="13"/>
      <c r="AB310" s="13"/>
      <c r="AC310" s="13"/>
      <c r="AD310" s="13"/>
    </row>
    <row r="311">
      <c r="B311" s="108"/>
      <c r="Z311" s="13"/>
      <c r="AA311" s="13"/>
      <c r="AB311" s="13"/>
      <c r="AC311" s="13"/>
      <c r="AD311" s="13"/>
    </row>
    <row r="312">
      <c r="B312" s="108"/>
      <c r="Z312" s="13"/>
      <c r="AA312" s="13"/>
      <c r="AB312" s="13"/>
      <c r="AC312" s="13"/>
      <c r="AD312" s="13"/>
    </row>
    <row r="313">
      <c r="B313" s="108"/>
      <c r="Z313" s="13"/>
      <c r="AA313" s="13"/>
      <c r="AB313" s="13"/>
      <c r="AC313" s="13"/>
      <c r="AD313" s="13"/>
    </row>
    <row r="314">
      <c r="B314" s="108"/>
      <c r="Z314" s="13"/>
      <c r="AA314" s="13"/>
      <c r="AB314" s="13"/>
      <c r="AC314" s="13"/>
      <c r="AD314" s="13"/>
    </row>
    <row r="315">
      <c r="B315" s="108"/>
      <c r="Z315" s="13"/>
      <c r="AA315" s="13"/>
      <c r="AB315" s="13"/>
      <c r="AC315" s="13"/>
      <c r="AD315" s="13"/>
    </row>
    <row r="316">
      <c r="B316" s="108"/>
      <c r="Z316" s="13"/>
      <c r="AA316" s="13"/>
      <c r="AB316" s="13"/>
      <c r="AC316" s="13"/>
      <c r="AD316" s="13"/>
    </row>
    <row r="317">
      <c r="B317" s="108"/>
      <c r="Z317" s="13"/>
      <c r="AA317" s="13"/>
      <c r="AB317" s="13"/>
      <c r="AC317" s="13"/>
      <c r="AD317" s="13"/>
    </row>
    <row r="318">
      <c r="B318" s="108"/>
      <c r="Z318" s="13"/>
      <c r="AA318" s="13"/>
      <c r="AB318" s="13"/>
      <c r="AC318" s="13"/>
      <c r="AD318" s="13"/>
    </row>
    <row r="319">
      <c r="B319" s="108"/>
      <c r="Z319" s="13"/>
      <c r="AA319" s="13"/>
      <c r="AB319" s="13"/>
      <c r="AC319" s="13"/>
      <c r="AD319" s="13"/>
    </row>
    <row r="320">
      <c r="B320" s="108"/>
      <c r="Z320" s="13"/>
      <c r="AA320" s="13"/>
      <c r="AB320" s="13"/>
      <c r="AC320" s="13"/>
      <c r="AD320" s="13"/>
    </row>
    <row r="321">
      <c r="B321" s="108"/>
      <c r="Z321" s="13"/>
      <c r="AA321" s="13"/>
      <c r="AB321" s="13"/>
      <c r="AC321" s="13"/>
      <c r="AD321" s="13"/>
    </row>
    <row r="322">
      <c r="B322" s="108"/>
      <c r="Z322" s="13"/>
      <c r="AA322" s="13"/>
      <c r="AB322" s="13"/>
      <c r="AC322" s="13"/>
      <c r="AD322" s="13"/>
    </row>
    <row r="323">
      <c r="B323" s="108"/>
      <c r="Z323" s="13"/>
      <c r="AA323" s="13"/>
      <c r="AB323" s="13"/>
      <c r="AC323" s="13"/>
      <c r="AD323" s="13"/>
    </row>
    <row r="324">
      <c r="B324" s="108"/>
      <c r="Z324" s="13"/>
      <c r="AA324" s="13"/>
      <c r="AB324" s="13"/>
      <c r="AC324" s="13"/>
      <c r="AD324" s="13"/>
    </row>
    <row r="325">
      <c r="B325" s="108"/>
      <c r="Z325" s="13"/>
      <c r="AA325" s="13"/>
      <c r="AB325" s="13"/>
      <c r="AC325" s="13"/>
      <c r="AD325" s="13"/>
    </row>
    <row r="326">
      <c r="B326" s="108"/>
      <c r="Z326" s="13"/>
      <c r="AA326" s="13"/>
      <c r="AB326" s="13"/>
      <c r="AC326" s="13"/>
      <c r="AD326" s="13"/>
    </row>
    <row r="327">
      <c r="B327" s="108"/>
      <c r="Z327" s="13"/>
      <c r="AA327" s="13"/>
      <c r="AB327" s="13"/>
      <c r="AC327" s="13"/>
      <c r="AD327" s="13"/>
    </row>
    <row r="328">
      <c r="B328" s="108"/>
      <c r="Z328" s="13"/>
      <c r="AA328" s="13"/>
      <c r="AB328" s="13"/>
      <c r="AC328" s="13"/>
      <c r="AD328" s="13"/>
    </row>
    <row r="329">
      <c r="B329" s="108"/>
      <c r="Z329" s="13"/>
      <c r="AA329" s="13"/>
      <c r="AB329" s="13"/>
      <c r="AC329" s="13"/>
      <c r="AD329" s="13"/>
    </row>
    <row r="330">
      <c r="B330" s="108"/>
      <c r="Z330" s="13"/>
      <c r="AA330" s="13"/>
      <c r="AB330" s="13"/>
      <c r="AC330" s="13"/>
      <c r="AD330" s="13"/>
    </row>
    <row r="331">
      <c r="B331" s="108"/>
      <c r="Z331" s="13"/>
      <c r="AA331" s="13"/>
      <c r="AB331" s="13"/>
      <c r="AC331" s="13"/>
      <c r="AD331" s="13"/>
    </row>
    <row r="332">
      <c r="B332" s="108"/>
      <c r="Z332" s="13"/>
      <c r="AA332" s="13"/>
      <c r="AB332" s="13"/>
      <c r="AC332" s="13"/>
      <c r="AD332" s="13"/>
    </row>
    <row r="333">
      <c r="B333" s="108"/>
      <c r="Z333" s="13"/>
      <c r="AA333" s="13"/>
      <c r="AB333" s="13"/>
      <c r="AC333" s="13"/>
      <c r="AD333" s="13"/>
    </row>
    <row r="334">
      <c r="B334" s="108"/>
      <c r="Z334" s="13"/>
      <c r="AA334" s="13"/>
      <c r="AB334" s="13"/>
      <c r="AC334" s="13"/>
      <c r="AD334" s="13"/>
    </row>
    <row r="335">
      <c r="B335" s="108"/>
      <c r="Z335" s="13"/>
      <c r="AA335" s="13"/>
      <c r="AB335" s="13"/>
      <c r="AC335" s="13"/>
      <c r="AD335" s="13"/>
    </row>
    <row r="336">
      <c r="B336" s="108"/>
      <c r="Z336" s="13"/>
      <c r="AA336" s="13"/>
      <c r="AB336" s="13"/>
      <c r="AC336" s="13"/>
      <c r="AD336" s="13"/>
    </row>
    <row r="337">
      <c r="B337" s="108"/>
      <c r="Z337" s="13"/>
      <c r="AA337" s="13"/>
      <c r="AB337" s="13"/>
      <c r="AC337" s="13"/>
      <c r="AD337" s="13"/>
    </row>
    <row r="338">
      <c r="B338" s="108"/>
      <c r="Z338" s="13"/>
      <c r="AA338" s="13"/>
      <c r="AB338" s="13"/>
      <c r="AC338" s="13"/>
      <c r="AD338" s="13"/>
    </row>
    <row r="339">
      <c r="B339" s="108"/>
      <c r="Z339" s="13"/>
      <c r="AA339" s="13"/>
      <c r="AB339" s="13"/>
      <c r="AC339" s="13"/>
      <c r="AD339" s="13"/>
    </row>
    <row r="340">
      <c r="B340" s="108"/>
      <c r="Z340" s="13"/>
      <c r="AA340" s="13"/>
      <c r="AB340" s="13"/>
      <c r="AC340" s="13"/>
      <c r="AD340" s="13"/>
    </row>
    <row r="341">
      <c r="B341" s="108"/>
      <c r="Z341" s="13"/>
      <c r="AA341" s="13"/>
      <c r="AB341" s="13"/>
      <c r="AC341" s="13"/>
      <c r="AD341" s="13"/>
    </row>
    <row r="342">
      <c r="B342" s="108"/>
      <c r="Z342" s="13"/>
      <c r="AA342" s="13"/>
      <c r="AB342" s="13"/>
      <c r="AC342" s="13"/>
      <c r="AD342" s="13"/>
    </row>
    <row r="343">
      <c r="B343" s="108"/>
      <c r="Z343" s="13"/>
      <c r="AA343" s="13"/>
      <c r="AB343" s="13"/>
      <c r="AC343" s="13"/>
      <c r="AD343" s="13"/>
    </row>
    <row r="344">
      <c r="B344" s="108"/>
      <c r="Z344" s="13"/>
      <c r="AA344" s="13"/>
      <c r="AB344" s="13"/>
      <c r="AC344" s="13"/>
      <c r="AD344" s="13"/>
    </row>
    <row r="345">
      <c r="B345" s="108"/>
      <c r="Z345" s="13"/>
      <c r="AA345" s="13"/>
      <c r="AB345" s="13"/>
      <c r="AC345" s="13"/>
      <c r="AD345" s="13"/>
    </row>
    <row r="346">
      <c r="B346" s="108"/>
      <c r="Z346" s="13"/>
      <c r="AA346" s="13"/>
      <c r="AB346" s="13"/>
      <c r="AC346" s="13"/>
      <c r="AD346" s="13"/>
    </row>
    <row r="347">
      <c r="B347" s="108"/>
      <c r="Z347" s="13"/>
      <c r="AA347" s="13"/>
      <c r="AB347" s="13"/>
      <c r="AC347" s="13"/>
      <c r="AD347" s="13"/>
    </row>
    <row r="348">
      <c r="B348" s="108"/>
      <c r="Z348" s="13"/>
      <c r="AA348" s="13"/>
      <c r="AB348" s="13"/>
      <c r="AC348" s="13"/>
      <c r="AD348" s="13"/>
    </row>
    <row r="349">
      <c r="B349" s="108"/>
      <c r="Z349" s="13"/>
      <c r="AA349" s="13"/>
      <c r="AB349" s="13"/>
      <c r="AC349" s="13"/>
      <c r="AD349" s="13"/>
    </row>
    <row r="350">
      <c r="B350" s="108"/>
      <c r="Z350" s="13"/>
      <c r="AA350" s="13"/>
      <c r="AB350" s="13"/>
      <c r="AC350" s="13"/>
      <c r="AD350" s="13"/>
    </row>
    <row r="351">
      <c r="B351" s="108"/>
      <c r="Z351" s="13"/>
      <c r="AA351" s="13"/>
      <c r="AB351" s="13"/>
      <c r="AC351" s="13"/>
      <c r="AD351" s="13"/>
    </row>
    <row r="352">
      <c r="B352" s="108"/>
      <c r="Z352" s="13"/>
      <c r="AA352" s="13"/>
      <c r="AB352" s="13"/>
      <c r="AC352" s="13"/>
      <c r="AD352" s="13"/>
    </row>
    <row r="353">
      <c r="B353" s="108"/>
      <c r="Z353" s="13"/>
      <c r="AA353" s="13"/>
      <c r="AB353" s="13"/>
      <c r="AC353" s="13"/>
      <c r="AD353" s="13"/>
    </row>
    <row r="354">
      <c r="B354" s="108"/>
      <c r="Z354" s="13"/>
      <c r="AA354" s="13"/>
      <c r="AB354" s="13"/>
      <c r="AC354" s="13"/>
      <c r="AD354" s="13"/>
    </row>
    <row r="355">
      <c r="B355" s="108"/>
      <c r="Z355" s="13"/>
      <c r="AA355" s="13"/>
      <c r="AB355" s="13"/>
      <c r="AC355" s="13"/>
      <c r="AD355" s="13"/>
    </row>
    <row r="356">
      <c r="B356" s="108"/>
      <c r="Z356" s="13"/>
      <c r="AA356" s="13"/>
      <c r="AB356" s="13"/>
      <c r="AC356" s="13"/>
      <c r="AD356" s="13"/>
    </row>
    <row r="357">
      <c r="B357" s="108"/>
      <c r="Z357" s="13"/>
      <c r="AA357" s="13"/>
      <c r="AB357" s="13"/>
      <c r="AC357" s="13"/>
      <c r="AD357" s="13"/>
    </row>
    <row r="358">
      <c r="B358" s="108"/>
      <c r="Z358" s="13"/>
      <c r="AA358" s="13"/>
      <c r="AB358" s="13"/>
      <c r="AC358" s="13"/>
      <c r="AD358" s="13"/>
    </row>
    <row r="359">
      <c r="B359" s="108"/>
      <c r="Z359" s="13"/>
      <c r="AA359" s="13"/>
      <c r="AB359" s="13"/>
      <c r="AC359" s="13"/>
      <c r="AD359" s="13"/>
    </row>
    <row r="360">
      <c r="B360" s="108"/>
      <c r="Z360" s="13"/>
      <c r="AA360" s="13"/>
      <c r="AB360" s="13"/>
      <c r="AC360" s="13"/>
      <c r="AD360" s="13"/>
    </row>
    <row r="361">
      <c r="B361" s="108"/>
      <c r="Z361" s="13"/>
      <c r="AA361" s="13"/>
      <c r="AB361" s="13"/>
      <c r="AC361" s="13"/>
      <c r="AD361" s="13"/>
    </row>
    <row r="362">
      <c r="B362" s="108"/>
      <c r="Z362" s="13"/>
      <c r="AA362" s="13"/>
      <c r="AB362" s="13"/>
      <c r="AC362" s="13"/>
      <c r="AD362" s="13"/>
    </row>
    <row r="363">
      <c r="B363" s="108"/>
      <c r="Z363" s="13"/>
      <c r="AA363" s="13"/>
      <c r="AB363" s="13"/>
      <c r="AC363" s="13"/>
      <c r="AD363" s="13"/>
    </row>
    <row r="364">
      <c r="B364" s="108"/>
      <c r="Z364" s="13"/>
      <c r="AA364" s="13"/>
      <c r="AB364" s="13"/>
      <c r="AC364" s="13"/>
      <c r="AD364" s="13"/>
    </row>
    <row r="365">
      <c r="B365" s="108"/>
      <c r="Z365" s="13"/>
      <c r="AA365" s="13"/>
      <c r="AB365" s="13"/>
      <c r="AC365" s="13"/>
      <c r="AD365" s="13"/>
    </row>
    <row r="366">
      <c r="B366" s="108"/>
      <c r="Z366" s="13"/>
      <c r="AA366" s="13"/>
      <c r="AB366" s="13"/>
      <c r="AC366" s="13"/>
      <c r="AD366" s="13"/>
    </row>
    <row r="367">
      <c r="B367" s="108"/>
      <c r="Z367" s="13"/>
      <c r="AA367" s="13"/>
      <c r="AB367" s="13"/>
      <c r="AC367" s="13"/>
      <c r="AD367" s="13"/>
    </row>
    <row r="368">
      <c r="B368" s="108"/>
      <c r="Z368" s="13"/>
      <c r="AA368" s="13"/>
      <c r="AB368" s="13"/>
      <c r="AC368" s="13"/>
      <c r="AD368" s="13"/>
    </row>
    <row r="369">
      <c r="B369" s="108"/>
      <c r="Z369" s="13"/>
      <c r="AA369" s="13"/>
      <c r="AB369" s="13"/>
      <c r="AC369" s="13"/>
      <c r="AD369" s="13"/>
    </row>
    <row r="370">
      <c r="B370" s="108"/>
      <c r="Z370" s="13"/>
      <c r="AA370" s="13"/>
      <c r="AB370" s="13"/>
      <c r="AC370" s="13"/>
      <c r="AD370" s="13"/>
    </row>
    <row r="371">
      <c r="B371" s="108"/>
      <c r="Z371" s="13"/>
      <c r="AA371" s="13"/>
      <c r="AB371" s="13"/>
      <c r="AC371" s="13"/>
      <c r="AD371" s="13"/>
    </row>
    <row r="372">
      <c r="B372" s="108"/>
      <c r="Z372" s="13"/>
      <c r="AA372" s="13"/>
      <c r="AB372" s="13"/>
      <c r="AC372" s="13"/>
      <c r="AD372" s="13"/>
    </row>
    <row r="373">
      <c r="B373" s="108"/>
      <c r="Z373" s="13"/>
      <c r="AA373" s="13"/>
      <c r="AB373" s="13"/>
      <c r="AC373" s="13"/>
      <c r="AD373" s="13"/>
    </row>
    <row r="374">
      <c r="B374" s="108"/>
      <c r="Z374" s="13"/>
      <c r="AA374" s="13"/>
      <c r="AB374" s="13"/>
      <c r="AC374" s="13"/>
      <c r="AD374" s="13"/>
    </row>
    <row r="375">
      <c r="B375" s="108"/>
      <c r="Z375" s="13"/>
      <c r="AA375" s="13"/>
      <c r="AB375" s="13"/>
      <c r="AC375" s="13"/>
      <c r="AD375" s="13"/>
    </row>
    <row r="376">
      <c r="B376" s="108"/>
      <c r="Z376" s="13"/>
      <c r="AA376" s="13"/>
      <c r="AB376" s="13"/>
      <c r="AC376" s="13"/>
      <c r="AD376" s="13"/>
    </row>
    <row r="377">
      <c r="B377" s="108"/>
      <c r="Z377" s="13"/>
      <c r="AA377" s="13"/>
      <c r="AB377" s="13"/>
      <c r="AC377" s="13"/>
      <c r="AD377" s="13"/>
    </row>
    <row r="378">
      <c r="B378" s="108"/>
      <c r="Z378" s="13"/>
      <c r="AA378" s="13"/>
      <c r="AB378" s="13"/>
      <c r="AC378" s="13"/>
      <c r="AD378" s="13"/>
    </row>
    <row r="379">
      <c r="B379" s="108"/>
      <c r="Z379" s="13"/>
      <c r="AA379" s="13"/>
      <c r="AB379" s="13"/>
      <c r="AC379" s="13"/>
      <c r="AD379" s="13"/>
    </row>
    <row r="380">
      <c r="B380" s="108"/>
      <c r="Z380" s="13"/>
      <c r="AA380" s="13"/>
      <c r="AB380" s="13"/>
      <c r="AC380" s="13"/>
      <c r="AD380" s="13"/>
    </row>
    <row r="381">
      <c r="B381" s="108"/>
      <c r="Z381" s="13"/>
      <c r="AA381" s="13"/>
      <c r="AB381" s="13"/>
      <c r="AC381" s="13"/>
      <c r="AD381" s="13"/>
    </row>
    <row r="382">
      <c r="B382" s="108"/>
      <c r="Z382" s="13"/>
      <c r="AA382" s="13"/>
      <c r="AB382" s="13"/>
      <c r="AC382" s="13"/>
      <c r="AD382" s="13"/>
    </row>
    <row r="383">
      <c r="B383" s="108"/>
      <c r="Z383" s="13"/>
      <c r="AA383" s="13"/>
      <c r="AB383" s="13"/>
      <c r="AC383" s="13"/>
      <c r="AD383" s="13"/>
    </row>
    <row r="384">
      <c r="B384" s="108"/>
      <c r="Z384" s="13"/>
      <c r="AA384" s="13"/>
      <c r="AB384" s="13"/>
      <c r="AC384" s="13"/>
      <c r="AD384" s="13"/>
    </row>
    <row r="385">
      <c r="B385" s="108"/>
      <c r="Z385" s="13"/>
      <c r="AA385" s="13"/>
      <c r="AB385" s="13"/>
      <c r="AC385" s="13"/>
      <c r="AD385" s="13"/>
    </row>
    <row r="386">
      <c r="B386" s="108"/>
      <c r="Z386" s="13"/>
      <c r="AA386" s="13"/>
      <c r="AB386" s="13"/>
      <c r="AC386" s="13"/>
      <c r="AD386" s="13"/>
    </row>
    <row r="387">
      <c r="B387" s="108"/>
      <c r="Z387" s="13"/>
      <c r="AA387" s="13"/>
      <c r="AB387" s="13"/>
      <c r="AC387" s="13"/>
      <c r="AD387" s="13"/>
    </row>
    <row r="388">
      <c r="B388" s="108"/>
      <c r="Z388" s="13"/>
      <c r="AA388" s="13"/>
      <c r="AB388" s="13"/>
      <c r="AC388" s="13"/>
      <c r="AD388" s="13"/>
    </row>
    <row r="389">
      <c r="B389" s="108"/>
      <c r="Z389" s="13"/>
      <c r="AA389" s="13"/>
      <c r="AB389" s="13"/>
      <c r="AC389" s="13"/>
      <c r="AD389" s="13"/>
    </row>
    <row r="390">
      <c r="B390" s="108"/>
      <c r="Z390" s="13"/>
      <c r="AA390" s="13"/>
      <c r="AB390" s="13"/>
      <c r="AC390" s="13"/>
      <c r="AD390" s="13"/>
    </row>
    <row r="391">
      <c r="B391" s="108"/>
      <c r="Z391" s="13"/>
      <c r="AA391" s="13"/>
      <c r="AB391" s="13"/>
      <c r="AC391" s="13"/>
      <c r="AD391" s="13"/>
    </row>
    <row r="392">
      <c r="B392" s="108"/>
      <c r="Z392" s="13"/>
      <c r="AA392" s="13"/>
      <c r="AB392" s="13"/>
      <c r="AC392" s="13"/>
      <c r="AD392" s="13"/>
    </row>
    <row r="393">
      <c r="B393" s="108"/>
      <c r="Z393" s="13"/>
      <c r="AA393" s="13"/>
      <c r="AB393" s="13"/>
      <c r="AC393" s="13"/>
      <c r="AD393" s="13"/>
    </row>
    <row r="394">
      <c r="B394" s="108"/>
      <c r="Z394" s="13"/>
      <c r="AA394" s="13"/>
      <c r="AB394" s="13"/>
      <c r="AC394" s="13"/>
      <c r="AD394" s="13"/>
    </row>
    <row r="395">
      <c r="B395" s="108"/>
      <c r="Z395" s="13"/>
      <c r="AA395" s="13"/>
      <c r="AB395" s="13"/>
      <c r="AC395" s="13"/>
      <c r="AD395" s="13"/>
    </row>
    <row r="396">
      <c r="B396" s="108"/>
      <c r="Z396" s="13"/>
      <c r="AA396" s="13"/>
      <c r="AB396" s="13"/>
      <c r="AC396" s="13"/>
      <c r="AD396" s="13"/>
    </row>
    <row r="397">
      <c r="B397" s="108"/>
      <c r="Z397" s="13"/>
      <c r="AA397" s="13"/>
      <c r="AB397" s="13"/>
      <c r="AC397" s="13"/>
      <c r="AD397" s="13"/>
    </row>
    <row r="398">
      <c r="B398" s="108"/>
      <c r="Z398" s="13"/>
      <c r="AA398" s="13"/>
      <c r="AB398" s="13"/>
      <c r="AC398" s="13"/>
      <c r="AD398" s="13"/>
    </row>
    <row r="399">
      <c r="B399" s="108"/>
      <c r="Z399" s="13"/>
      <c r="AA399" s="13"/>
      <c r="AB399" s="13"/>
      <c r="AC399" s="13"/>
      <c r="AD399" s="13"/>
    </row>
    <row r="400">
      <c r="B400" s="108"/>
      <c r="Z400" s="13"/>
      <c r="AA400" s="13"/>
      <c r="AB400" s="13"/>
      <c r="AC400" s="13"/>
      <c r="AD400" s="13"/>
    </row>
    <row r="401">
      <c r="B401" s="108"/>
      <c r="Z401" s="13"/>
      <c r="AA401" s="13"/>
      <c r="AB401" s="13"/>
      <c r="AC401" s="13"/>
      <c r="AD401" s="13"/>
    </row>
    <row r="402">
      <c r="B402" s="108"/>
      <c r="Z402" s="13"/>
      <c r="AA402" s="13"/>
      <c r="AB402" s="13"/>
      <c r="AC402" s="13"/>
      <c r="AD402" s="13"/>
    </row>
    <row r="403">
      <c r="B403" s="108"/>
      <c r="Z403" s="13"/>
      <c r="AA403" s="13"/>
      <c r="AB403" s="13"/>
      <c r="AC403" s="13"/>
      <c r="AD403" s="13"/>
    </row>
    <row r="404">
      <c r="B404" s="108"/>
      <c r="Z404" s="13"/>
      <c r="AA404" s="13"/>
      <c r="AB404" s="13"/>
      <c r="AC404" s="13"/>
      <c r="AD404" s="13"/>
    </row>
    <row r="405">
      <c r="B405" s="108"/>
      <c r="Z405" s="13"/>
      <c r="AA405" s="13"/>
      <c r="AB405" s="13"/>
      <c r="AC405" s="13"/>
      <c r="AD405" s="13"/>
    </row>
    <row r="406">
      <c r="B406" s="108"/>
      <c r="Z406" s="13"/>
      <c r="AA406" s="13"/>
      <c r="AB406" s="13"/>
      <c r="AC406" s="13"/>
      <c r="AD406" s="13"/>
    </row>
    <row r="407">
      <c r="B407" s="108"/>
      <c r="Z407" s="13"/>
      <c r="AA407" s="13"/>
      <c r="AB407" s="13"/>
      <c r="AC407" s="13"/>
      <c r="AD407" s="13"/>
    </row>
    <row r="408">
      <c r="B408" s="108"/>
      <c r="Z408" s="13"/>
      <c r="AA408" s="13"/>
      <c r="AB408" s="13"/>
      <c r="AC408" s="13"/>
      <c r="AD408" s="13"/>
    </row>
    <row r="409">
      <c r="B409" s="108"/>
      <c r="Z409" s="13"/>
      <c r="AA409" s="13"/>
      <c r="AB409" s="13"/>
      <c r="AC409" s="13"/>
      <c r="AD409" s="13"/>
    </row>
    <row r="410">
      <c r="B410" s="108"/>
      <c r="Z410" s="13"/>
      <c r="AA410" s="13"/>
      <c r="AB410" s="13"/>
      <c r="AC410" s="13"/>
      <c r="AD410" s="13"/>
    </row>
    <row r="411">
      <c r="B411" s="108"/>
      <c r="Z411" s="13"/>
      <c r="AA411" s="13"/>
      <c r="AB411" s="13"/>
      <c r="AC411" s="13"/>
      <c r="AD411" s="13"/>
    </row>
    <row r="412">
      <c r="B412" s="108"/>
      <c r="Z412" s="13"/>
      <c r="AA412" s="13"/>
      <c r="AB412" s="13"/>
      <c r="AC412" s="13"/>
      <c r="AD412" s="13"/>
    </row>
    <row r="413">
      <c r="B413" s="108"/>
      <c r="Z413" s="13"/>
      <c r="AA413" s="13"/>
      <c r="AB413" s="13"/>
      <c r="AC413" s="13"/>
      <c r="AD413" s="13"/>
    </row>
    <row r="414">
      <c r="B414" s="108"/>
      <c r="Z414" s="13"/>
      <c r="AA414" s="13"/>
      <c r="AB414" s="13"/>
      <c r="AC414" s="13"/>
      <c r="AD414" s="13"/>
    </row>
    <row r="415">
      <c r="B415" s="108"/>
      <c r="Z415" s="13"/>
      <c r="AA415" s="13"/>
      <c r="AB415" s="13"/>
      <c r="AC415" s="13"/>
      <c r="AD415" s="13"/>
    </row>
    <row r="416">
      <c r="B416" s="108"/>
      <c r="Z416" s="13"/>
      <c r="AA416" s="13"/>
      <c r="AB416" s="13"/>
      <c r="AC416" s="13"/>
      <c r="AD416" s="13"/>
    </row>
    <row r="417">
      <c r="B417" s="108"/>
      <c r="Z417" s="13"/>
      <c r="AA417" s="13"/>
      <c r="AB417" s="13"/>
      <c r="AC417" s="13"/>
      <c r="AD417" s="13"/>
    </row>
    <row r="418">
      <c r="B418" s="108"/>
      <c r="Z418" s="13"/>
      <c r="AA418" s="13"/>
      <c r="AB418" s="13"/>
      <c r="AC418" s="13"/>
      <c r="AD418" s="13"/>
    </row>
    <row r="419">
      <c r="B419" s="108"/>
      <c r="Z419" s="13"/>
      <c r="AA419" s="13"/>
      <c r="AB419" s="13"/>
      <c r="AC419" s="13"/>
      <c r="AD419" s="13"/>
    </row>
    <row r="420">
      <c r="B420" s="108"/>
      <c r="Z420" s="13"/>
      <c r="AA420" s="13"/>
      <c r="AB420" s="13"/>
      <c r="AC420" s="13"/>
      <c r="AD420" s="13"/>
    </row>
    <row r="421">
      <c r="B421" s="108"/>
      <c r="Z421" s="13"/>
      <c r="AA421" s="13"/>
      <c r="AB421" s="13"/>
      <c r="AC421" s="13"/>
      <c r="AD421" s="13"/>
    </row>
    <row r="422">
      <c r="B422" s="108"/>
      <c r="Z422" s="13"/>
      <c r="AA422" s="13"/>
      <c r="AB422" s="13"/>
      <c r="AC422" s="13"/>
      <c r="AD422" s="13"/>
    </row>
    <row r="423">
      <c r="B423" s="108"/>
      <c r="Z423" s="13"/>
      <c r="AA423" s="13"/>
      <c r="AB423" s="13"/>
      <c r="AC423" s="13"/>
      <c r="AD423" s="13"/>
    </row>
    <row r="424">
      <c r="B424" s="108"/>
      <c r="Z424" s="13"/>
      <c r="AA424" s="13"/>
      <c r="AB424" s="13"/>
      <c r="AC424" s="13"/>
      <c r="AD424" s="13"/>
    </row>
    <row r="425">
      <c r="B425" s="108"/>
      <c r="Z425" s="13"/>
      <c r="AA425" s="13"/>
      <c r="AB425" s="13"/>
      <c r="AC425" s="13"/>
      <c r="AD425" s="13"/>
    </row>
    <row r="426">
      <c r="B426" s="108"/>
      <c r="Z426" s="13"/>
      <c r="AA426" s="13"/>
      <c r="AB426" s="13"/>
      <c r="AC426" s="13"/>
      <c r="AD426" s="13"/>
    </row>
    <row r="427">
      <c r="B427" s="108"/>
      <c r="Z427" s="13"/>
      <c r="AA427" s="13"/>
      <c r="AB427" s="13"/>
      <c r="AC427" s="13"/>
      <c r="AD427" s="13"/>
    </row>
    <row r="428">
      <c r="B428" s="108"/>
      <c r="Z428" s="13"/>
      <c r="AA428" s="13"/>
      <c r="AB428" s="13"/>
      <c r="AC428" s="13"/>
      <c r="AD428" s="13"/>
    </row>
    <row r="429">
      <c r="B429" s="108"/>
      <c r="Z429" s="13"/>
      <c r="AA429" s="13"/>
      <c r="AB429" s="13"/>
      <c r="AC429" s="13"/>
      <c r="AD429" s="13"/>
    </row>
    <row r="430">
      <c r="B430" s="108"/>
      <c r="Z430" s="13"/>
      <c r="AA430" s="13"/>
      <c r="AB430" s="13"/>
      <c r="AC430" s="13"/>
      <c r="AD430" s="13"/>
    </row>
    <row r="431">
      <c r="B431" s="108"/>
      <c r="Z431" s="13"/>
      <c r="AA431" s="13"/>
      <c r="AB431" s="13"/>
      <c r="AC431" s="13"/>
      <c r="AD431" s="13"/>
    </row>
    <row r="432">
      <c r="B432" s="108"/>
      <c r="Z432" s="13"/>
      <c r="AA432" s="13"/>
      <c r="AB432" s="13"/>
      <c r="AC432" s="13"/>
      <c r="AD432" s="13"/>
    </row>
    <row r="433">
      <c r="B433" s="108"/>
      <c r="Z433" s="13"/>
      <c r="AA433" s="13"/>
      <c r="AB433" s="13"/>
      <c r="AC433" s="13"/>
      <c r="AD433" s="13"/>
    </row>
    <row r="434">
      <c r="B434" s="108"/>
      <c r="Z434" s="13"/>
      <c r="AA434" s="13"/>
      <c r="AB434" s="13"/>
      <c r="AC434" s="13"/>
      <c r="AD434" s="13"/>
    </row>
    <row r="435">
      <c r="B435" s="108"/>
      <c r="Z435" s="13"/>
      <c r="AA435" s="13"/>
      <c r="AB435" s="13"/>
      <c r="AC435" s="13"/>
      <c r="AD435" s="13"/>
    </row>
    <row r="436">
      <c r="B436" s="108"/>
      <c r="Z436" s="13"/>
      <c r="AA436" s="13"/>
      <c r="AB436" s="13"/>
      <c r="AC436" s="13"/>
      <c r="AD436" s="13"/>
    </row>
    <row r="437">
      <c r="B437" s="108"/>
      <c r="Z437" s="13"/>
      <c r="AA437" s="13"/>
      <c r="AB437" s="13"/>
      <c r="AC437" s="13"/>
      <c r="AD437" s="13"/>
    </row>
    <row r="438">
      <c r="B438" s="108"/>
      <c r="Z438" s="13"/>
      <c r="AA438" s="13"/>
      <c r="AB438" s="13"/>
      <c r="AC438" s="13"/>
      <c r="AD438" s="13"/>
    </row>
    <row r="439">
      <c r="B439" s="108"/>
      <c r="Z439" s="13"/>
      <c r="AA439" s="13"/>
      <c r="AB439" s="13"/>
      <c r="AC439" s="13"/>
      <c r="AD439" s="13"/>
    </row>
    <row r="440">
      <c r="B440" s="108"/>
      <c r="Z440" s="13"/>
      <c r="AA440" s="13"/>
      <c r="AB440" s="13"/>
      <c r="AC440" s="13"/>
      <c r="AD440" s="13"/>
    </row>
    <row r="441">
      <c r="B441" s="108"/>
      <c r="Z441" s="13"/>
      <c r="AA441" s="13"/>
      <c r="AB441" s="13"/>
      <c r="AC441" s="13"/>
      <c r="AD441" s="13"/>
    </row>
    <row r="442">
      <c r="B442" s="108"/>
      <c r="Z442" s="13"/>
      <c r="AA442" s="13"/>
      <c r="AB442" s="13"/>
      <c r="AC442" s="13"/>
      <c r="AD442" s="13"/>
    </row>
    <row r="443">
      <c r="B443" s="108"/>
      <c r="Z443" s="13"/>
      <c r="AA443" s="13"/>
      <c r="AB443" s="13"/>
      <c r="AC443" s="13"/>
      <c r="AD443" s="13"/>
    </row>
    <row r="444">
      <c r="B444" s="108"/>
      <c r="Z444" s="13"/>
      <c r="AA444" s="13"/>
      <c r="AB444" s="13"/>
      <c r="AC444" s="13"/>
      <c r="AD444" s="13"/>
    </row>
    <row r="445">
      <c r="B445" s="108"/>
      <c r="Z445" s="13"/>
      <c r="AA445" s="13"/>
      <c r="AB445" s="13"/>
      <c r="AC445" s="13"/>
      <c r="AD445" s="13"/>
    </row>
    <row r="446">
      <c r="B446" s="108"/>
      <c r="Z446" s="13"/>
      <c r="AA446" s="13"/>
      <c r="AB446" s="13"/>
      <c r="AC446" s="13"/>
      <c r="AD446" s="13"/>
    </row>
    <row r="447">
      <c r="B447" s="108"/>
      <c r="Z447" s="13"/>
      <c r="AA447" s="13"/>
      <c r="AB447" s="13"/>
      <c r="AC447" s="13"/>
      <c r="AD447" s="13"/>
    </row>
    <row r="448">
      <c r="B448" s="108"/>
      <c r="Z448" s="13"/>
      <c r="AA448" s="13"/>
      <c r="AB448" s="13"/>
      <c r="AC448" s="13"/>
      <c r="AD448" s="13"/>
    </row>
    <row r="449">
      <c r="B449" s="108"/>
      <c r="Z449" s="13"/>
      <c r="AA449" s="13"/>
      <c r="AB449" s="13"/>
      <c r="AC449" s="13"/>
      <c r="AD449" s="13"/>
    </row>
    <row r="450">
      <c r="B450" s="108"/>
      <c r="Z450" s="13"/>
      <c r="AA450" s="13"/>
      <c r="AB450" s="13"/>
      <c r="AC450" s="13"/>
      <c r="AD450" s="13"/>
    </row>
    <row r="451">
      <c r="B451" s="108"/>
      <c r="Z451" s="13"/>
      <c r="AA451" s="13"/>
      <c r="AB451" s="13"/>
      <c r="AC451" s="13"/>
      <c r="AD451" s="13"/>
    </row>
    <row r="452">
      <c r="B452" s="108"/>
      <c r="Z452" s="13"/>
      <c r="AA452" s="13"/>
      <c r="AB452" s="13"/>
      <c r="AC452" s="13"/>
      <c r="AD452" s="13"/>
    </row>
    <row r="453">
      <c r="B453" s="108"/>
      <c r="Z453" s="13"/>
      <c r="AA453" s="13"/>
      <c r="AB453" s="13"/>
      <c r="AC453" s="13"/>
      <c r="AD453" s="13"/>
    </row>
    <row r="454">
      <c r="B454" s="108"/>
      <c r="Z454" s="13"/>
      <c r="AA454" s="13"/>
      <c r="AB454" s="13"/>
      <c r="AC454" s="13"/>
      <c r="AD454" s="13"/>
    </row>
    <row r="455">
      <c r="B455" s="108"/>
      <c r="Z455" s="13"/>
      <c r="AA455" s="13"/>
      <c r="AB455" s="13"/>
      <c r="AC455" s="13"/>
      <c r="AD455" s="13"/>
    </row>
    <row r="456">
      <c r="B456" s="108"/>
      <c r="Z456" s="13"/>
      <c r="AA456" s="13"/>
      <c r="AB456" s="13"/>
      <c r="AC456" s="13"/>
      <c r="AD456" s="13"/>
    </row>
    <row r="457">
      <c r="B457" s="108"/>
      <c r="Z457" s="13"/>
      <c r="AA457" s="13"/>
      <c r="AB457" s="13"/>
      <c r="AC457" s="13"/>
      <c r="AD457" s="13"/>
    </row>
    <row r="458">
      <c r="B458" s="108"/>
      <c r="Z458" s="13"/>
      <c r="AA458" s="13"/>
      <c r="AB458" s="13"/>
      <c r="AC458" s="13"/>
      <c r="AD458" s="13"/>
    </row>
    <row r="459">
      <c r="B459" s="108"/>
      <c r="Z459" s="13"/>
      <c r="AA459" s="13"/>
      <c r="AB459" s="13"/>
      <c r="AC459" s="13"/>
      <c r="AD459" s="13"/>
    </row>
    <row r="460">
      <c r="B460" s="108"/>
      <c r="Z460" s="13"/>
      <c r="AA460" s="13"/>
      <c r="AB460" s="13"/>
      <c r="AC460" s="13"/>
      <c r="AD460" s="13"/>
    </row>
    <row r="461">
      <c r="B461" s="108"/>
      <c r="Z461" s="13"/>
      <c r="AA461" s="13"/>
      <c r="AB461" s="13"/>
      <c r="AC461" s="13"/>
      <c r="AD461" s="13"/>
    </row>
    <row r="462">
      <c r="B462" s="108"/>
      <c r="Z462" s="13"/>
      <c r="AA462" s="13"/>
      <c r="AB462" s="13"/>
      <c r="AC462" s="13"/>
      <c r="AD462" s="13"/>
    </row>
    <row r="463">
      <c r="B463" s="108"/>
      <c r="Z463" s="13"/>
      <c r="AA463" s="13"/>
      <c r="AB463" s="13"/>
      <c r="AC463" s="13"/>
      <c r="AD463" s="13"/>
    </row>
    <row r="464">
      <c r="B464" s="108"/>
      <c r="Z464" s="13"/>
      <c r="AA464" s="13"/>
      <c r="AB464" s="13"/>
      <c r="AC464" s="13"/>
      <c r="AD464" s="13"/>
    </row>
    <row r="465">
      <c r="B465" s="108"/>
      <c r="Z465" s="13"/>
      <c r="AA465" s="13"/>
      <c r="AB465" s="13"/>
      <c r="AC465" s="13"/>
      <c r="AD465" s="13"/>
    </row>
    <row r="466">
      <c r="B466" s="108"/>
      <c r="Z466" s="13"/>
      <c r="AA466" s="13"/>
      <c r="AB466" s="13"/>
      <c r="AC466" s="13"/>
      <c r="AD466" s="13"/>
    </row>
    <row r="467">
      <c r="B467" s="108"/>
      <c r="Z467" s="13"/>
      <c r="AA467" s="13"/>
      <c r="AB467" s="13"/>
      <c r="AC467" s="13"/>
      <c r="AD467" s="13"/>
    </row>
    <row r="468">
      <c r="B468" s="108"/>
      <c r="Z468" s="13"/>
      <c r="AA468" s="13"/>
      <c r="AB468" s="13"/>
      <c r="AC468" s="13"/>
      <c r="AD468" s="13"/>
    </row>
    <row r="469">
      <c r="B469" s="108"/>
      <c r="Z469" s="13"/>
      <c r="AA469" s="13"/>
      <c r="AB469" s="13"/>
      <c r="AC469" s="13"/>
      <c r="AD469" s="13"/>
    </row>
    <row r="470">
      <c r="B470" s="108"/>
      <c r="Z470" s="13"/>
      <c r="AA470" s="13"/>
      <c r="AB470" s="13"/>
      <c r="AC470" s="13"/>
      <c r="AD470" s="13"/>
    </row>
    <row r="471">
      <c r="B471" s="108"/>
      <c r="Z471" s="13"/>
      <c r="AA471" s="13"/>
      <c r="AB471" s="13"/>
      <c r="AC471" s="13"/>
      <c r="AD471" s="13"/>
    </row>
    <row r="472">
      <c r="B472" s="108"/>
      <c r="Z472" s="13"/>
      <c r="AA472" s="13"/>
      <c r="AB472" s="13"/>
      <c r="AC472" s="13"/>
      <c r="AD472" s="13"/>
    </row>
    <row r="473">
      <c r="B473" s="108"/>
      <c r="Z473" s="13"/>
      <c r="AA473" s="13"/>
      <c r="AB473" s="13"/>
      <c r="AC473" s="13"/>
      <c r="AD473" s="13"/>
    </row>
    <row r="474">
      <c r="B474" s="108"/>
      <c r="Z474" s="13"/>
      <c r="AA474" s="13"/>
      <c r="AB474" s="13"/>
      <c r="AC474" s="13"/>
      <c r="AD474" s="13"/>
    </row>
    <row r="475">
      <c r="B475" s="108"/>
      <c r="Z475" s="13"/>
      <c r="AA475" s="13"/>
      <c r="AB475" s="13"/>
      <c r="AC475" s="13"/>
      <c r="AD475" s="13"/>
    </row>
    <row r="476">
      <c r="B476" s="108"/>
      <c r="Z476" s="13"/>
      <c r="AA476" s="13"/>
      <c r="AB476" s="13"/>
      <c r="AC476" s="13"/>
      <c r="AD476" s="13"/>
    </row>
    <row r="477">
      <c r="B477" s="108"/>
      <c r="Z477" s="13"/>
      <c r="AA477" s="13"/>
      <c r="AB477" s="13"/>
      <c r="AC477" s="13"/>
      <c r="AD477" s="13"/>
    </row>
    <row r="478">
      <c r="B478" s="108"/>
      <c r="Z478" s="13"/>
      <c r="AA478" s="13"/>
      <c r="AB478" s="13"/>
      <c r="AC478" s="13"/>
      <c r="AD478" s="13"/>
    </row>
    <row r="479">
      <c r="B479" s="108"/>
      <c r="Z479" s="13"/>
      <c r="AA479" s="13"/>
      <c r="AB479" s="13"/>
      <c r="AC479" s="13"/>
      <c r="AD479" s="13"/>
    </row>
    <row r="480">
      <c r="B480" s="108"/>
      <c r="Z480" s="13"/>
      <c r="AA480" s="13"/>
      <c r="AB480" s="13"/>
      <c r="AC480" s="13"/>
      <c r="AD480" s="13"/>
    </row>
    <row r="481">
      <c r="B481" s="108"/>
      <c r="Z481" s="13"/>
      <c r="AA481" s="13"/>
      <c r="AB481" s="13"/>
      <c r="AC481" s="13"/>
      <c r="AD481" s="13"/>
    </row>
    <row r="482">
      <c r="B482" s="108"/>
      <c r="Z482" s="13"/>
      <c r="AA482" s="13"/>
      <c r="AB482" s="13"/>
      <c r="AC482" s="13"/>
      <c r="AD482" s="13"/>
    </row>
    <row r="483">
      <c r="B483" s="108"/>
      <c r="Z483" s="13"/>
      <c r="AA483" s="13"/>
      <c r="AB483" s="13"/>
      <c r="AC483" s="13"/>
      <c r="AD483" s="13"/>
    </row>
    <row r="484">
      <c r="B484" s="108"/>
      <c r="Z484" s="13"/>
      <c r="AA484" s="13"/>
      <c r="AB484" s="13"/>
      <c r="AC484" s="13"/>
      <c r="AD484" s="13"/>
    </row>
    <row r="485">
      <c r="B485" s="108"/>
      <c r="Z485" s="13"/>
      <c r="AA485" s="13"/>
      <c r="AB485" s="13"/>
      <c r="AC485" s="13"/>
      <c r="AD485" s="13"/>
    </row>
    <row r="486">
      <c r="B486" s="108"/>
      <c r="Z486" s="13"/>
      <c r="AA486" s="13"/>
      <c r="AB486" s="13"/>
      <c r="AC486" s="13"/>
      <c r="AD486" s="13"/>
    </row>
    <row r="487">
      <c r="B487" s="108"/>
      <c r="Z487" s="13"/>
      <c r="AA487" s="13"/>
      <c r="AB487" s="13"/>
      <c r="AC487" s="13"/>
      <c r="AD487" s="13"/>
    </row>
    <row r="488">
      <c r="B488" s="108"/>
      <c r="Z488" s="13"/>
      <c r="AA488" s="13"/>
      <c r="AB488" s="13"/>
      <c r="AC488" s="13"/>
      <c r="AD488" s="13"/>
    </row>
    <row r="489">
      <c r="B489" s="108"/>
      <c r="Z489" s="13"/>
      <c r="AA489" s="13"/>
      <c r="AB489" s="13"/>
      <c r="AC489" s="13"/>
      <c r="AD489" s="13"/>
    </row>
    <row r="490">
      <c r="B490" s="108"/>
      <c r="Z490" s="13"/>
      <c r="AA490" s="13"/>
      <c r="AB490" s="13"/>
      <c r="AC490" s="13"/>
      <c r="AD490" s="13"/>
    </row>
    <row r="491">
      <c r="B491" s="108"/>
      <c r="Z491" s="13"/>
      <c r="AA491" s="13"/>
      <c r="AB491" s="13"/>
      <c r="AC491" s="13"/>
      <c r="AD491" s="13"/>
    </row>
    <row r="492">
      <c r="B492" s="108"/>
      <c r="Z492" s="13"/>
      <c r="AA492" s="13"/>
      <c r="AB492" s="13"/>
      <c r="AC492" s="13"/>
      <c r="AD492" s="13"/>
    </row>
    <row r="493">
      <c r="B493" s="108"/>
      <c r="Z493" s="13"/>
      <c r="AA493" s="13"/>
      <c r="AB493" s="13"/>
      <c r="AC493" s="13"/>
      <c r="AD493" s="13"/>
    </row>
    <row r="494">
      <c r="B494" s="108"/>
      <c r="Z494" s="13"/>
      <c r="AA494" s="13"/>
      <c r="AB494" s="13"/>
      <c r="AC494" s="13"/>
      <c r="AD494" s="13"/>
    </row>
    <row r="495">
      <c r="B495" s="108"/>
      <c r="Z495" s="13"/>
      <c r="AA495" s="13"/>
      <c r="AB495" s="13"/>
      <c r="AC495" s="13"/>
      <c r="AD495" s="13"/>
    </row>
    <row r="496">
      <c r="B496" s="108"/>
      <c r="Z496" s="13"/>
      <c r="AA496" s="13"/>
      <c r="AB496" s="13"/>
      <c r="AC496" s="13"/>
      <c r="AD496" s="13"/>
    </row>
    <row r="497">
      <c r="B497" s="108"/>
      <c r="Z497" s="13"/>
      <c r="AA497" s="13"/>
      <c r="AB497" s="13"/>
      <c r="AC497" s="13"/>
      <c r="AD497" s="13"/>
    </row>
    <row r="498">
      <c r="B498" s="108"/>
      <c r="Z498" s="13"/>
      <c r="AA498" s="13"/>
      <c r="AB498" s="13"/>
      <c r="AC498" s="13"/>
      <c r="AD498" s="13"/>
    </row>
    <row r="499">
      <c r="B499" s="108"/>
      <c r="Z499" s="13"/>
      <c r="AA499" s="13"/>
      <c r="AB499" s="13"/>
      <c r="AC499" s="13"/>
      <c r="AD499" s="13"/>
    </row>
    <row r="500">
      <c r="B500" s="108"/>
      <c r="Z500" s="13"/>
      <c r="AA500" s="13"/>
      <c r="AB500" s="13"/>
      <c r="AC500" s="13"/>
      <c r="AD500" s="13"/>
    </row>
    <row r="501">
      <c r="B501" s="108"/>
      <c r="Z501" s="13"/>
      <c r="AA501" s="13"/>
      <c r="AB501" s="13"/>
      <c r="AC501" s="13"/>
      <c r="AD501" s="13"/>
    </row>
    <row r="502">
      <c r="B502" s="108"/>
      <c r="Z502" s="13"/>
      <c r="AA502" s="13"/>
      <c r="AB502" s="13"/>
      <c r="AC502" s="13"/>
      <c r="AD502" s="13"/>
    </row>
    <row r="503">
      <c r="B503" s="108"/>
      <c r="Z503" s="13"/>
      <c r="AA503" s="13"/>
      <c r="AB503" s="13"/>
      <c r="AC503" s="13"/>
      <c r="AD503" s="13"/>
    </row>
    <row r="504">
      <c r="B504" s="108"/>
      <c r="Z504" s="13"/>
      <c r="AA504" s="13"/>
      <c r="AB504" s="13"/>
      <c r="AC504" s="13"/>
      <c r="AD504" s="13"/>
    </row>
    <row r="505">
      <c r="B505" s="108"/>
      <c r="Z505" s="13"/>
      <c r="AA505" s="13"/>
      <c r="AB505" s="13"/>
      <c r="AC505" s="13"/>
      <c r="AD505" s="13"/>
    </row>
    <row r="506">
      <c r="B506" s="108"/>
      <c r="Z506" s="13"/>
      <c r="AA506" s="13"/>
      <c r="AB506" s="13"/>
      <c r="AC506" s="13"/>
      <c r="AD506" s="13"/>
    </row>
    <row r="507">
      <c r="B507" s="108"/>
      <c r="Z507" s="13"/>
      <c r="AA507" s="13"/>
      <c r="AB507" s="13"/>
      <c r="AC507" s="13"/>
      <c r="AD507" s="13"/>
    </row>
    <row r="508">
      <c r="B508" s="108"/>
      <c r="Z508" s="13"/>
      <c r="AA508" s="13"/>
      <c r="AB508" s="13"/>
      <c r="AC508" s="13"/>
      <c r="AD508" s="13"/>
    </row>
    <row r="509">
      <c r="B509" s="108"/>
      <c r="Z509" s="13"/>
      <c r="AA509" s="13"/>
      <c r="AB509" s="13"/>
      <c r="AC509" s="13"/>
      <c r="AD509" s="13"/>
    </row>
    <row r="510">
      <c r="B510" s="108"/>
      <c r="Z510" s="13"/>
      <c r="AA510" s="13"/>
      <c r="AB510" s="13"/>
      <c r="AC510" s="13"/>
      <c r="AD510" s="13"/>
    </row>
    <row r="511">
      <c r="B511" s="108"/>
      <c r="Z511" s="13"/>
      <c r="AA511" s="13"/>
      <c r="AB511" s="13"/>
      <c r="AC511" s="13"/>
      <c r="AD511" s="13"/>
    </row>
    <row r="512">
      <c r="B512" s="108"/>
      <c r="Z512" s="13"/>
      <c r="AA512" s="13"/>
      <c r="AB512" s="13"/>
      <c r="AC512" s="13"/>
      <c r="AD512" s="13"/>
    </row>
    <row r="513">
      <c r="B513" s="108"/>
      <c r="Z513" s="13"/>
      <c r="AA513" s="13"/>
      <c r="AB513" s="13"/>
      <c r="AC513" s="13"/>
      <c r="AD513" s="13"/>
    </row>
    <row r="514">
      <c r="B514" s="108"/>
      <c r="Z514" s="13"/>
      <c r="AA514" s="13"/>
      <c r="AB514" s="13"/>
      <c r="AC514" s="13"/>
      <c r="AD514" s="13"/>
    </row>
    <row r="515">
      <c r="B515" s="108"/>
      <c r="Z515" s="13"/>
      <c r="AA515" s="13"/>
      <c r="AB515" s="13"/>
      <c r="AC515" s="13"/>
      <c r="AD515" s="13"/>
    </row>
    <row r="516">
      <c r="B516" s="108"/>
      <c r="Z516" s="13"/>
      <c r="AA516" s="13"/>
      <c r="AB516" s="13"/>
      <c r="AC516" s="13"/>
      <c r="AD516" s="13"/>
    </row>
    <row r="517">
      <c r="B517" s="108"/>
      <c r="Z517" s="13"/>
      <c r="AA517" s="13"/>
      <c r="AB517" s="13"/>
      <c r="AC517" s="13"/>
      <c r="AD517" s="13"/>
    </row>
    <row r="518">
      <c r="B518" s="108"/>
      <c r="Z518" s="13"/>
      <c r="AA518" s="13"/>
      <c r="AB518" s="13"/>
      <c r="AC518" s="13"/>
      <c r="AD518" s="13"/>
    </row>
    <row r="519">
      <c r="B519" s="108"/>
      <c r="Z519" s="13"/>
      <c r="AA519" s="13"/>
      <c r="AB519" s="13"/>
      <c r="AC519" s="13"/>
      <c r="AD519" s="13"/>
    </row>
    <row r="520">
      <c r="B520" s="108"/>
      <c r="Z520" s="13"/>
      <c r="AA520" s="13"/>
      <c r="AB520" s="13"/>
      <c r="AC520" s="13"/>
      <c r="AD520" s="13"/>
    </row>
    <row r="521">
      <c r="B521" s="108"/>
      <c r="Z521" s="13"/>
      <c r="AA521" s="13"/>
      <c r="AB521" s="13"/>
      <c r="AC521" s="13"/>
      <c r="AD521" s="13"/>
    </row>
    <row r="522">
      <c r="B522" s="108"/>
      <c r="Z522" s="13"/>
      <c r="AA522" s="13"/>
      <c r="AB522" s="13"/>
      <c r="AC522" s="13"/>
      <c r="AD522" s="13"/>
    </row>
    <row r="523">
      <c r="B523" s="108"/>
      <c r="Z523" s="13"/>
      <c r="AA523" s="13"/>
      <c r="AB523" s="13"/>
      <c r="AC523" s="13"/>
      <c r="AD523" s="13"/>
    </row>
    <row r="524">
      <c r="B524" s="108"/>
      <c r="Z524" s="13"/>
      <c r="AA524" s="13"/>
      <c r="AB524" s="13"/>
      <c r="AC524" s="13"/>
      <c r="AD524" s="13"/>
    </row>
    <row r="525">
      <c r="B525" s="108"/>
      <c r="Z525" s="13"/>
      <c r="AA525" s="13"/>
      <c r="AB525" s="13"/>
      <c r="AC525" s="13"/>
      <c r="AD525" s="13"/>
    </row>
    <row r="526">
      <c r="B526" s="108"/>
      <c r="Z526" s="13"/>
      <c r="AA526" s="13"/>
      <c r="AB526" s="13"/>
      <c r="AC526" s="13"/>
      <c r="AD526" s="13"/>
    </row>
    <row r="527">
      <c r="B527" s="108"/>
      <c r="Z527" s="13"/>
      <c r="AA527" s="13"/>
      <c r="AB527" s="13"/>
      <c r="AC527" s="13"/>
      <c r="AD527" s="13"/>
    </row>
    <row r="528">
      <c r="B528" s="108"/>
      <c r="Z528" s="13"/>
      <c r="AA528" s="13"/>
      <c r="AB528" s="13"/>
      <c r="AC528" s="13"/>
      <c r="AD528" s="13"/>
    </row>
    <row r="529">
      <c r="B529" s="108"/>
      <c r="Z529" s="13"/>
      <c r="AA529" s="13"/>
      <c r="AB529" s="13"/>
      <c r="AC529" s="13"/>
      <c r="AD529" s="13"/>
    </row>
    <row r="530">
      <c r="B530" s="108"/>
      <c r="Z530" s="13"/>
      <c r="AA530" s="13"/>
      <c r="AB530" s="13"/>
      <c r="AC530" s="13"/>
      <c r="AD530" s="13"/>
    </row>
    <row r="531">
      <c r="B531" s="108"/>
      <c r="Z531" s="13"/>
      <c r="AA531" s="13"/>
      <c r="AB531" s="13"/>
      <c r="AC531" s="13"/>
      <c r="AD531" s="13"/>
    </row>
    <row r="532">
      <c r="B532" s="108"/>
      <c r="Z532" s="13"/>
      <c r="AA532" s="13"/>
      <c r="AB532" s="13"/>
      <c r="AC532" s="13"/>
      <c r="AD532" s="13"/>
    </row>
    <row r="533">
      <c r="B533" s="108"/>
      <c r="Z533" s="13"/>
      <c r="AA533" s="13"/>
      <c r="AB533" s="13"/>
      <c r="AC533" s="13"/>
      <c r="AD533" s="13"/>
    </row>
    <row r="534">
      <c r="B534" s="108"/>
      <c r="Z534" s="13"/>
      <c r="AA534" s="13"/>
      <c r="AB534" s="13"/>
      <c r="AC534" s="13"/>
      <c r="AD534" s="13"/>
    </row>
    <row r="535">
      <c r="B535" s="108"/>
      <c r="Z535" s="13"/>
      <c r="AA535" s="13"/>
      <c r="AB535" s="13"/>
      <c r="AC535" s="13"/>
      <c r="AD535" s="13"/>
    </row>
    <row r="536">
      <c r="B536" s="108"/>
      <c r="Z536" s="13"/>
      <c r="AA536" s="13"/>
      <c r="AB536" s="13"/>
      <c r="AC536" s="13"/>
      <c r="AD536" s="13"/>
    </row>
    <row r="537">
      <c r="B537" s="108"/>
      <c r="Z537" s="13"/>
      <c r="AA537" s="13"/>
      <c r="AB537" s="13"/>
      <c r="AC537" s="13"/>
      <c r="AD537" s="13"/>
    </row>
    <row r="538">
      <c r="B538" s="108"/>
      <c r="Z538" s="13"/>
      <c r="AA538" s="13"/>
      <c r="AB538" s="13"/>
      <c r="AC538" s="13"/>
      <c r="AD538" s="13"/>
    </row>
    <row r="539">
      <c r="B539" s="108"/>
      <c r="Z539" s="13"/>
      <c r="AA539" s="13"/>
      <c r="AB539" s="13"/>
      <c r="AC539" s="13"/>
      <c r="AD539" s="13"/>
    </row>
    <row r="540">
      <c r="B540" s="108"/>
      <c r="Z540" s="13"/>
      <c r="AA540" s="13"/>
      <c r="AB540" s="13"/>
      <c r="AC540" s="13"/>
      <c r="AD540" s="13"/>
    </row>
    <row r="541">
      <c r="B541" s="108"/>
      <c r="Z541" s="13"/>
      <c r="AA541" s="13"/>
      <c r="AB541" s="13"/>
      <c r="AC541" s="13"/>
      <c r="AD541" s="13"/>
    </row>
    <row r="542">
      <c r="B542" s="108"/>
      <c r="Z542" s="13"/>
      <c r="AA542" s="13"/>
      <c r="AB542" s="13"/>
      <c r="AC542" s="13"/>
      <c r="AD542" s="13"/>
    </row>
    <row r="543">
      <c r="B543" s="108"/>
      <c r="Z543" s="13"/>
      <c r="AA543" s="13"/>
      <c r="AB543" s="13"/>
      <c r="AC543" s="13"/>
      <c r="AD543" s="13"/>
    </row>
    <row r="544">
      <c r="B544" s="108"/>
      <c r="Z544" s="13"/>
      <c r="AA544" s="13"/>
      <c r="AB544" s="13"/>
      <c r="AC544" s="13"/>
      <c r="AD544" s="13"/>
    </row>
    <row r="545">
      <c r="B545" s="108"/>
      <c r="Z545" s="13"/>
      <c r="AA545" s="13"/>
      <c r="AB545" s="13"/>
      <c r="AC545" s="13"/>
      <c r="AD545" s="13"/>
    </row>
    <row r="546">
      <c r="B546" s="108"/>
      <c r="Z546" s="13"/>
      <c r="AA546" s="13"/>
      <c r="AB546" s="13"/>
      <c r="AC546" s="13"/>
      <c r="AD546" s="13"/>
    </row>
    <row r="547">
      <c r="B547" s="108"/>
      <c r="Z547" s="13"/>
      <c r="AA547" s="13"/>
      <c r="AB547" s="13"/>
      <c r="AC547" s="13"/>
      <c r="AD547" s="13"/>
    </row>
    <row r="548">
      <c r="B548" s="108"/>
      <c r="Z548" s="13"/>
      <c r="AA548" s="13"/>
      <c r="AB548" s="13"/>
      <c r="AC548" s="13"/>
      <c r="AD548" s="13"/>
    </row>
    <row r="549">
      <c r="B549" s="108"/>
      <c r="Z549" s="13"/>
      <c r="AA549" s="13"/>
      <c r="AB549" s="13"/>
      <c r="AC549" s="13"/>
      <c r="AD549" s="13"/>
    </row>
    <row r="550">
      <c r="B550" s="108"/>
      <c r="Z550" s="13"/>
      <c r="AA550" s="13"/>
      <c r="AB550" s="13"/>
      <c r="AC550" s="13"/>
      <c r="AD550" s="13"/>
    </row>
    <row r="551">
      <c r="B551" s="108"/>
      <c r="Z551" s="13"/>
      <c r="AA551" s="13"/>
      <c r="AB551" s="13"/>
      <c r="AC551" s="13"/>
      <c r="AD551" s="13"/>
    </row>
    <row r="552">
      <c r="B552" s="108"/>
      <c r="Z552" s="13"/>
      <c r="AA552" s="13"/>
      <c r="AB552" s="13"/>
      <c r="AC552" s="13"/>
      <c r="AD552" s="13"/>
    </row>
    <row r="553">
      <c r="B553" s="108"/>
      <c r="Z553" s="13"/>
      <c r="AA553" s="13"/>
      <c r="AB553" s="13"/>
      <c r="AC553" s="13"/>
      <c r="AD553" s="13"/>
    </row>
    <row r="554">
      <c r="B554" s="108"/>
      <c r="Z554" s="13"/>
      <c r="AA554" s="13"/>
      <c r="AB554" s="13"/>
      <c r="AC554" s="13"/>
      <c r="AD554" s="13"/>
    </row>
    <row r="555">
      <c r="B555" s="108"/>
      <c r="Z555" s="13"/>
      <c r="AA555" s="13"/>
      <c r="AB555" s="13"/>
      <c r="AC555" s="13"/>
      <c r="AD555" s="13"/>
    </row>
    <row r="556">
      <c r="B556" s="108"/>
      <c r="Z556" s="13"/>
      <c r="AA556" s="13"/>
      <c r="AB556" s="13"/>
      <c r="AC556" s="13"/>
      <c r="AD556" s="13"/>
    </row>
    <row r="557">
      <c r="B557" s="108"/>
      <c r="Z557" s="13"/>
      <c r="AA557" s="13"/>
      <c r="AB557" s="13"/>
      <c r="AC557" s="13"/>
      <c r="AD557" s="13"/>
    </row>
    <row r="558">
      <c r="B558" s="108"/>
      <c r="Z558" s="13"/>
      <c r="AA558" s="13"/>
      <c r="AB558" s="13"/>
      <c r="AC558" s="13"/>
      <c r="AD558" s="13"/>
    </row>
    <row r="559">
      <c r="B559" s="108"/>
      <c r="Z559" s="13"/>
      <c r="AA559" s="13"/>
      <c r="AB559" s="13"/>
      <c r="AC559" s="13"/>
      <c r="AD559" s="13"/>
    </row>
    <row r="560">
      <c r="B560" s="108"/>
      <c r="Z560" s="13"/>
      <c r="AA560" s="13"/>
      <c r="AB560" s="13"/>
      <c r="AC560" s="13"/>
      <c r="AD560" s="13"/>
    </row>
    <row r="561">
      <c r="B561" s="108"/>
      <c r="Z561" s="13"/>
      <c r="AA561" s="13"/>
      <c r="AB561" s="13"/>
      <c r="AC561" s="13"/>
      <c r="AD561" s="13"/>
    </row>
    <row r="562">
      <c r="B562" s="108"/>
      <c r="Z562" s="13"/>
      <c r="AA562" s="13"/>
      <c r="AB562" s="13"/>
      <c r="AC562" s="13"/>
      <c r="AD562" s="13"/>
    </row>
    <row r="563">
      <c r="B563" s="108"/>
      <c r="Z563" s="13"/>
      <c r="AA563" s="13"/>
      <c r="AB563" s="13"/>
      <c r="AC563" s="13"/>
      <c r="AD563" s="13"/>
    </row>
    <row r="564">
      <c r="B564" s="108"/>
      <c r="Z564" s="13"/>
      <c r="AA564" s="13"/>
      <c r="AB564" s="13"/>
      <c r="AC564" s="13"/>
      <c r="AD564" s="13"/>
    </row>
    <row r="565">
      <c r="B565" s="108"/>
      <c r="Z565" s="13"/>
      <c r="AA565" s="13"/>
      <c r="AB565" s="13"/>
      <c r="AC565" s="13"/>
      <c r="AD565" s="13"/>
    </row>
    <row r="566">
      <c r="B566" s="108"/>
      <c r="Z566" s="13"/>
      <c r="AA566" s="13"/>
      <c r="AB566" s="13"/>
      <c r="AC566" s="13"/>
      <c r="AD566" s="13"/>
    </row>
    <row r="567">
      <c r="B567" s="108"/>
      <c r="Z567" s="13"/>
      <c r="AA567" s="13"/>
      <c r="AB567" s="13"/>
      <c r="AC567" s="13"/>
      <c r="AD567" s="13"/>
    </row>
    <row r="568">
      <c r="B568" s="108"/>
      <c r="Z568" s="13"/>
      <c r="AA568" s="13"/>
      <c r="AB568" s="13"/>
      <c r="AC568" s="13"/>
      <c r="AD568" s="13"/>
    </row>
    <row r="569">
      <c r="B569" s="108"/>
      <c r="Z569" s="13"/>
      <c r="AA569" s="13"/>
      <c r="AB569" s="13"/>
      <c r="AC569" s="13"/>
      <c r="AD569" s="13"/>
    </row>
    <row r="570">
      <c r="B570" s="108"/>
      <c r="Z570" s="13"/>
      <c r="AA570" s="13"/>
      <c r="AB570" s="13"/>
      <c r="AC570" s="13"/>
      <c r="AD570" s="13"/>
    </row>
    <row r="571">
      <c r="B571" s="108"/>
      <c r="Z571" s="13"/>
      <c r="AA571" s="13"/>
      <c r="AB571" s="13"/>
      <c r="AC571" s="13"/>
      <c r="AD571" s="13"/>
    </row>
    <row r="572">
      <c r="B572" s="108"/>
      <c r="Z572" s="13"/>
      <c r="AA572" s="13"/>
      <c r="AB572" s="13"/>
      <c r="AC572" s="13"/>
      <c r="AD572" s="13"/>
    </row>
    <row r="573">
      <c r="B573" s="108"/>
      <c r="Z573" s="13"/>
      <c r="AA573" s="13"/>
      <c r="AB573" s="13"/>
      <c r="AC573" s="13"/>
      <c r="AD573" s="13"/>
    </row>
    <row r="574">
      <c r="B574" s="108"/>
      <c r="Z574" s="13"/>
      <c r="AA574" s="13"/>
      <c r="AB574" s="13"/>
      <c r="AC574" s="13"/>
      <c r="AD574" s="13"/>
    </row>
    <row r="575">
      <c r="B575" s="108"/>
      <c r="Z575" s="13"/>
      <c r="AA575" s="13"/>
      <c r="AB575" s="13"/>
      <c r="AC575" s="13"/>
      <c r="AD575" s="13"/>
    </row>
    <row r="576">
      <c r="B576" s="108"/>
      <c r="Z576" s="13"/>
      <c r="AA576" s="13"/>
      <c r="AB576" s="13"/>
      <c r="AC576" s="13"/>
      <c r="AD576" s="13"/>
    </row>
    <row r="577">
      <c r="B577" s="108"/>
      <c r="Z577" s="13"/>
      <c r="AA577" s="13"/>
      <c r="AB577" s="13"/>
      <c r="AC577" s="13"/>
      <c r="AD577" s="13"/>
    </row>
    <row r="578">
      <c r="B578" s="108"/>
      <c r="Z578" s="13"/>
      <c r="AA578" s="13"/>
      <c r="AB578" s="13"/>
      <c r="AC578" s="13"/>
      <c r="AD578" s="13"/>
    </row>
    <row r="579">
      <c r="B579" s="108"/>
      <c r="Z579" s="13"/>
      <c r="AA579" s="13"/>
      <c r="AB579" s="13"/>
      <c r="AC579" s="13"/>
      <c r="AD579" s="13"/>
    </row>
    <row r="580">
      <c r="B580" s="108"/>
      <c r="Z580" s="13"/>
      <c r="AA580" s="13"/>
      <c r="AB580" s="13"/>
      <c r="AC580" s="13"/>
      <c r="AD580" s="13"/>
    </row>
    <row r="581">
      <c r="B581" s="108"/>
      <c r="Z581" s="13"/>
      <c r="AA581" s="13"/>
      <c r="AB581" s="13"/>
      <c r="AC581" s="13"/>
      <c r="AD581" s="13"/>
    </row>
    <row r="582">
      <c r="B582" s="108"/>
      <c r="Z582" s="13"/>
      <c r="AA582" s="13"/>
      <c r="AB582" s="13"/>
      <c r="AC582" s="13"/>
      <c r="AD582" s="13"/>
    </row>
    <row r="583">
      <c r="B583" s="108"/>
      <c r="Z583" s="13"/>
      <c r="AA583" s="13"/>
      <c r="AB583" s="13"/>
      <c r="AC583" s="13"/>
      <c r="AD583" s="13"/>
    </row>
    <row r="584">
      <c r="B584" s="108"/>
      <c r="Z584" s="13"/>
      <c r="AA584" s="13"/>
      <c r="AB584" s="13"/>
      <c r="AC584" s="13"/>
      <c r="AD584" s="13"/>
    </row>
    <row r="585">
      <c r="B585" s="108"/>
      <c r="Z585" s="13"/>
      <c r="AA585" s="13"/>
      <c r="AB585" s="13"/>
      <c r="AC585" s="13"/>
      <c r="AD585" s="13"/>
    </row>
    <row r="586">
      <c r="B586" s="108"/>
      <c r="Z586" s="13"/>
      <c r="AA586" s="13"/>
      <c r="AB586" s="13"/>
      <c r="AC586" s="13"/>
      <c r="AD586" s="13"/>
    </row>
    <row r="587">
      <c r="B587" s="108"/>
      <c r="Z587" s="13"/>
      <c r="AA587" s="13"/>
      <c r="AB587" s="13"/>
      <c r="AC587" s="13"/>
      <c r="AD587" s="13"/>
    </row>
    <row r="588">
      <c r="B588" s="108"/>
      <c r="Z588" s="13"/>
      <c r="AA588" s="13"/>
      <c r="AB588" s="13"/>
      <c r="AC588" s="13"/>
      <c r="AD588" s="13"/>
    </row>
    <row r="589">
      <c r="B589" s="108"/>
      <c r="Z589" s="13"/>
      <c r="AA589" s="13"/>
      <c r="AB589" s="13"/>
      <c r="AC589" s="13"/>
      <c r="AD589" s="13"/>
    </row>
    <row r="590">
      <c r="B590" s="108"/>
      <c r="Z590" s="13"/>
      <c r="AA590" s="13"/>
      <c r="AB590" s="13"/>
      <c r="AC590" s="13"/>
      <c r="AD590" s="13"/>
    </row>
    <row r="591">
      <c r="B591" s="108"/>
      <c r="Z591" s="13"/>
      <c r="AA591" s="13"/>
      <c r="AB591" s="13"/>
      <c r="AC591" s="13"/>
      <c r="AD591" s="13"/>
    </row>
    <row r="592">
      <c r="B592" s="108"/>
      <c r="Z592" s="13"/>
      <c r="AA592" s="13"/>
      <c r="AB592" s="13"/>
      <c r="AC592" s="13"/>
      <c r="AD592" s="13"/>
    </row>
    <row r="593">
      <c r="B593" s="108"/>
      <c r="Z593" s="13"/>
      <c r="AA593" s="13"/>
      <c r="AB593" s="13"/>
      <c r="AC593" s="13"/>
      <c r="AD593" s="13"/>
    </row>
    <row r="594">
      <c r="B594" s="108"/>
      <c r="Z594" s="13"/>
      <c r="AA594" s="13"/>
      <c r="AB594" s="13"/>
      <c r="AC594" s="13"/>
      <c r="AD594" s="13"/>
    </row>
    <row r="595">
      <c r="B595" s="108"/>
      <c r="Z595" s="13"/>
      <c r="AA595" s="13"/>
      <c r="AB595" s="13"/>
      <c r="AC595" s="13"/>
      <c r="AD595" s="13"/>
    </row>
    <row r="596">
      <c r="B596" s="108"/>
      <c r="Z596" s="13"/>
      <c r="AA596" s="13"/>
      <c r="AB596" s="13"/>
      <c r="AC596" s="13"/>
      <c r="AD596" s="13"/>
    </row>
    <row r="597">
      <c r="B597" s="108"/>
      <c r="Z597" s="13"/>
      <c r="AA597" s="13"/>
      <c r="AB597" s="13"/>
      <c r="AC597" s="13"/>
      <c r="AD597" s="13"/>
    </row>
    <row r="598">
      <c r="B598" s="108"/>
      <c r="Z598" s="13"/>
      <c r="AA598" s="13"/>
      <c r="AB598" s="13"/>
      <c r="AC598" s="13"/>
      <c r="AD598" s="13"/>
    </row>
    <row r="599">
      <c r="B599" s="108"/>
      <c r="Z599" s="13"/>
      <c r="AA599" s="13"/>
      <c r="AB599" s="13"/>
      <c r="AC599" s="13"/>
      <c r="AD599" s="13"/>
    </row>
    <row r="600">
      <c r="B600" s="108"/>
      <c r="Z600" s="13"/>
      <c r="AA600" s="13"/>
      <c r="AB600" s="13"/>
      <c r="AC600" s="13"/>
      <c r="AD600" s="13"/>
    </row>
    <row r="601">
      <c r="B601" s="108"/>
      <c r="Z601" s="13"/>
      <c r="AA601" s="13"/>
      <c r="AB601" s="13"/>
      <c r="AC601" s="13"/>
      <c r="AD601" s="13"/>
    </row>
    <row r="602">
      <c r="B602" s="108"/>
      <c r="Z602" s="13"/>
      <c r="AA602" s="13"/>
      <c r="AB602" s="13"/>
      <c r="AC602" s="13"/>
      <c r="AD602" s="13"/>
    </row>
    <row r="603">
      <c r="B603" s="108"/>
      <c r="Z603" s="13"/>
      <c r="AA603" s="13"/>
      <c r="AB603" s="13"/>
      <c r="AC603" s="13"/>
      <c r="AD603" s="13"/>
    </row>
    <row r="604">
      <c r="B604" s="108"/>
      <c r="Z604" s="13"/>
      <c r="AA604" s="13"/>
      <c r="AB604" s="13"/>
      <c r="AC604" s="13"/>
      <c r="AD604" s="13"/>
    </row>
    <row r="605">
      <c r="B605" s="108"/>
      <c r="Z605" s="13"/>
      <c r="AA605" s="13"/>
      <c r="AB605" s="13"/>
      <c r="AC605" s="13"/>
      <c r="AD605" s="13"/>
    </row>
    <row r="606">
      <c r="B606" s="108"/>
      <c r="Z606" s="13"/>
      <c r="AA606" s="13"/>
      <c r="AB606" s="13"/>
      <c r="AC606" s="13"/>
      <c r="AD606" s="13"/>
    </row>
    <row r="607">
      <c r="B607" s="108"/>
      <c r="Z607" s="13"/>
      <c r="AA607" s="13"/>
      <c r="AB607" s="13"/>
      <c r="AC607" s="13"/>
      <c r="AD607" s="13"/>
    </row>
    <row r="608">
      <c r="B608" s="108"/>
      <c r="Z608" s="13"/>
      <c r="AA608" s="13"/>
      <c r="AB608" s="13"/>
      <c r="AC608" s="13"/>
      <c r="AD608" s="13"/>
    </row>
    <row r="609">
      <c r="B609" s="108"/>
      <c r="Z609" s="13"/>
      <c r="AA609" s="13"/>
      <c r="AB609" s="13"/>
      <c r="AC609" s="13"/>
      <c r="AD609" s="13"/>
    </row>
    <row r="610">
      <c r="B610" s="108"/>
      <c r="Z610" s="13"/>
      <c r="AA610" s="13"/>
      <c r="AB610" s="13"/>
      <c r="AC610" s="13"/>
      <c r="AD610" s="13"/>
    </row>
    <row r="611">
      <c r="B611" s="108"/>
      <c r="Z611" s="13"/>
      <c r="AA611" s="13"/>
      <c r="AB611" s="13"/>
      <c r="AC611" s="13"/>
      <c r="AD611" s="13"/>
    </row>
    <row r="612">
      <c r="B612" s="108"/>
      <c r="Z612" s="13"/>
      <c r="AA612" s="13"/>
      <c r="AB612" s="13"/>
      <c r="AC612" s="13"/>
      <c r="AD612" s="13"/>
    </row>
    <row r="613">
      <c r="B613" s="108"/>
      <c r="Z613" s="13"/>
      <c r="AA613" s="13"/>
      <c r="AB613" s="13"/>
      <c r="AC613" s="13"/>
      <c r="AD613" s="13"/>
    </row>
    <row r="614">
      <c r="B614" s="108"/>
      <c r="Z614" s="13"/>
      <c r="AA614" s="13"/>
      <c r="AB614" s="13"/>
      <c r="AC614" s="13"/>
      <c r="AD614" s="13"/>
    </row>
    <row r="615">
      <c r="B615" s="108"/>
      <c r="Z615" s="13"/>
      <c r="AA615" s="13"/>
      <c r="AB615" s="13"/>
      <c r="AC615" s="13"/>
      <c r="AD615" s="13"/>
    </row>
    <row r="616">
      <c r="B616" s="108"/>
      <c r="Z616" s="13"/>
      <c r="AA616" s="13"/>
      <c r="AB616" s="13"/>
      <c r="AC616" s="13"/>
      <c r="AD616" s="13"/>
    </row>
    <row r="617">
      <c r="B617" s="108"/>
      <c r="Z617" s="13"/>
      <c r="AA617" s="13"/>
      <c r="AB617" s="13"/>
      <c r="AC617" s="13"/>
      <c r="AD617" s="13"/>
    </row>
    <row r="618">
      <c r="B618" s="108"/>
      <c r="Z618" s="13"/>
      <c r="AA618" s="13"/>
      <c r="AB618" s="13"/>
      <c r="AC618" s="13"/>
      <c r="AD618" s="13"/>
    </row>
    <row r="619">
      <c r="B619" s="108"/>
      <c r="Z619" s="13"/>
      <c r="AA619" s="13"/>
      <c r="AB619" s="13"/>
      <c r="AC619" s="13"/>
      <c r="AD619" s="13"/>
    </row>
    <row r="620">
      <c r="B620" s="108"/>
      <c r="Z620" s="13"/>
      <c r="AA620" s="13"/>
      <c r="AB620" s="13"/>
      <c r="AC620" s="13"/>
      <c r="AD620" s="13"/>
    </row>
    <row r="621">
      <c r="B621" s="108"/>
      <c r="Z621" s="13"/>
      <c r="AA621" s="13"/>
      <c r="AB621" s="13"/>
      <c r="AC621" s="13"/>
      <c r="AD621" s="13"/>
    </row>
    <row r="622">
      <c r="B622" s="108"/>
      <c r="Z622" s="13"/>
      <c r="AA622" s="13"/>
      <c r="AB622" s="13"/>
      <c r="AC622" s="13"/>
      <c r="AD622" s="13"/>
    </row>
    <row r="623">
      <c r="B623" s="108"/>
      <c r="Z623" s="13"/>
      <c r="AA623" s="13"/>
      <c r="AB623" s="13"/>
      <c r="AC623" s="13"/>
      <c r="AD623" s="13"/>
    </row>
    <row r="624">
      <c r="B624" s="108"/>
      <c r="Z624" s="13"/>
      <c r="AA624" s="13"/>
      <c r="AB624" s="13"/>
      <c r="AC624" s="13"/>
      <c r="AD624" s="13"/>
    </row>
    <row r="625">
      <c r="B625" s="108"/>
      <c r="Z625" s="13"/>
      <c r="AA625" s="13"/>
      <c r="AB625" s="13"/>
      <c r="AC625" s="13"/>
      <c r="AD625" s="13"/>
    </row>
    <row r="626">
      <c r="B626" s="108"/>
      <c r="Z626" s="13"/>
      <c r="AA626" s="13"/>
      <c r="AB626" s="13"/>
      <c r="AC626" s="13"/>
      <c r="AD626" s="13"/>
    </row>
    <row r="627">
      <c r="B627" s="108"/>
      <c r="Z627" s="13"/>
      <c r="AA627" s="13"/>
      <c r="AB627" s="13"/>
      <c r="AC627" s="13"/>
      <c r="AD627" s="13"/>
    </row>
    <row r="628">
      <c r="B628" s="108"/>
      <c r="Z628" s="13"/>
      <c r="AA628" s="13"/>
      <c r="AB628" s="13"/>
      <c r="AC628" s="13"/>
      <c r="AD628" s="13"/>
    </row>
    <row r="629">
      <c r="B629" s="108"/>
      <c r="Z629" s="13"/>
      <c r="AA629" s="13"/>
      <c r="AB629" s="13"/>
      <c r="AC629" s="13"/>
      <c r="AD629" s="13"/>
    </row>
    <row r="630">
      <c r="B630" s="108"/>
      <c r="Z630" s="13"/>
      <c r="AA630" s="13"/>
      <c r="AB630" s="13"/>
      <c r="AC630" s="13"/>
      <c r="AD630" s="13"/>
    </row>
    <row r="631">
      <c r="B631" s="108"/>
      <c r="Z631" s="13"/>
      <c r="AA631" s="13"/>
      <c r="AB631" s="13"/>
      <c r="AC631" s="13"/>
      <c r="AD631" s="13"/>
    </row>
    <row r="632">
      <c r="B632" s="108"/>
      <c r="Z632" s="13"/>
      <c r="AA632" s="13"/>
      <c r="AB632" s="13"/>
      <c r="AC632" s="13"/>
      <c r="AD632" s="13"/>
    </row>
    <row r="633">
      <c r="B633" s="108"/>
      <c r="Z633" s="13"/>
      <c r="AA633" s="13"/>
      <c r="AB633" s="13"/>
      <c r="AC633" s="13"/>
      <c r="AD633" s="13"/>
    </row>
    <row r="634">
      <c r="B634" s="108"/>
      <c r="Z634" s="13"/>
      <c r="AA634" s="13"/>
      <c r="AB634" s="13"/>
      <c r="AC634" s="13"/>
      <c r="AD634" s="13"/>
    </row>
    <row r="635">
      <c r="B635" s="108"/>
      <c r="Z635" s="13"/>
      <c r="AA635" s="13"/>
      <c r="AB635" s="13"/>
      <c r="AC635" s="13"/>
      <c r="AD635" s="13"/>
    </row>
    <row r="636">
      <c r="B636" s="108"/>
      <c r="Z636" s="13"/>
      <c r="AA636" s="13"/>
      <c r="AB636" s="13"/>
      <c r="AC636" s="13"/>
      <c r="AD636" s="13"/>
    </row>
    <row r="637">
      <c r="B637" s="108"/>
      <c r="Z637" s="13"/>
      <c r="AA637" s="13"/>
      <c r="AB637" s="13"/>
      <c r="AC637" s="13"/>
      <c r="AD637" s="13"/>
    </row>
    <row r="638">
      <c r="B638" s="108"/>
      <c r="Z638" s="13"/>
      <c r="AA638" s="13"/>
      <c r="AB638" s="13"/>
      <c r="AC638" s="13"/>
      <c r="AD638" s="13"/>
    </row>
    <row r="639">
      <c r="B639" s="108"/>
      <c r="Z639" s="13"/>
      <c r="AA639" s="13"/>
      <c r="AB639" s="13"/>
      <c r="AC639" s="13"/>
      <c r="AD639" s="13"/>
    </row>
    <row r="640">
      <c r="B640" s="108"/>
      <c r="Z640" s="13"/>
      <c r="AA640" s="13"/>
      <c r="AB640" s="13"/>
      <c r="AC640" s="13"/>
      <c r="AD640" s="13"/>
    </row>
    <row r="641">
      <c r="B641" s="108"/>
      <c r="Z641" s="13"/>
      <c r="AA641" s="13"/>
      <c r="AB641" s="13"/>
      <c r="AC641" s="13"/>
      <c r="AD641" s="13"/>
    </row>
    <row r="642">
      <c r="B642" s="108"/>
      <c r="Z642" s="13"/>
      <c r="AA642" s="13"/>
      <c r="AB642" s="13"/>
      <c r="AC642" s="13"/>
      <c r="AD642" s="13"/>
    </row>
    <row r="643">
      <c r="B643" s="108"/>
      <c r="Z643" s="13"/>
      <c r="AA643" s="13"/>
      <c r="AB643" s="13"/>
      <c r="AC643" s="13"/>
      <c r="AD643" s="13"/>
    </row>
    <row r="644">
      <c r="B644" s="108"/>
      <c r="Z644" s="13"/>
      <c r="AA644" s="13"/>
      <c r="AB644" s="13"/>
      <c r="AC644" s="13"/>
      <c r="AD644" s="13"/>
    </row>
    <row r="645">
      <c r="B645" s="108"/>
      <c r="Z645" s="13"/>
      <c r="AA645" s="13"/>
      <c r="AB645" s="13"/>
      <c r="AC645" s="13"/>
      <c r="AD645" s="13"/>
    </row>
    <row r="646">
      <c r="B646" s="108"/>
      <c r="Z646" s="13"/>
      <c r="AA646" s="13"/>
      <c r="AB646" s="13"/>
      <c r="AC646" s="13"/>
      <c r="AD646" s="13"/>
    </row>
    <row r="647">
      <c r="B647" s="108"/>
      <c r="Z647" s="13"/>
      <c r="AA647" s="13"/>
      <c r="AB647" s="13"/>
      <c r="AC647" s="13"/>
      <c r="AD647" s="13"/>
    </row>
    <row r="648">
      <c r="B648" s="108"/>
      <c r="Z648" s="13"/>
      <c r="AA648" s="13"/>
      <c r="AB648" s="13"/>
      <c r="AC648" s="13"/>
      <c r="AD648" s="13"/>
    </row>
    <row r="649">
      <c r="B649" s="108"/>
      <c r="Z649" s="13"/>
      <c r="AA649" s="13"/>
      <c r="AB649" s="13"/>
      <c r="AC649" s="13"/>
      <c r="AD649" s="13"/>
    </row>
    <row r="650">
      <c r="B650" s="108"/>
      <c r="Z650" s="13"/>
      <c r="AA650" s="13"/>
      <c r="AB650" s="13"/>
      <c r="AC650" s="13"/>
      <c r="AD650" s="13"/>
    </row>
    <row r="651">
      <c r="B651" s="108"/>
      <c r="Z651" s="13"/>
      <c r="AA651" s="13"/>
      <c r="AB651" s="13"/>
      <c r="AC651" s="13"/>
      <c r="AD651" s="13"/>
    </row>
    <row r="652">
      <c r="B652" s="108"/>
      <c r="Z652" s="13"/>
      <c r="AA652" s="13"/>
      <c r="AB652" s="13"/>
      <c r="AC652" s="13"/>
      <c r="AD652" s="13"/>
    </row>
    <row r="653">
      <c r="B653" s="108"/>
      <c r="Z653" s="13"/>
      <c r="AA653" s="13"/>
      <c r="AB653" s="13"/>
      <c r="AC653" s="13"/>
      <c r="AD653" s="13"/>
    </row>
    <row r="654">
      <c r="B654" s="108"/>
      <c r="Z654" s="13"/>
      <c r="AA654" s="13"/>
      <c r="AB654" s="13"/>
      <c r="AC654" s="13"/>
      <c r="AD654" s="13"/>
    </row>
    <row r="655">
      <c r="B655" s="108"/>
      <c r="Z655" s="13"/>
      <c r="AA655" s="13"/>
      <c r="AB655" s="13"/>
      <c r="AC655" s="13"/>
      <c r="AD655" s="13"/>
    </row>
    <row r="656">
      <c r="B656" s="108"/>
      <c r="Z656" s="13"/>
      <c r="AA656" s="13"/>
      <c r="AB656" s="13"/>
      <c r="AC656" s="13"/>
      <c r="AD656" s="13"/>
    </row>
    <row r="657">
      <c r="B657" s="108"/>
      <c r="Z657" s="13"/>
      <c r="AA657" s="13"/>
      <c r="AB657" s="13"/>
      <c r="AC657" s="13"/>
      <c r="AD657" s="13"/>
    </row>
    <row r="658">
      <c r="B658" s="108"/>
      <c r="Z658" s="13"/>
      <c r="AA658" s="13"/>
      <c r="AB658" s="13"/>
      <c r="AC658" s="13"/>
      <c r="AD658" s="13"/>
    </row>
    <row r="659">
      <c r="B659" s="108"/>
      <c r="Z659" s="13"/>
      <c r="AA659" s="13"/>
      <c r="AB659" s="13"/>
      <c r="AC659" s="13"/>
      <c r="AD659" s="13"/>
    </row>
    <row r="660">
      <c r="B660" s="108"/>
      <c r="Z660" s="13"/>
      <c r="AA660" s="13"/>
      <c r="AB660" s="13"/>
      <c r="AC660" s="13"/>
      <c r="AD660" s="13"/>
    </row>
    <row r="661">
      <c r="B661" s="108"/>
      <c r="Z661" s="13"/>
      <c r="AA661" s="13"/>
      <c r="AB661" s="13"/>
      <c r="AC661" s="13"/>
      <c r="AD661" s="13"/>
    </row>
    <row r="662">
      <c r="B662" s="108"/>
      <c r="Z662" s="13"/>
      <c r="AA662" s="13"/>
      <c r="AB662" s="13"/>
      <c r="AC662" s="13"/>
      <c r="AD662" s="13"/>
    </row>
    <row r="663">
      <c r="B663" s="108"/>
      <c r="Z663" s="13"/>
      <c r="AA663" s="13"/>
      <c r="AB663" s="13"/>
      <c r="AC663" s="13"/>
      <c r="AD663" s="13"/>
    </row>
    <row r="664">
      <c r="B664" s="108"/>
      <c r="Z664" s="13"/>
      <c r="AA664" s="13"/>
      <c r="AB664" s="13"/>
      <c r="AC664" s="13"/>
      <c r="AD664" s="13"/>
    </row>
    <row r="665">
      <c r="B665" s="108"/>
      <c r="Z665" s="13"/>
      <c r="AA665" s="13"/>
      <c r="AB665" s="13"/>
      <c r="AC665" s="13"/>
      <c r="AD665" s="13"/>
    </row>
    <row r="666">
      <c r="B666" s="108"/>
      <c r="Z666" s="13"/>
      <c r="AA666" s="13"/>
      <c r="AB666" s="13"/>
      <c r="AC666" s="13"/>
      <c r="AD666" s="13"/>
    </row>
    <row r="667">
      <c r="B667" s="108"/>
      <c r="Z667" s="13"/>
      <c r="AA667" s="13"/>
      <c r="AB667" s="13"/>
      <c r="AC667" s="13"/>
      <c r="AD667" s="13"/>
    </row>
    <row r="668">
      <c r="B668" s="108"/>
      <c r="Z668" s="13"/>
      <c r="AA668" s="13"/>
      <c r="AB668" s="13"/>
      <c r="AC668" s="13"/>
      <c r="AD668" s="13"/>
    </row>
    <row r="669">
      <c r="B669" s="108"/>
      <c r="Z669" s="13"/>
      <c r="AA669" s="13"/>
      <c r="AB669" s="13"/>
      <c r="AC669" s="13"/>
      <c r="AD669" s="13"/>
    </row>
    <row r="670">
      <c r="B670" s="108"/>
      <c r="Z670" s="13"/>
      <c r="AA670" s="13"/>
      <c r="AB670" s="13"/>
      <c r="AC670" s="13"/>
      <c r="AD670" s="13"/>
    </row>
    <row r="671">
      <c r="B671" s="108"/>
      <c r="Z671" s="13"/>
      <c r="AA671" s="13"/>
      <c r="AB671" s="13"/>
      <c r="AC671" s="13"/>
      <c r="AD671" s="13"/>
    </row>
    <row r="672">
      <c r="B672" s="108"/>
      <c r="Z672" s="13"/>
      <c r="AA672" s="13"/>
      <c r="AB672" s="13"/>
      <c r="AC672" s="13"/>
      <c r="AD672" s="13"/>
    </row>
    <row r="673">
      <c r="B673" s="108"/>
      <c r="Z673" s="13"/>
      <c r="AA673" s="13"/>
      <c r="AB673" s="13"/>
      <c r="AC673" s="13"/>
      <c r="AD673" s="13"/>
    </row>
    <row r="674">
      <c r="B674" s="108"/>
      <c r="Z674" s="13"/>
      <c r="AA674" s="13"/>
      <c r="AB674" s="13"/>
      <c r="AC674" s="13"/>
      <c r="AD674" s="13"/>
    </row>
    <row r="675">
      <c r="B675" s="108"/>
      <c r="Z675" s="13"/>
      <c r="AA675" s="13"/>
      <c r="AB675" s="13"/>
      <c r="AC675" s="13"/>
      <c r="AD675" s="13"/>
    </row>
    <row r="676">
      <c r="B676" s="108"/>
      <c r="Z676" s="13"/>
      <c r="AA676" s="13"/>
      <c r="AB676" s="13"/>
      <c r="AC676" s="13"/>
      <c r="AD676" s="13"/>
    </row>
    <row r="677">
      <c r="B677" s="108"/>
      <c r="Z677" s="13"/>
      <c r="AA677" s="13"/>
      <c r="AB677" s="13"/>
      <c r="AC677" s="13"/>
      <c r="AD677" s="13"/>
    </row>
    <row r="678">
      <c r="B678" s="108"/>
      <c r="Z678" s="13"/>
      <c r="AA678" s="13"/>
      <c r="AB678" s="13"/>
      <c r="AC678" s="13"/>
      <c r="AD678" s="13"/>
    </row>
    <row r="679">
      <c r="B679" s="108"/>
      <c r="Z679" s="13"/>
      <c r="AA679" s="13"/>
      <c r="AB679" s="13"/>
      <c r="AC679" s="13"/>
      <c r="AD679" s="13"/>
    </row>
    <row r="680">
      <c r="B680" s="108"/>
      <c r="Z680" s="13"/>
      <c r="AA680" s="13"/>
      <c r="AB680" s="13"/>
      <c r="AC680" s="13"/>
      <c r="AD680" s="13"/>
    </row>
    <row r="681">
      <c r="B681" s="108"/>
      <c r="Z681" s="13"/>
      <c r="AA681" s="13"/>
      <c r="AB681" s="13"/>
      <c r="AC681" s="13"/>
      <c r="AD681" s="13"/>
    </row>
    <row r="682">
      <c r="B682" s="108"/>
      <c r="Z682" s="13"/>
      <c r="AA682" s="13"/>
      <c r="AB682" s="13"/>
      <c r="AC682" s="13"/>
      <c r="AD682" s="13"/>
    </row>
    <row r="683">
      <c r="B683" s="108"/>
      <c r="Z683" s="13"/>
      <c r="AA683" s="13"/>
      <c r="AB683" s="13"/>
      <c r="AC683" s="13"/>
      <c r="AD683" s="13"/>
    </row>
    <row r="684">
      <c r="B684" s="108"/>
      <c r="Z684" s="13"/>
      <c r="AA684" s="13"/>
      <c r="AB684" s="13"/>
      <c r="AC684" s="13"/>
      <c r="AD684" s="13"/>
    </row>
    <row r="685">
      <c r="B685" s="108"/>
      <c r="Z685" s="13"/>
      <c r="AA685" s="13"/>
      <c r="AB685" s="13"/>
      <c r="AC685" s="13"/>
      <c r="AD685" s="13"/>
    </row>
    <row r="686">
      <c r="B686" s="108"/>
      <c r="Z686" s="13"/>
      <c r="AA686" s="13"/>
      <c r="AB686" s="13"/>
      <c r="AC686" s="13"/>
      <c r="AD686" s="13"/>
    </row>
    <row r="687">
      <c r="B687" s="108"/>
      <c r="Z687" s="13"/>
      <c r="AA687" s="13"/>
      <c r="AB687" s="13"/>
      <c r="AC687" s="13"/>
      <c r="AD687" s="13"/>
    </row>
    <row r="688">
      <c r="B688" s="108"/>
      <c r="Z688" s="13"/>
      <c r="AA688" s="13"/>
      <c r="AB688" s="13"/>
      <c r="AC688" s="13"/>
      <c r="AD688" s="13"/>
    </row>
    <row r="689">
      <c r="B689" s="108"/>
      <c r="Z689" s="13"/>
      <c r="AA689" s="13"/>
      <c r="AB689" s="13"/>
      <c r="AC689" s="13"/>
      <c r="AD689" s="13"/>
    </row>
    <row r="690">
      <c r="B690" s="108"/>
      <c r="Z690" s="13"/>
      <c r="AA690" s="13"/>
      <c r="AB690" s="13"/>
      <c r="AC690" s="13"/>
      <c r="AD690" s="13"/>
    </row>
    <row r="691">
      <c r="B691" s="108"/>
      <c r="Z691" s="13"/>
      <c r="AA691" s="13"/>
      <c r="AB691" s="13"/>
      <c r="AC691" s="13"/>
      <c r="AD691" s="13"/>
    </row>
    <row r="692">
      <c r="B692" s="108"/>
      <c r="Z692" s="13"/>
      <c r="AA692" s="13"/>
      <c r="AB692" s="13"/>
      <c r="AC692" s="13"/>
      <c r="AD692" s="13"/>
    </row>
    <row r="693">
      <c r="B693" s="108"/>
      <c r="Z693" s="13"/>
      <c r="AA693" s="13"/>
      <c r="AB693" s="13"/>
      <c r="AC693" s="13"/>
      <c r="AD693" s="13"/>
    </row>
    <row r="694">
      <c r="B694" s="108"/>
      <c r="Z694" s="13"/>
      <c r="AA694" s="13"/>
      <c r="AB694" s="13"/>
      <c r="AC694" s="13"/>
      <c r="AD694" s="13"/>
    </row>
    <row r="695">
      <c r="B695" s="108"/>
      <c r="Z695" s="13"/>
      <c r="AA695" s="13"/>
      <c r="AB695" s="13"/>
      <c r="AC695" s="13"/>
      <c r="AD695" s="13"/>
    </row>
    <row r="696">
      <c r="B696" s="108"/>
      <c r="Z696" s="13"/>
      <c r="AA696" s="13"/>
      <c r="AB696" s="13"/>
      <c r="AC696" s="13"/>
      <c r="AD696" s="13"/>
    </row>
    <row r="697">
      <c r="B697" s="108"/>
      <c r="Z697" s="13"/>
      <c r="AA697" s="13"/>
      <c r="AB697" s="13"/>
      <c r="AC697" s="13"/>
      <c r="AD697" s="13"/>
    </row>
    <row r="698">
      <c r="B698" s="108"/>
      <c r="Z698" s="13"/>
      <c r="AA698" s="13"/>
      <c r="AB698" s="13"/>
      <c r="AC698" s="13"/>
      <c r="AD698" s="13"/>
    </row>
    <row r="699">
      <c r="B699" s="108"/>
      <c r="Z699" s="13"/>
      <c r="AA699" s="13"/>
      <c r="AB699" s="13"/>
      <c r="AC699" s="13"/>
      <c r="AD699" s="13"/>
    </row>
    <row r="700">
      <c r="B700" s="108"/>
      <c r="Z700" s="13"/>
      <c r="AA700" s="13"/>
      <c r="AB700" s="13"/>
      <c r="AC700" s="13"/>
      <c r="AD700" s="13"/>
    </row>
    <row r="701">
      <c r="B701" s="108"/>
      <c r="Z701" s="13"/>
      <c r="AA701" s="13"/>
      <c r="AB701" s="13"/>
      <c r="AC701" s="13"/>
      <c r="AD701" s="13"/>
    </row>
    <row r="702">
      <c r="B702" s="108"/>
      <c r="Z702" s="13"/>
      <c r="AA702" s="13"/>
      <c r="AB702" s="13"/>
      <c r="AC702" s="13"/>
      <c r="AD702" s="13"/>
    </row>
    <row r="703">
      <c r="B703" s="108"/>
      <c r="Z703" s="13"/>
      <c r="AA703" s="13"/>
      <c r="AB703" s="13"/>
      <c r="AC703" s="13"/>
      <c r="AD703" s="13"/>
    </row>
    <row r="704">
      <c r="B704" s="108"/>
      <c r="Z704" s="13"/>
      <c r="AA704" s="13"/>
      <c r="AB704" s="13"/>
      <c r="AC704" s="13"/>
      <c r="AD704" s="13"/>
    </row>
    <row r="705">
      <c r="B705" s="108"/>
      <c r="Z705" s="13"/>
      <c r="AA705" s="13"/>
      <c r="AB705" s="13"/>
      <c r="AC705" s="13"/>
      <c r="AD705" s="13"/>
    </row>
    <row r="706">
      <c r="B706" s="108"/>
      <c r="Z706" s="13"/>
      <c r="AA706" s="13"/>
      <c r="AB706" s="13"/>
      <c r="AC706" s="13"/>
      <c r="AD706" s="13"/>
    </row>
    <row r="707">
      <c r="B707" s="108"/>
      <c r="Z707" s="13"/>
      <c r="AA707" s="13"/>
      <c r="AB707" s="13"/>
      <c r="AC707" s="13"/>
      <c r="AD707" s="13"/>
    </row>
    <row r="708">
      <c r="B708" s="108"/>
      <c r="Z708" s="13"/>
      <c r="AA708" s="13"/>
      <c r="AB708" s="13"/>
      <c r="AC708" s="13"/>
      <c r="AD708" s="13"/>
    </row>
    <row r="709">
      <c r="B709" s="108"/>
      <c r="Z709" s="13"/>
      <c r="AA709" s="13"/>
      <c r="AB709" s="13"/>
      <c r="AC709" s="13"/>
      <c r="AD709" s="13"/>
    </row>
    <row r="710">
      <c r="B710" s="108"/>
      <c r="Z710" s="13"/>
      <c r="AA710" s="13"/>
      <c r="AB710" s="13"/>
      <c r="AC710" s="13"/>
      <c r="AD710" s="13"/>
    </row>
    <row r="711">
      <c r="B711" s="108"/>
      <c r="Z711" s="13"/>
      <c r="AA711" s="13"/>
      <c r="AB711" s="13"/>
      <c r="AC711" s="13"/>
      <c r="AD711" s="13"/>
    </row>
    <row r="712">
      <c r="B712" s="108"/>
      <c r="Z712" s="13"/>
      <c r="AA712" s="13"/>
      <c r="AB712" s="13"/>
      <c r="AC712" s="13"/>
      <c r="AD712" s="13"/>
    </row>
    <row r="713">
      <c r="B713" s="108"/>
      <c r="Z713" s="13"/>
      <c r="AA713" s="13"/>
      <c r="AB713" s="13"/>
      <c r="AC713" s="13"/>
      <c r="AD713" s="13"/>
    </row>
    <row r="714">
      <c r="B714" s="108"/>
      <c r="Z714" s="13"/>
      <c r="AA714" s="13"/>
      <c r="AB714" s="13"/>
      <c r="AC714" s="13"/>
      <c r="AD714" s="13"/>
    </row>
    <row r="715">
      <c r="B715" s="108"/>
      <c r="Z715" s="13"/>
      <c r="AA715" s="13"/>
      <c r="AB715" s="13"/>
      <c r="AC715" s="13"/>
      <c r="AD715" s="13"/>
    </row>
    <row r="716">
      <c r="B716" s="108"/>
      <c r="Z716" s="13"/>
      <c r="AA716" s="13"/>
      <c r="AB716" s="13"/>
      <c r="AC716" s="13"/>
      <c r="AD716" s="13"/>
    </row>
    <row r="717">
      <c r="B717" s="108"/>
      <c r="Z717" s="13"/>
      <c r="AA717" s="13"/>
      <c r="AB717" s="13"/>
      <c r="AC717" s="13"/>
      <c r="AD717" s="13"/>
    </row>
    <row r="718">
      <c r="B718" s="108"/>
      <c r="Z718" s="13"/>
      <c r="AA718" s="13"/>
      <c r="AB718" s="13"/>
      <c r="AC718" s="13"/>
      <c r="AD718" s="13"/>
    </row>
    <row r="719">
      <c r="B719" s="108"/>
      <c r="Z719" s="13"/>
      <c r="AA719" s="13"/>
      <c r="AB719" s="13"/>
      <c r="AC719" s="13"/>
      <c r="AD719" s="13"/>
    </row>
    <row r="720">
      <c r="B720" s="108"/>
      <c r="Z720" s="13"/>
      <c r="AA720" s="13"/>
      <c r="AB720" s="13"/>
      <c r="AC720" s="13"/>
      <c r="AD720" s="13"/>
    </row>
    <row r="721">
      <c r="B721" s="108"/>
      <c r="Z721" s="13"/>
      <c r="AA721" s="13"/>
      <c r="AB721" s="13"/>
      <c r="AC721" s="13"/>
      <c r="AD721" s="13"/>
    </row>
    <row r="722">
      <c r="B722" s="108"/>
      <c r="Z722" s="13"/>
      <c r="AA722" s="13"/>
      <c r="AB722" s="13"/>
      <c r="AC722" s="13"/>
      <c r="AD722" s="13"/>
    </row>
    <row r="723">
      <c r="B723" s="108"/>
      <c r="Z723" s="13"/>
      <c r="AA723" s="13"/>
      <c r="AB723" s="13"/>
      <c r="AC723" s="13"/>
      <c r="AD723" s="13"/>
    </row>
    <row r="724">
      <c r="B724" s="108"/>
      <c r="Z724" s="13"/>
      <c r="AA724" s="13"/>
      <c r="AB724" s="13"/>
      <c r="AC724" s="13"/>
      <c r="AD724" s="13"/>
    </row>
    <row r="725">
      <c r="B725" s="108"/>
      <c r="Z725" s="13"/>
      <c r="AA725" s="13"/>
      <c r="AB725" s="13"/>
      <c r="AC725" s="13"/>
      <c r="AD725" s="13"/>
    </row>
    <row r="726">
      <c r="B726" s="108"/>
      <c r="Z726" s="13"/>
      <c r="AA726" s="13"/>
      <c r="AB726" s="13"/>
      <c r="AC726" s="13"/>
      <c r="AD726" s="13"/>
    </row>
    <row r="727">
      <c r="B727" s="108"/>
      <c r="Z727" s="13"/>
      <c r="AA727" s="13"/>
      <c r="AB727" s="13"/>
      <c r="AC727" s="13"/>
      <c r="AD727" s="13"/>
    </row>
    <row r="728">
      <c r="B728" s="108"/>
      <c r="Z728" s="13"/>
      <c r="AA728" s="13"/>
      <c r="AB728" s="13"/>
      <c r="AC728" s="13"/>
      <c r="AD728" s="13"/>
    </row>
    <row r="729">
      <c r="B729" s="108"/>
      <c r="Z729" s="13"/>
      <c r="AA729" s="13"/>
      <c r="AB729" s="13"/>
      <c r="AC729" s="13"/>
      <c r="AD729" s="13"/>
    </row>
    <row r="730">
      <c r="B730" s="108"/>
      <c r="Z730" s="13"/>
      <c r="AA730" s="13"/>
      <c r="AB730" s="13"/>
      <c r="AC730" s="13"/>
      <c r="AD730" s="13"/>
    </row>
    <row r="731">
      <c r="B731" s="108"/>
      <c r="Z731" s="13"/>
      <c r="AA731" s="13"/>
      <c r="AB731" s="13"/>
      <c r="AC731" s="13"/>
      <c r="AD731" s="13"/>
    </row>
    <row r="732">
      <c r="B732" s="108"/>
      <c r="Z732" s="13"/>
      <c r="AA732" s="13"/>
      <c r="AB732" s="13"/>
      <c r="AC732" s="13"/>
      <c r="AD732" s="13"/>
    </row>
    <row r="733">
      <c r="B733" s="108"/>
      <c r="Z733" s="13"/>
      <c r="AA733" s="13"/>
      <c r="AB733" s="13"/>
      <c r="AC733" s="13"/>
      <c r="AD733" s="13"/>
    </row>
    <row r="734">
      <c r="B734" s="108"/>
      <c r="Z734" s="13"/>
      <c r="AA734" s="13"/>
      <c r="AB734" s="13"/>
      <c r="AC734" s="13"/>
      <c r="AD734" s="13"/>
    </row>
    <row r="735">
      <c r="B735" s="108"/>
      <c r="Z735" s="13"/>
      <c r="AA735" s="13"/>
      <c r="AB735" s="13"/>
      <c r="AC735" s="13"/>
      <c r="AD735" s="13"/>
    </row>
    <row r="736">
      <c r="B736" s="108"/>
      <c r="Z736" s="13"/>
      <c r="AA736" s="13"/>
      <c r="AB736" s="13"/>
      <c r="AC736" s="13"/>
      <c r="AD736" s="13"/>
    </row>
    <row r="737">
      <c r="B737" s="108"/>
      <c r="Z737" s="13"/>
      <c r="AA737" s="13"/>
      <c r="AB737" s="13"/>
      <c r="AC737" s="13"/>
      <c r="AD737" s="13"/>
    </row>
    <row r="738">
      <c r="B738" s="108"/>
      <c r="Z738" s="13"/>
      <c r="AA738" s="13"/>
      <c r="AB738" s="13"/>
      <c r="AC738" s="13"/>
      <c r="AD738" s="13"/>
    </row>
    <row r="739">
      <c r="B739" s="108"/>
      <c r="Z739" s="13"/>
      <c r="AA739" s="13"/>
      <c r="AB739" s="13"/>
      <c r="AC739" s="13"/>
      <c r="AD739" s="13"/>
    </row>
    <row r="740">
      <c r="B740" s="108"/>
      <c r="Z740" s="13"/>
      <c r="AA740" s="13"/>
      <c r="AB740" s="13"/>
      <c r="AC740" s="13"/>
      <c r="AD740" s="13"/>
    </row>
    <row r="741">
      <c r="B741" s="108"/>
      <c r="Z741" s="13"/>
      <c r="AA741" s="13"/>
      <c r="AB741" s="13"/>
      <c r="AC741" s="13"/>
      <c r="AD741" s="13"/>
    </row>
    <row r="742">
      <c r="B742" s="108"/>
      <c r="Z742" s="13"/>
      <c r="AA742" s="13"/>
      <c r="AB742" s="13"/>
      <c r="AC742" s="13"/>
      <c r="AD742" s="13"/>
    </row>
    <row r="743">
      <c r="B743" s="108"/>
      <c r="Z743" s="13"/>
      <c r="AA743" s="13"/>
      <c r="AB743" s="13"/>
      <c r="AC743" s="13"/>
      <c r="AD743" s="13"/>
    </row>
    <row r="744">
      <c r="B744" s="108"/>
      <c r="Z744" s="13"/>
      <c r="AA744" s="13"/>
      <c r="AB744" s="13"/>
      <c r="AC744" s="13"/>
      <c r="AD744" s="13"/>
    </row>
    <row r="745">
      <c r="B745" s="108"/>
      <c r="Z745" s="13"/>
      <c r="AA745" s="13"/>
      <c r="AB745" s="13"/>
      <c r="AC745" s="13"/>
      <c r="AD745" s="13"/>
    </row>
    <row r="746">
      <c r="B746" s="108"/>
      <c r="Z746" s="13"/>
      <c r="AA746" s="13"/>
      <c r="AB746" s="13"/>
      <c r="AC746" s="13"/>
      <c r="AD746" s="13"/>
    </row>
    <row r="747">
      <c r="B747" s="108"/>
      <c r="Z747" s="13"/>
      <c r="AA747" s="13"/>
      <c r="AB747" s="13"/>
      <c r="AC747" s="13"/>
      <c r="AD747" s="13"/>
    </row>
    <row r="748">
      <c r="B748" s="108"/>
      <c r="Z748" s="13"/>
      <c r="AA748" s="13"/>
      <c r="AB748" s="13"/>
      <c r="AC748" s="13"/>
      <c r="AD748" s="13"/>
    </row>
    <row r="749">
      <c r="B749" s="108"/>
      <c r="Z749" s="13"/>
      <c r="AA749" s="13"/>
      <c r="AB749" s="13"/>
      <c r="AC749" s="13"/>
      <c r="AD749" s="13"/>
    </row>
    <row r="750">
      <c r="B750" s="108"/>
      <c r="Z750" s="13"/>
      <c r="AA750" s="13"/>
      <c r="AB750" s="13"/>
      <c r="AC750" s="13"/>
      <c r="AD750" s="13"/>
    </row>
    <row r="751">
      <c r="B751" s="108"/>
      <c r="Z751" s="13"/>
      <c r="AA751" s="13"/>
      <c r="AB751" s="13"/>
      <c r="AC751" s="13"/>
      <c r="AD751" s="13"/>
    </row>
    <row r="752">
      <c r="B752" s="108"/>
      <c r="Z752" s="13"/>
      <c r="AA752" s="13"/>
      <c r="AB752" s="13"/>
      <c r="AC752" s="13"/>
      <c r="AD752" s="13"/>
    </row>
    <row r="753">
      <c r="B753" s="108"/>
      <c r="Z753" s="13"/>
      <c r="AA753" s="13"/>
      <c r="AB753" s="13"/>
      <c r="AC753" s="13"/>
      <c r="AD753" s="13"/>
    </row>
    <row r="754">
      <c r="B754" s="108"/>
      <c r="Z754" s="13"/>
      <c r="AA754" s="13"/>
      <c r="AB754" s="13"/>
      <c r="AC754" s="13"/>
      <c r="AD754" s="13"/>
    </row>
    <row r="755">
      <c r="B755" s="108"/>
      <c r="Z755" s="13"/>
      <c r="AA755" s="13"/>
      <c r="AB755" s="13"/>
      <c r="AC755" s="13"/>
      <c r="AD755" s="13"/>
    </row>
    <row r="756">
      <c r="B756" s="108"/>
      <c r="Z756" s="13"/>
      <c r="AA756" s="13"/>
      <c r="AB756" s="13"/>
      <c r="AC756" s="13"/>
      <c r="AD756" s="13"/>
    </row>
    <row r="757">
      <c r="B757" s="108"/>
      <c r="Z757" s="13"/>
      <c r="AA757" s="13"/>
      <c r="AB757" s="13"/>
      <c r="AC757" s="13"/>
      <c r="AD757" s="13"/>
    </row>
    <row r="758">
      <c r="B758" s="108"/>
      <c r="Z758" s="13"/>
      <c r="AA758" s="13"/>
      <c r="AB758" s="13"/>
      <c r="AC758" s="13"/>
      <c r="AD758" s="13"/>
    </row>
    <row r="759">
      <c r="B759" s="108"/>
      <c r="Z759" s="13"/>
      <c r="AA759" s="13"/>
      <c r="AB759" s="13"/>
      <c r="AC759" s="13"/>
      <c r="AD759" s="13"/>
    </row>
    <row r="760">
      <c r="B760" s="108"/>
      <c r="Z760" s="13"/>
      <c r="AA760" s="13"/>
      <c r="AB760" s="13"/>
      <c r="AC760" s="13"/>
      <c r="AD760" s="13"/>
    </row>
    <row r="761">
      <c r="B761" s="108"/>
      <c r="Z761" s="13"/>
      <c r="AA761" s="13"/>
      <c r="AB761" s="13"/>
      <c r="AC761" s="13"/>
      <c r="AD761" s="13"/>
    </row>
    <row r="762">
      <c r="B762" s="108"/>
      <c r="Z762" s="13"/>
      <c r="AA762" s="13"/>
      <c r="AB762" s="13"/>
      <c r="AC762" s="13"/>
      <c r="AD762" s="13"/>
    </row>
    <row r="763">
      <c r="B763" s="108"/>
      <c r="Z763" s="13"/>
      <c r="AA763" s="13"/>
      <c r="AB763" s="13"/>
      <c r="AC763" s="13"/>
      <c r="AD763" s="13"/>
    </row>
    <row r="764">
      <c r="B764" s="108"/>
      <c r="Z764" s="13"/>
      <c r="AA764" s="13"/>
      <c r="AB764" s="13"/>
      <c r="AC764" s="13"/>
      <c r="AD764" s="13"/>
    </row>
    <row r="765">
      <c r="B765" s="108"/>
      <c r="Z765" s="13"/>
      <c r="AA765" s="13"/>
      <c r="AB765" s="13"/>
      <c r="AC765" s="13"/>
      <c r="AD765" s="13"/>
    </row>
    <row r="766">
      <c r="B766" s="108"/>
      <c r="Z766" s="13"/>
      <c r="AA766" s="13"/>
      <c r="AB766" s="13"/>
      <c r="AC766" s="13"/>
      <c r="AD766" s="13"/>
    </row>
    <row r="767">
      <c r="B767" s="108"/>
      <c r="Z767" s="13"/>
      <c r="AA767" s="13"/>
      <c r="AB767" s="13"/>
      <c r="AC767" s="13"/>
      <c r="AD767" s="13"/>
    </row>
    <row r="768">
      <c r="B768" s="108"/>
      <c r="Z768" s="13"/>
      <c r="AA768" s="13"/>
      <c r="AB768" s="13"/>
      <c r="AC768" s="13"/>
      <c r="AD768" s="13"/>
    </row>
    <row r="769">
      <c r="B769" s="108"/>
      <c r="Z769" s="13"/>
      <c r="AA769" s="13"/>
      <c r="AB769" s="13"/>
      <c r="AC769" s="13"/>
      <c r="AD769" s="13"/>
    </row>
    <row r="770">
      <c r="B770" s="108"/>
      <c r="Z770" s="13"/>
      <c r="AA770" s="13"/>
      <c r="AB770" s="13"/>
      <c r="AC770" s="13"/>
      <c r="AD770" s="13"/>
    </row>
    <row r="771">
      <c r="B771" s="108"/>
      <c r="Z771" s="13"/>
      <c r="AA771" s="13"/>
      <c r="AB771" s="13"/>
      <c r="AC771" s="13"/>
      <c r="AD771" s="13"/>
    </row>
    <row r="772">
      <c r="B772" s="108"/>
      <c r="Z772" s="13"/>
      <c r="AA772" s="13"/>
      <c r="AB772" s="13"/>
      <c r="AC772" s="13"/>
      <c r="AD772" s="13"/>
    </row>
    <row r="773">
      <c r="B773" s="108"/>
      <c r="Z773" s="13"/>
      <c r="AA773" s="13"/>
      <c r="AB773" s="13"/>
      <c r="AC773" s="13"/>
      <c r="AD773" s="13"/>
    </row>
    <row r="774">
      <c r="B774" s="108"/>
      <c r="Z774" s="13"/>
      <c r="AA774" s="13"/>
      <c r="AB774" s="13"/>
      <c r="AC774" s="13"/>
      <c r="AD774" s="13"/>
    </row>
    <row r="775">
      <c r="B775" s="108"/>
      <c r="Z775" s="13"/>
      <c r="AA775" s="13"/>
      <c r="AB775" s="13"/>
      <c r="AC775" s="13"/>
      <c r="AD775" s="13"/>
    </row>
    <row r="776">
      <c r="B776" s="108"/>
      <c r="Z776" s="13"/>
      <c r="AA776" s="13"/>
      <c r="AB776" s="13"/>
      <c r="AC776" s="13"/>
      <c r="AD776" s="13"/>
    </row>
    <row r="777">
      <c r="B777" s="108"/>
      <c r="Z777" s="13"/>
      <c r="AA777" s="13"/>
      <c r="AB777" s="13"/>
      <c r="AC777" s="13"/>
      <c r="AD777" s="13"/>
    </row>
    <row r="778">
      <c r="B778" s="108"/>
      <c r="Z778" s="13"/>
      <c r="AA778" s="13"/>
      <c r="AB778" s="13"/>
      <c r="AC778" s="13"/>
      <c r="AD778" s="13"/>
    </row>
    <row r="779">
      <c r="B779" s="108"/>
      <c r="Z779" s="13"/>
      <c r="AA779" s="13"/>
      <c r="AB779" s="13"/>
      <c r="AC779" s="13"/>
      <c r="AD779" s="13"/>
    </row>
    <row r="780">
      <c r="B780" s="108"/>
      <c r="Z780" s="13"/>
      <c r="AA780" s="13"/>
      <c r="AB780" s="13"/>
      <c r="AC780" s="13"/>
      <c r="AD780" s="13"/>
    </row>
    <row r="781">
      <c r="B781" s="108"/>
      <c r="Z781" s="13"/>
      <c r="AA781" s="13"/>
      <c r="AB781" s="13"/>
      <c r="AC781" s="13"/>
      <c r="AD781" s="13"/>
    </row>
    <row r="782">
      <c r="B782" s="108"/>
      <c r="Z782" s="13"/>
      <c r="AA782" s="13"/>
      <c r="AB782" s="13"/>
      <c r="AC782" s="13"/>
      <c r="AD782" s="13"/>
    </row>
    <row r="783">
      <c r="B783" s="108"/>
      <c r="Z783" s="13"/>
      <c r="AA783" s="13"/>
      <c r="AB783" s="13"/>
      <c r="AC783" s="13"/>
      <c r="AD783" s="13"/>
    </row>
    <row r="784">
      <c r="B784" s="108"/>
      <c r="Z784" s="13"/>
      <c r="AA784" s="13"/>
      <c r="AB784" s="13"/>
      <c r="AC784" s="13"/>
      <c r="AD784" s="13"/>
    </row>
    <row r="785">
      <c r="B785" s="108"/>
      <c r="Z785" s="13"/>
      <c r="AA785" s="13"/>
      <c r="AB785" s="13"/>
      <c r="AC785" s="13"/>
      <c r="AD785" s="13"/>
    </row>
    <row r="786">
      <c r="B786" s="108"/>
      <c r="Z786" s="13"/>
      <c r="AA786" s="13"/>
      <c r="AB786" s="13"/>
      <c r="AC786" s="13"/>
      <c r="AD786" s="13"/>
    </row>
    <row r="787">
      <c r="B787" s="108"/>
      <c r="Z787" s="13"/>
      <c r="AA787" s="13"/>
      <c r="AB787" s="13"/>
      <c r="AC787" s="13"/>
      <c r="AD787" s="13"/>
    </row>
    <row r="788">
      <c r="B788" s="108"/>
      <c r="Z788" s="13"/>
      <c r="AA788" s="13"/>
      <c r="AB788" s="13"/>
      <c r="AC788" s="13"/>
      <c r="AD788" s="13"/>
    </row>
    <row r="789">
      <c r="B789" s="108"/>
      <c r="Z789" s="13"/>
      <c r="AA789" s="13"/>
      <c r="AB789" s="13"/>
      <c r="AC789" s="13"/>
      <c r="AD789" s="13"/>
    </row>
    <row r="790">
      <c r="B790" s="108"/>
      <c r="Z790" s="13"/>
      <c r="AA790" s="13"/>
      <c r="AB790" s="13"/>
      <c r="AC790" s="13"/>
      <c r="AD790" s="13"/>
    </row>
    <row r="791">
      <c r="B791" s="108"/>
      <c r="Z791" s="13"/>
      <c r="AA791" s="13"/>
      <c r="AB791" s="13"/>
      <c r="AC791" s="13"/>
      <c r="AD791" s="13"/>
    </row>
    <row r="792">
      <c r="B792" s="108"/>
      <c r="Z792" s="13"/>
      <c r="AA792" s="13"/>
      <c r="AB792" s="13"/>
      <c r="AC792" s="13"/>
      <c r="AD792" s="13"/>
    </row>
    <row r="793">
      <c r="B793" s="108"/>
      <c r="Z793" s="13"/>
      <c r="AA793" s="13"/>
      <c r="AB793" s="13"/>
      <c r="AC793" s="13"/>
      <c r="AD793" s="13"/>
    </row>
    <row r="794">
      <c r="B794" s="108"/>
      <c r="Z794" s="13"/>
      <c r="AA794" s="13"/>
      <c r="AB794" s="13"/>
      <c r="AC794" s="13"/>
      <c r="AD794" s="13"/>
    </row>
    <row r="795">
      <c r="B795" s="108"/>
      <c r="Z795" s="13"/>
      <c r="AA795" s="13"/>
      <c r="AB795" s="13"/>
      <c r="AC795" s="13"/>
      <c r="AD795" s="13"/>
    </row>
    <row r="796">
      <c r="B796" s="108"/>
      <c r="Z796" s="13"/>
      <c r="AA796" s="13"/>
      <c r="AB796" s="13"/>
      <c r="AC796" s="13"/>
      <c r="AD796" s="13"/>
    </row>
    <row r="797">
      <c r="B797" s="108"/>
      <c r="Z797" s="13"/>
      <c r="AA797" s="13"/>
      <c r="AB797" s="13"/>
      <c r="AC797" s="13"/>
      <c r="AD797" s="13"/>
    </row>
    <row r="798">
      <c r="B798" s="108"/>
      <c r="Z798" s="13"/>
      <c r="AA798" s="13"/>
      <c r="AB798" s="13"/>
      <c r="AC798" s="13"/>
      <c r="AD798" s="13"/>
    </row>
    <row r="799">
      <c r="B799" s="108"/>
      <c r="Z799" s="13"/>
      <c r="AA799" s="13"/>
      <c r="AB799" s="13"/>
      <c r="AC799" s="13"/>
      <c r="AD799" s="13"/>
    </row>
    <row r="800">
      <c r="B800" s="108"/>
      <c r="Z800" s="13"/>
      <c r="AA800" s="13"/>
      <c r="AB800" s="13"/>
      <c r="AC800" s="13"/>
      <c r="AD800" s="13"/>
    </row>
    <row r="801">
      <c r="B801" s="108"/>
      <c r="Z801" s="13"/>
      <c r="AA801" s="13"/>
      <c r="AB801" s="13"/>
      <c r="AC801" s="13"/>
      <c r="AD801" s="13"/>
    </row>
    <row r="802">
      <c r="B802" s="108"/>
      <c r="Z802" s="13"/>
      <c r="AA802" s="13"/>
      <c r="AB802" s="13"/>
      <c r="AC802" s="13"/>
      <c r="AD802" s="13"/>
    </row>
    <row r="803">
      <c r="B803" s="108"/>
      <c r="Z803" s="13"/>
      <c r="AA803" s="13"/>
      <c r="AB803" s="13"/>
      <c r="AC803" s="13"/>
      <c r="AD803" s="13"/>
    </row>
    <row r="804">
      <c r="B804" s="108"/>
      <c r="Z804" s="13"/>
      <c r="AA804" s="13"/>
      <c r="AB804" s="13"/>
      <c r="AC804" s="13"/>
      <c r="AD804" s="13"/>
    </row>
    <row r="805">
      <c r="B805" s="108"/>
      <c r="Z805" s="13"/>
      <c r="AA805" s="13"/>
      <c r="AB805" s="13"/>
      <c r="AC805" s="13"/>
      <c r="AD805" s="13"/>
    </row>
    <row r="806">
      <c r="B806" s="108"/>
      <c r="Z806" s="13"/>
      <c r="AA806" s="13"/>
      <c r="AB806" s="13"/>
      <c r="AC806" s="13"/>
      <c r="AD806" s="13"/>
    </row>
    <row r="807">
      <c r="B807" s="108"/>
      <c r="Z807" s="13"/>
      <c r="AA807" s="13"/>
      <c r="AB807" s="13"/>
      <c r="AC807" s="13"/>
      <c r="AD807" s="13"/>
    </row>
    <row r="808">
      <c r="B808" s="108"/>
      <c r="Z808" s="13"/>
      <c r="AA808" s="13"/>
      <c r="AB808" s="13"/>
      <c r="AC808" s="13"/>
      <c r="AD808" s="13"/>
    </row>
    <row r="809">
      <c r="B809" s="108"/>
      <c r="Z809" s="13"/>
      <c r="AA809" s="13"/>
      <c r="AB809" s="13"/>
      <c r="AC809" s="13"/>
      <c r="AD809" s="13"/>
    </row>
    <row r="810">
      <c r="B810" s="108"/>
      <c r="Z810" s="13"/>
      <c r="AA810" s="13"/>
      <c r="AB810" s="13"/>
      <c r="AC810" s="13"/>
      <c r="AD810" s="13"/>
    </row>
    <row r="811">
      <c r="B811" s="108"/>
      <c r="Z811" s="13"/>
      <c r="AA811" s="13"/>
      <c r="AB811" s="13"/>
      <c r="AC811" s="13"/>
      <c r="AD811" s="13"/>
    </row>
    <row r="812">
      <c r="B812" s="108"/>
      <c r="Z812" s="13"/>
      <c r="AA812" s="13"/>
      <c r="AB812" s="13"/>
      <c r="AC812" s="13"/>
      <c r="AD812" s="13"/>
    </row>
    <row r="813">
      <c r="B813" s="108"/>
      <c r="Z813" s="13"/>
      <c r="AA813" s="13"/>
      <c r="AB813" s="13"/>
      <c r="AC813" s="13"/>
      <c r="AD813" s="13"/>
    </row>
    <row r="814">
      <c r="B814" s="108"/>
      <c r="Z814" s="13"/>
      <c r="AA814" s="13"/>
      <c r="AB814" s="13"/>
      <c r="AC814" s="13"/>
      <c r="AD814" s="13"/>
    </row>
    <row r="815">
      <c r="B815" s="108"/>
      <c r="Z815" s="13"/>
      <c r="AA815" s="13"/>
      <c r="AB815" s="13"/>
      <c r="AC815" s="13"/>
      <c r="AD815" s="13"/>
    </row>
    <row r="816">
      <c r="B816" s="108"/>
      <c r="Z816" s="13"/>
      <c r="AA816" s="13"/>
      <c r="AB816" s="13"/>
      <c r="AC816" s="13"/>
      <c r="AD816" s="13"/>
    </row>
    <row r="817">
      <c r="B817" s="108"/>
      <c r="Z817" s="13"/>
      <c r="AA817" s="13"/>
      <c r="AB817" s="13"/>
      <c r="AC817" s="13"/>
      <c r="AD817" s="13"/>
    </row>
    <row r="818">
      <c r="B818" s="108"/>
      <c r="Z818" s="13"/>
      <c r="AA818" s="13"/>
      <c r="AB818" s="13"/>
      <c r="AC818" s="13"/>
      <c r="AD818" s="13"/>
    </row>
    <row r="819">
      <c r="B819" s="108"/>
      <c r="Z819" s="13"/>
      <c r="AA819" s="13"/>
      <c r="AB819" s="13"/>
      <c r="AC819" s="13"/>
      <c r="AD819" s="13"/>
    </row>
    <row r="820">
      <c r="B820" s="108"/>
      <c r="Z820" s="13"/>
      <c r="AA820" s="13"/>
      <c r="AB820" s="13"/>
      <c r="AC820" s="13"/>
      <c r="AD820" s="13"/>
    </row>
    <row r="821">
      <c r="B821" s="108"/>
      <c r="Z821" s="13"/>
      <c r="AA821" s="13"/>
      <c r="AB821" s="13"/>
      <c r="AC821" s="13"/>
      <c r="AD821" s="13"/>
    </row>
    <row r="822">
      <c r="B822" s="108"/>
      <c r="Z822" s="13"/>
      <c r="AA822" s="13"/>
      <c r="AB822" s="13"/>
      <c r="AC822" s="13"/>
      <c r="AD822" s="13"/>
    </row>
    <row r="823">
      <c r="B823" s="108"/>
      <c r="Z823" s="13"/>
      <c r="AA823" s="13"/>
      <c r="AB823" s="13"/>
      <c r="AC823" s="13"/>
      <c r="AD823" s="13"/>
    </row>
    <row r="824">
      <c r="B824" s="108"/>
      <c r="Z824" s="13"/>
      <c r="AA824" s="13"/>
      <c r="AB824" s="13"/>
      <c r="AC824" s="13"/>
      <c r="AD824" s="13"/>
    </row>
    <row r="825">
      <c r="B825" s="108"/>
      <c r="Z825" s="13"/>
      <c r="AA825" s="13"/>
      <c r="AB825" s="13"/>
      <c r="AC825" s="13"/>
      <c r="AD825" s="13"/>
    </row>
    <row r="826">
      <c r="B826" s="108"/>
      <c r="Z826" s="13"/>
      <c r="AA826" s="13"/>
      <c r="AB826" s="13"/>
      <c r="AC826" s="13"/>
      <c r="AD826" s="13"/>
    </row>
    <row r="827">
      <c r="B827" s="108"/>
      <c r="Z827" s="13"/>
      <c r="AA827" s="13"/>
      <c r="AB827" s="13"/>
      <c r="AC827" s="13"/>
      <c r="AD827" s="13"/>
    </row>
    <row r="828">
      <c r="B828" s="108"/>
      <c r="Z828" s="13"/>
      <c r="AA828" s="13"/>
      <c r="AB828" s="13"/>
      <c r="AC828" s="13"/>
      <c r="AD828" s="13"/>
    </row>
    <row r="829">
      <c r="B829" s="108"/>
      <c r="Z829" s="13"/>
      <c r="AA829" s="13"/>
      <c r="AB829" s="13"/>
      <c r="AC829" s="13"/>
      <c r="AD829" s="13"/>
    </row>
    <row r="830">
      <c r="B830" s="108"/>
      <c r="Z830" s="13"/>
      <c r="AA830" s="13"/>
      <c r="AB830" s="13"/>
      <c r="AC830" s="13"/>
      <c r="AD830" s="13"/>
    </row>
    <row r="831">
      <c r="B831" s="108"/>
      <c r="Z831" s="13"/>
      <c r="AA831" s="13"/>
      <c r="AB831" s="13"/>
      <c r="AC831" s="13"/>
      <c r="AD831" s="13"/>
    </row>
    <row r="832">
      <c r="B832" s="108"/>
      <c r="Z832" s="13"/>
      <c r="AA832" s="13"/>
      <c r="AB832" s="13"/>
      <c r="AC832" s="13"/>
      <c r="AD832" s="13"/>
    </row>
    <row r="833">
      <c r="B833" s="108"/>
      <c r="Z833" s="13"/>
      <c r="AA833" s="13"/>
      <c r="AB833" s="13"/>
      <c r="AC833" s="13"/>
      <c r="AD833" s="13"/>
    </row>
    <row r="834">
      <c r="B834" s="108"/>
      <c r="Z834" s="13"/>
      <c r="AA834" s="13"/>
      <c r="AB834" s="13"/>
      <c r="AC834" s="13"/>
      <c r="AD834" s="13"/>
    </row>
    <row r="835">
      <c r="B835" s="108"/>
      <c r="Z835" s="13"/>
      <c r="AA835" s="13"/>
      <c r="AB835" s="13"/>
      <c r="AC835" s="13"/>
      <c r="AD835" s="13"/>
    </row>
    <row r="836">
      <c r="B836" s="108"/>
      <c r="Z836" s="13"/>
      <c r="AA836" s="13"/>
      <c r="AB836" s="13"/>
      <c r="AC836" s="13"/>
      <c r="AD836" s="13"/>
    </row>
    <row r="837">
      <c r="B837" s="108"/>
      <c r="Z837" s="13"/>
      <c r="AA837" s="13"/>
      <c r="AB837" s="13"/>
      <c r="AC837" s="13"/>
      <c r="AD837" s="13"/>
    </row>
    <row r="838">
      <c r="B838" s="108"/>
      <c r="Z838" s="13"/>
      <c r="AA838" s="13"/>
      <c r="AB838" s="13"/>
      <c r="AC838" s="13"/>
      <c r="AD838" s="13"/>
    </row>
    <row r="839">
      <c r="B839" s="108"/>
      <c r="Z839" s="13"/>
      <c r="AA839" s="13"/>
      <c r="AB839" s="13"/>
      <c r="AC839" s="13"/>
      <c r="AD839" s="13"/>
    </row>
    <row r="840">
      <c r="B840" s="108"/>
      <c r="Z840" s="13"/>
      <c r="AA840" s="13"/>
      <c r="AB840" s="13"/>
      <c r="AC840" s="13"/>
      <c r="AD840" s="13"/>
    </row>
    <row r="841">
      <c r="B841" s="108"/>
      <c r="Z841" s="13"/>
      <c r="AA841" s="13"/>
      <c r="AB841" s="13"/>
      <c r="AC841" s="13"/>
      <c r="AD841" s="13"/>
    </row>
    <row r="842">
      <c r="B842" s="108"/>
      <c r="Z842" s="13"/>
      <c r="AA842" s="13"/>
      <c r="AB842" s="13"/>
      <c r="AC842" s="13"/>
      <c r="AD842" s="13"/>
    </row>
    <row r="843">
      <c r="B843" s="108"/>
      <c r="Z843" s="13"/>
      <c r="AA843" s="13"/>
      <c r="AB843" s="13"/>
      <c r="AC843" s="13"/>
      <c r="AD843" s="13"/>
    </row>
    <row r="844">
      <c r="B844" s="108"/>
      <c r="Z844" s="13"/>
      <c r="AA844" s="13"/>
      <c r="AB844" s="13"/>
      <c r="AC844" s="13"/>
      <c r="AD844" s="13"/>
    </row>
    <row r="845">
      <c r="B845" s="108"/>
      <c r="Z845" s="13"/>
      <c r="AA845" s="13"/>
      <c r="AB845" s="13"/>
      <c r="AC845" s="13"/>
      <c r="AD845" s="13"/>
    </row>
    <row r="846">
      <c r="B846" s="108"/>
      <c r="Z846" s="13"/>
      <c r="AA846" s="13"/>
      <c r="AB846" s="13"/>
      <c r="AC846" s="13"/>
      <c r="AD846" s="13"/>
    </row>
    <row r="847">
      <c r="B847" s="108"/>
      <c r="Z847" s="13"/>
      <c r="AA847" s="13"/>
      <c r="AB847" s="13"/>
      <c r="AC847" s="13"/>
      <c r="AD847" s="13"/>
    </row>
    <row r="848">
      <c r="B848" s="108"/>
      <c r="Z848" s="13"/>
      <c r="AA848" s="13"/>
      <c r="AB848" s="13"/>
      <c r="AC848" s="13"/>
      <c r="AD848" s="13"/>
    </row>
    <row r="849">
      <c r="B849" s="108"/>
      <c r="Z849" s="13"/>
      <c r="AA849" s="13"/>
      <c r="AB849" s="13"/>
      <c r="AC849" s="13"/>
      <c r="AD849" s="13"/>
    </row>
    <row r="850">
      <c r="B850" s="108"/>
      <c r="Z850" s="13"/>
      <c r="AA850" s="13"/>
      <c r="AB850" s="13"/>
      <c r="AC850" s="13"/>
      <c r="AD850" s="13"/>
    </row>
    <row r="851">
      <c r="B851" s="108"/>
      <c r="Z851" s="13"/>
      <c r="AA851" s="13"/>
      <c r="AB851" s="13"/>
      <c r="AC851" s="13"/>
      <c r="AD851" s="13"/>
    </row>
    <row r="852">
      <c r="B852" s="108"/>
      <c r="Z852" s="13"/>
      <c r="AA852" s="13"/>
      <c r="AB852" s="13"/>
      <c r="AC852" s="13"/>
      <c r="AD852" s="13"/>
    </row>
    <row r="853">
      <c r="B853" s="108"/>
      <c r="Z853" s="13"/>
      <c r="AA853" s="13"/>
      <c r="AB853" s="13"/>
      <c r="AC853" s="13"/>
      <c r="AD853" s="13"/>
    </row>
    <row r="854">
      <c r="B854" s="108"/>
      <c r="Z854" s="13"/>
      <c r="AA854" s="13"/>
      <c r="AB854" s="13"/>
      <c r="AC854" s="13"/>
      <c r="AD854" s="13"/>
    </row>
    <row r="855">
      <c r="B855" s="108"/>
      <c r="Z855" s="13"/>
      <c r="AA855" s="13"/>
      <c r="AB855" s="13"/>
      <c r="AC855" s="13"/>
      <c r="AD855" s="13"/>
    </row>
    <row r="856">
      <c r="B856" s="108"/>
      <c r="Z856" s="13"/>
      <c r="AA856" s="13"/>
      <c r="AB856" s="13"/>
      <c r="AC856" s="13"/>
      <c r="AD856" s="13"/>
    </row>
    <row r="857">
      <c r="B857" s="108"/>
      <c r="Z857" s="13"/>
      <c r="AA857" s="13"/>
      <c r="AB857" s="13"/>
      <c r="AC857" s="13"/>
      <c r="AD857" s="13"/>
    </row>
    <row r="858">
      <c r="B858" s="108"/>
      <c r="Z858" s="13"/>
      <c r="AA858" s="13"/>
      <c r="AB858" s="13"/>
      <c r="AC858" s="13"/>
      <c r="AD858" s="13"/>
    </row>
    <row r="859">
      <c r="B859" s="108"/>
      <c r="Z859" s="13"/>
      <c r="AA859" s="13"/>
      <c r="AB859" s="13"/>
      <c r="AC859" s="13"/>
      <c r="AD859" s="13"/>
    </row>
    <row r="860">
      <c r="B860" s="108"/>
      <c r="Z860" s="13"/>
      <c r="AA860" s="13"/>
      <c r="AB860" s="13"/>
      <c r="AC860" s="13"/>
      <c r="AD860" s="13"/>
    </row>
    <row r="861">
      <c r="B861" s="108"/>
      <c r="Z861" s="13"/>
      <c r="AA861" s="13"/>
      <c r="AB861" s="13"/>
      <c r="AC861" s="13"/>
      <c r="AD861" s="13"/>
    </row>
    <row r="862">
      <c r="B862" s="108"/>
      <c r="Z862" s="13"/>
      <c r="AA862" s="13"/>
      <c r="AB862" s="13"/>
      <c r="AC862" s="13"/>
      <c r="AD862" s="13"/>
    </row>
    <row r="863">
      <c r="B863" s="108"/>
      <c r="Z863" s="13"/>
      <c r="AA863" s="13"/>
      <c r="AB863" s="13"/>
      <c r="AC863" s="13"/>
      <c r="AD863" s="13"/>
    </row>
    <row r="864">
      <c r="B864" s="108"/>
      <c r="Z864" s="13"/>
      <c r="AA864" s="13"/>
      <c r="AB864" s="13"/>
      <c r="AC864" s="13"/>
      <c r="AD864" s="13"/>
    </row>
    <row r="865">
      <c r="B865" s="108"/>
      <c r="Z865" s="13"/>
      <c r="AA865" s="13"/>
      <c r="AB865" s="13"/>
      <c r="AC865" s="13"/>
      <c r="AD865" s="13"/>
    </row>
    <row r="866">
      <c r="B866" s="108"/>
      <c r="Z866" s="13"/>
      <c r="AA866" s="13"/>
      <c r="AB866" s="13"/>
      <c r="AC866" s="13"/>
      <c r="AD866" s="13"/>
    </row>
    <row r="867">
      <c r="B867" s="108"/>
      <c r="Z867" s="13"/>
      <c r="AA867" s="13"/>
      <c r="AB867" s="13"/>
      <c r="AC867" s="13"/>
      <c r="AD867" s="13"/>
    </row>
    <row r="868">
      <c r="B868" s="108"/>
      <c r="Z868" s="13"/>
      <c r="AA868" s="13"/>
      <c r="AB868" s="13"/>
      <c r="AC868" s="13"/>
      <c r="AD868" s="13"/>
    </row>
    <row r="869">
      <c r="B869" s="108"/>
      <c r="Z869" s="13"/>
      <c r="AA869" s="13"/>
      <c r="AB869" s="13"/>
      <c r="AC869" s="13"/>
      <c r="AD869" s="13"/>
    </row>
    <row r="870">
      <c r="B870" s="108"/>
      <c r="Z870" s="13"/>
      <c r="AA870" s="13"/>
      <c r="AB870" s="13"/>
      <c r="AC870" s="13"/>
      <c r="AD870" s="13"/>
    </row>
    <row r="871">
      <c r="B871" s="108"/>
      <c r="Z871" s="13"/>
      <c r="AA871" s="13"/>
      <c r="AB871" s="13"/>
      <c r="AC871" s="13"/>
      <c r="AD871" s="13"/>
    </row>
    <row r="872">
      <c r="B872" s="108"/>
      <c r="Z872" s="13"/>
      <c r="AA872" s="13"/>
      <c r="AB872" s="13"/>
      <c r="AC872" s="13"/>
      <c r="AD872" s="13"/>
    </row>
    <row r="873">
      <c r="B873" s="108"/>
      <c r="Z873" s="13"/>
      <c r="AA873" s="13"/>
      <c r="AB873" s="13"/>
      <c r="AC873" s="13"/>
      <c r="AD873" s="13"/>
    </row>
    <row r="874">
      <c r="B874" s="108"/>
      <c r="Z874" s="13"/>
      <c r="AA874" s="13"/>
      <c r="AB874" s="13"/>
      <c r="AC874" s="13"/>
      <c r="AD874" s="13"/>
    </row>
    <row r="875">
      <c r="B875" s="108"/>
      <c r="Z875" s="13"/>
      <c r="AA875" s="13"/>
      <c r="AB875" s="13"/>
      <c r="AC875" s="13"/>
      <c r="AD875" s="13"/>
    </row>
    <row r="876">
      <c r="B876" s="108"/>
      <c r="Z876" s="13"/>
      <c r="AA876" s="13"/>
      <c r="AB876" s="13"/>
      <c r="AC876" s="13"/>
      <c r="AD876" s="13"/>
    </row>
    <row r="877">
      <c r="B877" s="108"/>
      <c r="Z877" s="13"/>
      <c r="AA877" s="13"/>
      <c r="AB877" s="13"/>
      <c r="AC877" s="13"/>
      <c r="AD877" s="13"/>
    </row>
    <row r="878">
      <c r="B878" s="108"/>
      <c r="Z878" s="13"/>
      <c r="AA878" s="13"/>
      <c r="AB878" s="13"/>
      <c r="AC878" s="13"/>
      <c r="AD878" s="13"/>
    </row>
    <row r="879">
      <c r="B879" s="108"/>
      <c r="Z879" s="13"/>
      <c r="AA879" s="13"/>
      <c r="AB879" s="13"/>
      <c r="AC879" s="13"/>
      <c r="AD879" s="13"/>
    </row>
    <row r="880">
      <c r="B880" s="108"/>
      <c r="Z880" s="13"/>
      <c r="AA880" s="13"/>
      <c r="AB880" s="13"/>
      <c r="AC880" s="13"/>
      <c r="AD880" s="13"/>
    </row>
    <row r="881">
      <c r="B881" s="108"/>
      <c r="Z881" s="13"/>
      <c r="AA881" s="13"/>
      <c r="AB881" s="13"/>
      <c r="AC881" s="13"/>
      <c r="AD881" s="13"/>
    </row>
    <row r="882">
      <c r="B882" s="108"/>
      <c r="Z882" s="13"/>
      <c r="AA882" s="13"/>
      <c r="AB882" s="13"/>
      <c r="AC882" s="13"/>
      <c r="AD882" s="13"/>
    </row>
    <row r="883">
      <c r="B883" s="108"/>
      <c r="Z883" s="13"/>
      <c r="AA883" s="13"/>
      <c r="AB883" s="13"/>
      <c r="AC883" s="13"/>
      <c r="AD883" s="13"/>
    </row>
    <row r="884">
      <c r="B884" s="108"/>
      <c r="Z884" s="13"/>
      <c r="AA884" s="13"/>
      <c r="AB884" s="13"/>
      <c r="AC884" s="13"/>
      <c r="AD884" s="13"/>
    </row>
    <row r="885">
      <c r="B885" s="108"/>
      <c r="Z885" s="13"/>
      <c r="AA885" s="13"/>
      <c r="AB885" s="13"/>
      <c r="AC885" s="13"/>
      <c r="AD885" s="13"/>
    </row>
    <row r="886">
      <c r="B886" s="108"/>
      <c r="Z886" s="13"/>
      <c r="AA886" s="13"/>
      <c r="AB886" s="13"/>
      <c r="AC886" s="13"/>
      <c r="AD886" s="13"/>
    </row>
    <row r="887">
      <c r="B887" s="108"/>
      <c r="Z887" s="13"/>
      <c r="AA887" s="13"/>
      <c r="AB887" s="13"/>
      <c r="AC887" s="13"/>
      <c r="AD887" s="13"/>
    </row>
    <row r="888">
      <c r="B888" s="108"/>
      <c r="Z888" s="13"/>
      <c r="AA888" s="13"/>
      <c r="AB888" s="13"/>
      <c r="AC888" s="13"/>
      <c r="AD888" s="13"/>
    </row>
    <row r="889">
      <c r="B889" s="108"/>
      <c r="Z889" s="13"/>
      <c r="AA889" s="13"/>
      <c r="AB889" s="13"/>
      <c r="AC889" s="13"/>
      <c r="AD889" s="13"/>
    </row>
    <row r="890">
      <c r="B890" s="108"/>
      <c r="Z890" s="13"/>
      <c r="AA890" s="13"/>
      <c r="AB890" s="13"/>
      <c r="AC890" s="13"/>
      <c r="AD890" s="13"/>
    </row>
    <row r="891">
      <c r="B891" s="108"/>
      <c r="Z891" s="13"/>
      <c r="AA891" s="13"/>
      <c r="AB891" s="13"/>
      <c r="AC891" s="13"/>
      <c r="AD891" s="13"/>
    </row>
    <row r="892">
      <c r="B892" s="108"/>
      <c r="Z892" s="13"/>
      <c r="AA892" s="13"/>
      <c r="AB892" s="13"/>
      <c r="AC892" s="13"/>
      <c r="AD892" s="13"/>
    </row>
    <row r="893">
      <c r="B893" s="108"/>
      <c r="Z893" s="13"/>
      <c r="AA893" s="13"/>
      <c r="AB893" s="13"/>
      <c r="AC893" s="13"/>
      <c r="AD893" s="13"/>
    </row>
  </sheetData>
  <mergeCells count="14">
    <mergeCell ref="H2:H3"/>
    <mergeCell ref="I2:I3"/>
    <mergeCell ref="J2:J3"/>
    <mergeCell ref="K2:K3"/>
    <mergeCell ref="L2:L3"/>
    <mergeCell ref="B62:K62"/>
    <mergeCell ref="B63:K63"/>
    <mergeCell ref="A2:A3"/>
    <mergeCell ref="B2:B3"/>
    <mergeCell ref="C2:C3"/>
    <mergeCell ref="D2:D3"/>
    <mergeCell ref="E2:E3"/>
    <mergeCell ref="F2:F3"/>
    <mergeCell ref="G2:G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48.25"/>
    <col customWidth="1" min="3" max="3" width="6.25"/>
    <col customWidth="1" min="4" max="4" width="5.5"/>
    <col customWidth="1" min="5" max="5" width="20.88"/>
    <col customWidth="1" min="6" max="6" width="4.0"/>
    <col customWidth="1" min="7" max="7" width="6.25"/>
    <col customWidth="1" min="8" max="8" width="5.5"/>
    <col customWidth="1" min="9" max="9" width="4.38"/>
    <col customWidth="1" min="10" max="10" width="7.25"/>
    <col customWidth="1" min="11" max="11" width="7.13"/>
    <col customWidth="1" min="12" max="12" width="9.0"/>
  </cols>
  <sheetData>
    <row r="1">
      <c r="A1" s="110" t="s">
        <v>715</v>
      </c>
      <c r="M1" s="111"/>
      <c r="N1" s="111"/>
      <c r="O1" s="43"/>
      <c r="P1" s="43"/>
      <c r="Q1" s="43"/>
      <c r="R1" s="43"/>
      <c r="S1" s="43"/>
      <c r="T1" s="43"/>
      <c r="U1" s="43"/>
      <c r="V1" s="43"/>
      <c r="W1" s="43"/>
      <c r="X1" s="43"/>
      <c r="Y1" s="43"/>
      <c r="Z1" s="43"/>
      <c r="AA1" s="43"/>
      <c r="AB1" s="43"/>
      <c r="AC1" s="43"/>
    </row>
    <row r="2">
      <c r="A2" s="112" t="s">
        <v>716</v>
      </c>
      <c r="B2" s="113"/>
      <c r="C2" s="113"/>
      <c r="D2" s="113"/>
      <c r="E2" s="113"/>
      <c r="F2" s="113"/>
      <c r="G2" s="113"/>
      <c r="H2" s="113"/>
      <c r="I2" s="113"/>
      <c r="J2" s="113"/>
      <c r="K2" s="113"/>
      <c r="L2" s="114"/>
      <c r="M2" s="111"/>
      <c r="N2" s="111"/>
      <c r="O2" s="43"/>
      <c r="P2" s="43"/>
      <c r="Q2" s="43"/>
      <c r="R2" s="43"/>
      <c r="S2" s="43"/>
      <c r="T2" s="43"/>
      <c r="U2" s="43"/>
      <c r="V2" s="43"/>
      <c r="W2" s="43"/>
      <c r="X2" s="43"/>
      <c r="Y2" s="43"/>
      <c r="Z2" s="43"/>
      <c r="AA2" s="43"/>
      <c r="AB2" s="43"/>
      <c r="AC2" s="43"/>
    </row>
    <row r="3">
      <c r="A3" s="64"/>
      <c r="B3" s="115" t="s">
        <v>717</v>
      </c>
      <c r="C3" s="89"/>
      <c r="D3" s="89"/>
      <c r="E3" s="116" t="s">
        <v>718</v>
      </c>
      <c r="F3" s="94"/>
      <c r="G3" s="94"/>
      <c r="H3" s="94"/>
      <c r="I3" s="94"/>
      <c r="J3" s="94"/>
      <c r="K3" s="94"/>
      <c r="L3" s="117"/>
      <c r="M3" s="111"/>
      <c r="N3" s="43"/>
      <c r="O3" s="43"/>
      <c r="P3" s="43"/>
      <c r="Q3" s="43"/>
      <c r="R3" s="43"/>
      <c r="S3" s="43"/>
      <c r="T3" s="43"/>
      <c r="U3" s="118" t="s">
        <v>718</v>
      </c>
      <c r="V3" s="94"/>
      <c r="W3" s="94"/>
      <c r="X3" s="94"/>
      <c r="Y3" s="94"/>
      <c r="Z3" s="94"/>
      <c r="AA3" s="94"/>
      <c r="AB3" s="94"/>
      <c r="AC3" s="117"/>
    </row>
    <row r="4">
      <c r="A4" s="64"/>
      <c r="B4" s="115" t="s">
        <v>719</v>
      </c>
      <c r="C4" s="89"/>
      <c r="D4" s="89"/>
      <c r="E4" s="119" t="s">
        <v>720</v>
      </c>
      <c r="F4" s="120"/>
      <c r="G4" s="120"/>
      <c r="H4" s="120"/>
      <c r="I4" s="120"/>
      <c r="J4" s="120"/>
      <c r="K4" s="120"/>
      <c r="L4" s="121"/>
      <c r="M4" s="43"/>
      <c r="N4" s="43"/>
      <c r="O4" s="43"/>
      <c r="P4" s="43"/>
      <c r="Q4" s="43"/>
      <c r="R4" s="43"/>
      <c r="S4" s="43"/>
      <c r="T4" s="43"/>
      <c r="U4" s="43"/>
      <c r="V4" s="43"/>
      <c r="W4" s="43"/>
      <c r="X4" s="43"/>
      <c r="Y4" s="43"/>
      <c r="Z4" s="43"/>
      <c r="AA4" s="43"/>
      <c r="AB4" s="43"/>
      <c r="AC4" s="43"/>
    </row>
    <row r="5">
      <c r="A5" s="64"/>
      <c r="B5" s="115" t="s">
        <v>721</v>
      </c>
      <c r="C5" s="89"/>
      <c r="D5" s="89"/>
      <c r="E5" s="122"/>
      <c r="F5" s="123"/>
      <c r="G5" s="123"/>
      <c r="H5" s="123"/>
      <c r="I5" s="123"/>
      <c r="J5" s="123"/>
      <c r="K5" s="123"/>
      <c r="L5" s="124"/>
      <c r="M5" s="43"/>
      <c r="N5" s="43"/>
      <c r="O5" s="43"/>
      <c r="P5" s="43"/>
      <c r="Q5" s="43"/>
      <c r="R5" s="43"/>
      <c r="S5" s="43"/>
      <c r="T5" s="43"/>
      <c r="U5" s="43"/>
      <c r="V5" s="43"/>
      <c r="W5" s="43"/>
      <c r="X5" s="43"/>
      <c r="Y5" s="43"/>
      <c r="Z5" s="43"/>
      <c r="AA5" s="43"/>
      <c r="AB5" s="43"/>
      <c r="AC5" s="43"/>
    </row>
    <row r="6">
      <c r="A6" s="64"/>
      <c r="B6" s="115" t="s">
        <v>722</v>
      </c>
      <c r="C6" s="89"/>
      <c r="D6" s="89"/>
      <c r="E6" s="116" t="s">
        <v>723</v>
      </c>
      <c r="F6" s="94"/>
      <c r="G6" s="94"/>
      <c r="H6" s="94"/>
      <c r="I6" s="94"/>
      <c r="J6" s="94"/>
      <c r="K6" s="94"/>
      <c r="L6" s="117"/>
      <c r="M6" s="43"/>
      <c r="N6" s="43"/>
      <c r="O6" s="43"/>
      <c r="P6" s="43"/>
      <c r="Q6" s="43"/>
      <c r="R6" s="43"/>
      <c r="S6" s="43"/>
      <c r="T6" s="43"/>
      <c r="U6" s="43"/>
      <c r="V6" s="43"/>
      <c r="W6" s="43"/>
      <c r="X6" s="43"/>
      <c r="Y6" s="43"/>
      <c r="Z6" s="43"/>
      <c r="AA6" s="43"/>
      <c r="AB6" s="43"/>
      <c r="AC6" s="43"/>
    </row>
    <row r="7">
      <c r="A7" s="64"/>
      <c r="B7" s="115" t="s">
        <v>724</v>
      </c>
      <c r="C7" s="89"/>
      <c r="D7" s="89"/>
      <c r="E7" s="116" t="s">
        <v>725</v>
      </c>
      <c r="F7" s="94"/>
      <c r="G7" s="94"/>
      <c r="H7" s="94"/>
      <c r="I7" s="94"/>
      <c r="J7" s="94"/>
      <c r="K7" s="94"/>
      <c r="L7" s="117"/>
      <c r="M7" s="43"/>
      <c r="N7" s="43"/>
      <c r="O7" s="43"/>
      <c r="P7" s="43"/>
      <c r="Q7" s="43"/>
      <c r="R7" s="43"/>
      <c r="S7" s="43"/>
      <c r="T7" s="43"/>
      <c r="U7" s="43"/>
      <c r="V7" s="43"/>
      <c r="W7" s="43"/>
      <c r="X7" s="43"/>
      <c r="Y7" s="43"/>
      <c r="Z7" s="43"/>
      <c r="AA7" s="43"/>
      <c r="AB7" s="43"/>
      <c r="AC7" s="43"/>
    </row>
    <row r="8">
      <c r="A8" s="64"/>
      <c r="B8" s="115" t="s">
        <v>726</v>
      </c>
      <c r="C8" s="89"/>
      <c r="D8" s="89"/>
      <c r="E8" s="125"/>
      <c r="F8" s="94"/>
      <c r="G8" s="94"/>
      <c r="H8" s="94"/>
      <c r="I8" s="94"/>
      <c r="J8" s="94"/>
      <c r="K8" s="94"/>
      <c r="L8" s="117"/>
      <c r="M8" s="43"/>
      <c r="N8" s="43"/>
      <c r="O8" s="43"/>
      <c r="P8" s="43"/>
      <c r="Q8" s="43"/>
      <c r="R8" s="43"/>
      <c r="S8" s="43"/>
      <c r="T8" s="43"/>
      <c r="U8" s="43"/>
      <c r="V8" s="43"/>
      <c r="W8" s="43"/>
      <c r="X8" s="43"/>
      <c r="Y8" s="43"/>
      <c r="Z8" s="43"/>
      <c r="AA8" s="43"/>
      <c r="AB8" s="43"/>
      <c r="AC8" s="43"/>
    </row>
    <row r="9">
      <c r="A9" s="64"/>
      <c r="B9" s="115" t="s">
        <v>727</v>
      </c>
      <c r="C9" s="89"/>
      <c r="D9" s="89"/>
      <c r="E9" s="116" t="s">
        <v>728</v>
      </c>
      <c r="F9" s="94"/>
      <c r="G9" s="94"/>
      <c r="H9" s="94"/>
      <c r="I9" s="94"/>
      <c r="J9" s="94"/>
      <c r="K9" s="94"/>
      <c r="L9" s="117"/>
      <c r="M9" s="43"/>
      <c r="N9" s="43"/>
      <c r="O9" s="43"/>
      <c r="P9" s="43"/>
      <c r="Q9" s="43"/>
      <c r="R9" s="43"/>
      <c r="S9" s="43"/>
      <c r="T9" s="43"/>
      <c r="U9" s="43"/>
      <c r="V9" s="43"/>
      <c r="W9" s="43"/>
      <c r="X9" s="43"/>
      <c r="Y9" s="43"/>
      <c r="Z9" s="43"/>
      <c r="AA9" s="43"/>
      <c r="AB9" s="43"/>
      <c r="AC9" s="43"/>
    </row>
    <row r="10">
      <c r="A10" s="64"/>
      <c r="B10" s="115" t="s">
        <v>729</v>
      </c>
      <c r="C10" s="89"/>
      <c r="D10" s="89"/>
      <c r="E10" s="116" t="s">
        <v>730</v>
      </c>
      <c r="F10" s="94"/>
      <c r="G10" s="94"/>
      <c r="H10" s="94"/>
      <c r="I10" s="94"/>
      <c r="J10" s="94"/>
      <c r="K10" s="94"/>
      <c r="L10" s="117"/>
      <c r="M10" s="43"/>
      <c r="N10" s="43"/>
      <c r="O10" s="43"/>
      <c r="P10" s="43"/>
      <c r="Q10" s="43"/>
      <c r="R10" s="43"/>
      <c r="S10" s="43"/>
      <c r="T10" s="43"/>
      <c r="U10" s="43"/>
      <c r="V10" s="43"/>
      <c r="W10" s="43"/>
      <c r="X10" s="43"/>
      <c r="Y10" s="43"/>
      <c r="Z10" s="43"/>
      <c r="AA10" s="43"/>
      <c r="AB10" s="43"/>
      <c r="AC10" s="43"/>
    </row>
    <row r="11">
      <c r="A11" s="64"/>
      <c r="B11" s="115" t="s">
        <v>731</v>
      </c>
      <c r="C11" s="89"/>
      <c r="D11" s="89"/>
      <c r="E11" s="116" t="s">
        <v>732</v>
      </c>
      <c r="F11" s="94"/>
      <c r="G11" s="94"/>
      <c r="H11" s="94"/>
      <c r="I11" s="94"/>
      <c r="J11" s="94"/>
      <c r="K11" s="94"/>
      <c r="L11" s="117"/>
      <c r="M11" s="43"/>
      <c r="N11" s="43"/>
      <c r="O11" s="43"/>
      <c r="P11" s="43"/>
      <c r="Q11" s="43"/>
      <c r="R11" s="43"/>
      <c r="S11" s="43"/>
      <c r="T11" s="43"/>
      <c r="U11" s="43"/>
      <c r="V11" s="43"/>
      <c r="W11" s="43"/>
      <c r="X11" s="43"/>
      <c r="Y11" s="43"/>
      <c r="Z11" s="43"/>
      <c r="AA11" s="43"/>
      <c r="AB11" s="43"/>
      <c r="AC11" s="43"/>
    </row>
    <row r="12">
      <c r="A12" s="64"/>
      <c r="B12" s="115" t="s">
        <v>733</v>
      </c>
      <c r="C12" s="89"/>
      <c r="D12" s="89"/>
      <c r="E12" s="116" t="s">
        <v>734</v>
      </c>
      <c r="F12" s="94"/>
      <c r="G12" s="94"/>
      <c r="H12" s="94"/>
      <c r="I12" s="94"/>
      <c r="J12" s="94"/>
      <c r="K12" s="94"/>
      <c r="L12" s="117"/>
      <c r="M12" s="43"/>
      <c r="N12" s="43"/>
      <c r="O12" s="43"/>
      <c r="P12" s="43"/>
      <c r="Q12" s="43"/>
      <c r="R12" s="43"/>
      <c r="S12" s="43"/>
      <c r="T12" s="43"/>
      <c r="U12" s="43"/>
      <c r="V12" s="43"/>
      <c r="W12" s="43"/>
      <c r="X12" s="43"/>
      <c r="Y12" s="43"/>
      <c r="Z12" s="43"/>
      <c r="AA12" s="43"/>
      <c r="AB12" s="43"/>
      <c r="AC12" s="43"/>
    </row>
    <row r="13">
      <c r="A13" s="126"/>
      <c r="B13" s="127" t="s">
        <v>735</v>
      </c>
      <c r="C13" s="128"/>
      <c r="D13" s="128"/>
      <c r="E13" s="129" t="s">
        <v>736</v>
      </c>
      <c r="F13" s="130"/>
      <c r="G13" s="130"/>
      <c r="H13" s="130"/>
      <c r="I13" s="130"/>
      <c r="J13" s="130"/>
      <c r="K13" s="130"/>
      <c r="L13" s="131"/>
      <c r="M13" s="62"/>
      <c r="N13" s="62"/>
      <c r="O13" s="62"/>
      <c r="P13" s="62"/>
      <c r="Q13" s="62"/>
      <c r="R13" s="62"/>
      <c r="S13" s="62"/>
      <c r="T13" s="62"/>
      <c r="U13" s="62"/>
      <c r="V13" s="62"/>
      <c r="W13" s="62"/>
      <c r="X13" s="62"/>
      <c r="Y13" s="62"/>
      <c r="Z13" s="62"/>
      <c r="AA13" s="62"/>
      <c r="AB13" s="43"/>
      <c r="AC13" s="43"/>
    </row>
    <row r="14">
      <c r="A14" s="38"/>
      <c r="B14" s="39"/>
      <c r="C14" s="40"/>
      <c r="D14" s="40"/>
      <c r="E14" s="40"/>
      <c r="F14" s="40"/>
      <c r="G14" s="41"/>
      <c r="H14" s="41"/>
      <c r="I14" s="38"/>
      <c r="J14" s="42"/>
      <c r="K14" s="42"/>
      <c r="L14" s="41"/>
      <c r="M14" s="43"/>
      <c r="N14" s="43"/>
      <c r="O14" s="43"/>
      <c r="P14" s="43"/>
      <c r="Q14" s="43"/>
      <c r="R14" s="43"/>
      <c r="S14" s="43"/>
      <c r="T14" s="43"/>
      <c r="U14" s="43"/>
      <c r="V14" s="43"/>
      <c r="W14" s="43"/>
      <c r="X14" s="43"/>
      <c r="Y14" s="43"/>
      <c r="Z14" s="43"/>
      <c r="AA14" s="43"/>
      <c r="AB14" s="43"/>
      <c r="AC14" s="43"/>
    </row>
    <row r="15">
      <c r="A15" s="44" t="s">
        <v>28</v>
      </c>
      <c r="B15" s="45" t="s">
        <v>222</v>
      </c>
      <c r="C15" s="47" t="s">
        <v>737</v>
      </c>
      <c r="D15" s="47" t="s">
        <v>674</v>
      </c>
      <c r="E15" s="47" t="s">
        <v>675</v>
      </c>
      <c r="F15" s="47" t="s">
        <v>676</v>
      </c>
      <c r="G15" s="49" t="s">
        <v>737</v>
      </c>
      <c r="H15" s="49" t="s">
        <v>674</v>
      </c>
      <c r="I15" s="50" t="s">
        <v>676</v>
      </c>
      <c r="J15" s="51" t="s">
        <v>34</v>
      </c>
      <c r="K15" s="51" t="s">
        <v>678</v>
      </c>
      <c r="L15" s="49" t="s">
        <v>679</v>
      </c>
      <c r="M15" s="52" t="s">
        <v>680</v>
      </c>
      <c r="N15" s="43"/>
      <c r="O15" s="43"/>
      <c r="P15" s="43"/>
      <c r="Q15" s="43"/>
      <c r="R15" s="43"/>
      <c r="S15" s="43"/>
      <c r="T15" s="43"/>
      <c r="U15" s="43"/>
      <c r="V15" s="43"/>
      <c r="W15" s="43"/>
      <c r="X15" s="43"/>
      <c r="Y15" s="43"/>
      <c r="Z15" s="43"/>
      <c r="AA15" s="43"/>
      <c r="AB15" s="43"/>
      <c r="AC15" s="43"/>
    </row>
    <row r="16">
      <c r="A16" s="53"/>
      <c r="B16" s="54"/>
      <c r="C16" s="54"/>
      <c r="D16" s="54"/>
      <c r="E16" s="54"/>
      <c r="F16" s="54"/>
      <c r="G16" s="54"/>
      <c r="H16" s="54"/>
      <c r="I16" s="54"/>
      <c r="J16" s="54"/>
      <c r="K16" s="54"/>
      <c r="L16" s="54"/>
      <c r="M16" s="43"/>
      <c r="N16" s="43"/>
      <c r="O16" s="43"/>
      <c r="P16" s="43"/>
      <c r="Q16" s="43"/>
      <c r="R16" s="43"/>
      <c r="S16" s="43"/>
      <c r="T16" s="43"/>
      <c r="U16" s="43"/>
      <c r="V16" s="43"/>
      <c r="W16" s="43"/>
      <c r="X16" s="43"/>
      <c r="Y16" s="43"/>
      <c r="Z16" s="43"/>
      <c r="AA16" s="43"/>
      <c r="AB16" s="43"/>
      <c r="AC16" s="43"/>
    </row>
    <row r="17">
      <c r="A17" s="55"/>
      <c r="B17" s="56" t="s">
        <v>681</v>
      </c>
      <c r="C17" s="57"/>
      <c r="D17" s="57"/>
      <c r="E17" s="57"/>
      <c r="F17" s="57"/>
      <c r="G17" s="58"/>
      <c r="H17" s="58"/>
      <c r="I17" s="59"/>
      <c r="J17" s="60"/>
      <c r="K17" s="60"/>
      <c r="L17" s="61"/>
      <c r="M17" s="43"/>
      <c r="N17" s="43"/>
      <c r="O17" s="62"/>
      <c r="P17" s="63"/>
      <c r="Q17" s="63"/>
      <c r="R17" s="63"/>
      <c r="S17" s="63"/>
      <c r="T17" s="63"/>
      <c r="U17" s="63"/>
      <c r="V17" s="63"/>
      <c r="W17" s="63"/>
      <c r="X17" s="63"/>
      <c r="Y17" s="63"/>
      <c r="Z17" s="63"/>
      <c r="AA17" s="63"/>
      <c r="AB17" s="63"/>
      <c r="AC17" s="63"/>
    </row>
    <row r="18">
      <c r="A18" s="55"/>
      <c r="B18" s="56" t="s">
        <v>682</v>
      </c>
      <c r="C18" s="57"/>
      <c r="D18" s="57"/>
      <c r="E18" s="57"/>
      <c r="F18" s="57"/>
      <c r="G18" s="58"/>
      <c r="H18" s="58"/>
      <c r="I18" s="59"/>
      <c r="J18" s="60"/>
      <c r="K18" s="60"/>
      <c r="L18" s="58"/>
      <c r="M18" s="62"/>
      <c r="N18" s="62"/>
      <c r="O18" s="62"/>
      <c r="P18" s="62"/>
      <c r="Q18" s="62"/>
      <c r="R18" s="62"/>
      <c r="S18" s="62"/>
      <c r="T18" s="62"/>
      <c r="U18" s="62"/>
      <c r="V18" s="62"/>
      <c r="W18" s="62"/>
      <c r="X18" s="62"/>
      <c r="Y18" s="62"/>
      <c r="Z18" s="62"/>
      <c r="AA18" s="62"/>
      <c r="AB18" s="62"/>
      <c r="AC18" s="62"/>
    </row>
    <row r="19" ht="33.0" customHeight="1">
      <c r="A19" s="64"/>
      <c r="B19" s="65" t="str">
        <f>Economy!I46</f>
        <v>Supply and installation of Base storage unit with MR Premium Carcass, HDF Shutter, Smooth finish laminate and soft close hinges  </v>
      </c>
      <c r="C19" s="66">
        <v>4.0</v>
      </c>
      <c r="D19" s="66">
        <v>1.5</v>
      </c>
      <c r="E19" s="67">
        <f t="shared" ref="E19:E26" si="2">C19*D19</f>
        <v>6</v>
      </c>
      <c r="F19" s="66" t="s">
        <v>683</v>
      </c>
      <c r="G19" s="68">
        <f t="shared" ref="G19:H19" si="1">C19*300</f>
        <v>1200</v>
      </c>
      <c r="H19" s="69">
        <f t="shared" si="1"/>
        <v>450</v>
      </c>
      <c r="I19" s="68" t="s">
        <v>684</v>
      </c>
      <c r="J19" s="132">
        <f>875</f>
        <v>875</v>
      </c>
      <c r="K19" s="71">
        <v>1.0</v>
      </c>
      <c r="L19" s="72">
        <f t="shared" ref="L19:L26" si="4">K19*J19*E19</f>
        <v>5250</v>
      </c>
      <c r="M19" s="62">
        <f t="shared" ref="M19:M74" si="5">E19*150</f>
        <v>900</v>
      </c>
      <c r="N19" s="62"/>
      <c r="O19" s="62"/>
      <c r="P19" s="62"/>
      <c r="Q19" s="62"/>
      <c r="R19" s="62"/>
      <c r="S19" s="62"/>
      <c r="T19" s="62"/>
      <c r="U19" s="62"/>
      <c r="V19" s="62"/>
      <c r="W19" s="62"/>
      <c r="X19" s="62"/>
      <c r="Y19" s="62"/>
      <c r="Z19" s="62"/>
      <c r="AA19" s="62"/>
      <c r="AB19" s="43"/>
      <c r="AC19" s="43"/>
    </row>
    <row r="20">
      <c r="A20" s="64"/>
      <c r="B20" s="73" t="str">
        <f>Economy!I57</f>
        <v>Supply and installation of Base storage unit with MR Premium Carcass, Aluminium profile shutter with Tinted glass, Smooth finish laminate and soft close hinges  </v>
      </c>
      <c r="C20" s="66">
        <v>2.0</v>
      </c>
      <c r="D20" s="66">
        <v>1.5</v>
      </c>
      <c r="E20" s="67">
        <f t="shared" si="2"/>
        <v>3</v>
      </c>
      <c r="F20" s="66" t="s">
        <v>683</v>
      </c>
      <c r="G20" s="68">
        <f t="shared" ref="G20:H20" si="3">C20*300</f>
        <v>600</v>
      </c>
      <c r="H20" s="68">
        <f t="shared" si="3"/>
        <v>450</v>
      </c>
      <c r="I20" s="68" t="s">
        <v>684</v>
      </c>
      <c r="J20" s="70"/>
      <c r="K20" s="71">
        <v>1.0</v>
      </c>
      <c r="L20" s="72">
        <f t="shared" si="4"/>
        <v>0</v>
      </c>
      <c r="M20" s="62">
        <f t="shared" si="5"/>
        <v>450</v>
      </c>
      <c r="N20" s="62"/>
      <c r="O20" s="62"/>
      <c r="P20" s="62"/>
      <c r="Q20" s="62"/>
      <c r="R20" s="62"/>
      <c r="S20" s="62"/>
      <c r="T20" s="62"/>
      <c r="U20" s="62"/>
      <c r="V20" s="62"/>
      <c r="W20" s="62"/>
      <c r="X20" s="62"/>
      <c r="Y20" s="62"/>
      <c r="Z20" s="62"/>
      <c r="AA20" s="62"/>
      <c r="AB20" s="43"/>
      <c r="AC20" s="43"/>
    </row>
    <row r="21">
      <c r="A21" s="64"/>
      <c r="B21" s="73" t="str">
        <f>Economy!I58</f>
        <v>Supply and installation of Wall storage unit with MR Premium Carcass, Aluminium profile shutter with Tinted glass, Smooth finish laminate and soft close hinges  </v>
      </c>
      <c r="C21" s="66">
        <v>1.5</v>
      </c>
      <c r="D21" s="66">
        <v>5.0</v>
      </c>
      <c r="E21" s="67">
        <f t="shared" si="2"/>
        <v>7.5</v>
      </c>
      <c r="F21" s="66" t="s">
        <v>683</v>
      </c>
      <c r="G21" s="68">
        <f t="shared" ref="G21:H21" si="6">C21*300</f>
        <v>450</v>
      </c>
      <c r="H21" s="68">
        <f t="shared" si="6"/>
        <v>1500</v>
      </c>
      <c r="I21" s="68" t="s">
        <v>684</v>
      </c>
      <c r="J21" s="70"/>
      <c r="K21" s="71">
        <v>1.0</v>
      </c>
      <c r="L21" s="72">
        <f t="shared" si="4"/>
        <v>0</v>
      </c>
      <c r="M21" s="62">
        <f t="shared" si="5"/>
        <v>1125</v>
      </c>
      <c r="N21" s="62"/>
      <c r="O21" s="62"/>
      <c r="P21" s="62"/>
      <c r="Q21" s="62"/>
      <c r="R21" s="62"/>
      <c r="S21" s="62"/>
      <c r="T21" s="62"/>
      <c r="U21" s="62"/>
      <c r="V21" s="62"/>
      <c r="W21" s="62"/>
      <c r="X21" s="62"/>
      <c r="Y21" s="62"/>
      <c r="Z21" s="62"/>
      <c r="AA21" s="62"/>
      <c r="AB21" s="43"/>
      <c r="AC21" s="43"/>
    </row>
    <row r="22">
      <c r="A22" s="75"/>
      <c r="B22" s="76" t="str">
        <f>Economy!I81</f>
        <v>Supply and installation of Wall Panel with MR Premium Carcass, Smooth finish laminate </v>
      </c>
      <c r="C22" s="66">
        <v>6.0</v>
      </c>
      <c r="D22" s="66">
        <v>4.25</v>
      </c>
      <c r="E22" s="67">
        <f t="shared" si="2"/>
        <v>25.5</v>
      </c>
      <c r="F22" s="66" t="s">
        <v>683</v>
      </c>
      <c r="G22" s="68">
        <f t="shared" ref="G22:H22" si="7">C22*300</f>
        <v>1800</v>
      </c>
      <c r="H22" s="68">
        <f t="shared" si="7"/>
        <v>1275</v>
      </c>
      <c r="I22" s="77" t="s">
        <v>684</v>
      </c>
      <c r="J22" s="133">
        <f>75</f>
        <v>75</v>
      </c>
      <c r="K22" s="79">
        <v>1.0</v>
      </c>
      <c r="L22" s="72">
        <f t="shared" si="4"/>
        <v>1912.5</v>
      </c>
      <c r="M22" s="62">
        <f t="shared" si="5"/>
        <v>3825</v>
      </c>
      <c r="N22" s="43"/>
      <c r="O22" s="43"/>
      <c r="P22" s="43"/>
      <c r="Q22" s="43"/>
      <c r="R22" s="62"/>
      <c r="S22" s="62"/>
      <c r="T22" s="62"/>
      <c r="U22" s="62"/>
      <c r="V22" s="62"/>
      <c r="W22" s="62"/>
      <c r="X22" s="62"/>
      <c r="Y22" s="62"/>
      <c r="Z22" s="62"/>
      <c r="AA22" s="62"/>
      <c r="AB22" s="43"/>
      <c r="AC22" s="43"/>
    </row>
    <row r="23">
      <c r="A23" s="64"/>
      <c r="B23" s="65" t="str">
        <f>Economy!I46</f>
        <v>Supply and installation of Base storage unit with MR Premium Carcass, HDF Shutter, Smooth finish laminate and soft close hinges  </v>
      </c>
      <c r="C23" s="66">
        <v>3.5</v>
      </c>
      <c r="D23" s="66">
        <v>2.5</v>
      </c>
      <c r="E23" s="67">
        <f t="shared" si="2"/>
        <v>8.75</v>
      </c>
      <c r="F23" s="66" t="s">
        <v>683</v>
      </c>
      <c r="G23" s="68">
        <f t="shared" ref="G23:H23" si="8">C23*300</f>
        <v>1050</v>
      </c>
      <c r="H23" s="68">
        <f t="shared" si="8"/>
        <v>750</v>
      </c>
      <c r="I23" s="68" t="s">
        <v>684</v>
      </c>
      <c r="J23" s="132">
        <v>875.0</v>
      </c>
      <c r="K23" s="71">
        <v>1.0</v>
      </c>
      <c r="L23" s="72">
        <f t="shared" si="4"/>
        <v>7656.25</v>
      </c>
      <c r="M23" s="62">
        <f t="shared" si="5"/>
        <v>1312.5</v>
      </c>
      <c r="N23" s="62"/>
      <c r="O23" s="62"/>
      <c r="P23" s="62"/>
      <c r="Q23" s="62"/>
      <c r="R23" s="62"/>
      <c r="S23" s="62"/>
      <c r="T23" s="62"/>
      <c r="U23" s="62"/>
      <c r="V23" s="62"/>
      <c r="W23" s="62"/>
      <c r="X23" s="62"/>
      <c r="Y23" s="62"/>
      <c r="Z23" s="62"/>
      <c r="AA23" s="62"/>
      <c r="AB23" s="43"/>
      <c r="AC23" s="43"/>
    </row>
    <row r="24">
      <c r="A24" s="64"/>
      <c r="B24" s="73" t="str">
        <f>Economy!I58</f>
        <v>Supply and installation of Wall storage unit with MR Premium Carcass, Aluminium profile shutter with Tinted glass, Smooth finish laminate and soft close hinges  </v>
      </c>
      <c r="C24" s="66">
        <v>3.5</v>
      </c>
      <c r="D24" s="66">
        <v>2.0</v>
      </c>
      <c r="E24" s="67">
        <f t="shared" si="2"/>
        <v>7</v>
      </c>
      <c r="F24" s="66" t="s">
        <v>683</v>
      </c>
      <c r="G24" s="68">
        <f t="shared" ref="G24:H24" si="9">C24*300</f>
        <v>1050</v>
      </c>
      <c r="H24" s="68">
        <f t="shared" si="9"/>
        <v>600</v>
      </c>
      <c r="I24" s="69" t="s">
        <v>684</v>
      </c>
      <c r="J24" s="70"/>
      <c r="K24" s="71">
        <v>1.0</v>
      </c>
      <c r="L24" s="72">
        <f t="shared" si="4"/>
        <v>0</v>
      </c>
      <c r="M24" s="62">
        <f t="shared" si="5"/>
        <v>1050</v>
      </c>
      <c r="N24" s="62"/>
      <c r="O24" s="62"/>
      <c r="P24" s="62"/>
      <c r="Q24" s="62"/>
      <c r="R24" s="62"/>
      <c r="S24" s="62"/>
      <c r="T24" s="62"/>
      <c r="U24" s="62"/>
      <c r="V24" s="62"/>
      <c r="W24" s="62"/>
      <c r="X24" s="62"/>
      <c r="Y24" s="62"/>
      <c r="Z24" s="62"/>
      <c r="AA24" s="62"/>
      <c r="AB24" s="43"/>
      <c r="AC24" s="43"/>
    </row>
    <row r="25">
      <c r="A25" s="64"/>
      <c r="B25" s="73" t="str">
        <f>Economy!I83</f>
        <v>Supply and installation of Jam Panel with MR Premium Carcass, Smooth finish laminate </v>
      </c>
      <c r="C25" s="66">
        <v>65.25</v>
      </c>
      <c r="D25" s="66">
        <v>1.0</v>
      </c>
      <c r="E25" s="67">
        <f t="shared" si="2"/>
        <v>65.25</v>
      </c>
      <c r="F25" s="66" t="s">
        <v>683</v>
      </c>
      <c r="G25" s="68">
        <f t="shared" ref="G25:H25" si="10">C25*300</f>
        <v>19575</v>
      </c>
      <c r="H25" s="68">
        <f t="shared" si="10"/>
        <v>300</v>
      </c>
      <c r="I25" s="69" t="s">
        <v>684</v>
      </c>
      <c r="J25" s="133">
        <v>150.0</v>
      </c>
      <c r="K25" s="71">
        <v>1.0</v>
      </c>
      <c r="L25" s="72">
        <f t="shared" si="4"/>
        <v>9787.5</v>
      </c>
      <c r="M25" s="62">
        <f t="shared" si="5"/>
        <v>9787.5</v>
      </c>
      <c r="N25" s="62"/>
      <c r="O25" s="62"/>
      <c r="P25" s="62"/>
      <c r="Q25" s="62"/>
      <c r="R25" s="62"/>
      <c r="S25" s="62"/>
      <c r="T25" s="62"/>
      <c r="U25" s="62"/>
      <c r="V25" s="62"/>
      <c r="W25" s="62"/>
      <c r="X25" s="62"/>
      <c r="Y25" s="62"/>
      <c r="Z25" s="62"/>
      <c r="AA25" s="62"/>
      <c r="AB25" s="43"/>
      <c r="AC25" s="43"/>
    </row>
    <row r="26">
      <c r="A26" s="64"/>
      <c r="B26" s="73" t="str">
        <f>Economy!I82</f>
        <v>Supply and installation of Pelmet Panel with MR Premium Carcass, Smooth finish laminate </v>
      </c>
      <c r="C26" s="66">
        <v>4.0</v>
      </c>
      <c r="D26" s="66">
        <v>1.5</v>
      </c>
      <c r="E26" s="67">
        <f t="shared" si="2"/>
        <v>6</v>
      </c>
      <c r="F26" s="66" t="s">
        <v>683</v>
      </c>
      <c r="G26" s="68">
        <f t="shared" ref="G26:H26" si="11">C26*300</f>
        <v>1200</v>
      </c>
      <c r="H26" s="68">
        <f t="shared" si="11"/>
        <v>450</v>
      </c>
      <c r="I26" s="69" t="s">
        <v>684</v>
      </c>
      <c r="J26" s="133">
        <v>150.0</v>
      </c>
      <c r="K26" s="71">
        <v>1.0</v>
      </c>
      <c r="L26" s="72">
        <f t="shared" si="4"/>
        <v>900</v>
      </c>
      <c r="M26" s="62">
        <f t="shared" si="5"/>
        <v>900</v>
      </c>
      <c r="N26" s="62"/>
      <c r="O26" s="62"/>
      <c r="P26" s="62"/>
      <c r="Q26" s="62"/>
      <c r="R26" s="62"/>
      <c r="S26" s="62"/>
      <c r="T26" s="62"/>
      <c r="U26" s="62"/>
      <c r="V26" s="62"/>
      <c r="W26" s="62"/>
      <c r="X26" s="62"/>
      <c r="Y26" s="62"/>
      <c r="Z26" s="62"/>
      <c r="AA26" s="62"/>
      <c r="AB26" s="43"/>
      <c r="AC26" s="43"/>
    </row>
    <row r="27">
      <c r="A27" s="55"/>
      <c r="B27" s="80" t="s">
        <v>687</v>
      </c>
      <c r="C27" s="60"/>
      <c r="D27" s="60"/>
      <c r="E27" s="81"/>
      <c r="F27" s="60"/>
      <c r="G27" s="58"/>
      <c r="H27" s="58"/>
      <c r="I27" s="58"/>
      <c r="J27" s="70"/>
      <c r="K27" s="70"/>
      <c r="L27" s="61"/>
      <c r="M27" s="62">
        <f t="shared" si="5"/>
        <v>0</v>
      </c>
      <c r="N27" s="62"/>
      <c r="O27" s="62"/>
      <c r="P27" s="62"/>
      <c r="Q27" s="62"/>
      <c r="R27" s="62"/>
      <c r="S27" s="62"/>
      <c r="T27" s="62"/>
      <c r="U27" s="62"/>
      <c r="V27" s="62"/>
      <c r="W27" s="62"/>
      <c r="X27" s="62"/>
      <c r="Y27" s="62"/>
      <c r="Z27" s="62"/>
      <c r="AA27" s="62"/>
      <c r="AB27" s="62"/>
      <c r="AC27" s="62"/>
    </row>
    <row r="28">
      <c r="A28" s="64"/>
      <c r="B28" s="82" t="str">
        <f>Economy!I55</f>
        <v>Supply and installation of Base storage unit with MR Premium Carcass, Plywood Border with Fluted Glass Shutter, Smooth finish laminate and soft close hinges  </v>
      </c>
      <c r="C28" s="66">
        <v>3.0</v>
      </c>
      <c r="D28" s="66">
        <v>4.0</v>
      </c>
      <c r="E28" s="67">
        <f t="shared" ref="E28:E29" si="13">C28*D28</f>
        <v>12</v>
      </c>
      <c r="F28" s="66" t="s">
        <v>683</v>
      </c>
      <c r="G28" s="68">
        <f t="shared" ref="G28:H28" si="12">C28*300</f>
        <v>900</v>
      </c>
      <c r="H28" s="69">
        <f t="shared" si="12"/>
        <v>1200</v>
      </c>
      <c r="I28" s="68" t="s">
        <v>684</v>
      </c>
      <c r="J28" s="132"/>
      <c r="K28" s="71">
        <v>1.0</v>
      </c>
      <c r="L28" s="72">
        <f t="shared" ref="L28:L29" si="15">K28*J28*E28</f>
        <v>0</v>
      </c>
      <c r="M28" s="62">
        <f t="shared" si="5"/>
        <v>1800</v>
      </c>
      <c r="N28" s="62"/>
      <c r="O28" s="62"/>
      <c r="P28" s="62"/>
      <c r="Q28" s="62"/>
      <c r="R28" s="62"/>
      <c r="S28" s="62"/>
      <c r="T28" s="62"/>
      <c r="U28" s="62"/>
      <c r="V28" s="62"/>
      <c r="W28" s="62"/>
      <c r="X28" s="62"/>
      <c r="Y28" s="62"/>
      <c r="Z28" s="62"/>
      <c r="AA28" s="62"/>
      <c r="AB28" s="43"/>
      <c r="AC28" s="43"/>
    </row>
    <row r="29">
      <c r="A29" s="64"/>
      <c r="B29" s="65" t="str">
        <f>Economy!I46</f>
        <v>Supply and installation of Base storage unit with MR Premium Carcass, HDF Shutter, Smooth finish laminate and soft close hinges  </v>
      </c>
      <c r="C29" s="66">
        <v>3.0</v>
      </c>
      <c r="D29" s="66">
        <v>3.0</v>
      </c>
      <c r="E29" s="67">
        <f t="shared" si="13"/>
        <v>9</v>
      </c>
      <c r="F29" s="66" t="s">
        <v>683</v>
      </c>
      <c r="G29" s="69">
        <f t="shared" ref="G29:H29" si="14">C29*300</f>
        <v>900</v>
      </c>
      <c r="H29" s="69">
        <f t="shared" si="14"/>
        <v>900</v>
      </c>
      <c r="I29" s="68" t="s">
        <v>684</v>
      </c>
      <c r="J29" s="132">
        <v>875.0</v>
      </c>
      <c r="K29" s="71">
        <v>1.0</v>
      </c>
      <c r="L29" s="72">
        <f t="shared" si="15"/>
        <v>7875</v>
      </c>
      <c r="M29" s="62">
        <f t="shared" si="5"/>
        <v>1350</v>
      </c>
      <c r="N29" s="62"/>
      <c r="O29" s="62"/>
      <c r="P29" s="62"/>
      <c r="Q29" s="62"/>
      <c r="R29" s="62"/>
      <c r="S29" s="62"/>
      <c r="T29" s="62"/>
      <c r="U29" s="62"/>
      <c r="V29" s="62"/>
      <c r="W29" s="62"/>
      <c r="X29" s="62"/>
      <c r="Y29" s="62"/>
      <c r="Z29" s="62"/>
      <c r="AA29" s="62"/>
      <c r="AB29" s="43"/>
      <c r="AC29" s="43"/>
    </row>
    <row r="30">
      <c r="A30" s="55"/>
      <c r="B30" s="56" t="s">
        <v>688</v>
      </c>
      <c r="C30" s="57"/>
      <c r="D30" s="57"/>
      <c r="E30" s="81"/>
      <c r="F30" s="57"/>
      <c r="G30" s="58"/>
      <c r="H30" s="58"/>
      <c r="I30" s="59"/>
      <c r="J30" s="70"/>
      <c r="K30" s="70"/>
      <c r="L30" s="61"/>
      <c r="M30" s="62">
        <f t="shared" si="5"/>
        <v>0</v>
      </c>
      <c r="N30" s="62"/>
      <c r="O30" s="62"/>
      <c r="P30" s="62"/>
      <c r="Q30" s="62"/>
      <c r="R30" s="62"/>
      <c r="S30" s="62"/>
      <c r="T30" s="62"/>
      <c r="U30" s="62"/>
      <c r="V30" s="62"/>
      <c r="W30" s="62"/>
      <c r="X30" s="62"/>
      <c r="Y30" s="62"/>
      <c r="Z30" s="62"/>
      <c r="AA30" s="62"/>
      <c r="AB30" s="62"/>
      <c r="AC30" s="62"/>
    </row>
    <row r="31">
      <c r="A31" s="64"/>
      <c r="B31" s="82" t="str">
        <f>Economy!I3</f>
        <v>Supply and installation of Base storage unit with BWP Carcass, HDF Shutter, Smooth finish laminate and soft close hinges  </v>
      </c>
      <c r="C31" s="66">
        <v>16.5</v>
      </c>
      <c r="D31" s="66">
        <v>2.75</v>
      </c>
      <c r="E31" s="67">
        <f t="shared" ref="E31:E37" si="17">C31*D31</f>
        <v>45.375</v>
      </c>
      <c r="F31" s="66" t="s">
        <v>683</v>
      </c>
      <c r="G31" s="69">
        <f t="shared" ref="G31:H31" si="16">C31*300</f>
        <v>4950</v>
      </c>
      <c r="H31" s="69">
        <f t="shared" si="16"/>
        <v>825</v>
      </c>
      <c r="I31" s="68" t="s">
        <v>684</v>
      </c>
      <c r="J31" s="132">
        <v>1050.0</v>
      </c>
      <c r="K31" s="71">
        <v>1.0</v>
      </c>
      <c r="L31" s="72">
        <f t="shared" ref="L31:L37" si="19">K31*J31*E31</f>
        <v>47643.75</v>
      </c>
      <c r="M31" s="62">
        <f t="shared" si="5"/>
        <v>6806.25</v>
      </c>
      <c r="N31" s="62"/>
      <c r="O31" s="62"/>
      <c r="P31" s="62"/>
      <c r="Q31" s="62"/>
      <c r="R31" s="62"/>
      <c r="S31" s="62"/>
      <c r="T31" s="62"/>
      <c r="U31" s="62"/>
      <c r="V31" s="62"/>
      <c r="W31" s="62"/>
      <c r="X31" s="62"/>
      <c r="Y31" s="62"/>
      <c r="Z31" s="62"/>
      <c r="AA31" s="62"/>
      <c r="AB31" s="43"/>
      <c r="AC31" s="43"/>
    </row>
    <row r="32">
      <c r="A32" s="64"/>
      <c r="B32" s="82" t="str">
        <f>Economy!I4</f>
        <v>Supply and installation of Wall storage unit with BWP Carcass, HDF Shutter, Smooth finish laminate and soft close hinges  </v>
      </c>
      <c r="C32" s="66">
        <v>13.5</v>
      </c>
      <c r="D32" s="66">
        <v>2.25</v>
      </c>
      <c r="E32" s="67">
        <f t="shared" si="17"/>
        <v>30.375</v>
      </c>
      <c r="F32" s="66" t="s">
        <v>683</v>
      </c>
      <c r="G32" s="69">
        <f t="shared" ref="G32:H32" si="18">C32*300</f>
        <v>4050</v>
      </c>
      <c r="H32" s="69">
        <f t="shared" si="18"/>
        <v>675</v>
      </c>
      <c r="I32" s="68" t="s">
        <v>684</v>
      </c>
      <c r="J32" s="132">
        <v>1050.0</v>
      </c>
      <c r="K32" s="71">
        <v>1.0</v>
      </c>
      <c r="L32" s="72">
        <f t="shared" si="19"/>
        <v>31893.75</v>
      </c>
      <c r="M32" s="62">
        <f t="shared" si="5"/>
        <v>4556.25</v>
      </c>
      <c r="N32" s="62"/>
      <c r="O32" s="62"/>
      <c r="P32" s="62"/>
      <c r="Q32" s="62"/>
      <c r="R32" s="62"/>
      <c r="S32" s="62"/>
      <c r="T32" s="62"/>
      <c r="U32" s="62"/>
      <c r="V32" s="62"/>
      <c r="W32" s="62"/>
      <c r="X32" s="62"/>
      <c r="Y32" s="62"/>
      <c r="Z32" s="62"/>
      <c r="AA32" s="62"/>
      <c r="AB32" s="43"/>
      <c r="AC32" s="43"/>
    </row>
    <row r="33">
      <c r="A33" s="64"/>
      <c r="B33" s="82" t="str">
        <f>Economy!I34</f>
        <v>Supply and installation of Open unit - Inner 1mm with BWP Carcass and Smooth finish laminate</v>
      </c>
      <c r="C33" s="66">
        <v>5.25</v>
      </c>
      <c r="D33" s="66">
        <v>1.0</v>
      </c>
      <c r="E33" s="67">
        <f t="shared" si="17"/>
        <v>5.25</v>
      </c>
      <c r="F33" s="66" t="s">
        <v>683</v>
      </c>
      <c r="G33" s="69">
        <f t="shared" ref="G33:H33" si="20">C33*300</f>
        <v>1575</v>
      </c>
      <c r="H33" s="69">
        <f t="shared" si="20"/>
        <v>300</v>
      </c>
      <c r="I33" s="68" t="s">
        <v>684</v>
      </c>
      <c r="J33" s="132">
        <v>1050.0</v>
      </c>
      <c r="K33" s="71">
        <v>1.0</v>
      </c>
      <c r="L33" s="72">
        <f t="shared" si="19"/>
        <v>5512.5</v>
      </c>
      <c r="M33" s="62">
        <f t="shared" si="5"/>
        <v>787.5</v>
      </c>
      <c r="N33" s="62"/>
      <c r="O33" s="62"/>
      <c r="P33" s="62"/>
      <c r="Q33" s="62"/>
      <c r="R33" s="62"/>
      <c r="S33" s="62"/>
      <c r="T33" s="62"/>
      <c r="U33" s="62"/>
      <c r="V33" s="62"/>
      <c r="W33" s="62"/>
      <c r="X33" s="62"/>
      <c r="Y33" s="62"/>
      <c r="Z33" s="62"/>
      <c r="AA33" s="62"/>
      <c r="AB33" s="43"/>
      <c r="AC33" s="43"/>
    </row>
    <row r="34">
      <c r="A34" s="64"/>
      <c r="B34" s="76" t="str">
        <f>Economy!I41</f>
        <v>Supply and installation of Chimney Panel with BWP Carcass and Smooth finish laminate</v>
      </c>
      <c r="C34" s="66">
        <v>3.25</v>
      </c>
      <c r="D34" s="66">
        <v>1.0</v>
      </c>
      <c r="E34" s="67">
        <f t="shared" si="17"/>
        <v>3.25</v>
      </c>
      <c r="F34" s="66" t="s">
        <v>683</v>
      </c>
      <c r="G34" s="69">
        <f t="shared" ref="G34:H34" si="21">C34*300</f>
        <v>975</v>
      </c>
      <c r="H34" s="69">
        <f t="shared" si="21"/>
        <v>300</v>
      </c>
      <c r="I34" s="68" t="s">
        <v>684</v>
      </c>
      <c r="J34" s="133">
        <v>75.0</v>
      </c>
      <c r="K34" s="71">
        <v>1.0</v>
      </c>
      <c r="L34" s="72">
        <f t="shared" si="19"/>
        <v>243.75</v>
      </c>
      <c r="M34" s="62">
        <f t="shared" si="5"/>
        <v>487.5</v>
      </c>
      <c r="N34" s="62"/>
      <c r="O34" s="62"/>
      <c r="P34" s="62"/>
      <c r="Q34" s="62"/>
      <c r="R34" s="62"/>
      <c r="S34" s="62"/>
      <c r="T34" s="62"/>
      <c r="U34" s="62"/>
      <c r="V34" s="62"/>
      <c r="W34" s="62"/>
      <c r="X34" s="62"/>
      <c r="Y34" s="62"/>
      <c r="Z34" s="62"/>
      <c r="AA34" s="62"/>
      <c r="AB34" s="43"/>
      <c r="AC34" s="43"/>
    </row>
    <row r="35">
      <c r="A35" s="64"/>
      <c r="B35" s="82" t="str">
        <f>Economy!I33</f>
        <v>Supply and installation of Open unit - Inner 0.8mm with BWP Carcass and Smooth finish laminate</v>
      </c>
      <c r="C35" s="66">
        <v>2.0</v>
      </c>
      <c r="D35" s="66">
        <v>4.25</v>
      </c>
      <c r="E35" s="67">
        <f t="shared" si="17"/>
        <v>8.5</v>
      </c>
      <c r="F35" s="66" t="s">
        <v>683</v>
      </c>
      <c r="G35" s="69">
        <f t="shared" ref="G35:H35" si="22">C35*300</f>
        <v>600</v>
      </c>
      <c r="H35" s="69">
        <f t="shared" si="22"/>
        <v>1275</v>
      </c>
      <c r="I35" s="68" t="s">
        <v>684</v>
      </c>
      <c r="J35" s="132">
        <v>1050.0</v>
      </c>
      <c r="K35" s="71">
        <v>1.0</v>
      </c>
      <c r="L35" s="72">
        <f t="shared" si="19"/>
        <v>8925</v>
      </c>
      <c r="M35" s="62">
        <f t="shared" si="5"/>
        <v>1275</v>
      </c>
      <c r="N35" s="62"/>
      <c r="O35" s="62"/>
      <c r="P35" s="62"/>
      <c r="Q35" s="62"/>
      <c r="R35" s="62"/>
      <c r="S35" s="62"/>
      <c r="T35" s="62"/>
      <c r="U35" s="62"/>
      <c r="V35" s="62"/>
      <c r="W35" s="62"/>
      <c r="X35" s="62"/>
      <c r="Y35" s="62"/>
      <c r="Z35" s="62"/>
      <c r="AA35" s="62"/>
      <c r="AB35" s="43"/>
      <c r="AC35" s="43"/>
    </row>
    <row r="36">
      <c r="A36" s="64"/>
      <c r="B36" s="82" t="str">
        <f>Economy!I75</f>
        <v>Supply and installation of Loft Frame and Shutter unit with MR Premium Frame, HDF Shutter, Smooth finish laminate and Soft Close hinges  </v>
      </c>
      <c r="C36" s="66">
        <v>18.5</v>
      </c>
      <c r="D36" s="66">
        <v>2.5</v>
      </c>
      <c r="E36" s="67">
        <f t="shared" si="17"/>
        <v>46.25</v>
      </c>
      <c r="F36" s="66" t="s">
        <v>683</v>
      </c>
      <c r="G36" s="69">
        <f t="shared" ref="G36:H36" si="23">C36*300</f>
        <v>5550</v>
      </c>
      <c r="H36" s="69">
        <f t="shared" si="23"/>
        <v>750</v>
      </c>
      <c r="I36" s="68" t="s">
        <v>684</v>
      </c>
      <c r="J36" s="132">
        <v>600.0</v>
      </c>
      <c r="K36" s="71">
        <v>1.0</v>
      </c>
      <c r="L36" s="72">
        <f t="shared" si="19"/>
        <v>27750</v>
      </c>
      <c r="M36" s="62">
        <f t="shared" si="5"/>
        <v>6937.5</v>
      </c>
      <c r="N36" s="62"/>
      <c r="O36" s="62"/>
      <c r="P36" s="62"/>
      <c r="Q36" s="62"/>
      <c r="R36" s="62"/>
      <c r="S36" s="62"/>
      <c r="T36" s="62"/>
      <c r="U36" s="62"/>
      <c r="V36" s="62"/>
      <c r="W36" s="62"/>
      <c r="X36" s="62"/>
      <c r="Y36" s="62"/>
      <c r="Z36" s="62"/>
      <c r="AA36" s="62"/>
      <c r="AB36" s="84"/>
      <c r="AC36" s="84"/>
    </row>
    <row r="37">
      <c r="A37" s="64"/>
      <c r="B37" s="82" t="str">
        <f>Economy!I81</f>
        <v>Supply and installation of Wall Panel with MR Premium Carcass, Smooth finish laminate </v>
      </c>
      <c r="C37" s="66">
        <v>16.5</v>
      </c>
      <c r="D37" s="66">
        <v>2.0</v>
      </c>
      <c r="E37" s="67">
        <f t="shared" si="17"/>
        <v>33</v>
      </c>
      <c r="F37" s="66" t="s">
        <v>683</v>
      </c>
      <c r="G37" s="69">
        <f t="shared" ref="G37:H37" si="24">C37*300</f>
        <v>4950</v>
      </c>
      <c r="H37" s="69">
        <f t="shared" si="24"/>
        <v>600</v>
      </c>
      <c r="I37" s="68" t="s">
        <v>684</v>
      </c>
      <c r="J37" s="133">
        <v>75.0</v>
      </c>
      <c r="K37" s="71">
        <v>1.0</v>
      </c>
      <c r="L37" s="72">
        <f t="shared" si="19"/>
        <v>2475</v>
      </c>
      <c r="M37" s="62">
        <f t="shared" si="5"/>
        <v>4950</v>
      </c>
      <c r="N37" s="62"/>
      <c r="O37" s="62"/>
      <c r="P37" s="62"/>
      <c r="Q37" s="62"/>
      <c r="R37" s="62"/>
      <c r="S37" s="62"/>
      <c r="T37" s="62"/>
      <c r="U37" s="62"/>
      <c r="V37" s="62"/>
      <c r="W37" s="62"/>
      <c r="X37" s="62"/>
      <c r="Y37" s="62"/>
      <c r="Z37" s="62"/>
      <c r="AA37" s="62"/>
      <c r="AB37" s="84"/>
      <c r="AC37" s="84"/>
    </row>
    <row r="38">
      <c r="A38" s="55"/>
      <c r="B38" s="56" t="s">
        <v>692</v>
      </c>
      <c r="C38" s="57"/>
      <c r="D38" s="57"/>
      <c r="E38" s="57"/>
      <c r="F38" s="57"/>
      <c r="G38" s="58"/>
      <c r="H38" s="58"/>
      <c r="I38" s="59"/>
      <c r="J38" s="60"/>
      <c r="K38" s="60"/>
      <c r="L38" s="58"/>
      <c r="M38" s="62">
        <f t="shared" si="5"/>
        <v>0</v>
      </c>
      <c r="N38" s="62"/>
      <c r="O38" s="62"/>
      <c r="P38" s="62"/>
      <c r="Q38" s="62"/>
      <c r="R38" s="62"/>
      <c r="S38" s="62"/>
      <c r="T38" s="62"/>
      <c r="U38" s="62"/>
      <c r="V38" s="62"/>
      <c r="W38" s="62"/>
      <c r="X38" s="62"/>
      <c r="Y38" s="62"/>
      <c r="Z38" s="62"/>
      <c r="AA38" s="62"/>
      <c r="AB38" s="62"/>
      <c r="AC38" s="62"/>
    </row>
    <row r="39">
      <c r="A39" s="64"/>
      <c r="B39" s="82" t="str">
        <f>Economy!I49</f>
        <v>Supply and installation of Wardrobe with MR Premium Carcass, HDF Shutter, Smooth finish laminate and soft close hinges  </v>
      </c>
      <c r="C39" s="66">
        <v>6.5</v>
      </c>
      <c r="D39" s="66">
        <v>7.0</v>
      </c>
      <c r="E39" s="67">
        <f>C39*D39</f>
        <v>45.5</v>
      </c>
      <c r="F39" s="66" t="s">
        <v>683</v>
      </c>
      <c r="G39" s="69">
        <f t="shared" ref="G39:H39" si="25">C39*300</f>
        <v>1950</v>
      </c>
      <c r="H39" s="69">
        <f t="shared" si="25"/>
        <v>2100</v>
      </c>
      <c r="I39" s="68" t="s">
        <v>684</v>
      </c>
      <c r="J39" s="132">
        <v>875.0</v>
      </c>
      <c r="K39" s="71">
        <v>1.0</v>
      </c>
      <c r="L39" s="72">
        <f t="shared" ref="L39:L47" si="27">K39*J39*E39</f>
        <v>39812.5</v>
      </c>
      <c r="M39" s="62">
        <f t="shared" si="5"/>
        <v>6825</v>
      </c>
      <c r="N39" s="62"/>
      <c r="O39" s="62"/>
      <c r="P39" s="62"/>
      <c r="Q39" s="62"/>
      <c r="R39" s="62"/>
      <c r="S39" s="62"/>
      <c r="T39" s="62"/>
      <c r="U39" s="62"/>
      <c r="V39" s="62"/>
      <c r="W39" s="62"/>
      <c r="X39" s="62"/>
      <c r="Y39" s="62"/>
      <c r="Z39" s="62"/>
      <c r="AA39" s="62"/>
      <c r="AB39" s="43"/>
      <c r="AC39" s="43"/>
    </row>
    <row r="40">
      <c r="A40" s="64"/>
      <c r="B40" s="82" t="str">
        <f>Economy!I48</f>
        <v>Supply and installation of Tall storage unit with MR Premium Carcass, HDF Shutter, Smooth finish laminate and soft close hinges  </v>
      </c>
      <c r="C40" s="66">
        <v>2.0</v>
      </c>
      <c r="D40" s="66">
        <v>7.0</v>
      </c>
      <c r="E40" s="67">
        <v>15.0</v>
      </c>
      <c r="F40" s="66" t="s">
        <v>683</v>
      </c>
      <c r="G40" s="69">
        <f t="shared" ref="G40:H40" si="26">C40*300</f>
        <v>600</v>
      </c>
      <c r="H40" s="69">
        <f t="shared" si="26"/>
        <v>2100</v>
      </c>
      <c r="I40" s="68" t="s">
        <v>684</v>
      </c>
      <c r="J40" s="132">
        <v>875.0</v>
      </c>
      <c r="K40" s="71">
        <v>1.0</v>
      </c>
      <c r="L40" s="72">
        <f t="shared" si="27"/>
        <v>13125</v>
      </c>
      <c r="M40" s="62">
        <f t="shared" si="5"/>
        <v>2250</v>
      </c>
      <c r="N40" s="62"/>
      <c r="O40" s="62"/>
      <c r="P40" s="62"/>
      <c r="Q40" s="62"/>
      <c r="R40" s="62"/>
      <c r="S40" s="62"/>
      <c r="T40" s="62"/>
      <c r="U40" s="62"/>
      <c r="V40" s="62"/>
      <c r="W40" s="62"/>
      <c r="X40" s="62"/>
      <c r="Y40" s="62"/>
      <c r="Z40" s="62"/>
      <c r="AA40" s="62"/>
      <c r="AB40" s="43"/>
      <c r="AC40" s="43"/>
    </row>
    <row r="41">
      <c r="A41" s="64"/>
      <c r="B41" s="82" t="str">
        <f>Economy!I75</f>
        <v>Supply and installation of Loft Frame and Shutter unit with MR Premium Frame, HDF Shutter, Smooth finish laminate and Soft Close hinges  </v>
      </c>
      <c r="C41" s="66">
        <v>9.5</v>
      </c>
      <c r="D41" s="66">
        <v>2.5</v>
      </c>
      <c r="E41" s="67">
        <f t="shared" ref="E41:E47" si="29">C41*D41</f>
        <v>23.75</v>
      </c>
      <c r="F41" s="66" t="s">
        <v>683</v>
      </c>
      <c r="G41" s="69">
        <f t="shared" ref="G41:H41" si="28">C41*300</f>
        <v>2850</v>
      </c>
      <c r="H41" s="69">
        <f t="shared" si="28"/>
        <v>750</v>
      </c>
      <c r="I41" s="68" t="s">
        <v>684</v>
      </c>
      <c r="J41" s="132">
        <v>600.0</v>
      </c>
      <c r="K41" s="71">
        <v>1.0</v>
      </c>
      <c r="L41" s="72">
        <f t="shared" si="27"/>
        <v>14250</v>
      </c>
      <c r="M41" s="62">
        <f t="shared" si="5"/>
        <v>3562.5</v>
      </c>
      <c r="N41" s="62"/>
      <c r="O41" s="62"/>
      <c r="P41" s="62"/>
      <c r="Q41" s="62"/>
      <c r="R41" s="62"/>
      <c r="S41" s="62"/>
      <c r="T41" s="62"/>
      <c r="U41" s="62"/>
      <c r="V41" s="62"/>
      <c r="W41" s="62"/>
      <c r="X41" s="62"/>
      <c r="Y41" s="62"/>
      <c r="Z41" s="62"/>
      <c r="AA41" s="62"/>
      <c r="AB41" s="84"/>
      <c r="AC41" s="84"/>
    </row>
    <row r="42">
      <c r="A42" s="64"/>
      <c r="B42" s="73" t="str">
        <f>Economy!I76</f>
        <v>Supply and installation of Ledge with 25mm Ledge MR Premium and Smooth finish laminate </v>
      </c>
      <c r="C42" s="66">
        <v>10.75</v>
      </c>
      <c r="D42" s="66">
        <v>1.0</v>
      </c>
      <c r="E42" s="67">
        <f t="shared" si="29"/>
        <v>10.75</v>
      </c>
      <c r="F42" s="66" t="s">
        <v>683</v>
      </c>
      <c r="G42" s="69">
        <f t="shared" ref="G42:H42" si="30">C42*300</f>
        <v>3225</v>
      </c>
      <c r="H42" s="69">
        <f t="shared" si="30"/>
        <v>300</v>
      </c>
      <c r="I42" s="68" t="s">
        <v>684</v>
      </c>
      <c r="J42" s="133">
        <v>495.0</v>
      </c>
      <c r="K42" s="71">
        <v>1.0</v>
      </c>
      <c r="L42" s="72">
        <f t="shared" si="27"/>
        <v>5321.25</v>
      </c>
      <c r="M42" s="62">
        <f t="shared" si="5"/>
        <v>1612.5</v>
      </c>
      <c r="N42" s="62"/>
      <c r="O42" s="62"/>
      <c r="P42" s="62"/>
      <c r="Q42" s="62"/>
      <c r="R42" s="62"/>
      <c r="S42" s="62"/>
      <c r="T42" s="62"/>
      <c r="U42" s="62"/>
      <c r="V42" s="62"/>
      <c r="W42" s="62"/>
      <c r="X42" s="62"/>
      <c r="Y42" s="62"/>
      <c r="Z42" s="62"/>
      <c r="AA42" s="62"/>
      <c r="AB42" s="84"/>
      <c r="AC42" s="84"/>
    </row>
    <row r="43">
      <c r="A43" s="64"/>
      <c r="B43" s="73" t="str">
        <f>Economy!I76</f>
        <v>Supply and installation of Ledge with 25mm Ledge MR Premium and Smooth finish laminate </v>
      </c>
      <c r="C43" s="66">
        <v>5.0</v>
      </c>
      <c r="D43" s="66">
        <v>1.5</v>
      </c>
      <c r="E43" s="67">
        <f t="shared" si="29"/>
        <v>7.5</v>
      </c>
      <c r="F43" s="66" t="s">
        <v>683</v>
      </c>
      <c r="G43" s="68">
        <f t="shared" ref="G43:H43" si="31">C43*300</f>
        <v>1500</v>
      </c>
      <c r="H43" s="69">
        <f t="shared" si="31"/>
        <v>450</v>
      </c>
      <c r="I43" s="68" t="s">
        <v>684</v>
      </c>
      <c r="J43" s="133">
        <v>495.0</v>
      </c>
      <c r="K43" s="71">
        <v>1.0</v>
      </c>
      <c r="L43" s="72">
        <f t="shared" si="27"/>
        <v>3712.5</v>
      </c>
      <c r="M43" s="62">
        <f t="shared" si="5"/>
        <v>1125</v>
      </c>
      <c r="N43" s="62"/>
      <c r="O43" s="62"/>
      <c r="P43" s="62"/>
      <c r="Q43" s="62"/>
      <c r="R43" s="62"/>
      <c r="S43" s="62"/>
      <c r="T43" s="62"/>
      <c r="U43" s="62"/>
      <c r="V43" s="62"/>
      <c r="W43" s="62"/>
      <c r="X43" s="62"/>
      <c r="Y43" s="62"/>
      <c r="Z43" s="62"/>
      <c r="AA43" s="62"/>
      <c r="AB43" s="84"/>
      <c r="AC43" s="84"/>
    </row>
    <row r="44">
      <c r="A44" s="64"/>
      <c r="B44" s="73" t="str">
        <f>Economy!I50</f>
        <v>Supply and installation of Drawer Storage with MR Premium Carcass, HDF Shutter, Smooth finish laminate and soft close hinges  </v>
      </c>
      <c r="C44" s="66">
        <v>1.5</v>
      </c>
      <c r="D44" s="66">
        <v>1.5</v>
      </c>
      <c r="E44" s="67">
        <f t="shared" si="29"/>
        <v>2.25</v>
      </c>
      <c r="F44" s="66" t="s">
        <v>683</v>
      </c>
      <c r="G44" s="69">
        <f t="shared" ref="G44:H44" si="32">C44*300</f>
        <v>450</v>
      </c>
      <c r="H44" s="68">
        <f t="shared" si="32"/>
        <v>450</v>
      </c>
      <c r="I44" s="68" t="s">
        <v>684</v>
      </c>
      <c r="J44" s="132">
        <v>875.0</v>
      </c>
      <c r="K44" s="71">
        <v>1.0</v>
      </c>
      <c r="L44" s="72">
        <f t="shared" si="27"/>
        <v>1968.75</v>
      </c>
      <c r="M44" s="62">
        <f t="shared" si="5"/>
        <v>337.5</v>
      </c>
      <c r="N44" s="62"/>
      <c r="O44" s="62"/>
      <c r="P44" s="62"/>
      <c r="Q44" s="62"/>
      <c r="R44" s="62"/>
      <c r="S44" s="62"/>
      <c r="T44" s="62"/>
      <c r="U44" s="62"/>
      <c r="V44" s="62"/>
      <c r="W44" s="62"/>
      <c r="X44" s="62"/>
      <c r="Y44" s="62"/>
      <c r="Z44" s="62"/>
      <c r="AA44" s="62"/>
      <c r="AB44" s="43"/>
      <c r="AC44" s="43"/>
    </row>
    <row r="45">
      <c r="A45" s="64"/>
      <c r="B45" s="73" t="str">
        <f>Economy!I47</f>
        <v>Supply and installation of Wall storage unit with MR Premium Carcass, HDF Shutter, Smooth finish laminate and soft close hinges  </v>
      </c>
      <c r="C45" s="66">
        <v>2.0</v>
      </c>
      <c r="D45" s="66">
        <v>5.0</v>
      </c>
      <c r="E45" s="67">
        <f t="shared" si="29"/>
        <v>10</v>
      </c>
      <c r="F45" s="66" t="s">
        <v>683</v>
      </c>
      <c r="G45" s="69">
        <f t="shared" ref="G45:H45" si="33">C45*300</f>
        <v>600</v>
      </c>
      <c r="H45" s="68">
        <f t="shared" si="33"/>
        <v>1500</v>
      </c>
      <c r="I45" s="68" t="s">
        <v>684</v>
      </c>
      <c r="J45" s="132">
        <v>875.0</v>
      </c>
      <c r="K45" s="71">
        <v>1.0</v>
      </c>
      <c r="L45" s="72">
        <f t="shared" si="27"/>
        <v>8750</v>
      </c>
      <c r="M45" s="62">
        <f t="shared" si="5"/>
        <v>1500</v>
      </c>
      <c r="N45" s="62"/>
      <c r="O45" s="62"/>
      <c r="P45" s="62"/>
      <c r="Q45" s="62"/>
      <c r="R45" s="62"/>
      <c r="S45" s="62"/>
      <c r="T45" s="62"/>
      <c r="U45" s="62"/>
      <c r="V45" s="62"/>
      <c r="W45" s="62"/>
      <c r="X45" s="62"/>
      <c r="Y45" s="62"/>
      <c r="Z45" s="62"/>
      <c r="AA45" s="62"/>
      <c r="AB45" s="43"/>
      <c r="AC45" s="43"/>
    </row>
    <row r="46">
      <c r="A46" s="64"/>
      <c r="B46" s="73" t="str">
        <f>Economy!I47</f>
        <v>Supply and installation of Wall storage unit with MR Premium Carcass, HDF Shutter, Smooth finish laminate and soft close hinges  </v>
      </c>
      <c r="C46" s="66">
        <v>1.75</v>
      </c>
      <c r="D46" s="66">
        <v>1.5</v>
      </c>
      <c r="E46" s="67">
        <f t="shared" si="29"/>
        <v>2.625</v>
      </c>
      <c r="F46" s="66" t="s">
        <v>683</v>
      </c>
      <c r="G46" s="69">
        <f t="shared" ref="G46:H46" si="34">C46*300</f>
        <v>525</v>
      </c>
      <c r="H46" s="68">
        <f t="shared" si="34"/>
        <v>450</v>
      </c>
      <c r="I46" s="68" t="s">
        <v>684</v>
      </c>
      <c r="J46" s="132">
        <v>875.0</v>
      </c>
      <c r="K46" s="71">
        <v>1.0</v>
      </c>
      <c r="L46" s="72">
        <f t="shared" si="27"/>
        <v>2296.875</v>
      </c>
      <c r="M46" s="62">
        <f t="shared" si="5"/>
        <v>393.75</v>
      </c>
      <c r="N46" s="62"/>
      <c r="O46" s="62"/>
      <c r="P46" s="62"/>
      <c r="Q46" s="62"/>
      <c r="R46" s="62"/>
      <c r="S46" s="62"/>
      <c r="T46" s="62"/>
      <c r="U46" s="62"/>
      <c r="V46" s="62"/>
      <c r="W46" s="62"/>
      <c r="X46" s="62"/>
      <c r="Y46" s="62"/>
      <c r="Z46" s="62"/>
      <c r="AA46" s="62"/>
      <c r="AB46" s="43"/>
      <c r="AC46" s="43"/>
    </row>
    <row r="47">
      <c r="A47" s="64"/>
      <c r="B47" s="82" t="str">
        <f>Economy!I82</f>
        <v>Supply and installation of Pelmet Panel with MR Premium Carcass, Smooth finish laminate </v>
      </c>
      <c r="C47" s="66">
        <v>4.0</v>
      </c>
      <c r="D47" s="66">
        <v>1.5</v>
      </c>
      <c r="E47" s="67">
        <f t="shared" si="29"/>
        <v>6</v>
      </c>
      <c r="F47" s="66" t="s">
        <v>683</v>
      </c>
      <c r="G47" s="69">
        <f t="shared" ref="G47:H47" si="35">C47*300</f>
        <v>1200</v>
      </c>
      <c r="H47" s="68">
        <f t="shared" si="35"/>
        <v>450</v>
      </c>
      <c r="I47" s="68" t="s">
        <v>684</v>
      </c>
      <c r="J47" s="133">
        <v>150.0</v>
      </c>
      <c r="K47" s="71">
        <v>1.0</v>
      </c>
      <c r="L47" s="72">
        <f t="shared" si="27"/>
        <v>900</v>
      </c>
      <c r="M47" s="62">
        <f t="shared" si="5"/>
        <v>900</v>
      </c>
      <c r="N47" s="62"/>
      <c r="O47" s="62"/>
      <c r="P47" s="62"/>
      <c r="Q47" s="62"/>
      <c r="R47" s="62"/>
      <c r="S47" s="62"/>
      <c r="T47" s="62"/>
      <c r="U47" s="62"/>
      <c r="V47" s="62"/>
      <c r="W47" s="62"/>
      <c r="X47" s="62"/>
      <c r="Y47" s="62"/>
      <c r="Z47" s="62"/>
      <c r="AA47" s="62"/>
      <c r="AB47" s="43"/>
      <c r="AC47" s="43"/>
    </row>
    <row r="48">
      <c r="A48" s="55"/>
      <c r="B48" s="56" t="s">
        <v>695</v>
      </c>
      <c r="C48" s="57"/>
      <c r="D48" s="57"/>
      <c r="E48" s="57"/>
      <c r="F48" s="57"/>
      <c r="G48" s="58"/>
      <c r="H48" s="59"/>
      <c r="I48" s="58"/>
      <c r="J48" s="60"/>
      <c r="K48" s="60"/>
      <c r="L48" s="58"/>
      <c r="M48" s="62">
        <f t="shared" si="5"/>
        <v>0</v>
      </c>
      <c r="N48" s="62"/>
      <c r="O48" s="62"/>
      <c r="P48" s="62"/>
      <c r="Q48" s="62"/>
      <c r="R48" s="62"/>
      <c r="S48" s="62"/>
      <c r="T48" s="62"/>
      <c r="U48" s="62"/>
      <c r="V48" s="62"/>
      <c r="W48" s="62"/>
      <c r="X48" s="62"/>
      <c r="Y48" s="62"/>
      <c r="Z48" s="62"/>
      <c r="AA48" s="62"/>
      <c r="AB48" s="62"/>
      <c r="AC48" s="62"/>
    </row>
    <row r="49">
      <c r="A49" s="64"/>
      <c r="B49" s="82" t="str">
        <f>Economy!I49</f>
        <v>Supply and installation of Wardrobe with MR Premium Carcass, HDF Shutter, Smooth finish laminate and soft close hinges  </v>
      </c>
      <c r="C49" s="66">
        <v>5.75</v>
      </c>
      <c r="D49" s="66">
        <v>8.0</v>
      </c>
      <c r="E49" s="67">
        <f t="shared" ref="E49:E54" si="37">C49*D49</f>
        <v>46</v>
      </c>
      <c r="F49" s="66" t="s">
        <v>683</v>
      </c>
      <c r="G49" s="69">
        <f t="shared" ref="G49:H49" si="36">C49*300</f>
        <v>1725</v>
      </c>
      <c r="H49" s="68">
        <f t="shared" si="36"/>
        <v>2400</v>
      </c>
      <c r="I49" s="69" t="s">
        <v>684</v>
      </c>
      <c r="J49" s="132">
        <v>875.0</v>
      </c>
      <c r="K49" s="71">
        <v>1.0</v>
      </c>
      <c r="L49" s="72">
        <f t="shared" ref="L49:L56" si="39">K49*J49*E49</f>
        <v>40250</v>
      </c>
      <c r="M49" s="62">
        <f t="shared" si="5"/>
        <v>6900</v>
      </c>
      <c r="N49" s="62"/>
      <c r="O49" s="62"/>
      <c r="P49" s="62"/>
      <c r="Q49" s="62"/>
      <c r="R49" s="62"/>
      <c r="S49" s="62"/>
      <c r="T49" s="62"/>
      <c r="U49" s="62"/>
      <c r="V49" s="62"/>
      <c r="W49" s="62"/>
      <c r="X49" s="62"/>
      <c r="Y49" s="62"/>
      <c r="Z49" s="62"/>
      <c r="AA49" s="62"/>
      <c r="AB49" s="43"/>
      <c r="AC49" s="43"/>
    </row>
    <row r="50">
      <c r="A50" s="64"/>
      <c r="B50" s="65" t="str">
        <f>Economy!I46</f>
        <v>Supply and installation of Base storage unit with MR Premium Carcass, HDF Shutter, Smooth finish laminate and soft close hinges  </v>
      </c>
      <c r="C50" s="66">
        <v>5.5</v>
      </c>
      <c r="D50" s="66">
        <v>2.0</v>
      </c>
      <c r="E50" s="67">
        <f t="shared" si="37"/>
        <v>11</v>
      </c>
      <c r="F50" s="66" t="s">
        <v>683</v>
      </c>
      <c r="G50" s="69">
        <f t="shared" ref="G50:H50" si="38">C50*300</f>
        <v>1650</v>
      </c>
      <c r="H50" s="68">
        <f t="shared" si="38"/>
        <v>600</v>
      </c>
      <c r="I50" s="69" t="s">
        <v>684</v>
      </c>
      <c r="J50" s="132">
        <v>875.0</v>
      </c>
      <c r="K50" s="71">
        <v>1.0</v>
      </c>
      <c r="L50" s="72">
        <f t="shared" si="39"/>
        <v>9625</v>
      </c>
      <c r="M50" s="62">
        <f t="shared" si="5"/>
        <v>1650</v>
      </c>
      <c r="N50" s="62"/>
      <c r="O50" s="62"/>
      <c r="P50" s="62"/>
      <c r="Q50" s="62"/>
      <c r="R50" s="62"/>
      <c r="S50" s="62"/>
      <c r="T50" s="62"/>
      <c r="U50" s="62"/>
      <c r="V50" s="62"/>
      <c r="W50" s="62"/>
      <c r="X50" s="62"/>
      <c r="Y50" s="62"/>
      <c r="Z50" s="62"/>
      <c r="AA50" s="62"/>
      <c r="AB50" s="43"/>
      <c r="AC50" s="43"/>
    </row>
    <row r="51">
      <c r="A51" s="64"/>
      <c r="B51" s="82" t="str">
        <f>Economy!I75</f>
        <v>Supply and installation of Loft Frame and Shutter unit with MR Premium Frame, HDF Shutter, Smooth finish laminate and Soft Close hinges  </v>
      </c>
      <c r="C51" s="66">
        <v>11.25</v>
      </c>
      <c r="D51" s="66">
        <v>1.5</v>
      </c>
      <c r="E51" s="67">
        <f t="shared" si="37"/>
        <v>16.875</v>
      </c>
      <c r="F51" s="66" t="s">
        <v>683</v>
      </c>
      <c r="G51" s="68">
        <f t="shared" ref="G51:H51" si="40">C51*300</f>
        <v>3375</v>
      </c>
      <c r="H51" s="68">
        <f t="shared" si="40"/>
        <v>450</v>
      </c>
      <c r="I51" s="68" t="s">
        <v>684</v>
      </c>
      <c r="J51" s="132">
        <v>600.0</v>
      </c>
      <c r="K51" s="71">
        <v>1.0</v>
      </c>
      <c r="L51" s="72">
        <f t="shared" si="39"/>
        <v>10125</v>
      </c>
      <c r="M51" s="62">
        <f t="shared" si="5"/>
        <v>2531.25</v>
      </c>
      <c r="N51" s="62"/>
      <c r="O51" s="62"/>
      <c r="P51" s="62"/>
      <c r="Q51" s="62"/>
      <c r="R51" s="62"/>
      <c r="S51" s="62"/>
      <c r="T51" s="62"/>
      <c r="U51" s="62"/>
      <c r="V51" s="62"/>
      <c r="W51" s="62"/>
      <c r="X51" s="62"/>
      <c r="Y51" s="62"/>
      <c r="Z51" s="62"/>
      <c r="AA51" s="62"/>
      <c r="AB51" s="84"/>
      <c r="AC51" s="84"/>
    </row>
    <row r="52">
      <c r="A52" s="64"/>
      <c r="B52" s="82" t="str">
        <f>Economy!I85</f>
        <v>Supply and installation of Base Panel with MR Premium Carcass, Smooth finish laminate </v>
      </c>
      <c r="C52" s="66">
        <v>7.5</v>
      </c>
      <c r="D52" s="66">
        <v>2.0</v>
      </c>
      <c r="E52" s="67">
        <f t="shared" si="37"/>
        <v>15</v>
      </c>
      <c r="F52" s="66" t="s">
        <v>683</v>
      </c>
      <c r="G52" s="68">
        <f t="shared" ref="G52:H52" si="41">C52*300</f>
        <v>2250</v>
      </c>
      <c r="H52" s="68">
        <f t="shared" si="41"/>
        <v>600</v>
      </c>
      <c r="I52" s="68" t="s">
        <v>684</v>
      </c>
      <c r="J52" s="133">
        <v>75.0</v>
      </c>
      <c r="K52" s="71">
        <v>1.0</v>
      </c>
      <c r="L52" s="72">
        <f t="shared" si="39"/>
        <v>1125</v>
      </c>
      <c r="M52" s="62">
        <f t="shared" si="5"/>
        <v>2250</v>
      </c>
      <c r="N52" s="62"/>
      <c r="O52" s="62"/>
      <c r="P52" s="62"/>
      <c r="Q52" s="62"/>
      <c r="R52" s="62"/>
      <c r="S52" s="62"/>
      <c r="T52" s="62"/>
      <c r="U52" s="62"/>
      <c r="V52" s="62"/>
      <c r="W52" s="62"/>
      <c r="X52" s="62"/>
      <c r="Y52" s="62"/>
      <c r="Z52" s="62"/>
      <c r="AA52" s="62"/>
      <c r="AB52" s="84"/>
      <c r="AC52" s="84"/>
    </row>
    <row r="53">
      <c r="A53" s="64"/>
      <c r="B53" s="73" t="str">
        <f>Economy!I76</f>
        <v>Supply and installation of Ledge with 25mm Ledge MR Premium and Smooth finish laminate </v>
      </c>
      <c r="C53" s="66">
        <v>3.0</v>
      </c>
      <c r="D53" s="66">
        <v>1.0</v>
      </c>
      <c r="E53" s="67">
        <f t="shared" si="37"/>
        <v>3</v>
      </c>
      <c r="F53" s="66" t="s">
        <v>683</v>
      </c>
      <c r="G53" s="68">
        <f t="shared" ref="G53:H53" si="42">C53*300</f>
        <v>900</v>
      </c>
      <c r="H53" s="69">
        <f t="shared" si="42"/>
        <v>300</v>
      </c>
      <c r="I53" s="68" t="s">
        <v>684</v>
      </c>
      <c r="J53" s="132">
        <v>495.0</v>
      </c>
      <c r="K53" s="71">
        <v>1.0</v>
      </c>
      <c r="L53" s="72">
        <f t="shared" si="39"/>
        <v>1485</v>
      </c>
      <c r="M53" s="62">
        <f t="shared" si="5"/>
        <v>450</v>
      </c>
      <c r="N53" s="62"/>
      <c r="O53" s="62"/>
      <c r="P53" s="62"/>
      <c r="Q53" s="62"/>
      <c r="R53" s="62"/>
      <c r="S53" s="62"/>
      <c r="T53" s="62"/>
      <c r="U53" s="62"/>
      <c r="V53" s="62"/>
      <c r="W53" s="62"/>
      <c r="X53" s="62"/>
      <c r="Y53" s="62"/>
      <c r="Z53" s="62"/>
      <c r="AA53" s="62"/>
      <c r="AB53" s="84"/>
      <c r="AC53" s="84"/>
    </row>
    <row r="54">
      <c r="A54" s="64"/>
      <c r="B54" s="73" t="str">
        <f>Economy!I80</f>
        <v>Supply and installation of Chamfered Wall Panel with MR Premium Carcass, Smooth finish laminate </v>
      </c>
      <c r="C54" s="66">
        <v>2.0</v>
      </c>
      <c r="D54" s="66">
        <v>3.5</v>
      </c>
      <c r="E54" s="67">
        <f t="shared" si="37"/>
        <v>7</v>
      </c>
      <c r="F54" s="66" t="s">
        <v>683</v>
      </c>
      <c r="G54" s="69">
        <f t="shared" ref="G54:H54" si="43">C54*300</f>
        <v>600</v>
      </c>
      <c r="H54" s="69">
        <f t="shared" si="43"/>
        <v>1050</v>
      </c>
      <c r="I54" s="68" t="s">
        <v>684</v>
      </c>
      <c r="J54" s="133">
        <v>150.0</v>
      </c>
      <c r="K54" s="71">
        <v>1.0</v>
      </c>
      <c r="L54" s="72">
        <f t="shared" si="39"/>
        <v>1050</v>
      </c>
      <c r="M54" s="62">
        <f t="shared" si="5"/>
        <v>1050</v>
      </c>
      <c r="N54" s="62"/>
      <c r="O54" s="62"/>
      <c r="P54" s="62"/>
      <c r="Q54" s="62"/>
      <c r="R54" s="62"/>
      <c r="S54" s="62"/>
      <c r="T54" s="62"/>
      <c r="U54" s="62"/>
      <c r="V54" s="62"/>
      <c r="W54" s="62"/>
      <c r="X54" s="62"/>
      <c r="Y54" s="62"/>
      <c r="Z54" s="62"/>
      <c r="AA54" s="62"/>
      <c r="AB54" s="43"/>
      <c r="AC54" s="43"/>
    </row>
    <row r="55">
      <c r="A55" s="75"/>
      <c r="B55" s="73" t="str">
        <f>Economy!I50</f>
        <v>Supply and installation of Drawer Storage with MR Premium Carcass, HDF Shutter, Smooth finish laminate and soft close hinges  </v>
      </c>
      <c r="C55" s="66">
        <v>2.0</v>
      </c>
      <c r="D55" s="66">
        <v>1.5</v>
      </c>
      <c r="E55" s="85">
        <v>7.1</v>
      </c>
      <c r="F55" s="66" t="s">
        <v>683</v>
      </c>
      <c r="G55" s="86">
        <v>1425.0</v>
      </c>
      <c r="H55" s="86">
        <v>450.0</v>
      </c>
      <c r="I55" s="77" t="s">
        <v>684</v>
      </c>
      <c r="J55" s="132">
        <v>875.0</v>
      </c>
      <c r="K55" s="79">
        <v>1.0</v>
      </c>
      <c r="L55" s="72">
        <f t="shared" si="39"/>
        <v>6212.5</v>
      </c>
      <c r="M55" s="62">
        <f t="shared" si="5"/>
        <v>1065</v>
      </c>
      <c r="N55" s="43"/>
      <c r="O55" s="43"/>
      <c r="P55" s="43"/>
      <c r="Q55" s="43"/>
      <c r="R55" s="62"/>
      <c r="S55" s="62"/>
      <c r="T55" s="62"/>
      <c r="U55" s="62"/>
      <c r="V55" s="62"/>
      <c r="W55" s="62"/>
      <c r="X55" s="62"/>
      <c r="Y55" s="62"/>
      <c r="Z55" s="62"/>
      <c r="AA55" s="62"/>
      <c r="AB55" s="84"/>
      <c r="AC55" s="84"/>
    </row>
    <row r="56">
      <c r="A56" s="64"/>
      <c r="B56" s="82" t="str">
        <f>Economy!I82</f>
        <v>Supply and installation of Pelmet Panel with MR Premium Carcass, Smooth finish laminate </v>
      </c>
      <c r="C56" s="66">
        <v>4.0</v>
      </c>
      <c r="D56" s="66">
        <v>1.5</v>
      </c>
      <c r="E56" s="67">
        <f>C56*D56</f>
        <v>6</v>
      </c>
      <c r="F56" s="66" t="s">
        <v>683</v>
      </c>
      <c r="G56" s="69">
        <f t="shared" ref="G56:H56" si="44">C56*300</f>
        <v>1200</v>
      </c>
      <c r="H56" s="69">
        <f t="shared" si="44"/>
        <v>450</v>
      </c>
      <c r="I56" s="68" t="s">
        <v>684</v>
      </c>
      <c r="J56" s="133">
        <v>150.0</v>
      </c>
      <c r="K56" s="71">
        <v>1.0</v>
      </c>
      <c r="L56" s="72">
        <f t="shared" si="39"/>
        <v>900</v>
      </c>
      <c r="M56" s="62">
        <f t="shared" si="5"/>
        <v>900</v>
      </c>
      <c r="N56" s="62"/>
      <c r="O56" s="62"/>
      <c r="P56" s="62"/>
      <c r="Q56" s="62"/>
      <c r="R56" s="62"/>
      <c r="S56" s="62"/>
      <c r="T56" s="62"/>
      <c r="U56" s="62"/>
      <c r="V56" s="62"/>
      <c r="W56" s="62"/>
      <c r="X56" s="62"/>
      <c r="Y56" s="62"/>
      <c r="Z56" s="62"/>
      <c r="AA56" s="62"/>
      <c r="AB56" s="43"/>
      <c r="AC56" s="43"/>
    </row>
    <row r="57">
      <c r="A57" s="55"/>
      <c r="B57" s="56" t="s">
        <v>697</v>
      </c>
      <c r="C57" s="57"/>
      <c r="D57" s="57"/>
      <c r="E57" s="57"/>
      <c r="F57" s="57"/>
      <c r="G57" s="58"/>
      <c r="H57" s="58"/>
      <c r="I57" s="59"/>
      <c r="J57" s="60"/>
      <c r="K57" s="60"/>
      <c r="L57" s="58"/>
      <c r="M57" s="62">
        <f t="shared" si="5"/>
        <v>0</v>
      </c>
      <c r="N57" s="62"/>
      <c r="O57" s="62"/>
      <c r="P57" s="62"/>
      <c r="Q57" s="62"/>
      <c r="R57" s="62"/>
      <c r="S57" s="62"/>
      <c r="T57" s="62"/>
      <c r="U57" s="62"/>
      <c r="V57" s="62"/>
      <c r="W57" s="62"/>
      <c r="X57" s="62"/>
      <c r="Y57" s="62"/>
      <c r="Z57" s="62"/>
      <c r="AA57" s="62"/>
      <c r="AB57" s="62"/>
      <c r="AC57" s="62"/>
    </row>
    <row r="58">
      <c r="A58" s="64"/>
      <c r="B58" s="82" t="str">
        <f>Economy!I49</f>
        <v>Supply and installation of Wardrobe with MR Premium Carcass, HDF Shutter, Smooth finish laminate and soft close hinges  </v>
      </c>
      <c r="C58" s="66">
        <v>6.5</v>
      </c>
      <c r="D58" s="66">
        <v>7.0</v>
      </c>
      <c r="E58" s="67">
        <f t="shared" ref="E58:E60" si="46">C58*D58</f>
        <v>45.5</v>
      </c>
      <c r="F58" s="66" t="s">
        <v>683</v>
      </c>
      <c r="G58" s="69">
        <f t="shared" ref="G58:H58" si="45">C58*300</f>
        <v>1950</v>
      </c>
      <c r="H58" s="69">
        <f t="shared" si="45"/>
        <v>2100</v>
      </c>
      <c r="I58" s="68" t="s">
        <v>684</v>
      </c>
      <c r="J58" s="132">
        <v>875.0</v>
      </c>
      <c r="K58" s="71">
        <v>1.0</v>
      </c>
      <c r="L58" s="72">
        <f t="shared" ref="L58:L67" si="48">K58*J58*E58</f>
        <v>39812.5</v>
      </c>
      <c r="M58" s="62">
        <f t="shared" si="5"/>
        <v>6825</v>
      </c>
      <c r="N58" s="62"/>
      <c r="O58" s="62"/>
      <c r="P58" s="62"/>
      <c r="Q58" s="62"/>
      <c r="R58" s="62"/>
      <c r="S58" s="62"/>
      <c r="T58" s="62"/>
      <c r="U58" s="62"/>
      <c r="V58" s="62"/>
      <c r="W58" s="62"/>
      <c r="X58" s="62"/>
      <c r="Y58" s="62"/>
      <c r="Z58" s="62"/>
      <c r="AA58" s="62"/>
      <c r="AB58" s="43"/>
      <c r="AC58" s="43"/>
    </row>
    <row r="59">
      <c r="A59" s="64"/>
      <c r="B59" s="73" t="str">
        <f>Economy!I76</f>
        <v>Supply and installation of Ledge with 25mm Ledge MR Premium and Smooth finish laminate </v>
      </c>
      <c r="C59" s="66">
        <v>10.25</v>
      </c>
      <c r="D59" s="66">
        <v>2.25</v>
      </c>
      <c r="E59" s="67">
        <f t="shared" si="46"/>
        <v>23.0625</v>
      </c>
      <c r="F59" s="66" t="s">
        <v>683</v>
      </c>
      <c r="G59" s="69">
        <f t="shared" ref="G59:H59" si="47">C59*300</f>
        <v>3075</v>
      </c>
      <c r="H59" s="69">
        <f t="shared" si="47"/>
        <v>675</v>
      </c>
      <c r="I59" s="68" t="s">
        <v>684</v>
      </c>
      <c r="J59" s="132">
        <v>495.0</v>
      </c>
      <c r="K59" s="71">
        <v>1.0</v>
      </c>
      <c r="L59" s="72">
        <f t="shared" si="48"/>
        <v>11415.9375</v>
      </c>
      <c r="M59" s="62">
        <f t="shared" si="5"/>
        <v>3459.375</v>
      </c>
      <c r="N59" s="62"/>
      <c r="O59" s="62"/>
      <c r="P59" s="62"/>
      <c r="Q59" s="62"/>
      <c r="R59" s="62"/>
      <c r="S59" s="62"/>
      <c r="T59" s="62"/>
      <c r="U59" s="62"/>
      <c r="V59" s="62"/>
      <c r="W59" s="62"/>
      <c r="X59" s="62"/>
      <c r="Y59" s="62"/>
      <c r="Z59" s="62"/>
      <c r="AA59" s="62"/>
      <c r="AB59" s="84"/>
      <c r="AC59" s="84"/>
    </row>
    <row r="60">
      <c r="A60" s="64"/>
      <c r="B60" s="82" t="str">
        <f>Economy!I85</f>
        <v>Supply and installation of Base Panel with MR Premium Carcass, Smooth finish laminate </v>
      </c>
      <c r="C60" s="66">
        <v>3.0</v>
      </c>
      <c r="D60" s="66">
        <v>2.0</v>
      </c>
      <c r="E60" s="67">
        <f t="shared" si="46"/>
        <v>6</v>
      </c>
      <c r="F60" s="66" t="s">
        <v>683</v>
      </c>
      <c r="G60" s="69">
        <f t="shared" ref="G60:H60" si="49">C60*300</f>
        <v>900</v>
      </c>
      <c r="H60" s="69">
        <f t="shared" si="49"/>
        <v>600</v>
      </c>
      <c r="I60" s="68" t="s">
        <v>684</v>
      </c>
      <c r="J60" s="133">
        <v>75.0</v>
      </c>
      <c r="K60" s="71">
        <v>1.0</v>
      </c>
      <c r="L60" s="72">
        <f t="shared" si="48"/>
        <v>450</v>
      </c>
      <c r="M60" s="62">
        <f t="shared" si="5"/>
        <v>900</v>
      </c>
      <c r="N60" s="62"/>
      <c r="O60" s="62"/>
      <c r="P60" s="62"/>
      <c r="Q60" s="62"/>
      <c r="R60" s="62"/>
      <c r="S60" s="62"/>
      <c r="T60" s="62"/>
      <c r="U60" s="62"/>
      <c r="V60" s="62"/>
      <c r="W60" s="62"/>
      <c r="X60" s="62"/>
      <c r="Y60" s="62"/>
      <c r="Z60" s="62"/>
      <c r="AA60" s="62"/>
      <c r="AB60" s="84"/>
      <c r="AC60" s="84"/>
    </row>
    <row r="61">
      <c r="A61" s="64"/>
      <c r="B61" s="82" t="str">
        <f>Economy!I48</f>
        <v>Supply and installation of Tall storage unit with MR Premium Carcass, HDF Shutter, Smooth finish laminate and soft close hinges  </v>
      </c>
      <c r="C61" s="66">
        <v>2.25</v>
      </c>
      <c r="D61" s="66">
        <v>5.0</v>
      </c>
      <c r="E61" s="67">
        <v>15.0</v>
      </c>
      <c r="F61" s="66" t="s">
        <v>683</v>
      </c>
      <c r="G61" s="69">
        <f t="shared" ref="G61:H61" si="50">C61*300</f>
        <v>675</v>
      </c>
      <c r="H61" s="69">
        <f t="shared" si="50"/>
        <v>1500</v>
      </c>
      <c r="I61" s="68" t="s">
        <v>684</v>
      </c>
      <c r="J61" s="132">
        <v>875.0</v>
      </c>
      <c r="K61" s="71">
        <v>1.0</v>
      </c>
      <c r="L61" s="72">
        <f t="shared" si="48"/>
        <v>13125</v>
      </c>
      <c r="M61" s="62">
        <f t="shared" si="5"/>
        <v>2250</v>
      </c>
      <c r="N61" s="62"/>
      <c r="O61" s="62"/>
      <c r="P61" s="62"/>
      <c r="Q61" s="62"/>
      <c r="R61" s="62"/>
      <c r="S61" s="62"/>
      <c r="T61" s="62"/>
      <c r="U61" s="62"/>
      <c r="V61" s="62"/>
      <c r="W61" s="62"/>
      <c r="X61" s="62"/>
      <c r="Y61" s="62"/>
      <c r="Z61" s="62"/>
      <c r="AA61" s="62"/>
      <c r="AB61" s="43"/>
      <c r="AC61" s="43"/>
    </row>
    <row r="62">
      <c r="A62" s="75"/>
      <c r="B62" s="73" t="str">
        <f>Economy!I50</f>
        <v>Supply and installation of Drawer Storage with MR Premium Carcass, HDF Shutter, Smooth finish laminate and soft close hinges  </v>
      </c>
      <c r="C62" s="66">
        <v>2.25</v>
      </c>
      <c r="D62" s="66">
        <v>1.5</v>
      </c>
      <c r="E62" s="85">
        <v>7.1</v>
      </c>
      <c r="F62" s="66" t="s">
        <v>683</v>
      </c>
      <c r="G62" s="69">
        <f t="shared" ref="G62:G67" si="51">C62*300</f>
        <v>675</v>
      </c>
      <c r="H62" s="86">
        <v>450.0</v>
      </c>
      <c r="I62" s="77" t="s">
        <v>684</v>
      </c>
      <c r="J62" s="132">
        <v>875.0</v>
      </c>
      <c r="K62" s="79">
        <v>1.0</v>
      </c>
      <c r="L62" s="72">
        <f t="shared" si="48"/>
        <v>6212.5</v>
      </c>
      <c r="M62" s="62">
        <f t="shared" si="5"/>
        <v>1065</v>
      </c>
      <c r="N62" s="43"/>
      <c r="O62" s="43"/>
      <c r="P62" s="43"/>
      <c r="Q62" s="43"/>
      <c r="R62" s="62"/>
      <c r="S62" s="62"/>
      <c r="T62" s="62"/>
      <c r="U62" s="62"/>
      <c r="V62" s="62"/>
      <c r="W62" s="62"/>
      <c r="X62" s="62"/>
      <c r="Y62" s="62"/>
      <c r="Z62" s="62"/>
      <c r="AA62" s="62"/>
      <c r="AB62" s="84"/>
      <c r="AC62" s="84"/>
    </row>
    <row r="63">
      <c r="A63" s="64"/>
      <c r="B63" s="73" t="str">
        <f>Economy!I76</f>
        <v>Supply and installation of Ledge with 25mm Ledge MR Premium and Smooth finish laminate </v>
      </c>
      <c r="C63" s="66">
        <v>6.0</v>
      </c>
      <c r="D63" s="66">
        <v>2.0</v>
      </c>
      <c r="E63" s="67">
        <f t="shared" ref="E63:E67" si="52">C63*D63</f>
        <v>12</v>
      </c>
      <c r="F63" s="66" t="s">
        <v>683</v>
      </c>
      <c r="G63" s="69">
        <f t="shared" si="51"/>
        <v>1800</v>
      </c>
      <c r="H63" s="69">
        <f t="shared" ref="H63:H67" si="53">D63*300</f>
        <v>600</v>
      </c>
      <c r="I63" s="68" t="s">
        <v>684</v>
      </c>
      <c r="J63" s="132">
        <v>495.0</v>
      </c>
      <c r="K63" s="71">
        <v>1.0</v>
      </c>
      <c r="L63" s="72">
        <f t="shared" si="48"/>
        <v>5940</v>
      </c>
      <c r="M63" s="62">
        <f t="shared" si="5"/>
        <v>1800</v>
      </c>
      <c r="N63" s="62"/>
      <c r="O63" s="62"/>
      <c r="P63" s="62"/>
      <c r="Q63" s="62"/>
      <c r="R63" s="62"/>
      <c r="S63" s="62"/>
      <c r="T63" s="62"/>
      <c r="U63" s="62"/>
      <c r="V63" s="62"/>
      <c r="W63" s="62"/>
      <c r="X63" s="62"/>
      <c r="Y63" s="62"/>
      <c r="Z63" s="62"/>
      <c r="AA63" s="62"/>
      <c r="AB63" s="84"/>
      <c r="AC63" s="84"/>
    </row>
    <row r="64">
      <c r="A64" s="64"/>
      <c r="B64" s="73" t="str">
        <f>Economy!I52</f>
        <v>Supply and installation of Wall storage - Inner 1mm unit  with MR Premium Carcass, HDF Shutter, Smooth finish laminate and soft close hinges  </v>
      </c>
      <c r="C64" s="66">
        <v>1.75</v>
      </c>
      <c r="D64" s="66">
        <v>4.5</v>
      </c>
      <c r="E64" s="67">
        <f t="shared" si="52"/>
        <v>7.875</v>
      </c>
      <c r="F64" s="66" t="s">
        <v>683</v>
      </c>
      <c r="G64" s="69">
        <f t="shared" si="51"/>
        <v>525</v>
      </c>
      <c r="H64" s="69">
        <f t="shared" si="53"/>
        <v>1350</v>
      </c>
      <c r="I64" s="68" t="s">
        <v>684</v>
      </c>
      <c r="J64" s="132">
        <v>875.0</v>
      </c>
      <c r="K64" s="71">
        <v>1.0</v>
      </c>
      <c r="L64" s="72">
        <f t="shared" si="48"/>
        <v>6890.625</v>
      </c>
      <c r="M64" s="62">
        <f t="shared" si="5"/>
        <v>1181.25</v>
      </c>
      <c r="N64" s="62"/>
      <c r="O64" s="62"/>
      <c r="P64" s="62"/>
      <c r="Q64" s="62"/>
      <c r="R64" s="62"/>
      <c r="S64" s="62"/>
      <c r="T64" s="62"/>
      <c r="U64" s="62"/>
      <c r="V64" s="62"/>
      <c r="W64" s="62"/>
      <c r="X64" s="62"/>
      <c r="Y64" s="62"/>
      <c r="Z64" s="62"/>
      <c r="AA64" s="62"/>
      <c r="AB64" s="43"/>
      <c r="AC64" s="43"/>
    </row>
    <row r="65">
      <c r="A65" s="64"/>
      <c r="B65" s="73" t="str">
        <f>Economy!I51</f>
        <v>Supply and installation of Base storage - Inner 1mm unit  with MR Premium Carcass, HDF Shutter, Smooth finish laminate and soft close hinges  </v>
      </c>
      <c r="C65" s="66">
        <v>1.75</v>
      </c>
      <c r="D65" s="66">
        <v>2.0</v>
      </c>
      <c r="E65" s="67">
        <f t="shared" si="52"/>
        <v>3.5</v>
      </c>
      <c r="F65" s="66" t="s">
        <v>683</v>
      </c>
      <c r="G65" s="69">
        <f t="shared" si="51"/>
        <v>525</v>
      </c>
      <c r="H65" s="69">
        <f t="shared" si="53"/>
        <v>600</v>
      </c>
      <c r="I65" s="68" t="s">
        <v>684</v>
      </c>
      <c r="J65" s="132">
        <v>875.0</v>
      </c>
      <c r="K65" s="71">
        <v>1.0</v>
      </c>
      <c r="L65" s="72">
        <f t="shared" si="48"/>
        <v>3062.5</v>
      </c>
      <c r="M65" s="62">
        <f t="shared" si="5"/>
        <v>525</v>
      </c>
      <c r="N65" s="62"/>
      <c r="O65" s="62"/>
      <c r="P65" s="62"/>
      <c r="Q65" s="62"/>
      <c r="R65" s="62"/>
      <c r="S65" s="62"/>
      <c r="T65" s="62"/>
      <c r="U65" s="62"/>
      <c r="V65" s="62"/>
      <c r="W65" s="62"/>
      <c r="X65" s="62"/>
      <c r="Y65" s="62"/>
      <c r="Z65" s="62"/>
      <c r="AA65" s="62"/>
      <c r="AB65" s="43"/>
      <c r="AC65" s="43"/>
    </row>
    <row r="66">
      <c r="A66" s="64"/>
      <c r="B66" s="73" t="str">
        <f>Economy!I76</f>
        <v>Supply and installation of Ledge with 25mm Ledge MR Premium and Smooth finish laminate </v>
      </c>
      <c r="C66" s="66">
        <v>4.0</v>
      </c>
      <c r="D66" s="66">
        <v>1.0</v>
      </c>
      <c r="E66" s="67">
        <f t="shared" si="52"/>
        <v>4</v>
      </c>
      <c r="F66" s="66" t="s">
        <v>683</v>
      </c>
      <c r="G66" s="69">
        <f t="shared" si="51"/>
        <v>1200</v>
      </c>
      <c r="H66" s="69">
        <f t="shared" si="53"/>
        <v>300</v>
      </c>
      <c r="I66" s="68" t="s">
        <v>684</v>
      </c>
      <c r="J66" s="132">
        <v>495.0</v>
      </c>
      <c r="K66" s="71">
        <v>1.0</v>
      </c>
      <c r="L66" s="72">
        <f t="shared" si="48"/>
        <v>1980</v>
      </c>
      <c r="M66" s="62">
        <f t="shared" si="5"/>
        <v>600</v>
      </c>
      <c r="N66" s="62"/>
      <c r="O66" s="62"/>
      <c r="P66" s="62"/>
      <c r="Q66" s="62"/>
      <c r="R66" s="62"/>
      <c r="S66" s="62"/>
      <c r="T66" s="62"/>
      <c r="U66" s="62"/>
      <c r="V66" s="62"/>
      <c r="W66" s="62"/>
      <c r="X66" s="62"/>
      <c r="Y66" s="62"/>
      <c r="Z66" s="62"/>
      <c r="AA66" s="62"/>
      <c r="AB66" s="84"/>
      <c r="AC66" s="84"/>
    </row>
    <row r="67">
      <c r="A67" s="64"/>
      <c r="B67" s="73" t="str">
        <f>Economy!I82</f>
        <v>Supply and installation of Pelmet Panel with MR Premium Carcass, Smooth finish laminate </v>
      </c>
      <c r="C67" s="66">
        <v>4.0</v>
      </c>
      <c r="D67" s="66">
        <v>1.5</v>
      </c>
      <c r="E67" s="67">
        <f t="shared" si="52"/>
        <v>6</v>
      </c>
      <c r="F67" s="66" t="s">
        <v>683</v>
      </c>
      <c r="G67" s="69">
        <f t="shared" si="51"/>
        <v>1200</v>
      </c>
      <c r="H67" s="69">
        <f t="shared" si="53"/>
        <v>450</v>
      </c>
      <c r="I67" s="68" t="s">
        <v>684</v>
      </c>
      <c r="J67" s="133">
        <v>150.0</v>
      </c>
      <c r="K67" s="71">
        <v>1.0</v>
      </c>
      <c r="L67" s="72">
        <f t="shared" si="48"/>
        <v>900</v>
      </c>
      <c r="M67" s="62">
        <f t="shared" si="5"/>
        <v>900</v>
      </c>
      <c r="N67" s="62"/>
      <c r="O67" s="62"/>
      <c r="P67" s="62"/>
      <c r="Q67" s="62"/>
      <c r="R67" s="62"/>
      <c r="S67" s="62"/>
      <c r="T67" s="62"/>
      <c r="U67" s="62"/>
      <c r="V67" s="62"/>
      <c r="W67" s="62"/>
      <c r="X67" s="62"/>
      <c r="Y67" s="62"/>
      <c r="Z67" s="62"/>
      <c r="AA67" s="62"/>
      <c r="AB67" s="43"/>
      <c r="AC67" s="43"/>
    </row>
    <row r="68">
      <c r="A68" s="55"/>
      <c r="B68" s="56" t="s">
        <v>699</v>
      </c>
      <c r="C68" s="57"/>
      <c r="D68" s="57"/>
      <c r="E68" s="57"/>
      <c r="F68" s="57"/>
      <c r="G68" s="58"/>
      <c r="H68" s="58"/>
      <c r="I68" s="59"/>
      <c r="J68" s="60"/>
      <c r="K68" s="60"/>
      <c r="L68" s="58"/>
      <c r="M68" s="62">
        <f t="shared" si="5"/>
        <v>0</v>
      </c>
      <c r="N68" s="62"/>
      <c r="O68" s="62"/>
      <c r="P68" s="62"/>
      <c r="Q68" s="62"/>
      <c r="R68" s="62"/>
      <c r="S68" s="62"/>
      <c r="T68" s="62"/>
      <c r="U68" s="62"/>
      <c r="V68" s="62"/>
      <c r="W68" s="62"/>
      <c r="X68" s="62"/>
      <c r="Y68" s="62"/>
      <c r="Z68" s="62"/>
      <c r="AA68" s="62"/>
      <c r="AB68" s="62"/>
      <c r="AC68" s="62"/>
    </row>
    <row r="69">
      <c r="A69" s="64"/>
      <c r="B69" s="82" t="str">
        <f>Economy!I5</f>
        <v>Supply and installation of Tall storage unit with BWP Carcass, HDF Shutter, Smooth finish laminate and soft close hinges  </v>
      </c>
      <c r="C69" s="66">
        <v>2.0</v>
      </c>
      <c r="D69" s="66">
        <v>6.0</v>
      </c>
      <c r="E69" s="67">
        <f>C69*D69</f>
        <v>12</v>
      </c>
      <c r="F69" s="66" t="s">
        <v>683</v>
      </c>
      <c r="G69" s="68">
        <f t="shared" ref="G69:H69" si="54">C69*300</f>
        <v>600</v>
      </c>
      <c r="H69" s="69">
        <f t="shared" si="54"/>
        <v>1800</v>
      </c>
      <c r="I69" s="68" t="s">
        <v>684</v>
      </c>
      <c r="J69" s="132">
        <v>1050.0</v>
      </c>
      <c r="K69" s="71">
        <v>1.0</v>
      </c>
      <c r="L69" s="72">
        <f>K69*J69*E69</f>
        <v>12600</v>
      </c>
      <c r="M69" s="62">
        <f t="shared" si="5"/>
        <v>1800</v>
      </c>
      <c r="N69" s="62"/>
      <c r="O69" s="62"/>
      <c r="P69" s="62"/>
      <c r="Q69" s="62"/>
      <c r="R69" s="62"/>
      <c r="S69" s="62"/>
      <c r="T69" s="62"/>
      <c r="U69" s="62"/>
      <c r="V69" s="62"/>
      <c r="W69" s="62"/>
      <c r="X69" s="62"/>
      <c r="Y69" s="62"/>
      <c r="Z69" s="62"/>
      <c r="AA69" s="62"/>
      <c r="AB69" s="43"/>
      <c r="AC69" s="43"/>
    </row>
    <row r="70">
      <c r="A70" s="55"/>
      <c r="B70" s="56" t="s">
        <v>700</v>
      </c>
      <c r="C70" s="57"/>
      <c r="D70" s="57"/>
      <c r="E70" s="57"/>
      <c r="F70" s="57"/>
      <c r="G70" s="59"/>
      <c r="H70" s="59"/>
      <c r="I70" s="59"/>
      <c r="J70" s="60"/>
      <c r="K70" s="60"/>
      <c r="L70" s="58"/>
      <c r="M70" s="62">
        <f t="shared" si="5"/>
        <v>0</v>
      </c>
      <c r="N70" s="62"/>
      <c r="O70" s="62"/>
      <c r="P70" s="62"/>
      <c r="Q70" s="62"/>
      <c r="R70" s="62"/>
      <c r="S70" s="62"/>
      <c r="T70" s="62"/>
      <c r="U70" s="62"/>
      <c r="V70" s="62"/>
      <c r="W70" s="62"/>
      <c r="X70" s="62"/>
      <c r="Y70" s="62"/>
      <c r="Z70" s="62"/>
      <c r="AA70" s="62"/>
      <c r="AB70" s="62"/>
      <c r="AC70" s="62"/>
    </row>
    <row r="71">
      <c r="A71" s="64"/>
      <c r="B71" s="82" t="str">
        <f>Economy!I4</f>
        <v>Supply and installation of Wall storage unit with BWP Carcass, HDF Shutter, Smooth finish laminate and soft close hinges  </v>
      </c>
      <c r="C71" s="66">
        <v>2.0</v>
      </c>
      <c r="D71" s="66">
        <v>2.0</v>
      </c>
      <c r="E71" s="67">
        <f t="shared" ref="E71:E73" si="56">C71*D71</f>
        <v>4</v>
      </c>
      <c r="F71" s="66" t="s">
        <v>683</v>
      </c>
      <c r="G71" s="68">
        <f t="shared" ref="G71:H71" si="55">C71*300</f>
        <v>600</v>
      </c>
      <c r="H71" s="68">
        <f t="shared" si="55"/>
        <v>600</v>
      </c>
      <c r="I71" s="68" t="s">
        <v>684</v>
      </c>
      <c r="J71" s="132">
        <v>1050.0</v>
      </c>
      <c r="K71" s="71">
        <v>1.0</v>
      </c>
      <c r="L71" s="72">
        <f t="shared" ref="L71:L73" si="58">K71*J71*E71*K71</f>
        <v>4200</v>
      </c>
      <c r="M71" s="62">
        <f t="shared" si="5"/>
        <v>600</v>
      </c>
      <c r="N71" s="62"/>
      <c r="O71" s="62"/>
      <c r="P71" s="62"/>
      <c r="Q71" s="62"/>
      <c r="R71" s="62"/>
      <c r="S71" s="62"/>
      <c r="T71" s="62"/>
      <c r="U71" s="62"/>
      <c r="V71" s="62"/>
      <c r="W71" s="62"/>
      <c r="X71" s="62"/>
      <c r="Y71" s="62"/>
      <c r="Z71" s="62"/>
      <c r="AA71" s="62"/>
      <c r="AB71" s="43"/>
      <c r="AC71" s="43"/>
    </row>
    <row r="72">
      <c r="A72" s="64"/>
      <c r="B72" s="82" t="str">
        <f>Economy!I4</f>
        <v>Supply and installation of Wall storage unit with BWP Carcass, HDF Shutter, Smooth finish laminate and soft close hinges  </v>
      </c>
      <c r="C72" s="66">
        <v>2.0</v>
      </c>
      <c r="D72" s="66">
        <v>2.0</v>
      </c>
      <c r="E72" s="67">
        <f t="shared" si="56"/>
        <v>4</v>
      </c>
      <c r="F72" s="66" t="s">
        <v>683</v>
      </c>
      <c r="G72" s="68">
        <f t="shared" ref="G72:H72" si="57">C72*300</f>
        <v>600</v>
      </c>
      <c r="H72" s="68">
        <f t="shared" si="57"/>
        <v>600</v>
      </c>
      <c r="I72" s="68" t="s">
        <v>684</v>
      </c>
      <c r="J72" s="132">
        <v>1050.0</v>
      </c>
      <c r="K72" s="71">
        <v>1.0</v>
      </c>
      <c r="L72" s="72">
        <f t="shared" si="58"/>
        <v>4200</v>
      </c>
      <c r="M72" s="62">
        <f t="shared" si="5"/>
        <v>600</v>
      </c>
      <c r="N72" s="62"/>
      <c r="O72" s="62"/>
      <c r="P72" s="62"/>
      <c r="Q72" s="62"/>
      <c r="R72" s="62"/>
      <c r="S72" s="62"/>
      <c r="T72" s="62"/>
      <c r="U72" s="62"/>
      <c r="V72" s="62"/>
      <c r="W72" s="62"/>
      <c r="X72" s="62"/>
      <c r="Y72" s="62"/>
      <c r="Z72" s="62"/>
      <c r="AA72" s="62"/>
      <c r="AB72" s="43"/>
      <c r="AC72" s="43"/>
    </row>
    <row r="73">
      <c r="A73" s="64"/>
      <c r="B73" s="82" t="str">
        <f>Economy!I4</f>
        <v>Supply and installation of Wall storage unit with BWP Carcass, HDF Shutter, Smooth finish laminate and soft close hinges  </v>
      </c>
      <c r="C73" s="66">
        <v>2.0</v>
      </c>
      <c r="D73" s="66">
        <v>2.0</v>
      </c>
      <c r="E73" s="67">
        <f t="shared" si="56"/>
        <v>4</v>
      </c>
      <c r="F73" s="66" t="s">
        <v>683</v>
      </c>
      <c r="G73" s="68">
        <f t="shared" ref="G73:H73" si="59">C73*300</f>
        <v>600</v>
      </c>
      <c r="H73" s="68">
        <f t="shared" si="59"/>
        <v>600</v>
      </c>
      <c r="I73" s="68" t="s">
        <v>684</v>
      </c>
      <c r="J73" s="132">
        <v>1050.0</v>
      </c>
      <c r="K73" s="71">
        <v>1.0</v>
      </c>
      <c r="L73" s="72">
        <f t="shared" si="58"/>
        <v>4200</v>
      </c>
      <c r="M73" s="62">
        <f t="shared" si="5"/>
        <v>600</v>
      </c>
      <c r="N73" s="62"/>
      <c r="O73" s="62"/>
      <c r="P73" s="62"/>
      <c r="Q73" s="62"/>
      <c r="R73" s="62"/>
      <c r="S73" s="62"/>
      <c r="T73" s="62"/>
      <c r="U73" s="62"/>
      <c r="V73" s="62"/>
      <c r="W73" s="62"/>
      <c r="X73" s="62"/>
      <c r="Y73" s="62"/>
      <c r="Z73" s="62"/>
      <c r="AA73" s="62"/>
      <c r="AB73" s="43"/>
      <c r="AC73" s="43"/>
    </row>
    <row r="74">
      <c r="A74" s="64"/>
      <c r="B74" s="88" t="s">
        <v>701</v>
      </c>
      <c r="C74" s="57"/>
      <c r="D74" s="57"/>
      <c r="E74" s="81"/>
      <c r="F74" s="57"/>
      <c r="G74" s="89"/>
      <c r="H74" s="89"/>
      <c r="I74" s="90"/>
      <c r="J74" s="70"/>
      <c r="K74" s="70"/>
      <c r="L74" s="91"/>
      <c r="M74" s="62">
        <f t="shared" si="5"/>
        <v>0</v>
      </c>
      <c r="N74" s="62"/>
      <c r="O74" s="62"/>
      <c r="P74" s="62"/>
      <c r="Q74" s="62"/>
      <c r="R74" s="62"/>
      <c r="S74" s="62"/>
      <c r="T74" s="62"/>
      <c r="U74" s="62"/>
      <c r="V74" s="62"/>
      <c r="W74" s="62"/>
      <c r="X74" s="62"/>
      <c r="Y74" s="62"/>
      <c r="Z74" s="62"/>
      <c r="AA74" s="62"/>
      <c r="AB74" s="62"/>
      <c r="AC74" s="62"/>
    </row>
    <row r="75">
      <c r="A75" s="55"/>
      <c r="B75" s="93" t="s">
        <v>702</v>
      </c>
      <c r="C75" s="94"/>
      <c r="D75" s="94"/>
      <c r="E75" s="94"/>
      <c r="F75" s="94"/>
      <c r="G75" s="94"/>
      <c r="H75" s="94"/>
      <c r="I75" s="94"/>
      <c r="J75" s="94"/>
      <c r="K75" s="95"/>
      <c r="L75" s="96">
        <f t="shared" ref="L75:M75" si="60">SUM(L18:L73)</f>
        <v>433723.4375</v>
      </c>
      <c r="M75" s="96">
        <f t="shared" si="60"/>
        <v>106708.125</v>
      </c>
      <c r="N75" s="43"/>
      <c r="O75" s="43"/>
      <c r="P75" s="43"/>
      <c r="Q75" s="43"/>
      <c r="R75" s="43"/>
      <c r="S75" s="43"/>
      <c r="T75" s="43"/>
      <c r="U75" s="43"/>
      <c r="V75" s="43"/>
      <c r="W75" s="43"/>
      <c r="X75" s="43"/>
      <c r="Y75" s="43"/>
      <c r="Z75" s="43"/>
      <c r="AA75" s="43"/>
      <c r="AB75" s="43"/>
      <c r="AC75" s="43"/>
    </row>
    <row r="76">
      <c r="A76" s="55"/>
      <c r="B76" s="93" t="s">
        <v>738</v>
      </c>
      <c r="C76" s="94"/>
      <c r="D76" s="94"/>
      <c r="E76" s="94"/>
      <c r="F76" s="94"/>
      <c r="G76" s="94"/>
      <c r="H76" s="94"/>
      <c r="I76" s="94"/>
      <c r="J76" s="94"/>
      <c r="K76" s="94"/>
      <c r="L76" s="95"/>
      <c r="M76" s="134">
        <f>L75+M75</f>
        <v>540431.5625</v>
      </c>
      <c r="N76" s="43"/>
      <c r="O76" s="43"/>
      <c r="P76" s="43"/>
      <c r="Q76" s="43"/>
      <c r="R76" s="43"/>
      <c r="S76" s="43"/>
      <c r="T76" s="43"/>
      <c r="U76" s="43"/>
      <c r="V76" s="43"/>
      <c r="W76" s="43"/>
      <c r="X76" s="43"/>
      <c r="Y76" s="43"/>
      <c r="Z76" s="43"/>
      <c r="AA76" s="43"/>
      <c r="AB76" s="43"/>
      <c r="AC76" s="43"/>
    </row>
    <row r="77">
      <c r="A77" s="55"/>
      <c r="B77" s="135" t="s">
        <v>739</v>
      </c>
      <c r="C77" s="94"/>
      <c r="D77" s="94"/>
      <c r="E77" s="94"/>
      <c r="F77" s="94"/>
      <c r="G77" s="94"/>
      <c r="H77" s="94"/>
      <c r="I77" s="94"/>
      <c r="J77" s="94"/>
      <c r="K77" s="94"/>
      <c r="L77" s="95"/>
      <c r="M77" s="62">
        <f t="shared" ref="M77:M92" si="61">E77*150</f>
        <v>0</v>
      </c>
      <c r="N77" s="43"/>
      <c r="O77" s="43"/>
      <c r="P77" s="43"/>
      <c r="Q77" s="43"/>
      <c r="R77" s="43"/>
      <c r="S77" s="43"/>
      <c r="T77" s="43"/>
      <c r="U77" s="43"/>
      <c r="V77" s="43"/>
      <c r="W77" s="43"/>
      <c r="X77" s="43"/>
      <c r="Y77" s="43"/>
      <c r="Z77" s="43"/>
      <c r="AA77" s="43"/>
      <c r="AB77" s="43"/>
      <c r="AC77" s="43"/>
    </row>
    <row r="78">
      <c r="A78" s="55"/>
      <c r="B78" s="93" t="s">
        <v>705</v>
      </c>
      <c r="C78" s="94"/>
      <c r="D78" s="94"/>
      <c r="E78" s="94"/>
      <c r="F78" s="94"/>
      <c r="G78" s="94"/>
      <c r="H78" s="94"/>
      <c r="I78" s="94"/>
      <c r="J78" s="94"/>
      <c r="K78" s="94"/>
      <c r="L78" s="95"/>
      <c r="M78" s="62">
        <f t="shared" si="61"/>
        <v>0</v>
      </c>
      <c r="N78" s="43"/>
      <c r="O78" s="43"/>
      <c r="P78" s="43"/>
      <c r="Q78" s="43"/>
      <c r="R78" s="43"/>
      <c r="S78" s="43"/>
      <c r="T78" s="43"/>
      <c r="U78" s="43"/>
      <c r="V78" s="43"/>
      <c r="W78" s="43"/>
      <c r="X78" s="43"/>
      <c r="Y78" s="43"/>
      <c r="Z78" s="43"/>
      <c r="AA78" s="43"/>
      <c r="AB78" s="43"/>
      <c r="AC78" s="43"/>
    </row>
    <row r="79">
      <c r="A79" s="102"/>
      <c r="B79" s="103" t="s">
        <v>706</v>
      </c>
      <c r="C79" s="130"/>
      <c r="D79" s="130"/>
      <c r="E79" s="130"/>
      <c r="F79" s="130"/>
      <c r="G79" s="130"/>
      <c r="H79" s="130"/>
      <c r="I79" s="130"/>
      <c r="J79" s="130"/>
      <c r="K79" s="130"/>
      <c r="L79" s="136"/>
      <c r="M79" s="62">
        <f t="shared" si="61"/>
        <v>0</v>
      </c>
      <c r="N79" s="43"/>
      <c r="O79" s="43"/>
      <c r="P79" s="43"/>
      <c r="Q79" s="107" t="s">
        <v>707</v>
      </c>
      <c r="R79" s="43"/>
      <c r="S79" s="43"/>
      <c r="T79" s="43"/>
      <c r="U79" s="43"/>
      <c r="V79" s="43"/>
      <c r="W79" s="43"/>
      <c r="X79" s="43"/>
      <c r="Y79" s="43"/>
      <c r="Z79" s="43"/>
      <c r="AA79" s="43"/>
      <c r="AB79" s="43"/>
      <c r="AC79" s="43"/>
    </row>
    <row r="80">
      <c r="A80" s="38"/>
      <c r="B80" s="39" t="str">
        <f>Economy!D14</f>
        <v>Base Storage, Wall Storage, Tall Storage, Wardrobe</v>
      </c>
      <c r="C80" s="40"/>
      <c r="D80" s="40"/>
      <c r="E80" s="40"/>
      <c r="F80" s="40"/>
      <c r="G80" s="137"/>
      <c r="H80" s="138"/>
      <c r="I80" s="138"/>
      <c r="J80" s="139"/>
      <c r="K80" s="139"/>
      <c r="L80" s="41"/>
      <c r="M80" s="62">
        <f t="shared" si="61"/>
        <v>0</v>
      </c>
      <c r="N80" s="43"/>
      <c r="O80" s="43"/>
      <c r="P80" s="43"/>
      <c r="Q80" s="43"/>
      <c r="R80" s="43"/>
      <c r="S80" s="43"/>
      <c r="T80" s="43"/>
      <c r="U80" s="43"/>
      <c r="V80" s="43"/>
      <c r="W80" s="43"/>
      <c r="X80" s="43"/>
      <c r="Y80" s="43"/>
      <c r="Z80" s="43"/>
      <c r="AA80" s="43"/>
      <c r="AB80" s="43"/>
      <c r="AC80" s="43"/>
    </row>
    <row r="81">
      <c r="A81" s="140" t="s">
        <v>740</v>
      </c>
      <c r="M81" s="62">
        <f t="shared" si="61"/>
        <v>0</v>
      </c>
      <c r="N81" s="43"/>
      <c r="O81" s="43"/>
      <c r="P81" s="43"/>
      <c r="Q81" s="43"/>
      <c r="R81" s="43"/>
      <c r="S81" s="43"/>
      <c r="T81" s="43"/>
      <c r="U81" s="43"/>
      <c r="V81" s="43"/>
      <c r="W81" s="43"/>
      <c r="X81" s="43"/>
      <c r="Y81" s="43"/>
      <c r="Z81" s="43"/>
      <c r="AA81" s="43"/>
      <c r="AB81" s="43"/>
      <c r="AC81" s="43"/>
    </row>
    <row r="82">
      <c r="A82" s="141" t="s">
        <v>741</v>
      </c>
      <c r="B82" s="142" t="s">
        <v>222</v>
      </c>
      <c r="C82" s="143" t="s">
        <v>742</v>
      </c>
      <c r="D82" s="143" t="s">
        <v>743</v>
      </c>
      <c r="E82" s="144"/>
      <c r="F82" s="145"/>
      <c r="G82" s="146" t="s">
        <v>742</v>
      </c>
      <c r="H82" s="146" t="s">
        <v>743</v>
      </c>
      <c r="I82" s="147" t="s">
        <v>744</v>
      </c>
      <c r="J82" s="148" t="s">
        <v>744</v>
      </c>
      <c r="K82" s="145"/>
      <c r="L82" s="149" t="s">
        <v>222</v>
      </c>
      <c r="M82" s="62">
        <f t="shared" si="61"/>
        <v>0</v>
      </c>
      <c r="N82" s="43"/>
      <c r="O82" s="43"/>
      <c r="P82" s="43"/>
      <c r="Q82" s="43"/>
      <c r="R82" s="43"/>
      <c r="S82" s="43"/>
      <c r="T82" s="43"/>
      <c r="U82" s="43"/>
      <c r="V82" s="43"/>
      <c r="W82" s="43"/>
      <c r="X82" s="43"/>
      <c r="Y82" s="43"/>
      <c r="Z82" s="43"/>
      <c r="AA82" s="43"/>
      <c r="AB82" s="43"/>
      <c r="AC82" s="43"/>
    </row>
    <row r="83">
      <c r="A83" s="150">
        <v>1.0</v>
      </c>
      <c r="B83" s="151" t="s">
        <v>745</v>
      </c>
      <c r="C83" s="152" t="s">
        <v>746</v>
      </c>
      <c r="D83" s="71">
        <v>1.0</v>
      </c>
      <c r="E83" s="153"/>
      <c r="F83" s="95"/>
      <c r="G83" s="154" t="s">
        <v>746</v>
      </c>
      <c r="H83" s="72">
        <f t="shared" ref="H83:H89" si="62">D83</f>
        <v>1</v>
      </c>
      <c r="I83" s="155"/>
      <c r="J83" s="156"/>
      <c r="K83" s="95"/>
      <c r="L83" s="157"/>
      <c r="M83" s="62">
        <f t="shared" si="61"/>
        <v>0</v>
      </c>
      <c r="N83" s="43"/>
      <c r="O83" s="43"/>
      <c r="P83" s="43"/>
      <c r="Q83" s="43"/>
      <c r="R83" s="43"/>
      <c r="S83" s="43"/>
      <c r="T83" s="43"/>
      <c r="U83" s="43"/>
      <c r="V83" s="43"/>
      <c r="W83" s="43"/>
      <c r="X83" s="43"/>
      <c r="Y83" s="43"/>
      <c r="Z83" s="43"/>
      <c r="AA83" s="43"/>
      <c r="AB83" s="43"/>
      <c r="AC83" s="43"/>
    </row>
    <row r="84">
      <c r="A84" s="150">
        <v>2.0</v>
      </c>
      <c r="B84" s="151" t="s">
        <v>747</v>
      </c>
      <c r="C84" s="152" t="s">
        <v>746</v>
      </c>
      <c r="D84" s="71">
        <v>2.0</v>
      </c>
      <c r="E84" s="153"/>
      <c r="F84" s="95"/>
      <c r="G84" s="154" t="s">
        <v>746</v>
      </c>
      <c r="H84" s="72">
        <f t="shared" si="62"/>
        <v>2</v>
      </c>
      <c r="I84" s="155"/>
      <c r="J84" s="156"/>
      <c r="K84" s="95"/>
      <c r="L84" s="157"/>
      <c r="M84" s="62">
        <f t="shared" si="61"/>
        <v>0</v>
      </c>
      <c r="N84" s="43" t="s">
        <v>707</v>
      </c>
      <c r="O84" s="43"/>
      <c r="P84" s="43"/>
      <c r="Q84" s="43"/>
      <c r="R84" s="43"/>
      <c r="S84" s="43"/>
      <c r="T84" s="43"/>
      <c r="U84" s="43"/>
      <c r="V84" s="43"/>
      <c r="W84" s="43"/>
      <c r="X84" s="43"/>
      <c r="Y84" s="43"/>
      <c r="Z84" s="43"/>
      <c r="AA84" s="43"/>
      <c r="AB84" s="43"/>
      <c r="AC84" s="43"/>
    </row>
    <row r="85">
      <c r="A85" s="150">
        <v>3.0</v>
      </c>
      <c r="B85" s="151" t="s">
        <v>748</v>
      </c>
      <c r="C85" s="152" t="s">
        <v>746</v>
      </c>
      <c r="D85" s="71">
        <v>1.0</v>
      </c>
      <c r="E85" s="153"/>
      <c r="F85" s="95"/>
      <c r="G85" s="154" t="s">
        <v>749</v>
      </c>
      <c r="H85" s="72">
        <f t="shared" si="62"/>
        <v>1</v>
      </c>
      <c r="I85" s="155"/>
      <c r="J85" s="156"/>
      <c r="K85" s="95"/>
      <c r="L85" s="157"/>
      <c r="M85" s="62">
        <f t="shared" si="61"/>
        <v>0</v>
      </c>
      <c r="N85" s="43"/>
      <c r="O85" s="43"/>
      <c r="P85" s="43"/>
      <c r="Q85" s="43"/>
      <c r="R85" s="43"/>
      <c r="S85" s="43"/>
      <c r="T85" s="43"/>
      <c r="U85" s="43"/>
      <c r="V85" s="43"/>
      <c r="W85" s="43"/>
      <c r="X85" s="43"/>
      <c r="Y85" s="43"/>
      <c r="Z85" s="43"/>
      <c r="AA85" s="43"/>
      <c r="AB85" s="43"/>
      <c r="AC85" s="43"/>
    </row>
    <row r="86">
      <c r="A86" s="150">
        <v>4.0</v>
      </c>
      <c r="B86" s="151" t="s">
        <v>750</v>
      </c>
      <c r="C86" s="152" t="s">
        <v>746</v>
      </c>
      <c r="D86" s="71">
        <v>1.0</v>
      </c>
      <c r="E86" s="153"/>
      <c r="F86" s="95"/>
      <c r="G86" s="154" t="s">
        <v>746</v>
      </c>
      <c r="H86" s="72">
        <f t="shared" si="62"/>
        <v>1</v>
      </c>
      <c r="I86" s="155"/>
      <c r="J86" s="156"/>
      <c r="K86" s="95"/>
      <c r="L86" s="157"/>
      <c r="M86" s="62">
        <f t="shared" si="61"/>
        <v>0</v>
      </c>
      <c r="N86" s="43"/>
      <c r="O86" s="43"/>
      <c r="P86" s="43"/>
      <c r="Q86" s="43"/>
      <c r="R86" s="43"/>
      <c r="S86" s="43"/>
      <c r="T86" s="43"/>
      <c r="U86" s="43"/>
      <c r="V86" s="43"/>
      <c r="W86" s="43"/>
      <c r="X86" s="43"/>
      <c r="Y86" s="43"/>
      <c r="Z86" s="43"/>
      <c r="AA86" s="43"/>
      <c r="AB86" s="43"/>
      <c r="AC86" s="43"/>
    </row>
    <row r="87">
      <c r="A87" s="150">
        <v>5.0</v>
      </c>
      <c r="B87" s="151" t="s">
        <v>751</v>
      </c>
      <c r="C87" s="152" t="s">
        <v>746</v>
      </c>
      <c r="D87" s="71">
        <v>2.0</v>
      </c>
      <c r="E87" s="158"/>
      <c r="F87" s="159"/>
      <c r="G87" s="154" t="s">
        <v>746</v>
      </c>
      <c r="H87" s="72">
        <f t="shared" si="62"/>
        <v>2</v>
      </c>
      <c r="I87" s="155"/>
      <c r="J87" s="156"/>
      <c r="K87" s="95"/>
      <c r="L87" s="157"/>
      <c r="M87" s="62">
        <f t="shared" si="61"/>
        <v>0</v>
      </c>
      <c r="N87" s="43"/>
      <c r="O87" s="43"/>
      <c r="P87" s="43"/>
      <c r="Q87" s="43"/>
      <c r="R87" s="43"/>
      <c r="S87" s="43"/>
      <c r="T87" s="43"/>
      <c r="U87" s="43"/>
      <c r="V87" s="43"/>
      <c r="W87" s="43"/>
      <c r="X87" s="43"/>
      <c r="Y87" s="43"/>
      <c r="Z87" s="43"/>
      <c r="AA87" s="43"/>
      <c r="AB87" s="43"/>
      <c r="AC87" s="43"/>
    </row>
    <row r="88">
      <c r="A88" s="150">
        <v>5.0</v>
      </c>
      <c r="B88" s="151" t="s">
        <v>752</v>
      </c>
      <c r="C88" s="152" t="s">
        <v>746</v>
      </c>
      <c r="D88" s="71">
        <v>1.0</v>
      </c>
      <c r="E88" s="158"/>
      <c r="F88" s="159"/>
      <c r="G88" s="154" t="s">
        <v>746</v>
      </c>
      <c r="H88" s="72">
        <f t="shared" si="62"/>
        <v>1</v>
      </c>
      <c r="I88" s="155"/>
      <c r="J88" s="156"/>
      <c r="K88" s="95"/>
      <c r="L88" s="157"/>
      <c r="M88" s="62">
        <f t="shared" si="61"/>
        <v>0</v>
      </c>
      <c r="N88" s="43"/>
      <c r="O88" s="43"/>
      <c r="P88" s="43"/>
      <c r="Q88" s="43"/>
      <c r="R88" s="43"/>
      <c r="S88" s="43"/>
      <c r="T88" s="43"/>
      <c r="U88" s="43"/>
      <c r="V88" s="43"/>
      <c r="W88" s="43"/>
      <c r="X88" s="43"/>
      <c r="Y88" s="43"/>
      <c r="Z88" s="43"/>
      <c r="AA88" s="43"/>
      <c r="AB88" s="43"/>
      <c r="AC88" s="43"/>
    </row>
    <row r="89">
      <c r="A89" s="150">
        <v>6.0</v>
      </c>
      <c r="B89" s="151" t="s">
        <v>753</v>
      </c>
      <c r="C89" s="152" t="s">
        <v>746</v>
      </c>
      <c r="D89" s="71">
        <v>1.0</v>
      </c>
      <c r="E89" s="158"/>
      <c r="F89" s="159"/>
      <c r="G89" s="154" t="s">
        <v>746</v>
      </c>
      <c r="H89" s="72">
        <f t="shared" si="62"/>
        <v>1</v>
      </c>
      <c r="I89" s="155"/>
      <c r="J89" s="156"/>
      <c r="K89" s="95"/>
      <c r="L89" s="157"/>
      <c r="M89" s="62">
        <f t="shared" si="61"/>
        <v>0</v>
      </c>
      <c r="N89" s="43"/>
      <c r="O89" s="43"/>
      <c r="P89" s="43"/>
      <c r="Q89" s="43"/>
      <c r="R89" s="43"/>
      <c r="S89" s="43"/>
      <c r="T89" s="43"/>
      <c r="U89" s="43"/>
      <c r="V89" s="43"/>
      <c r="W89" s="43"/>
      <c r="X89" s="43"/>
      <c r="Y89" s="43"/>
      <c r="Z89" s="43"/>
      <c r="AA89" s="43"/>
      <c r="AB89" s="43"/>
      <c r="AC89" s="43"/>
    </row>
    <row r="90">
      <c r="A90" s="150">
        <v>7.0</v>
      </c>
      <c r="B90" s="151" t="s">
        <v>754</v>
      </c>
      <c r="C90" s="152" t="s">
        <v>746</v>
      </c>
      <c r="D90" s="71">
        <v>9.0</v>
      </c>
      <c r="E90" s="158"/>
      <c r="F90" s="159"/>
      <c r="G90" s="154" t="s">
        <v>746</v>
      </c>
      <c r="H90" s="72">
        <v>9.0</v>
      </c>
      <c r="I90" s="155"/>
      <c r="J90" s="156"/>
      <c r="K90" s="95"/>
      <c r="L90" s="157"/>
      <c r="M90" s="62">
        <f t="shared" si="61"/>
        <v>0</v>
      </c>
      <c r="N90" s="43"/>
      <c r="O90" s="43"/>
      <c r="P90" s="43"/>
      <c r="Q90" s="43"/>
      <c r="R90" s="43"/>
      <c r="S90" s="43"/>
      <c r="T90" s="43"/>
      <c r="U90" s="43"/>
      <c r="V90" s="43"/>
      <c r="W90" s="43"/>
      <c r="X90" s="43"/>
      <c r="Y90" s="43"/>
      <c r="Z90" s="43"/>
      <c r="AA90" s="43"/>
      <c r="AB90" s="43"/>
      <c r="AC90" s="43"/>
    </row>
    <row r="91">
      <c r="A91" s="160"/>
      <c r="B91" s="161"/>
      <c r="C91" s="162"/>
      <c r="D91" s="163"/>
      <c r="E91" s="162"/>
      <c r="F91" s="163"/>
      <c r="G91" s="164"/>
      <c r="H91" s="165" t="s">
        <v>704</v>
      </c>
      <c r="I91" s="166">
        <f>SUM(I83:I90)</f>
        <v>0</v>
      </c>
      <c r="J91" s="167"/>
      <c r="K91" s="168"/>
      <c r="L91" s="169"/>
      <c r="M91" s="62">
        <f t="shared" si="61"/>
        <v>0</v>
      </c>
      <c r="N91" s="43"/>
      <c r="O91" s="43"/>
      <c r="P91" s="43"/>
      <c r="Q91" s="43"/>
      <c r="R91" s="43"/>
      <c r="S91" s="43"/>
      <c r="T91" s="43"/>
      <c r="U91" s="43"/>
      <c r="V91" s="43"/>
      <c r="W91" s="43"/>
      <c r="X91" s="43"/>
      <c r="Y91" s="43"/>
      <c r="Z91" s="43"/>
      <c r="AA91" s="43"/>
      <c r="AB91" s="43"/>
      <c r="AC91" s="43"/>
    </row>
    <row r="92">
      <c r="A92" s="170" t="s">
        <v>755</v>
      </c>
      <c r="B92" s="171"/>
      <c r="C92" s="171"/>
      <c r="D92" s="171"/>
      <c r="E92" s="171"/>
      <c r="F92" s="171"/>
      <c r="G92" s="171"/>
      <c r="H92" s="171"/>
      <c r="I92" s="171"/>
      <c r="J92" s="171"/>
      <c r="K92" s="171"/>
      <c r="L92" s="172"/>
      <c r="M92" s="62">
        <f t="shared" si="61"/>
        <v>0</v>
      </c>
      <c r="N92" s="43"/>
      <c r="O92" s="43"/>
      <c r="P92" s="43"/>
      <c r="Q92" s="43"/>
      <c r="R92" s="43"/>
      <c r="S92" s="43"/>
      <c r="T92" s="43"/>
      <c r="U92" s="43"/>
      <c r="V92" s="43"/>
      <c r="W92" s="43"/>
      <c r="X92" s="43"/>
      <c r="Y92" s="43"/>
      <c r="Z92" s="43"/>
      <c r="AA92" s="43"/>
      <c r="AB92" s="43"/>
      <c r="AC92" s="43"/>
    </row>
    <row r="93">
      <c r="A93" s="38"/>
      <c r="B93" s="39"/>
      <c r="C93" s="173"/>
      <c r="D93" s="174"/>
      <c r="E93" s="174"/>
      <c r="F93" s="175"/>
      <c r="G93" s="41"/>
      <c r="H93" s="41"/>
      <c r="I93" s="38"/>
      <c r="J93" s="176"/>
      <c r="K93" s="175"/>
      <c r="L93" s="41"/>
      <c r="M93" s="43"/>
      <c r="N93" s="43"/>
      <c r="O93" s="43"/>
      <c r="P93" s="43"/>
      <c r="Q93" s="43"/>
      <c r="R93" s="43"/>
      <c r="S93" s="43"/>
      <c r="T93" s="43"/>
      <c r="U93" s="43"/>
      <c r="V93" s="43"/>
      <c r="W93" s="43"/>
      <c r="X93" s="43"/>
      <c r="Y93" s="43"/>
      <c r="Z93" s="43"/>
      <c r="AA93" s="43"/>
      <c r="AB93" s="43"/>
      <c r="AC93" s="43"/>
    </row>
    <row r="94">
      <c r="A94" s="140" t="s">
        <v>756</v>
      </c>
      <c r="M94" s="43"/>
      <c r="N94" s="43"/>
      <c r="O94" s="43"/>
      <c r="P94" s="43"/>
      <c r="Q94" s="43"/>
      <c r="R94" s="43"/>
      <c r="S94" s="43"/>
      <c r="T94" s="43"/>
      <c r="U94" s="43"/>
      <c r="V94" s="43"/>
      <c r="W94" s="43"/>
      <c r="X94" s="43"/>
      <c r="Y94" s="43"/>
      <c r="Z94" s="43"/>
      <c r="AA94" s="43"/>
      <c r="AB94" s="43"/>
      <c r="AC94" s="43"/>
    </row>
    <row r="95">
      <c r="A95" s="44" t="s">
        <v>28</v>
      </c>
      <c r="B95" s="45" t="s">
        <v>222</v>
      </c>
      <c r="C95" s="47" t="s">
        <v>737</v>
      </c>
      <c r="D95" s="47" t="s">
        <v>674</v>
      </c>
      <c r="E95" s="47" t="s">
        <v>757</v>
      </c>
      <c r="F95" s="47" t="s">
        <v>676</v>
      </c>
      <c r="G95" s="49" t="s">
        <v>737</v>
      </c>
      <c r="H95" s="50" t="s">
        <v>674</v>
      </c>
      <c r="I95" s="50" t="s">
        <v>676</v>
      </c>
      <c r="J95" s="177" t="s">
        <v>758</v>
      </c>
      <c r="K95" s="178"/>
      <c r="L95" s="179"/>
      <c r="M95" s="41"/>
      <c r="N95" s="41"/>
      <c r="O95" s="41"/>
      <c r="P95" s="41"/>
      <c r="Q95" s="41"/>
      <c r="R95" s="41"/>
      <c r="S95" s="41"/>
      <c r="T95" s="41"/>
      <c r="U95" s="41"/>
      <c r="V95" s="41"/>
      <c r="W95" s="41"/>
      <c r="X95" s="41"/>
      <c r="Y95" s="41"/>
      <c r="Z95" s="41"/>
      <c r="AA95" s="41"/>
      <c r="AB95" s="41"/>
      <c r="AC95" s="41"/>
    </row>
    <row r="96">
      <c r="A96" s="53"/>
      <c r="B96" s="54"/>
      <c r="C96" s="54"/>
      <c r="D96" s="54"/>
      <c r="E96" s="54"/>
      <c r="F96" s="54"/>
      <c r="G96" s="54"/>
      <c r="H96" s="54"/>
      <c r="I96" s="54"/>
      <c r="J96" s="180"/>
      <c r="K96" s="181" t="s">
        <v>34</v>
      </c>
      <c r="L96" s="182" t="s">
        <v>679</v>
      </c>
      <c r="M96" s="43"/>
      <c r="N96" s="43"/>
      <c r="O96" s="43"/>
      <c r="P96" s="43"/>
      <c r="Q96" s="43"/>
      <c r="R96" s="43"/>
      <c r="S96" s="43"/>
      <c r="T96" s="43"/>
      <c r="U96" s="43"/>
      <c r="V96" s="43"/>
      <c r="W96" s="43"/>
      <c r="X96" s="43"/>
      <c r="Y96" s="43"/>
      <c r="Z96" s="43"/>
      <c r="AA96" s="43"/>
      <c r="AB96" s="43"/>
      <c r="AC96" s="43"/>
    </row>
    <row r="97">
      <c r="A97" s="55"/>
      <c r="B97" s="56" t="s">
        <v>759</v>
      </c>
      <c r="C97" s="57"/>
      <c r="D97" s="57"/>
      <c r="E97" s="81"/>
      <c r="F97" s="57"/>
      <c r="G97" s="183"/>
      <c r="H97" s="95"/>
      <c r="I97" s="59"/>
      <c r="J97" s="70"/>
      <c r="K97" s="70"/>
      <c r="L97" s="184"/>
      <c r="M97" s="41"/>
      <c r="N97" s="41"/>
      <c r="O97" s="41"/>
      <c r="P97" s="41"/>
      <c r="Q97" s="41"/>
      <c r="R97" s="41"/>
      <c r="S97" s="41"/>
      <c r="T97" s="41"/>
      <c r="U97" s="41"/>
      <c r="V97" s="41"/>
      <c r="W97" s="41"/>
      <c r="X97" s="41"/>
      <c r="Y97" s="41"/>
      <c r="Z97" s="41"/>
      <c r="AA97" s="41"/>
      <c r="AB97" s="41"/>
      <c r="AC97" s="41"/>
    </row>
    <row r="98">
      <c r="A98" s="185"/>
      <c r="B98" s="186" t="s">
        <v>760</v>
      </c>
      <c r="C98" s="187">
        <v>960.0</v>
      </c>
      <c r="D98" s="188"/>
      <c r="E98" s="187">
        <v>1.0</v>
      </c>
      <c r="F98" s="189" t="s">
        <v>761</v>
      </c>
      <c r="G98" s="190">
        <f>C98</f>
        <v>960</v>
      </c>
      <c r="H98" s="191"/>
      <c r="I98" s="192" t="str">
        <f>F98</f>
        <v>sqft</v>
      </c>
      <c r="J98" s="193"/>
      <c r="K98" s="193"/>
      <c r="L98" s="194">
        <f>C98*E98*K98</f>
        <v>0</v>
      </c>
      <c r="M98" s="43"/>
      <c r="N98" s="43"/>
      <c r="O98" s="43"/>
      <c r="P98" s="43"/>
      <c r="Q98" s="43"/>
      <c r="R98" s="43"/>
      <c r="S98" s="43"/>
      <c r="T98" s="43"/>
      <c r="U98" s="43"/>
      <c r="V98" s="43"/>
      <c r="W98" s="43"/>
      <c r="X98" s="43"/>
      <c r="Y98" s="43"/>
      <c r="Z98" s="43"/>
      <c r="AA98" s="43"/>
      <c r="AB98" s="43"/>
      <c r="AC98" s="43"/>
    </row>
    <row r="99">
      <c r="A99" s="55"/>
      <c r="B99" s="56" t="s">
        <v>762</v>
      </c>
      <c r="C99" s="57"/>
      <c r="D99" s="57"/>
      <c r="E99" s="57"/>
      <c r="F99" s="57"/>
      <c r="G99" s="195"/>
      <c r="H99" s="95"/>
      <c r="I99" s="58"/>
      <c r="J99" s="70"/>
      <c r="K99" s="70"/>
      <c r="L99" s="184"/>
      <c r="M99" s="43"/>
      <c r="N99" s="43"/>
      <c r="O99" s="43"/>
      <c r="P99" s="43"/>
      <c r="Q99" s="43"/>
      <c r="R99" s="43"/>
      <c r="S99" s="43"/>
      <c r="T99" s="43"/>
      <c r="U99" s="43"/>
      <c r="V99" s="43"/>
      <c r="W99" s="43"/>
      <c r="X99" s="43"/>
      <c r="Y99" s="43"/>
      <c r="Z99" s="43"/>
      <c r="AA99" s="43"/>
      <c r="AB99" s="43"/>
      <c r="AC99" s="43"/>
    </row>
    <row r="100">
      <c r="A100" s="64"/>
      <c r="B100" s="115" t="s">
        <v>763</v>
      </c>
      <c r="C100" s="85">
        <v>2.0</v>
      </c>
      <c r="D100" s="57"/>
      <c r="E100" s="85">
        <v>1.0</v>
      </c>
      <c r="F100" s="196" t="s">
        <v>764</v>
      </c>
      <c r="G100" s="197">
        <f>C100</f>
        <v>2</v>
      </c>
      <c r="H100" s="95"/>
      <c r="I100" s="198" t="str">
        <f t="shared" ref="I100:I101" si="63">F100</f>
        <v>nos</v>
      </c>
      <c r="J100" s="70"/>
      <c r="K100" s="70"/>
      <c r="L100" s="199">
        <f>C100*E100*K100</f>
        <v>0</v>
      </c>
      <c r="M100" s="43"/>
      <c r="N100" s="43"/>
      <c r="O100" s="43"/>
      <c r="P100" s="43"/>
      <c r="Q100" s="43"/>
      <c r="R100" s="43"/>
      <c r="S100" s="43"/>
      <c r="T100" s="43"/>
      <c r="U100" s="43"/>
      <c r="V100" s="43"/>
      <c r="W100" s="43"/>
      <c r="X100" s="43"/>
      <c r="Y100" s="43"/>
      <c r="Z100" s="43"/>
      <c r="AA100" s="43"/>
      <c r="AB100" s="43"/>
      <c r="AC100" s="43"/>
    </row>
    <row r="101">
      <c r="A101" s="64"/>
      <c r="B101" s="115" t="s">
        <v>765</v>
      </c>
      <c r="C101" s="85">
        <v>1.0</v>
      </c>
      <c r="D101" s="57"/>
      <c r="E101" s="85">
        <v>1.0</v>
      </c>
      <c r="F101" s="196" t="s">
        <v>764</v>
      </c>
      <c r="G101" s="197">
        <v>1.0</v>
      </c>
      <c r="H101" s="95"/>
      <c r="I101" s="198" t="str">
        <f t="shared" si="63"/>
        <v>nos</v>
      </c>
      <c r="J101" s="70"/>
      <c r="K101" s="70"/>
      <c r="L101" s="199">
        <f>K101*E101*C101</f>
        <v>0</v>
      </c>
      <c r="M101" s="43"/>
      <c r="N101" s="43"/>
      <c r="O101" s="43"/>
      <c r="P101" s="43"/>
      <c r="Q101" s="43"/>
      <c r="R101" s="43"/>
      <c r="S101" s="43"/>
      <c r="T101" s="43"/>
      <c r="U101" s="43"/>
      <c r="V101" s="43"/>
      <c r="W101" s="43"/>
      <c r="X101" s="43"/>
      <c r="Y101" s="43"/>
      <c r="Z101" s="43"/>
      <c r="AA101" s="43"/>
      <c r="AB101" s="43"/>
      <c r="AC101" s="43"/>
    </row>
    <row r="102">
      <c r="A102" s="200"/>
      <c r="B102" s="80" t="s">
        <v>682</v>
      </c>
      <c r="C102" s="60"/>
      <c r="D102" s="60"/>
      <c r="E102" s="60"/>
      <c r="F102" s="60"/>
      <c r="G102" s="180"/>
      <c r="H102" s="180"/>
      <c r="I102" s="58"/>
      <c r="J102" s="70"/>
      <c r="K102" s="70"/>
      <c r="L102" s="184"/>
      <c r="M102" s="43"/>
      <c r="N102" s="43"/>
      <c r="O102" s="43"/>
      <c r="P102" s="43"/>
      <c r="Q102" s="43"/>
      <c r="R102" s="43"/>
      <c r="S102" s="43"/>
      <c r="T102" s="43"/>
      <c r="U102" s="43"/>
      <c r="V102" s="43"/>
      <c r="W102" s="43"/>
      <c r="X102" s="43"/>
      <c r="Y102" s="43"/>
      <c r="Z102" s="43"/>
      <c r="AA102" s="43"/>
      <c r="AB102" s="43"/>
      <c r="AC102" s="43"/>
    </row>
    <row r="103">
      <c r="A103" s="201"/>
      <c r="B103" s="202" t="s">
        <v>766</v>
      </c>
      <c r="C103" s="79">
        <f>24+90</f>
        <v>114</v>
      </c>
      <c r="D103" s="60"/>
      <c r="E103" s="79">
        <v>1.0</v>
      </c>
      <c r="F103" s="79" t="s">
        <v>767</v>
      </c>
      <c r="G103" s="197">
        <f t="shared" ref="G103:G106" si="64">C103</f>
        <v>114</v>
      </c>
      <c r="H103" s="95"/>
      <c r="I103" s="203" t="str">
        <f t="shared" ref="I103:I111" si="65">F103</f>
        <v>rft</v>
      </c>
      <c r="J103" s="70"/>
      <c r="K103" s="70"/>
      <c r="L103" s="199">
        <f t="shared" ref="L103:L106" si="66">C103*E103*K103</f>
        <v>0</v>
      </c>
      <c r="M103" s="62"/>
      <c r="N103" s="62"/>
      <c r="O103" s="62"/>
      <c r="P103" s="62"/>
      <c r="Q103" s="62"/>
      <c r="R103" s="62"/>
      <c r="S103" s="62"/>
      <c r="T103" s="62"/>
      <c r="U103" s="62"/>
      <c r="V103" s="62"/>
      <c r="W103" s="62"/>
      <c r="X103" s="62"/>
      <c r="Y103" s="62"/>
      <c r="Z103" s="62"/>
      <c r="AA103" s="62"/>
      <c r="AB103" s="62"/>
      <c r="AC103" s="62"/>
    </row>
    <row r="104">
      <c r="A104" s="201"/>
      <c r="B104" s="202" t="s">
        <v>768</v>
      </c>
      <c r="C104" s="79">
        <v>15.0</v>
      </c>
      <c r="D104" s="60"/>
      <c r="E104" s="79">
        <v>1.0</v>
      </c>
      <c r="F104" s="79" t="s">
        <v>767</v>
      </c>
      <c r="G104" s="197">
        <f t="shared" si="64"/>
        <v>15</v>
      </c>
      <c r="H104" s="95"/>
      <c r="I104" s="198" t="str">
        <f t="shared" si="65"/>
        <v>rft</v>
      </c>
      <c r="J104" s="70"/>
      <c r="K104" s="70"/>
      <c r="L104" s="199">
        <f t="shared" si="66"/>
        <v>0</v>
      </c>
      <c r="M104" s="62"/>
      <c r="N104" s="62"/>
      <c r="O104" s="62"/>
      <c r="P104" s="62"/>
      <c r="Q104" s="62"/>
      <c r="R104" s="62"/>
      <c r="S104" s="62"/>
      <c r="T104" s="62"/>
      <c r="U104" s="62"/>
      <c r="V104" s="62"/>
      <c r="W104" s="62"/>
      <c r="X104" s="62"/>
      <c r="Y104" s="62"/>
      <c r="Z104" s="62"/>
      <c r="AA104" s="62"/>
      <c r="AB104" s="62"/>
      <c r="AC104" s="62"/>
    </row>
    <row r="105">
      <c r="A105" s="201"/>
      <c r="B105" s="202" t="s">
        <v>769</v>
      </c>
      <c r="C105" s="79">
        <v>1.0</v>
      </c>
      <c r="D105" s="60"/>
      <c r="E105" s="79">
        <v>1.0</v>
      </c>
      <c r="F105" s="196" t="s">
        <v>764</v>
      </c>
      <c r="G105" s="197">
        <f t="shared" si="64"/>
        <v>1</v>
      </c>
      <c r="H105" s="95"/>
      <c r="I105" s="198" t="str">
        <f t="shared" si="65"/>
        <v>nos</v>
      </c>
      <c r="J105" s="70"/>
      <c r="K105" s="70"/>
      <c r="L105" s="199">
        <f t="shared" si="66"/>
        <v>0</v>
      </c>
      <c r="M105" s="43"/>
      <c r="N105" s="43"/>
      <c r="O105" s="43"/>
      <c r="P105" s="43"/>
      <c r="Q105" s="43"/>
      <c r="R105" s="43"/>
      <c r="S105" s="43"/>
      <c r="T105" s="43"/>
      <c r="U105" s="43"/>
      <c r="V105" s="43"/>
      <c r="W105" s="43"/>
      <c r="X105" s="43"/>
      <c r="Y105" s="43"/>
      <c r="Z105" s="43"/>
      <c r="AA105" s="43"/>
      <c r="AB105" s="43"/>
      <c r="AC105" s="43"/>
    </row>
    <row r="106">
      <c r="A106" s="201"/>
      <c r="B106" s="202" t="s">
        <v>770</v>
      </c>
      <c r="C106" s="79">
        <v>14.0</v>
      </c>
      <c r="D106" s="60"/>
      <c r="E106" s="79">
        <v>3.0</v>
      </c>
      <c r="F106" s="196" t="s">
        <v>767</v>
      </c>
      <c r="G106" s="197">
        <f t="shared" si="64"/>
        <v>14</v>
      </c>
      <c r="H106" s="95"/>
      <c r="I106" s="198" t="str">
        <f t="shared" si="65"/>
        <v>rft</v>
      </c>
      <c r="J106" s="70"/>
      <c r="K106" s="70"/>
      <c r="L106" s="199">
        <f t="shared" si="66"/>
        <v>0</v>
      </c>
      <c r="M106" s="43"/>
      <c r="N106" s="43"/>
      <c r="O106" s="43"/>
      <c r="P106" s="43"/>
      <c r="Q106" s="43"/>
      <c r="R106" s="43"/>
      <c r="S106" s="43"/>
      <c r="T106" s="43"/>
      <c r="U106" s="43"/>
      <c r="V106" s="43"/>
      <c r="W106" s="43"/>
      <c r="X106" s="43"/>
      <c r="Y106" s="43"/>
      <c r="Z106" s="43"/>
      <c r="AA106" s="43"/>
      <c r="AB106" s="43"/>
      <c r="AC106" s="43"/>
    </row>
    <row r="107">
      <c r="A107" s="201"/>
      <c r="B107" s="204" t="s">
        <v>771</v>
      </c>
      <c r="C107" s="79">
        <v>1.0</v>
      </c>
      <c r="D107" s="60"/>
      <c r="E107" s="79">
        <v>1.0</v>
      </c>
      <c r="F107" s="196" t="s">
        <v>764</v>
      </c>
      <c r="G107" s="197">
        <v>1.0</v>
      </c>
      <c r="H107" s="95"/>
      <c r="I107" s="198" t="str">
        <f t="shared" si="65"/>
        <v>nos</v>
      </c>
      <c r="J107" s="70"/>
      <c r="K107" s="70"/>
      <c r="L107" s="199">
        <f t="shared" ref="L107:L111" si="67">K107*E107*C107</f>
        <v>0</v>
      </c>
      <c r="M107" s="43"/>
      <c r="N107" s="43"/>
      <c r="O107" s="43"/>
      <c r="P107" s="43"/>
      <c r="Q107" s="43"/>
      <c r="R107" s="43"/>
      <c r="S107" s="43"/>
      <c r="T107" s="43"/>
      <c r="U107" s="43"/>
      <c r="V107" s="43"/>
      <c r="W107" s="43"/>
      <c r="X107" s="43"/>
      <c r="Y107" s="43"/>
      <c r="Z107" s="43"/>
      <c r="AA107" s="43"/>
      <c r="AB107" s="43"/>
      <c r="AC107" s="43"/>
    </row>
    <row r="108">
      <c r="A108" s="201"/>
      <c r="B108" s="204" t="s">
        <v>772</v>
      </c>
      <c r="C108" s="79">
        <v>1.0</v>
      </c>
      <c r="D108" s="60"/>
      <c r="E108" s="79">
        <v>1.0</v>
      </c>
      <c r="F108" s="196" t="s">
        <v>764</v>
      </c>
      <c r="G108" s="197">
        <v>1.0</v>
      </c>
      <c r="H108" s="95"/>
      <c r="I108" s="198" t="str">
        <f t="shared" si="65"/>
        <v>nos</v>
      </c>
      <c r="J108" s="70"/>
      <c r="K108" s="70"/>
      <c r="L108" s="199">
        <f t="shared" si="67"/>
        <v>0</v>
      </c>
      <c r="M108" s="43"/>
      <c r="N108" s="43"/>
      <c r="O108" s="43"/>
      <c r="P108" s="43"/>
      <c r="Q108" s="43"/>
      <c r="R108" s="43"/>
      <c r="S108" s="43"/>
      <c r="T108" s="43"/>
      <c r="U108" s="43"/>
      <c r="V108" s="43"/>
      <c r="W108" s="43"/>
      <c r="X108" s="43"/>
      <c r="Y108" s="43"/>
      <c r="Z108" s="43"/>
      <c r="AA108" s="43"/>
      <c r="AB108" s="43"/>
      <c r="AC108" s="43"/>
    </row>
    <row r="109">
      <c r="A109" s="201"/>
      <c r="B109" s="204" t="s">
        <v>773</v>
      </c>
      <c r="C109" s="79">
        <v>1.0</v>
      </c>
      <c r="D109" s="60"/>
      <c r="E109" s="79">
        <v>1.0</v>
      </c>
      <c r="F109" s="196" t="s">
        <v>764</v>
      </c>
      <c r="G109" s="197">
        <v>1.0</v>
      </c>
      <c r="H109" s="95"/>
      <c r="I109" s="198" t="str">
        <f t="shared" si="65"/>
        <v>nos</v>
      </c>
      <c r="J109" s="70"/>
      <c r="K109" s="70"/>
      <c r="L109" s="199">
        <f t="shared" si="67"/>
        <v>0</v>
      </c>
      <c r="M109" s="43"/>
      <c r="N109" s="43"/>
      <c r="O109" s="43"/>
      <c r="P109" s="43"/>
      <c r="Q109" s="43"/>
      <c r="R109" s="43"/>
      <c r="S109" s="43"/>
      <c r="T109" s="43"/>
      <c r="U109" s="43"/>
      <c r="V109" s="43"/>
      <c r="W109" s="43"/>
      <c r="X109" s="43"/>
      <c r="Y109" s="43"/>
      <c r="Z109" s="43"/>
      <c r="AA109" s="43"/>
      <c r="AB109" s="43"/>
      <c r="AC109" s="43"/>
    </row>
    <row r="110">
      <c r="A110" s="201"/>
      <c r="B110" s="204" t="s">
        <v>774</v>
      </c>
      <c r="C110" s="79">
        <v>1.0</v>
      </c>
      <c r="D110" s="60"/>
      <c r="E110" s="79">
        <v>1.0</v>
      </c>
      <c r="F110" s="196" t="s">
        <v>764</v>
      </c>
      <c r="G110" s="197">
        <v>1.0</v>
      </c>
      <c r="H110" s="95"/>
      <c r="I110" s="198" t="str">
        <f t="shared" si="65"/>
        <v>nos</v>
      </c>
      <c r="J110" s="70"/>
      <c r="K110" s="70"/>
      <c r="L110" s="199">
        <f t="shared" si="67"/>
        <v>0</v>
      </c>
      <c r="M110" s="43"/>
      <c r="N110" s="43"/>
      <c r="O110" s="43"/>
      <c r="P110" s="43"/>
      <c r="Q110" s="43"/>
      <c r="R110" s="43"/>
      <c r="S110" s="43"/>
      <c r="T110" s="43"/>
      <c r="U110" s="43"/>
      <c r="V110" s="43"/>
      <c r="W110" s="43"/>
      <c r="X110" s="43"/>
      <c r="Y110" s="43"/>
      <c r="Z110" s="43"/>
      <c r="AA110" s="43"/>
      <c r="AB110" s="43"/>
      <c r="AC110" s="43"/>
    </row>
    <row r="111">
      <c r="A111" s="201"/>
      <c r="B111" s="204" t="s">
        <v>775</v>
      </c>
      <c r="C111" s="79">
        <v>1.0</v>
      </c>
      <c r="D111" s="60"/>
      <c r="E111" s="79">
        <v>1.0</v>
      </c>
      <c r="F111" s="196" t="s">
        <v>764</v>
      </c>
      <c r="G111" s="197">
        <v>1.0</v>
      </c>
      <c r="H111" s="95"/>
      <c r="I111" s="198" t="str">
        <f t="shared" si="65"/>
        <v>nos</v>
      </c>
      <c r="J111" s="70"/>
      <c r="K111" s="70"/>
      <c r="L111" s="199">
        <f t="shared" si="67"/>
        <v>0</v>
      </c>
      <c r="M111" s="43"/>
      <c r="N111" s="43"/>
      <c r="O111" s="43"/>
      <c r="P111" s="43"/>
      <c r="Q111" s="43"/>
      <c r="R111" s="43"/>
      <c r="S111" s="43"/>
      <c r="T111" s="43"/>
      <c r="U111" s="43"/>
      <c r="V111" s="43"/>
      <c r="W111" s="43"/>
      <c r="X111" s="43"/>
      <c r="Y111" s="43"/>
      <c r="Z111" s="43"/>
      <c r="AA111" s="43"/>
      <c r="AB111" s="43"/>
      <c r="AC111" s="43"/>
    </row>
    <row r="112">
      <c r="A112" s="200"/>
      <c r="B112" s="80" t="s">
        <v>776</v>
      </c>
      <c r="C112" s="60"/>
      <c r="D112" s="60"/>
      <c r="E112" s="60"/>
      <c r="F112" s="60"/>
      <c r="G112" s="180"/>
      <c r="H112" s="180"/>
      <c r="I112" s="58"/>
      <c r="J112" s="70"/>
      <c r="K112" s="70"/>
      <c r="L112" s="184"/>
      <c r="M112" s="43"/>
      <c r="N112" s="43"/>
      <c r="O112" s="43"/>
      <c r="P112" s="43"/>
      <c r="Q112" s="43"/>
      <c r="R112" s="43"/>
      <c r="S112" s="43"/>
      <c r="T112" s="43"/>
      <c r="U112" s="43"/>
      <c r="V112" s="43"/>
      <c r="W112" s="43"/>
      <c r="X112" s="43"/>
      <c r="Y112" s="43"/>
      <c r="Z112" s="43"/>
      <c r="AA112" s="43"/>
      <c r="AB112" s="43"/>
      <c r="AC112" s="43"/>
    </row>
    <row r="113">
      <c r="A113" s="201"/>
      <c r="B113" s="202" t="s">
        <v>777</v>
      </c>
      <c r="C113" s="79">
        <v>1.0</v>
      </c>
      <c r="D113" s="60"/>
      <c r="E113" s="79">
        <v>1.0</v>
      </c>
      <c r="F113" s="196" t="s">
        <v>764</v>
      </c>
      <c r="G113" s="197">
        <f t="shared" ref="G113:G119" si="68">C113</f>
        <v>1</v>
      </c>
      <c r="H113" s="95"/>
      <c r="I113" s="198" t="str">
        <f>F113</f>
        <v>nos</v>
      </c>
      <c r="J113" s="70"/>
      <c r="K113" s="70"/>
      <c r="L113" s="199">
        <f t="shared" ref="L113:L116" si="69">C113*E113*K113</f>
        <v>0</v>
      </c>
      <c r="M113" s="43"/>
      <c r="N113" s="43"/>
      <c r="O113" s="43"/>
      <c r="P113" s="43"/>
      <c r="Q113" s="43"/>
      <c r="R113" s="43"/>
      <c r="S113" s="43"/>
      <c r="T113" s="43"/>
      <c r="U113" s="43"/>
      <c r="V113" s="43"/>
      <c r="W113" s="43"/>
      <c r="X113" s="43"/>
      <c r="Y113" s="43"/>
      <c r="Z113" s="43"/>
      <c r="AA113" s="43"/>
      <c r="AB113" s="43"/>
      <c r="AC113" s="43"/>
    </row>
    <row r="114">
      <c r="A114" s="201"/>
      <c r="B114" s="202" t="s">
        <v>778</v>
      </c>
      <c r="C114" s="79">
        <v>15.0</v>
      </c>
      <c r="D114" s="60"/>
      <c r="E114" s="79">
        <v>1.0</v>
      </c>
      <c r="F114" s="196" t="s">
        <v>767</v>
      </c>
      <c r="G114" s="197">
        <f t="shared" si="68"/>
        <v>15</v>
      </c>
      <c r="H114" s="95"/>
      <c r="I114" s="198" t="s">
        <v>767</v>
      </c>
      <c r="J114" s="70"/>
      <c r="K114" s="70"/>
      <c r="L114" s="199">
        <f t="shared" si="69"/>
        <v>0</v>
      </c>
      <c r="M114" s="43"/>
      <c r="N114" s="43"/>
      <c r="O114" s="43"/>
      <c r="P114" s="43"/>
      <c r="Q114" s="43"/>
      <c r="R114" s="43"/>
      <c r="S114" s="43"/>
      <c r="T114" s="43"/>
      <c r="U114" s="43"/>
      <c r="V114" s="43"/>
      <c r="W114" s="43"/>
      <c r="X114" s="43"/>
      <c r="Y114" s="43"/>
      <c r="Z114" s="43"/>
      <c r="AA114" s="43"/>
      <c r="AB114" s="43"/>
      <c r="AC114" s="43"/>
    </row>
    <row r="115">
      <c r="A115" s="201"/>
      <c r="B115" s="204" t="s">
        <v>779</v>
      </c>
      <c r="C115" s="79">
        <v>40.0</v>
      </c>
      <c r="D115" s="60"/>
      <c r="E115" s="79">
        <v>1.0</v>
      </c>
      <c r="F115" s="196" t="s">
        <v>761</v>
      </c>
      <c r="G115" s="197">
        <f t="shared" si="68"/>
        <v>40</v>
      </c>
      <c r="H115" s="95"/>
      <c r="I115" s="198" t="str">
        <f t="shared" ref="I115:I123" si="70">F115</f>
        <v>sqft</v>
      </c>
      <c r="J115" s="70"/>
      <c r="K115" s="70"/>
      <c r="L115" s="199">
        <f t="shared" si="69"/>
        <v>0</v>
      </c>
      <c r="M115" s="43"/>
      <c r="N115" s="43"/>
      <c r="O115" s="43"/>
      <c r="P115" s="43"/>
      <c r="Q115" s="43"/>
      <c r="R115" s="43"/>
      <c r="S115" s="43"/>
      <c r="T115" s="43"/>
      <c r="U115" s="43"/>
      <c r="V115" s="43"/>
      <c r="W115" s="43"/>
      <c r="X115" s="43"/>
      <c r="Y115" s="43"/>
      <c r="Z115" s="43"/>
      <c r="AA115" s="43"/>
      <c r="AB115" s="43"/>
      <c r="AC115" s="43"/>
    </row>
    <row r="116">
      <c r="A116" s="201"/>
      <c r="B116" s="204" t="s">
        <v>780</v>
      </c>
      <c r="C116" s="79">
        <v>40.0</v>
      </c>
      <c r="D116" s="60"/>
      <c r="E116" s="79">
        <v>1.0</v>
      </c>
      <c r="F116" s="196" t="s">
        <v>761</v>
      </c>
      <c r="G116" s="197">
        <f t="shared" si="68"/>
        <v>40</v>
      </c>
      <c r="H116" s="95"/>
      <c r="I116" s="198" t="str">
        <f t="shared" si="70"/>
        <v>sqft</v>
      </c>
      <c r="J116" s="70"/>
      <c r="K116" s="70"/>
      <c r="L116" s="199">
        <f t="shared" si="69"/>
        <v>0</v>
      </c>
      <c r="M116" s="43"/>
      <c r="N116" s="43"/>
      <c r="O116" s="43"/>
      <c r="P116" s="43"/>
      <c r="Q116" s="43"/>
      <c r="R116" s="43"/>
      <c r="S116" s="43"/>
      <c r="T116" s="43"/>
      <c r="U116" s="43"/>
      <c r="V116" s="43"/>
      <c r="W116" s="43"/>
      <c r="X116" s="43"/>
      <c r="Y116" s="43"/>
      <c r="Z116" s="43"/>
      <c r="AA116" s="43"/>
      <c r="AB116" s="43"/>
      <c r="AC116" s="43"/>
    </row>
    <row r="117">
      <c r="A117" s="201"/>
      <c r="B117" s="204" t="s">
        <v>781</v>
      </c>
      <c r="C117" s="79">
        <v>20.0</v>
      </c>
      <c r="D117" s="60"/>
      <c r="E117" s="79">
        <v>1.0</v>
      </c>
      <c r="F117" s="196" t="s">
        <v>767</v>
      </c>
      <c r="G117" s="197">
        <f t="shared" si="68"/>
        <v>20</v>
      </c>
      <c r="H117" s="95"/>
      <c r="I117" s="198" t="str">
        <f t="shared" si="70"/>
        <v>rft</v>
      </c>
      <c r="J117" s="70"/>
      <c r="K117" s="70"/>
      <c r="L117" s="199">
        <f t="shared" ref="L117:L123" si="71">K117*E117*C117</f>
        <v>0</v>
      </c>
      <c r="M117" s="43"/>
      <c r="N117" s="43"/>
      <c r="O117" s="43"/>
      <c r="P117" s="43"/>
      <c r="Q117" s="43"/>
      <c r="R117" s="43"/>
      <c r="S117" s="43"/>
      <c r="T117" s="43"/>
      <c r="U117" s="43"/>
      <c r="V117" s="43"/>
      <c r="W117" s="43"/>
      <c r="X117" s="43"/>
      <c r="Y117" s="43"/>
      <c r="Z117" s="43"/>
      <c r="AA117" s="43"/>
      <c r="AB117" s="43"/>
      <c r="AC117" s="43"/>
    </row>
    <row r="118">
      <c r="A118" s="201"/>
      <c r="B118" s="204" t="s">
        <v>782</v>
      </c>
      <c r="C118" s="79">
        <v>20.0</v>
      </c>
      <c r="D118" s="60"/>
      <c r="E118" s="79">
        <v>1.0</v>
      </c>
      <c r="F118" s="196" t="s">
        <v>767</v>
      </c>
      <c r="G118" s="197">
        <f t="shared" si="68"/>
        <v>20</v>
      </c>
      <c r="H118" s="95"/>
      <c r="I118" s="198" t="str">
        <f t="shared" si="70"/>
        <v>rft</v>
      </c>
      <c r="J118" s="70"/>
      <c r="K118" s="70"/>
      <c r="L118" s="199">
        <f t="shared" si="71"/>
        <v>0</v>
      </c>
      <c r="M118" s="43"/>
      <c r="N118" s="43"/>
      <c r="O118" s="43"/>
      <c r="P118" s="43"/>
      <c r="Q118" s="43"/>
      <c r="R118" s="43"/>
      <c r="S118" s="43"/>
      <c r="T118" s="43"/>
      <c r="U118" s="43"/>
      <c r="V118" s="43"/>
      <c r="W118" s="43"/>
      <c r="X118" s="43"/>
      <c r="Y118" s="43"/>
      <c r="Z118" s="43"/>
      <c r="AA118" s="43"/>
      <c r="AB118" s="43"/>
      <c r="AC118" s="43"/>
    </row>
    <row r="119">
      <c r="A119" s="201"/>
      <c r="B119" s="204" t="s">
        <v>783</v>
      </c>
      <c r="C119" s="79">
        <v>30.0</v>
      </c>
      <c r="D119" s="60"/>
      <c r="E119" s="79">
        <v>1.0</v>
      </c>
      <c r="F119" s="196" t="s">
        <v>761</v>
      </c>
      <c r="G119" s="197">
        <f t="shared" si="68"/>
        <v>30</v>
      </c>
      <c r="H119" s="95"/>
      <c r="I119" s="198" t="str">
        <f t="shared" si="70"/>
        <v>sqft</v>
      </c>
      <c r="J119" s="70"/>
      <c r="K119" s="70"/>
      <c r="L119" s="199">
        <f t="shared" si="71"/>
        <v>0</v>
      </c>
      <c r="M119" s="43"/>
      <c r="N119" s="43"/>
      <c r="O119" s="43"/>
      <c r="P119" s="43"/>
      <c r="Q119" s="43"/>
      <c r="R119" s="43"/>
      <c r="S119" s="43"/>
      <c r="T119" s="43"/>
      <c r="U119" s="43"/>
      <c r="V119" s="43"/>
      <c r="W119" s="43"/>
      <c r="X119" s="43"/>
      <c r="Y119" s="43"/>
      <c r="Z119" s="43"/>
      <c r="AA119" s="43"/>
      <c r="AB119" s="43"/>
      <c r="AC119" s="43"/>
    </row>
    <row r="120">
      <c r="A120" s="201"/>
      <c r="B120" s="204" t="s">
        <v>774</v>
      </c>
      <c r="C120" s="79">
        <v>2.0</v>
      </c>
      <c r="D120" s="60"/>
      <c r="E120" s="79">
        <v>1.0</v>
      </c>
      <c r="F120" s="196" t="s">
        <v>764</v>
      </c>
      <c r="G120" s="197">
        <v>2.0</v>
      </c>
      <c r="H120" s="95"/>
      <c r="I120" s="198" t="str">
        <f t="shared" si="70"/>
        <v>nos</v>
      </c>
      <c r="J120" s="70"/>
      <c r="K120" s="70"/>
      <c r="L120" s="199">
        <f t="shared" si="71"/>
        <v>0</v>
      </c>
      <c r="M120" s="43"/>
      <c r="N120" s="43"/>
      <c r="O120" s="43"/>
      <c r="P120" s="43"/>
      <c r="Q120" s="43"/>
      <c r="R120" s="43"/>
      <c r="S120" s="43"/>
      <c r="T120" s="43"/>
      <c r="U120" s="43"/>
      <c r="V120" s="43"/>
      <c r="W120" s="43"/>
      <c r="X120" s="43"/>
      <c r="Y120" s="43"/>
      <c r="Z120" s="43"/>
      <c r="AA120" s="43"/>
      <c r="AB120" s="43"/>
      <c r="AC120" s="43"/>
    </row>
    <row r="121">
      <c r="A121" s="201"/>
      <c r="B121" s="204" t="s">
        <v>765</v>
      </c>
      <c r="C121" s="79">
        <v>1.0</v>
      </c>
      <c r="D121" s="60"/>
      <c r="E121" s="79">
        <v>1.0</v>
      </c>
      <c r="F121" s="196" t="s">
        <v>764</v>
      </c>
      <c r="G121" s="197">
        <v>1.0</v>
      </c>
      <c r="H121" s="95"/>
      <c r="I121" s="198" t="str">
        <f t="shared" si="70"/>
        <v>nos</v>
      </c>
      <c r="J121" s="70"/>
      <c r="K121" s="70"/>
      <c r="L121" s="199">
        <f t="shared" si="71"/>
        <v>0</v>
      </c>
      <c r="M121" s="43"/>
      <c r="N121" s="43"/>
      <c r="O121" s="43"/>
      <c r="P121" s="43"/>
      <c r="Q121" s="43"/>
      <c r="R121" s="43"/>
      <c r="S121" s="43"/>
      <c r="T121" s="43"/>
      <c r="U121" s="43"/>
      <c r="V121" s="43"/>
      <c r="W121" s="43"/>
      <c r="X121" s="43"/>
      <c r="Y121" s="43"/>
      <c r="Z121" s="43"/>
      <c r="AA121" s="43"/>
      <c r="AB121" s="43"/>
      <c r="AC121" s="43"/>
    </row>
    <row r="122">
      <c r="A122" s="201"/>
      <c r="B122" s="204" t="s">
        <v>784</v>
      </c>
      <c r="C122" s="79">
        <v>2.0</v>
      </c>
      <c r="D122" s="60"/>
      <c r="E122" s="79">
        <v>1.0</v>
      </c>
      <c r="F122" s="196" t="s">
        <v>764</v>
      </c>
      <c r="G122" s="197">
        <v>2.0</v>
      </c>
      <c r="H122" s="95"/>
      <c r="I122" s="198" t="str">
        <f t="shared" si="70"/>
        <v>nos</v>
      </c>
      <c r="J122" s="70"/>
      <c r="K122" s="70"/>
      <c r="L122" s="199">
        <f t="shared" si="71"/>
        <v>0</v>
      </c>
      <c r="M122" s="43"/>
      <c r="N122" s="43"/>
      <c r="O122" s="43"/>
      <c r="P122" s="43"/>
      <c r="Q122" s="43"/>
      <c r="R122" s="43"/>
      <c r="S122" s="43"/>
      <c r="T122" s="43"/>
      <c r="U122" s="43"/>
      <c r="V122" s="43"/>
      <c r="W122" s="43"/>
      <c r="X122" s="43"/>
      <c r="Y122" s="43"/>
      <c r="Z122" s="43"/>
      <c r="AA122" s="43"/>
      <c r="AB122" s="43"/>
      <c r="AC122" s="43"/>
    </row>
    <row r="123">
      <c r="A123" s="201"/>
      <c r="B123" s="204" t="s">
        <v>785</v>
      </c>
      <c r="C123" s="79">
        <v>1.0</v>
      </c>
      <c r="D123" s="60"/>
      <c r="E123" s="79">
        <v>1.0</v>
      </c>
      <c r="F123" s="196" t="s">
        <v>764</v>
      </c>
      <c r="G123" s="197">
        <v>1.0</v>
      </c>
      <c r="H123" s="95"/>
      <c r="I123" s="198" t="str">
        <f t="shared" si="70"/>
        <v>nos</v>
      </c>
      <c r="J123" s="70"/>
      <c r="K123" s="70"/>
      <c r="L123" s="199">
        <f t="shared" si="71"/>
        <v>0</v>
      </c>
      <c r="M123" s="43"/>
      <c r="N123" s="43"/>
      <c r="O123" s="43"/>
      <c r="P123" s="43"/>
      <c r="Q123" s="43"/>
      <c r="R123" s="43"/>
      <c r="S123" s="43"/>
      <c r="T123" s="43"/>
      <c r="U123" s="43"/>
      <c r="V123" s="43"/>
      <c r="W123" s="43"/>
      <c r="X123" s="43"/>
      <c r="Y123" s="43"/>
      <c r="Z123" s="43"/>
      <c r="AA123" s="43"/>
      <c r="AB123" s="43"/>
      <c r="AC123" s="43"/>
    </row>
    <row r="124">
      <c r="A124" s="200"/>
      <c r="B124" s="80" t="s">
        <v>692</v>
      </c>
      <c r="C124" s="60"/>
      <c r="D124" s="60"/>
      <c r="E124" s="60"/>
      <c r="F124" s="60"/>
      <c r="G124" s="180"/>
      <c r="H124" s="180"/>
      <c r="I124" s="58"/>
      <c r="J124" s="70"/>
      <c r="K124" s="70"/>
      <c r="L124" s="184"/>
      <c r="M124" s="43"/>
      <c r="N124" s="43"/>
      <c r="O124" s="43"/>
      <c r="P124" s="43"/>
      <c r="Q124" s="43"/>
      <c r="R124" s="43"/>
      <c r="S124" s="43"/>
      <c r="T124" s="43"/>
      <c r="U124" s="43"/>
      <c r="V124" s="43"/>
      <c r="W124" s="43"/>
      <c r="X124" s="43"/>
      <c r="Y124" s="43"/>
      <c r="Z124" s="43"/>
      <c r="AA124" s="43"/>
      <c r="AB124" s="43"/>
      <c r="AC124" s="43"/>
    </row>
    <row r="125">
      <c r="A125" s="201"/>
      <c r="B125" s="202" t="s">
        <v>786</v>
      </c>
      <c r="C125" s="79">
        <v>15.0</v>
      </c>
      <c r="D125" s="60"/>
      <c r="E125" s="79">
        <v>1.0</v>
      </c>
      <c r="F125" s="196" t="s">
        <v>761</v>
      </c>
      <c r="G125" s="197">
        <f t="shared" ref="G125:G126" si="72">C125</f>
        <v>15</v>
      </c>
      <c r="H125" s="95"/>
      <c r="I125" s="198" t="str">
        <f t="shared" ref="I125:I129" si="73">F125</f>
        <v>sqft</v>
      </c>
      <c r="J125" s="70"/>
      <c r="K125" s="70"/>
      <c r="L125" s="199">
        <f t="shared" ref="L125:L128" si="74">C125*E125*K125</f>
        <v>0</v>
      </c>
      <c r="M125" s="43"/>
      <c r="N125" s="43"/>
      <c r="O125" s="43"/>
      <c r="P125" s="43"/>
      <c r="Q125" s="43"/>
      <c r="R125" s="43"/>
      <c r="S125" s="43"/>
      <c r="T125" s="43"/>
      <c r="U125" s="43"/>
      <c r="V125" s="43"/>
      <c r="W125" s="43"/>
      <c r="X125" s="43"/>
      <c r="Y125" s="43"/>
      <c r="Z125" s="43"/>
      <c r="AA125" s="43"/>
      <c r="AB125" s="43"/>
      <c r="AC125" s="43"/>
    </row>
    <row r="126">
      <c r="A126" s="201"/>
      <c r="B126" s="202" t="s">
        <v>787</v>
      </c>
      <c r="C126" s="79">
        <v>11.0</v>
      </c>
      <c r="D126" s="60"/>
      <c r="E126" s="79">
        <v>1.0</v>
      </c>
      <c r="F126" s="196" t="s">
        <v>761</v>
      </c>
      <c r="G126" s="197">
        <f t="shared" si="72"/>
        <v>11</v>
      </c>
      <c r="H126" s="95"/>
      <c r="I126" s="198" t="str">
        <f t="shared" si="73"/>
        <v>sqft</v>
      </c>
      <c r="J126" s="70"/>
      <c r="K126" s="70"/>
      <c r="L126" s="199">
        <f t="shared" si="74"/>
        <v>0</v>
      </c>
      <c r="M126" s="43"/>
      <c r="N126" s="43"/>
      <c r="O126" s="43"/>
      <c r="P126" s="43"/>
      <c r="Q126" s="43"/>
      <c r="R126" s="43"/>
      <c r="S126" s="43"/>
      <c r="T126" s="43"/>
      <c r="U126" s="43"/>
      <c r="V126" s="43"/>
      <c r="W126" s="43"/>
      <c r="X126" s="43"/>
      <c r="Y126" s="43"/>
      <c r="Z126" s="43"/>
      <c r="AA126" s="43"/>
      <c r="AB126" s="43"/>
      <c r="AC126" s="43"/>
    </row>
    <row r="127">
      <c r="A127" s="201"/>
      <c r="B127" s="202" t="s">
        <v>788</v>
      </c>
      <c r="C127" s="79">
        <v>33.0</v>
      </c>
      <c r="D127" s="60"/>
      <c r="E127" s="79">
        <v>1.0</v>
      </c>
      <c r="F127" s="196" t="s">
        <v>761</v>
      </c>
      <c r="G127" s="197">
        <v>33.0</v>
      </c>
      <c r="H127" s="95"/>
      <c r="I127" s="198" t="str">
        <f t="shared" si="73"/>
        <v>sqft</v>
      </c>
      <c r="J127" s="70"/>
      <c r="K127" s="70"/>
      <c r="L127" s="199">
        <f t="shared" si="74"/>
        <v>0</v>
      </c>
      <c r="M127" s="43"/>
      <c r="N127" s="43"/>
      <c r="O127" s="43"/>
      <c r="P127" s="43"/>
      <c r="Q127" s="43"/>
      <c r="R127" s="43"/>
      <c r="S127" s="43"/>
      <c r="T127" s="43"/>
      <c r="U127" s="43"/>
      <c r="V127" s="43"/>
      <c r="W127" s="43"/>
      <c r="X127" s="43"/>
      <c r="Y127" s="43"/>
      <c r="Z127" s="43"/>
      <c r="AA127" s="43"/>
      <c r="AB127" s="43"/>
      <c r="AC127" s="43"/>
    </row>
    <row r="128">
      <c r="A128" s="201"/>
      <c r="B128" s="202" t="s">
        <v>789</v>
      </c>
      <c r="C128" s="79">
        <v>15.0</v>
      </c>
      <c r="D128" s="60"/>
      <c r="E128" s="79">
        <v>1.0</v>
      </c>
      <c r="F128" s="79" t="s">
        <v>767</v>
      </c>
      <c r="G128" s="197">
        <f>C128</f>
        <v>15</v>
      </c>
      <c r="H128" s="95"/>
      <c r="I128" s="198" t="str">
        <f t="shared" si="73"/>
        <v>rft</v>
      </c>
      <c r="J128" s="70"/>
      <c r="K128" s="70"/>
      <c r="L128" s="199">
        <f t="shared" si="74"/>
        <v>0</v>
      </c>
      <c r="M128" s="62"/>
      <c r="N128" s="62"/>
      <c r="O128" s="62"/>
      <c r="P128" s="62"/>
      <c r="Q128" s="62"/>
      <c r="R128" s="62"/>
      <c r="S128" s="62"/>
      <c r="T128" s="62"/>
      <c r="U128" s="62"/>
      <c r="V128" s="62"/>
      <c r="W128" s="62"/>
      <c r="X128" s="62"/>
      <c r="Y128" s="62"/>
      <c r="Z128" s="62"/>
      <c r="AA128" s="62"/>
      <c r="AB128" s="62"/>
      <c r="AC128" s="62"/>
    </row>
    <row r="129">
      <c r="A129" s="201"/>
      <c r="B129" s="204" t="s">
        <v>765</v>
      </c>
      <c r="C129" s="79">
        <v>1.0</v>
      </c>
      <c r="D129" s="60"/>
      <c r="E129" s="79">
        <v>1.0</v>
      </c>
      <c r="F129" s="196" t="s">
        <v>764</v>
      </c>
      <c r="G129" s="197">
        <v>1.0</v>
      </c>
      <c r="H129" s="95"/>
      <c r="I129" s="198" t="str">
        <f t="shared" si="73"/>
        <v>nos</v>
      </c>
      <c r="J129" s="70"/>
      <c r="K129" s="70"/>
      <c r="L129" s="199">
        <f>K129*E129*C129</f>
        <v>0</v>
      </c>
      <c r="M129" s="43"/>
      <c r="N129" s="43"/>
      <c r="O129" s="43"/>
      <c r="P129" s="43"/>
      <c r="Q129" s="43"/>
      <c r="R129" s="43"/>
      <c r="S129" s="43"/>
      <c r="T129" s="43"/>
      <c r="U129" s="43"/>
      <c r="V129" s="43"/>
      <c r="W129" s="43"/>
      <c r="X129" s="43"/>
      <c r="Y129" s="43"/>
      <c r="Z129" s="43"/>
      <c r="AA129" s="43"/>
      <c r="AB129" s="43"/>
      <c r="AC129" s="43"/>
    </row>
    <row r="130">
      <c r="A130" s="200"/>
      <c r="B130" s="80" t="s">
        <v>790</v>
      </c>
      <c r="C130" s="60"/>
      <c r="D130" s="60"/>
      <c r="E130" s="60"/>
      <c r="F130" s="60"/>
      <c r="G130" s="180"/>
      <c r="H130" s="180"/>
      <c r="I130" s="58"/>
      <c r="J130" s="70"/>
      <c r="K130" s="70"/>
      <c r="L130" s="184"/>
      <c r="M130" s="43"/>
      <c r="N130" s="43"/>
      <c r="O130" s="43"/>
      <c r="P130" s="43"/>
      <c r="Q130" s="43"/>
      <c r="R130" s="43"/>
      <c r="S130" s="43"/>
      <c r="T130" s="43"/>
      <c r="U130" s="43"/>
      <c r="V130" s="43"/>
      <c r="W130" s="43"/>
      <c r="X130" s="43"/>
      <c r="Y130" s="43"/>
      <c r="Z130" s="43"/>
      <c r="AA130" s="43"/>
      <c r="AB130" s="43"/>
      <c r="AC130" s="43"/>
    </row>
    <row r="131">
      <c r="A131" s="205"/>
      <c r="B131" s="204" t="s">
        <v>791</v>
      </c>
      <c r="C131" s="206">
        <v>28.0</v>
      </c>
      <c r="D131" s="207"/>
      <c r="E131" s="206">
        <v>1.0</v>
      </c>
      <c r="F131" s="206" t="s">
        <v>767</v>
      </c>
      <c r="G131" s="208">
        <f>C131</f>
        <v>28</v>
      </c>
      <c r="H131" s="95"/>
      <c r="I131" s="209" t="s">
        <v>767</v>
      </c>
      <c r="J131" s="207"/>
      <c r="K131" s="207"/>
      <c r="L131" s="199">
        <f>C131*E131*K131</f>
        <v>0</v>
      </c>
      <c r="M131" s="43"/>
      <c r="N131" s="43"/>
      <c r="O131" s="43"/>
      <c r="P131" s="43"/>
      <c r="Q131" s="43"/>
      <c r="R131" s="43"/>
      <c r="S131" s="43"/>
      <c r="T131" s="43"/>
      <c r="U131" s="43"/>
      <c r="V131" s="43"/>
      <c r="W131" s="43"/>
      <c r="X131" s="43"/>
      <c r="Y131" s="43"/>
      <c r="Z131" s="43"/>
      <c r="AA131" s="43"/>
      <c r="AB131" s="43"/>
      <c r="AC131" s="43"/>
    </row>
    <row r="132">
      <c r="A132" s="201"/>
      <c r="B132" s="204" t="s">
        <v>774</v>
      </c>
      <c r="C132" s="79">
        <v>1.0</v>
      </c>
      <c r="D132" s="60"/>
      <c r="E132" s="79">
        <v>1.0</v>
      </c>
      <c r="F132" s="196" t="s">
        <v>764</v>
      </c>
      <c r="G132" s="197">
        <v>1.0</v>
      </c>
      <c r="H132" s="95"/>
      <c r="I132" s="198" t="str">
        <f t="shared" ref="I132:I133" si="75">F132</f>
        <v>nos</v>
      </c>
      <c r="J132" s="70"/>
      <c r="K132" s="70"/>
      <c r="L132" s="199">
        <f t="shared" ref="L132:L133" si="76">K132*E132*C132</f>
        <v>0</v>
      </c>
      <c r="M132" s="43"/>
      <c r="N132" s="43"/>
      <c r="O132" s="43"/>
      <c r="P132" s="43"/>
      <c r="Q132" s="43"/>
      <c r="R132" s="43"/>
      <c r="S132" s="43"/>
      <c r="T132" s="43"/>
      <c r="U132" s="43"/>
      <c r="V132" s="43"/>
      <c r="W132" s="43"/>
      <c r="X132" s="43"/>
      <c r="Y132" s="43"/>
      <c r="Z132" s="43"/>
      <c r="AA132" s="43"/>
      <c r="AB132" s="43"/>
      <c r="AC132" s="43"/>
    </row>
    <row r="133">
      <c r="A133" s="201"/>
      <c r="B133" s="204" t="s">
        <v>792</v>
      </c>
      <c r="C133" s="79">
        <v>1.0</v>
      </c>
      <c r="D133" s="60"/>
      <c r="E133" s="79">
        <v>1.0</v>
      </c>
      <c r="F133" s="196" t="s">
        <v>764</v>
      </c>
      <c r="G133" s="197">
        <v>1.0</v>
      </c>
      <c r="H133" s="95"/>
      <c r="I133" s="198" t="str">
        <f t="shared" si="75"/>
        <v>nos</v>
      </c>
      <c r="J133" s="70"/>
      <c r="K133" s="70"/>
      <c r="L133" s="199">
        <f t="shared" si="76"/>
        <v>0</v>
      </c>
      <c r="M133" s="43"/>
      <c r="N133" s="43"/>
      <c r="O133" s="43"/>
      <c r="P133" s="43"/>
      <c r="Q133" s="43"/>
      <c r="R133" s="43"/>
      <c r="S133" s="43"/>
      <c r="T133" s="43"/>
      <c r="U133" s="43"/>
      <c r="V133" s="43"/>
      <c r="W133" s="43"/>
      <c r="X133" s="43"/>
      <c r="Y133" s="43"/>
      <c r="Z133" s="43"/>
      <c r="AA133" s="43"/>
      <c r="AB133" s="43"/>
      <c r="AC133" s="43"/>
    </row>
    <row r="134">
      <c r="A134" s="200"/>
      <c r="B134" s="80" t="s">
        <v>697</v>
      </c>
      <c r="C134" s="60"/>
      <c r="D134" s="60"/>
      <c r="E134" s="60"/>
      <c r="F134" s="60"/>
      <c r="G134" s="180"/>
      <c r="H134" s="180"/>
      <c r="I134" s="58"/>
      <c r="J134" s="70"/>
      <c r="K134" s="70"/>
      <c r="L134" s="184"/>
      <c r="M134" s="43"/>
      <c r="N134" s="43"/>
      <c r="O134" s="43"/>
      <c r="P134" s="43"/>
      <c r="Q134" s="43"/>
      <c r="R134" s="43"/>
      <c r="S134" s="43"/>
      <c r="T134" s="43"/>
      <c r="U134" s="43"/>
      <c r="V134" s="43"/>
      <c r="W134" s="43"/>
      <c r="X134" s="43"/>
      <c r="Y134" s="43"/>
      <c r="Z134" s="43"/>
      <c r="AA134" s="43"/>
      <c r="AB134" s="43"/>
      <c r="AC134" s="43"/>
    </row>
    <row r="135">
      <c r="A135" s="201"/>
      <c r="B135" s="204" t="s">
        <v>771</v>
      </c>
      <c r="C135" s="79">
        <v>1.0</v>
      </c>
      <c r="D135" s="60"/>
      <c r="E135" s="79">
        <v>1.0</v>
      </c>
      <c r="F135" s="196" t="s">
        <v>764</v>
      </c>
      <c r="G135" s="197">
        <v>1.0</v>
      </c>
      <c r="H135" s="95"/>
      <c r="I135" s="198" t="str">
        <f t="shared" ref="I135:I136" si="77">F135</f>
        <v>nos</v>
      </c>
      <c r="J135" s="70"/>
      <c r="K135" s="70"/>
      <c r="L135" s="199">
        <f t="shared" ref="L135:L136" si="78">K135*E135*C135</f>
        <v>0</v>
      </c>
      <c r="M135" s="43"/>
      <c r="N135" s="43"/>
      <c r="O135" s="43"/>
      <c r="P135" s="43"/>
      <c r="Q135" s="43"/>
      <c r="R135" s="43"/>
      <c r="S135" s="43"/>
      <c r="T135" s="43"/>
      <c r="U135" s="43"/>
      <c r="V135" s="43"/>
      <c r="W135" s="43"/>
      <c r="X135" s="43"/>
      <c r="Y135" s="43"/>
      <c r="Z135" s="43"/>
      <c r="AA135" s="43"/>
      <c r="AB135" s="43"/>
      <c r="AC135" s="43"/>
    </row>
    <row r="136">
      <c r="A136" s="201"/>
      <c r="B136" s="204" t="s">
        <v>765</v>
      </c>
      <c r="C136" s="79">
        <v>1.0</v>
      </c>
      <c r="D136" s="60"/>
      <c r="E136" s="79">
        <v>1.0</v>
      </c>
      <c r="F136" s="196" t="s">
        <v>764</v>
      </c>
      <c r="G136" s="197">
        <v>1.0</v>
      </c>
      <c r="H136" s="95"/>
      <c r="I136" s="198" t="str">
        <f t="shared" si="77"/>
        <v>nos</v>
      </c>
      <c r="J136" s="70"/>
      <c r="K136" s="70"/>
      <c r="L136" s="199">
        <f t="shared" si="78"/>
        <v>0</v>
      </c>
      <c r="M136" s="43"/>
      <c r="N136" s="43"/>
      <c r="O136" s="43"/>
      <c r="P136" s="43"/>
      <c r="Q136" s="43"/>
      <c r="R136" s="43"/>
      <c r="S136" s="43"/>
      <c r="T136" s="43"/>
      <c r="U136" s="43"/>
      <c r="V136" s="43"/>
      <c r="W136" s="43"/>
      <c r="X136" s="43"/>
      <c r="Y136" s="43"/>
      <c r="Z136" s="43"/>
      <c r="AA136" s="43"/>
      <c r="AB136" s="43"/>
      <c r="AC136" s="43"/>
    </row>
    <row r="137">
      <c r="A137" s="200"/>
      <c r="B137" s="80" t="s">
        <v>735</v>
      </c>
      <c r="C137" s="60"/>
      <c r="D137" s="60"/>
      <c r="E137" s="60"/>
      <c r="F137" s="60"/>
      <c r="G137" s="180"/>
      <c r="H137" s="180"/>
      <c r="I137" s="58"/>
      <c r="J137" s="70"/>
      <c r="K137" s="70"/>
      <c r="L137" s="184"/>
      <c r="M137" s="43"/>
      <c r="N137" s="43"/>
      <c r="O137" s="43"/>
      <c r="P137" s="43"/>
      <c r="Q137" s="43"/>
      <c r="R137" s="43"/>
      <c r="S137" s="43"/>
      <c r="T137" s="43"/>
      <c r="U137" s="43"/>
      <c r="V137" s="43"/>
      <c r="W137" s="43"/>
      <c r="X137" s="43"/>
      <c r="Y137" s="43"/>
      <c r="Z137" s="43"/>
      <c r="AA137" s="43"/>
      <c r="AB137" s="43"/>
      <c r="AC137" s="43"/>
    </row>
    <row r="138">
      <c r="A138" s="201"/>
      <c r="B138" s="202" t="s">
        <v>793</v>
      </c>
      <c r="C138" s="79">
        <v>3.0</v>
      </c>
      <c r="D138" s="60"/>
      <c r="E138" s="79">
        <v>1.0</v>
      </c>
      <c r="F138" s="196" t="s">
        <v>761</v>
      </c>
      <c r="G138" s="197">
        <f t="shared" ref="G138:G139" si="79">C138</f>
        <v>3</v>
      </c>
      <c r="H138" s="95"/>
      <c r="I138" s="198" t="str">
        <f t="shared" ref="I138:I139" si="80">F138</f>
        <v>sqft</v>
      </c>
      <c r="J138" s="70"/>
      <c r="K138" s="70"/>
      <c r="L138" s="199">
        <f t="shared" ref="L138:L139" si="81">C138*E138*K138</f>
        <v>0</v>
      </c>
      <c r="M138" s="43"/>
      <c r="N138" s="43"/>
      <c r="O138" s="43"/>
      <c r="P138" s="43"/>
      <c r="Q138" s="43"/>
      <c r="R138" s="43"/>
      <c r="S138" s="43"/>
      <c r="T138" s="43"/>
      <c r="U138" s="43"/>
      <c r="V138" s="43"/>
      <c r="W138" s="43"/>
      <c r="X138" s="43"/>
      <c r="Y138" s="43"/>
      <c r="Z138" s="43"/>
      <c r="AA138" s="43"/>
      <c r="AB138" s="43"/>
      <c r="AC138" s="43"/>
    </row>
    <row r="139">
      <c r="A139" s="201"/>
      <c r="B139" s="202" t="s">
        <v>794</v>
      </c>
      <c r="C139" s="79">
        <v>13.0</v>
      </c>
      <c r="D139" s="60"/>
      <c r="E139" s="79">
        <v>1.0</v>
      </c>
      <c r="F139" s="196" t="s">
        <v>761</v>
      </c>
      <c r="G139" s="197">
        <f t="shared" si="79"/>
        <v>13</v>
      </c>
      <c r="H139" s="95"/>
      <c r="I139" s="198" t="str">
        <f t="shared" si="80"/>
        <v>sqft</v>
      </c>
      <c r="J139" s="70"/>
      <c r="K139" s="70"/>
      <c r="L139" s="199">
        <f t="shared" si="81"/>
        <v>0</v>
      </c>
      <c r="M139" s="43"/>
      <c r="N139" s="43"/>
      <c r="O139" s="43"/>
      <c r="P139" s="43"/>
      <c r="Q139" s="43"/>
      <c r="R139" s="43"/>
      <c r="S139" s="43"/>
      <c r="T139" s="43"/>
      <c r="U139" s="43"/>
      <c r="V139" s="43"/>
      <c r="W139" s="43"/>
      <c r="X139" s="43"/>
      <c r="Y139" s="43"/>
      <c r="Z139" s="43"/>
      <c r="AA139" s="43"/>
      <c r="AB139" s="43"/>
      <c r="AC139" s="43"/>
    </row>
    <row r="140">
      <c r="A140" s="210"/>
      <c r="B140" s="80" t="s">
        <v>795</v>
      </c>
      <c r="C140" s="207"/>
      <c r="D140" s="207"/>
      <c r="E140" s="207"/>
      <c r="F140" s="207"/>
      <c r="G140" s="211"/>
      <c r="H140" s="211"/>
      <c r="I140" s="212"/>
      <c r="J140" s="207"/>
      <c r="K140" s="207"/>
      <c r="L140" s="213"/>
      <c r="M140" s="43"/>
      <c r="N140" s="43"/>
      <c r="O140" s="43"/>
      <c r="P140" s="43"/>
      <c r="Q140" s="43"/>
      <c r="R140" s="43"/>
      <c r="S140" s="43"/>
      <c r="T140" s="43"/>
      <c r="U140" s="43"/>
      <c r="V140" s="43"/>
      <c r="W140" s="43"/>
      <c r="X140" s="43"/>
      <c r="Y140" s="43"/>
      <c r="Z140" s="43"/>
      <c r="AA140" s="43"/>
      <c r="AB140" s="43"/>
      <c r="AC140" s="43"/>
    </row>
    <row r="141">
      <c r="A141" s="205"/>
      <c r="B141" s="204" t="s">
        <v>796</v>
      </c>
      <c r="C141" s="206">
        <v>30.0</v>
      </c>
      <c r="D141" s="207"/>
      <c r="E141" s="206">
        <v>1.0</v>
      </c>
      <c r="F141" s="196" t="s">
        <v>761</v>
      </c>
      <c r="G141" s="208">
        <f>C141</f>
        <v>30</v>
      </c>
      <c r="H141" s="95"/>
      <c r="I141" s="209" t="s">
        <v>767</v>
      </c>
      <c r="J141" s="207"/>
      <c r="K141" s="207"/>
      <c r="L141" s="199">
        <f>C141*E141*K141</f>
        <v>0</v>
      </c>
      <c r="M141" s="43"/>
      <c r="N141" s="43"/>
      <c r="O141" s="43"/>
      <c r="P141" s="43"/>
      <c r="Q141" s="43"/>
      <c r="R141" s="43"/>
      <c r="S141" s="43"/>
      <c r="T141" s="43"/>
      <c r="U141" s="43"/>
      <c r="V141" s="43"/>
      <c r="W141" s="43"/>
      <c r="X141" s="43"/>
      <c r="Y141" s="43"/>
      <c r="Z141" s="43"/>
      <c r="AA141" s="43"/>
      <c r="AB141" s="43"/>
      <c r="AC141" s="43"/>
    </row>
    <row r="142">
      <c r="A142" s="200"/>
      <c r="B142" s="80" t="s">
        <v>797</v>
      </c>
      <c r="C142" s="60"/>
      <c r="D142" s="60"/>
      <c r="E142" s="60"/>
      <c r="F142" s="60"/>
      <c r="G142" s="180"/>
      <c r="H142" s="180"/>
      <c r="I142" s="58"/>
      <c r="J142" s="70"/>
      <c r="K142" s="70"/>
      <c r="L142" s="184"/>
      <c r="M142" s="43"/>
      <c r="N142" s="43"/>
      <c r="O142" s="52" t="s">
        <v>798</v>
      </c>
      <c r="P142" s="43"/>
      <c r="Q142" s="43"/>
      <c r="R142" s="43"/>
      <c r="S142" s="43"/>
      <c r="T142" s="43"/>
      <c r="U142" s="43"/>
      <c r="V142" s="43"/>
      <c r="W142" s="43"/>
      <c r="X142" s="43"/>
      <c r="Y142" s="43"/>
      <c r="Z142" s="43"/>
      <c r="AA142" s="43"/>
      <c r="AB142" s="43"/>
      <c r="AC142" s="43"/>
    </row>
    <row r="143">
      <c r="A143" s="201"/>
      <c r="B143" s="202" t="s">
        <v>799</v>
      </c>
      <c r="C143" s="79">
        <v>610.0</v>
      </c>
      <c r="D143" s="60"/>
      <c r="E143" s="79">
        <v>1.0</v>
      </c>
      <c r="F143" s="196" t="s">
        <v>761</v>
      </c>
      <c r="G143" s="197">
        <f t="shared" ref="G143:G150" si="82">C143</f>
        <v>610</v>
      </c>
      <c r="H143" s="95"/>
      <c r="I143" s="198" t="str">
        <f t="shared" ref="I143:I150" si="83">F143</f>
        <v>sqft</v>
      </c>
      <c r="J143" s="70"/>
      <c r="K143" s="70"/>
      <c r="L143" s="199">
        <f t="shared" ref="L143:L145" si="84">K143*E143*C143</f>
        <v>0</v>
      </c>
      <c r="M143" s="43"/>
      <c r="N143" s="43"/>
      <c r="O143" s="43"/>
      <c r="P143" s="43"/>
      <c r="Q143" s="43"/>
      <c r="R143" s="43"/>
      <c r="S143" s="43"/>
      <c r="T143" s="43"/>
      <c r="U143" s="43"/>
      <c r="V143" s="43"/>
      <c r="W143" s="43"/>
      <c r="X143" s="43"/>
      <c r="Y143" s="43"/>
      <c r="Z143" s="43"/>
      <c r="AA143" s="43"/>
      <c r="AB143" s="43"/>
      <c r="AC143" s="43"/>
    </row>
    <row r="144">
      <c r="A144" s="201"/>
      <c r="B144" s="202" t="s">
        <v>800</v>
      </c>
      <c r="C144" s="79">
        <v>610.0</v>
      </c>
      <c r="D144" s="60"/>
      <c r="E144" s="79">
        <v>1.0</v>
      </c>
      <c r="F144" s="196" t="s">
        <v>761</v>
      </c>
      <c r="G144" s="197">
        <f t="shared" si="82"/>
        <v>610</v>
      </c>
      <c r="H144" s="95"/>
      <c r="I144" s="198" t="str">
        <f t="shared" si="83"/>
        <v>sqft</v>
      </c>
      <c r="J144" s="70"/>
      <c r="K144" s="70"/>
      <c r="L144" s="199">
        <f t="shared" si="84"/>
        <v>0</v>
      </c>
      <c r="M144" s="43"/>
      <c r="N144" s="43"/>
      <c r="O144" s="43"/>
      <c r="P144" s="43"/>
      <c r="Q144" s="43"/>
      <c r="R144" s="43"/>
      <c r="S144" s="43"/>
      <c r="T144" s="43"/>
      <c r="U144" s="43"/>
      <c r="V144" s="43"/>
      <c r="W144" s="43"/>
      <c r="X144" s="43"/>
      <c r="Y144" s="43"/>
      <c r="Z144" s="43"/>
      <c r="AA144" s="43"/>
      <c r="AB144" s="43"/>
      <c r="AC144" s="43"/>
    </row>
    <row r="145">
      <c r="A145" s="201"/>
      <c r="B145" s="202" t="s">
        <v>801</v>
      </c>
      <c r="C145" s="79">
        <v>610.0</v>
      </c>
      <c r="D145" s="60"/>
      <c r="E145" s="79">
        <v>1.0</v>
      </c>
      <c r="F145" s="196" t="s">
        <v>761</v>
      </c>
      <c r="G145" s="197">
        <f t="shared" si="82"/>
        <v>610</v>
      </c>
      <c r="H145" s="95"/>
      <c r="I145" s="198" t="str">
        <f t="shared" si="83"/>
        <v>sqft</v>
      </c>
      <c r="J145" s="70"/>
      <c r="K145" s="70"/>
      <c r="L145" s="199">
        <f t="shared" si="84"/>
        <v>0</v>
      </c>
      <c r="M145" s="43"/>
      <c r="N145" s="43"/>
      <c r="O145" s="43"/>
      <c r="P145" s="43"/>
      <c r="Q145" s="43"/>
      <c r="R145" s="43"/>
      <c r="S145" s="43"/>
      <c r="T145" s="43"/>
      <c r="U145" s="43"/>
      <c r="V145" s="43"/>
      <c r="W145" s="43"/>
      <c r="X145" s="43"/>
      <c r="Y145" s="43"/>
      <c r="Z145" s="43"/>
      <c r="AA145" s="43"/>
      <c r="AB145" s="43"/>
      <c r="AC145" s="43"/>
    </row>
    <row r="146">
      <c r="A146" s="201"/>
      <c r="B146" s="202" t="s">
        <v>802</v>
      </c>
      <c r="C146" s="79">
        <f>30+15+30</f>
        <v>75</v>
      </c>
      <c r="D146" s="60"/>
      <c r="E146" s="79">
        <v>1.0</v>
      </c>
      <c r="F146" s="79" t="s">
        <v>767</v>
      </c>
      <c r="G146" s="197">
        <f t="shared" si="82"/>
        <v>75</v>
      </c>
      <c r="H146" s="95"/>
      <c r="I146" s="198" t="str">
        <f t="shared" si="83"/>
        <v>rft</v>
      </c>
      <c r="J146" s="70"/>
      <c r="K146" s="70"/>
      <c r="L146" s="199">
        <f t="shared" ref="L146:L149" si="85">C146*E146*K146</f>
        <v>0</v>
      </c>
      <c r="M146" s="62"/>
      <c r="N146" s="62"/>
      <c r="O146" s="62"/>
      <c r="P146" s="62"/>
      <c r="Q146" s="62"/>
      <c r="R146" s="62"/>
      <c r="S146" s="62"/>
      <c r="T146" s="62"/>
      <c r="U146" s="62"/>
      <c r="V146" s="62"/>
      <c r="W146" s="62"/>
      <c r="X146" s="62"/>
      <c r="Y146" s="62"/>
      <c r="Z146" s="62"/>
      <c r="AA146" s="62"/>
      <c r="AB146" s="62"/>
      <c r="AC146" s="62"/>
    </row>
    <row r="147">
      <c r="A147" s="201"/>
      <c r="B147" s="202" t="s">
        <v>803</v>
      </c>
      <c r="C147" s="79">
        <v>18.0</v>
      </c>
      <c r="D147" s="60"/>
      <c r="E147" s="79">
        <v>1.0</v>
      </c>
      <c r="F147" s="79" t="s">
        <v>764</v>
      </c>
      <c r="G147" s="197">
        <f t="shared" si="82"/>
        <v>18</v>
      </c>
      <c r="H147" s="95"/>
      <c r="I147" s="198" t="str">
        <f t="shared" si="83"/>
        <v>nos</v>
      </c>
      <c r="J147" s="70"/>
      <c r="K147" s="70"/>
      <c r="L147" s="199">
        <f t="shared" si="85"/>
        <v>0</v>
      </c>
      <c r="M147" s="62"/>
      <c r="N147" s="62"/>
      <c r="O147" s="62"/>
      <c r="P147" s="62"/>
      <c r="Q147" s="62"/>
      <c r="R147" s="62"/>
      <c r="S147" s="62"/>
      <c r="T147" s="62"/>
      <c r="U147" s="62"/>
      <c r="V147" s="62"/>
      <c r="W147" s="62"/>
      <c r="X147" s="62"/>
      <c r="Y147" s="62"/>
      <c r="Z147" s="62"/>
      <c r="AA147" s="62"/>
      <c r="AB147" s="62"/>
      <c r="AC147" s="62"/>
    </row>
    <row r="148">
      <c r="A148" s="201"/>
      <c r="B148" s="202" t="s">
        <v>804</v>
      </c>
      <c r="C148" s="79">
        <v>2.0</v>
      </c>
      <c r="D148" s="60"/>
      <c r="E148" s="79">
        <v>1.0</v>
      </c>
      <c r="F148" s="79" t="s">
        <v>764</v>
      </c>
      <c r="G148" s="197">
        <f t="shared" si="82"/>
        <v>2</v>
      </c>
      <c r="H148" s="95"/>
      <c r="I148" s="198" t="str">
        <f t="shared" si="83"/>
        <v>nos</v>
      </c>
      <c r="J148" s="70"/>
      <c r="K148" s="70"/>
      <c r="L148" s="199">
        <f t="shared" si="85"/>
        <v>0</v>
      </c>
      <c r="M148" s="62"/>
      <c r="N148" s="62"/>
      <c r="O148" s="62"/>
      <c r="P148" s="62"/>
      <c r="Q148" s="62"/>
      <c r="R148" s="62"/>
      <c r="S148" s="62"/>
      <c r="T148" s="62"/>
      <c r="U148" s="62"/>
      <c r="V148" s="62"/>
      <c r="W148" s="62"/>
      <c r="X148" s="62"/>
      <c r="Y148" s="62"/>
      <c r="Z148" s="62"/>
      <c r="AA148" s="62"/>
      <c r="AB148" s="62"/>
      <c r="AC148" s="62"/>
    </row>
    <row r="149">
      <c r="A149" s="201"/>
      <c r="B149" s="202" t="s">
        <v>805</v>
      </c>
      <c r="C149" s="79">
        <v>1.0</v>
      </c>
      <c r="D149" s="60"/>
      <c r="E149" s="79">
        <v>1.0</v>
      </c>
      <c r="F149" s="79" t="s">
        <v>764</v>
      </c>
      <c r="G149" s="197">
        <f t="shared" si="82"/>
        <v>1</v>
      </c>
      <c r="H149" s="95"/>
      <c r="I149" s="198" t="str">
        <f t="shared" si="83"/>
        <v>nos</v>
      </c>
      <c r="J149" s="70"/>
      <c r="K149" s="70"/>
      <c r="L149" s="199">
        <f t="shared" si="85"/>
        <v>0</v>
      </c>
      <c r="M149" s="62"/>
      <c r="N149" s="62"/>
      <c r="O149" s="62"/>
      <c r="P149" s="62"/>
      <c r="Q149" s="62"/>
      <c r="R149" s="62"/>
      <c r="S149" s="62"/>
      <c r="T149" s="62"/>
      <c r="U149" s="62"/>
      <c r="V149" s="62"/>
      <c r="W149" s="62"/>
      <c r="X149" s="62"/>
      <c r="Y149" s="62"/>
      <c r="Z149" s="62"/>
      <c r="AA149" s="62"/>
      <c r="AB149" s="62"/>
      <c r="AC149" s="62"/>
    </row>
    <row r="150">
      <c r="A150" s="201"/>
      <c r="B150" s="214" t="s">
        <v>806</v>
      </c>
      <c r="C150" s="60"/>
      <c r="D150" s="60"/>
      <c r="E150" s="215"/>
      <c r="F150" s="216"/>
      <c r="G150" s="217" t="str">
        <f t="shared" si="82"/>
        <v/>
      </c>
      <c r="H150" s="95"/>
      <c r="I150" s="218" t="str">
        <f t="shared" si="83"/>
        <v/>
      </c>
      <c r="J150" s="70"/>
      <c r="K150" s="70"/>
      <c r="L150" s="219">
        <f>SUM(L98:L149)</f>
        <v>0</v>
      </c>
      <c r="M150" s="43"/>
      <c r="N150" s="43"/>
      <c r="O150" s="43"/>
      <c r="P150" s="43"/>
      <c r="Q150" s="43"/>
      <c r="R150" s="43"/>
      <c r="S150" s="43"/>
      <c r="T150" s="43"/>
      <c r="U150" s="43"/>
      <c r="V150" s="43"/>
      <c r="W150" s="43"/>
      <c r="X150" s="43"/>
      <c r="Y150" s="43"/>
      <c r="Z150" s="43"/>
      <c r="AA150" s="43"/>
      <c r="AB150" s="43"/>
      <c r="AC150" s="43"/>
    </row>
    <row r="151">
      <c r="A151" s="220"/>
      <c r="B151" s="80" t="s">
        <v>705</v>
      </c>
      <c r="C151" s="60"/>
      <c r="D151" s="60"/>
      <c r="E151" s="60"/>
      <c r="F151" s="60"/>
      <c r="G151" s="183"/>
      <c r="H151" s="94"/>
      <c r="I151" s="95"/>
      <c r="J151" s="60"/>
      <c r="K151" s="60"/>
      <c r="L151" s="221">
        <f>L150*18%</f>
        <v>0</v>
      </c>
      <c r="M151" s="43"/>
      <c r="N151" s="43"/>
      <c r="O151" s="43"/>
      <c r="P151" s="43"/>
      <c r="Q151" s="43"/>
      <c r="R151" s="43"/>
      <c r="S151" s="43"/>
      <c r="T151" s="43"/>
      <c r="U151" s="43"/>
      <c r="V151" s="43"/>
      <c r="W151" s="43"/>
      <c r="X151" s="43"/>
      <c r="Y151" s="43"/>
      <c r="Z151" s="43"/>
      <c r="AA151" s="43"/>
      <c r="AB151" s="43"/>
      <c r="AC151" s="43"/>
    </row>
    <row r="152">
      <c r="A152" s="222"/>
      <c r="B152" s="223" t="s">
        <v>706</v>
      </c>
      <c r="C152" s="224"/>
      <c r="D152" s="224"/>
      <c r="E152" s="224"/>
      <c r="F152" s="224"/>
      <c r="G152" s="225"/>
      <c r="H152" s="130"/>
      <c r="I152" s="136"/>
      <c r="J152" s="224"/>
      <c r="K152" s="224"/>
      <c r="L152" s="226">
        <f>L150+L151</f>
        <v>0</v>
      </c>
      <c r="M152" s="43"/>
      <c r="N152" s="43"/>
      <c r="O152" s="43"/>
      <c r="P152" s="43"/>
      <c r="Q152" s="43"/>
      <c r="R152" s="43"/>
      <c r="S152" s="43"/>
      <c r="T152" s="43"/>
      <c r="U152" s="43"/>
      <c r="V152" s="43"/>
      <c r="W152" s="43"/>
      <c r="X152" s="43"/>
      <c r="Y152" s="43"/>
      <c r="Z152" s="43"/>
      <c r="AA152" s="43"/>
      <c r="AB152" s="43"/>
      <c r="AC152" s="43"/>
    </row>
    <row r="153">
      <c r="A153" s="41"/>
      <c r="B153" s="227"/>
      <c r="C153" s="139"/>
      <c r="D153" s="139"/>
      <c r="E153" s="139"/>
      <c r="F153" s="139"/>
      <c r="G153" s="41"/>
      <c r="H153" s="41"/>
      <c r="I153" s="41"/>
      <c r="J153" s="139"/>
      <c r="K153" s="139"/>
      <c r="L153" s="41"/>
      <c r="M153" s="43"/>
      <c r="N153" s="43"/>
      <c r="O153" s="43"/>
      <c r="P153" s="43"/>
      <c r="Q153" s="43"/>
      <c r="R153" s="43"/>
      <c r="S153" s="43"/>
      <c r="T153" s="43"/>
      <c r="U153" s="43"/>
      <c r="V153" s="43"/>
      <c r="W153" s="43"/>
      <c r="X153" s="43"/>
      <c r="Y153" s="43"/>
      <c r="Z153" s="43"/>
      <c r="AA153" s="43"/>
      <c r="AB153" s="43"/>
      <c r="AC153" s="43"/>
    </row>
    <row r="154">
      <c r="A154" s="41"/>
      <c r="B154" s="228" t="s">
        <v>807</v>
      </c>
      <c r="C154" s="229"/>
      <c r="D154" s="229"/>
      <c r="E154" s="229"/>
      <c r="F154" s="229"/>
      <c r="G154" s="230"/>
      <c r="H154" s="231"/>
      <c r="I154" s="231"/>
      <c r="J154" s="229"/>
      <c r="K154" s="229"/>
      <c r="L154" s="232" t="s">
        <v>808</v>
      </c>
      <c r="M154" s="43"/>
      <c r="N154" s="43"/>
      <c r="O154" s="43"/>
      <c r="P154" s="43"/>
      <c r="Q154" s="43"/>
      <c r="R154" s="43"/>
      <c r="S154" s="43"/>
      <c r="T154" s="43"/>
      <c r="U154" s="43"/>
      <c r="V154" s="43"/>
      <c r="W154" s="43"/>
      <c r="X154" s="43"/>
      <c r="Y154" s="43"/>
      <c r="Z154" s="43"/>
      <c r="AA154" s="43"/>
      <c r="AB154" s="43"/>
      <c r="AC154" s="43"/>
    </row>
    <row r="155">
      <c r="A155" s="41"/>
      <c r="B155" s="233" t="s">
        <v>809</v>
      </c>
      <c r="C155" s="60"/>
      <c r="D155" s="60"/>
      <c r="E155" s="60"/>
      <c r="F155" s="60"/>
      <c r="G155" s="234"/>
      <c r="H155" s="235"/>
      <c r="I155" s="235"/>
      <c r="J155" s="60"/>
      <c r="K155" s="60"/>
      <c r="L155" s="236" t="str">
        <f>#REF!</f>
        <v>#REF!</v>
      </c>
      <c r="M155" s="43"/>
      <c r="N155" s="43"/>
      <c r="O155" s="43"/>
      <c r="P155" s="43"/>
      <c r="Q155" s="43"/>
      <c r="R155" s="43"/>
      <c r="S155" s="43"/>
      <c r="T155" s="43"/>
      <c r="U155" s="43"/>
      <c r="V155" s="43"/>
      <c r="W155" s="43"/>
      <c r="X155" s="43"/>
      <c r="Y155" s="43"/>
      <c r="Z155" s="43"/>
      <c r="AA155" s="43"/>
      <c r="AB155" s="43"/>
      <c r="AC155" s="43"/>
    </row>
    <row r="156">
      <c r="A156" s="41"/>
      <c r="B156" s="233" t="s">
        <v>810</v>
      </c>
      <c r="C156" s="60"/>
      <c r="D156" s="60"/>
      <c r="E156" s="60"/>
      <c r="F156" s="60"/>
      <c r="G156" s="234"/>
      <c r="H156" s="235"/>
      <c r="I156" s="235"/>
      <c r="J156" s="60"/>
      <c r="K156" s="60"/>
      <c r="L156" s="236">
        <f>I91</f>
        <v>0</v>
      </c>
      <c r="M156" s="43"/>
      <c r="N156" s="43"/>
      <c r="O156" s="43"/>
      <c r="P156" s="43"/>
      <c r="Q156" s="43"/>
      <c r="R156" s="43"/>
      <c r="S156" s="43"/>
      <c r="T156" s="43"/>
      <c r="U156" s="43"/>
      <c r="V156" s="43"/>
      <c r="W156" s="43"/>
      <c r="X156" s="43"/>
      <c r="Y156" s="43"/>
      <c r="Z156" s="43"/>
      <c r="AA156" s="43"/>
      <c r="AB156" s="43"/>
      <c r="AC156" s="43"/>
    </row>
    <row r="157">
      <c r="A157" s="41"/>
      <c r="B157" s="233" t="s">
        <v>811</v>
      </c>
      <c r="C157" s="60"/>
      <c r="D157" s="60"/>
      <c r="E157" s="60"/>
      <c r="F157" s="60"/>
      <c r="G157" s="234"/>
      <c r="H157" s="235"/>
      <c r="I157" s="235"/>
      <c r="J157" s="60"/>
      <c r="K157" s="60"/>
      <c r="L157" s="236">
        <f>L152</f>
        <v>0</v>
      </c>
      <c r="M157" s="43"/>
      <c r="N157" s="43"/>
      <c r="O157" s="43"/>
      <c r="P157" s="43"/>
      <c r="Q157" s="43"/>
      <c r="R157" s="43"/>
      <c r="S157" s="43"/>
      <c r="T157" s="43"/>
      <c r="U157" s="43"/>
      <c r="V157" s="43"/>
      <c r="W157" s="43"/>
      <c r="X157" s="43"/>
      <c r="Y157" s="43"/>
      <c r="Z157" s="43"/>
      <c r="AA157" s="43"/>
      <c r="AB157" s="43"/>
      <c r="AC157" s="43"/>
    </row>
    <row r="158">
      <c r="A158" s="41"/>
      <c r="B158" s="233" t="s">
        <v>812</v>
      </c>
      <c r="C158" s="60"/>
      <c r="D158" s="60"/>
      <c r="E158" s="60"/>
      <c r="F158" s="60"/>
      <c r="G158" s="234"/>
      <c r="H158" s="235"/>
      <c r="I158" s="235"/>
      <c r="J158" s="60"/>
      <c r="K158" s="60"/>
      <c r="L158" s="237"/>
      <c r="M158" s="43"/>
      <c r="N158" s="43"/>
      <c r="O158" s="43"/>
      <c r="P158" s="43"/>
      <c r="Q158" s="43"/>
      <c r="R158" s="43"/>
      <c r="S158" s="43"/>
      <c r="T158" s="43"/>
      <c r="U158" s="43"/>
      <c r="V158" s="43"/>
      <c r="W158" s="43"/>
      <c r="X158" s="43"/>
      <c r="Y158" s="43"/>
      <c r="Z158" s="43"/>
      <c r="AA158" s="43"/>
      <c r="AB158" s="43"/>
      <c r="AC158" s="43"/>
    </row>
    <row r="159">
      <c r="A159" s="41"/>
      <c r="B159" s="238" t="s">
        <v>704</v>
      </c>
      <c r="C159" s="224"/>
      <c r="D159" s="224"/>
      <c r="E159" s="224"/>
      <c r="F159" s="224"/>
      <c r="G159" s="239"/>
      <c r="H159" s="240"/>
      <c r="I159" s="240"/>
      <c r="J159" s="224"/>
      <c r="K159" s="224"/>
      <c r="L159" s="241" t="str">
        <f>SUM(L155:L157)-L158</f>
        <v>#REF!</v>
      </c>
      <c r="M159" s="43"/>
      <c r="N159" s="43"/>
      <c r="O159" s="43"/>
      <c r="P159" s="43"/>
      <c r="Q159" s="43"/>
      <c r="R159" s="43"/>
      <c r="S159" s="43"/>
      <c r="T159" s="43"/>
      <c r="U159" s="43"/>
      <c r="V159" s="43"/>
      <c r="W159" s="43"/>
      <c r="X159" s="43"/>
      <c r="Y159" s="43"/>
      <c r="Z159" s="43"/>
      <c r="AA159" s="43"/>
      <c r="AB159" s="43"/>
      <c r="AC159" s="43"/>
    </row>
    <row r="160">
      <c r="A160" s="41"/>
      <c r="B160" s="227"/>
      <c r="C160" s="139"/>
      <c r="D160" s="139"/>
      <c r="E160" s="139"/>
      <c r="F160" s="139"/>
      <c r="G160" s="41"/>
      <c r="H160" s="41"/>
      <c r="I160" s="41"/>
      <c r="J160" s="139"/>
      <c r="K160" s="139"/>
      <c r="L160" s="41"/>
      <c r="M160" s="43"/>
      <c r="N160" s="43"/>
      <c r="O160" s="43"/>
      <c r="P160" s="43"/>
      <c r="Q160" s="43"/>
      <c r="R160" s="43"/>
      <c r="S160" s="43"/>
      <c r="T160" s="43"/>
      <c r="U160" s="43"/>
      <c r="V160" s="43"/>
      <c r="W160" s="43"/>
      <c r="X160" s="43"/>
      <c r="Y160" s="43"/>
      <c r="Z160" s="43"/>
      <c r="AA160" s="43"/>
      <c r="AB160" s="43"/>
      <c r="AC160" s="43"/>
    </row>
    <row r="161">
      <c r="A161" s="41"/>
      <c r="B161" s="228" t="s">
        <v>813</v>
      </c>
      <c r="C161" s="229"/>
      <c r="D161" s="229"/>
      <c r="E161" s="229"/>
      <c r="F161" s="229"/>
      <c r="G161" s="230"/>
      <c r="H161" s="231"/>
      <c r="I161" s="231"/>
      <c r="J161" s="229"/>
      <c r="K161" s="229"/>
      <c r="L161" s="232" t="s">
        <v>808</v>
      </c>
      <c r="M161" s="43"/>
      <c r="N161" s="43"/>
      <c r="O161" s="43"/>
      <c r="P161" s="43"/>
      <c r="Q161" s="43"/>
      <c r="R161" s="43"/>
      <c r="S161" s="43"/>
      <c r="T161" s="43"/>
      <c r="U161" s="43"/>
      <c r="V161" s="43"/>
      <c r="W161" s="43"/>
      <c r="X161" s="43"/>
      <c r="Y161" s="43"/>
      <c r="Z161" s="43"/>
      <c r="AA161" s="43"/>
      <c r="AB161" s="43"/>
      <c r="AC161" s="43"/>
    </row>
    <row r="162">
      <c r="A162" s="41"/>
      <c r="B162" s="233" t="s">
        <v>814</v>
      </c>
      <c r="C162" s="60"/>
      <c r="D162" s="60"/>
      <c r="E162" s="60"/>
      <c r="F162" s="60"/>
      <c r="G162" s="234"/>
      <c r="H162" s="235"/>
      <c r="I162" s="235"/>
      <c r="J162" s="60"/>
      <c r="K162" s="60"/>
      <c r="L162" s="236" t="str">
        <f>L159*10%</f>
        <v>#REF!</v>
      </c>
      <c r="M162" s="43"/>
      <c r="N162" s="43"/>
      <c r="O162" s="43"/>
      <c r="P162" s="43"/>
      <c r="Q162" s="43"/>
      <c r="R162" s="43"/>
      <c r="S162" s="43"/>
      <c r="T162" s="43"/>
      <c r="U162" s="43"/>
      <c r="V162" s="43"/>
      <c r="W162" s="43"/>
      <c r="X162" s="43"/>
      <c r="Y162" s="43"/>
      <c r="Z162" s="43"/>
      <c r="AA162" s="43"/>
      <c r="AB162" s="43"/>
      <c r="AC162" s="43"/>
    </row>
    <row r="163">
      <c r="A163" s="41"/>
      <c r="B163" s="233" t="s">
        <v>815</v>
      </c>
      <c r="C163" s="70"/>
      <c r="D163" s="70"/>
      <c r="E163" s="60"/>
      <c r="F163" s="60"/>
      <c r="G163" s="242"/>
      <c r="H163" s="235"/>
      <c r="I163" s="235"/>
      <c r="J163" s="60"/>
      <c r="K163" s="60"/>
      <c r="L163" s="236" t="str">
        <f>L159*25%</f>
        <v>#REF!</v>
      </c>
      <c r="M163" s="43"/>
      <c r="N163" s="43"/>
      <c r="O163" s="43"/>
      <c r="P163" s="43"/>
      <c r="Q163" s="43"/>
      <c r="R163" s="43"/>
      <c r="S163" s="43"/>
      <c r="T163" s="43"/>
      <c r="U163" s="43"/>
      <c r="V163" s="43"/>
      <c r="W163" s="43"/>
      <c r="X163" s="43"/>
      <c r="Y163" s="43"/>
      <c r="Z163" s="43"/>
      <c r="AA163" s="43"/>
      <c r="AB163" s="43"/>
      <c r="AC163" s="43"/>
    </row>
    <row r="164">
      <c r="A164" s="41"/>
      <c r="B164" s="233" t="s">
        <v>816</v>
      </c>
      <c r="C164" s="70"/>
      <c r="D164" s="70"/>
      <c r="E164" s="60"/>
      <c r="F164" s="60"/>
      <c r="G164" s="242"/>
      <c r="H164" s="235"/>
      <c r="I164" s="235"/>
      <c r="J164" s="60"/>
      <c r="K164" s="60"/>
      <c r="L164" s="236" t="str">
        <f>L159*25%</f>
        <v>#REF!</v>
      </c>
      <c r="M164" s="43"/>
      <c r="N164" s="43"/>
      <c r="O164" s="43"/>
      <c r="P164" s="43"/>
      <c r="Q164" s="43"/>
      <c r="R164" s="43"/>
      <c r="S164" s="43"/>
      <c r="T164" s="43"/>
      <c r="U164" s="43"/>
      <c r="V164" s="43"/>
      <c r="W164" s="43"/>
      <c r="X164" s="43"/>
      <c r="Y164" s="43"/>
      <c r="Z164" s="43"/>
      <c r="AA164" s="43"/>
      <c r="AB164" s="43"/>
      <c r="AC164" s="43"/>
    </row>
    <row r="165">
      <c r="A165" s="41"/>
      <c r="B165" s="233" t="s">
        <v>817</v>
      </c>
      <c r="C165" s="70"/>
      <c r="D165" s="70"/>
      <c r="E165" s="60"/>
      <c r="F165" s="60"/>
      <c r="G165" s="242"/>
      <c r="H165" s="235"/>
      <c r="I165" s="235"/>
      <c r="J165" s="60"/>
      <c r="K165" s="60"/>
      <c r="L165" s="236" t="str">
        <f>L159*40%</f>
        <v>#REF!</v>
      </c>
      <c r="M165" s="43"/>
      <c r="N165" s="43"/>
      <c r="O165" s="43"/>
      <c r="P165" s="43"/>
      <c r="Q165" s="43"/>
      <c r="R165" s="43"/>
      <c r="S165" s="43"/>
      <c r="T165" s="43"/>
      <c r="U165" s="43"/>
      <c r="V165" s="43"/>
      <c r="W165" s="43"/>
      <c r="X165" s="43"/>
      <c r="Y165" s="43"/>
      <c r="Z165" s="43"/>
      <c r="AA165" s="43"/>
      <c r="AB165" s="43"/>
      <c r="AC165" s="43"/>
    </row>
    <row r="166">
      <c r="A166" s="41"/>
      <c r="B166" s="238" t="s">
        <v>704</v>
      </c>
      <c r="C166" s="224"/>
      <c r="D166" s="224"/>
      <c r="E166" s="224"/>
      <c r="F166" s="224"/>
      <c r="G166" s="239"/>
      <c r="H166" s="240"/>
      <c r="I166" s="240"/>
      <c r="J166" s="224"/>
      <c r="K166" s="224"/>
      <c r="L166" s="241" t="str">
        <f>SUM(L162:L165)</f>
        <v>#REF!</v>
      </c>
      <c r="M166" s="43"/>
      <c r="N166" s="43"/>
      <c r="O166" s="43"/>
      <c r="P166" s="43"/>
      <c r="Q166" s="43"/>
      <c r="R166" s="43"/>
      <c r="S166" s="43"/>
      <c r="T166" s="43"/>
      <c r="U166" s="43"/>
      <c r="V166" s="43"/>
      <c r="W166" s="43"/>
      <c r="X166" s="43"/>
      <c r="Y166" s="43"/>
      <c r="Z166" s="43"/>
      <c r="AA166" s="43"/>
      <c r="AB166" s="43"/>
      <c r="AC166" s="43"/>
    </row>
    <row r="167">
      <c r="A167" s="41"/>
      <c r="B167" s="227"/>
      <c r="C167" s="42"/>
      <c r="D167" s="42"/>
      <c r="E167" s="42"/>
      <c r="F167" s="42"/>
      <c r="G167" s="43"/>
      <c r="H167" s="43"/>
      <c r="I167" s="43"/>
      <c r="J167" s="42"/>
      <c r="K167" s="42"/>
      <c r="L167" s="43"/>
      <c r="M167" s="43"/>
      <c r="N167" s="43"/>
      <c r="O167" s="43"/>
      <c r="P167" s="43"/>
      <c r="Q167" s="43"/>
      <c r="R167" s="43"/>
      <c r="S167" s="43"/>
      <c r="T167" s="43"/>
      <c r="U167" s="43"/>
      <c r="V167" s="43"/>
      <c r="W167" s="43"/>
      <c r="X167" s="43"/>
      <c r="Y167" s="43"/>
      <c r="Z167" s="43"/>
      <c r="AA167" s="43"/>
      <c r="AB167" s="43"/>
      <c r="AC167" s="43"/>
    </row>
    <row r="168">
      <c r="A168" s="41"/>
      <c r="B168" s="227"/>
      <c r="C168" s="42"/>
      <c r="D168" s="42"/>
      <c r="E168" s="42"/>
      <c r="F168" s="42"/>
      <c r="G168" s="43"/>
      <c r="H168" s="43"/>
      <c r="I168" s="43"/>
      <c r="J168" s="42"/>
      <c r="K168" s="42"/>
      <c r="L168" s="43"/>
      <c r="M168" s="43"/>
      <c r="N168" s="43"/>
      <c r="O168" s="43"/>
      <c r="P168" s="43"/>
      <c r="Q168" s="43"/>
      <c r="R168" s="43"/>
      <c r="S168" s="43"/>
      <c r="T168" s="43"/>
      <c r="U168" s="43"/>
      <c r="V168" s="43"/>
      <c r="W168" s="43"/>
      <c r="X168" s="43"/>
      <c r="Y168" s="43"/>
      <c r="Z168" s="43"/>
      <c r="AA168" s="43"/>
      <c r="AB168" s="43"/>
      <c r="AC168" s="43"/>
    </row>
    <row r="169">
      <c r="A169" s="41"/>
      <c r="B169" s="227"/>
      <c r="C169" s="42"/>
      <c r="D169" s="42"/>
      <c r="E169" s="42"/>
      <c r="F169" s="42"/>
      <c r="G169" s="43"/>
      <c r="H169" s="43"/>
      <c r="I169" s="43"/>
      <c r="J169" s="42"/>
      <c r="K169" s="42"/>
      <c r="L169" s="43"/>
      <c r="M169" s="43"/>
      <c r="N169" s="43"/>
      <c r="O169" s="43"/>
      <c r="P169" s="43"/>
      <c r="Q169" s="43"/>
      <c r="R169" s="43"/>
      <c r="S169" s="43"/>
      <c r="T169" s="43"/>
      <c r="U169" s="43"/>
      <c r="V169" s="43"/>
      <c r="W169" s="43"/>
      <c r="X169" s="43"/>
      <c r="Y169" s="43"/>
      <c r="Z169" s="43"/>
      <c r="AA169" s="43"/>
      <c r="AB169" s="43"/>
      <c r="AC169" s="43"/>
    </row>
    <row r="170">
      <c r="A170" s="41"/>
      <c r="B170" s="227"/>
      <c r="C170" s="42"/>
      <c r="D170" s="42"/>
      <c r="E170" s="42"/>
      <c r="F170" s="42"/>
      <c r="G170" s="43"/>
      <c r="H170" s="43"/>
      <c r="I170" s="43"/>
      <c r="J170" s="42"/>
      <c r="K170" s="42"/>
      <c r="L170" s="43"/>
      <c r="M170" s="43"/>
      <c r="N170" s="43"/>
      <c r="O170" s="43"/>
      <c r="P170" s="43"/>
      <c r="Q170" s="43"/>
      <c r="R170" s="43"/>
      <c r="S170" s="43"/>
      <c r="T170" s="43"/>
      <c r="U170" s="43"/>
      <c r="V170" s="43"/>
      <c r="W170" s="43"/>
      <c r="X170" s="43"/>
      <c r="Y170" s="43"/>
      <c r="Z170" s="43"/>
      <c r="AA170" s="43"/>
      <c r="AB170" s="43"/>
      <c r="AC170" s="43"/>
    </row>
    <row r="171">
      <c r="A171" s="243" t="s">
        <v>818</v>
      </c>
      <c r="M171" s="43"/>
      <c r="N171" s="43"/>
      <c r="O171" s="43"/>
      <c r="P171" s="43"/>
      <c r="Q171" s="43"/>
      <c r="R171" s="43"/>
      <c r="S171" s="43"/>
      <c r="T171" s="43"/>
      <c r="U171" s="43"/>
      <c r="V171" s="43"/>
      <c r="W171" s="43"/>
      <c r="X171" s="43"/>
      <c r="Y171" s="43"/>
      <c r="Z171" s="43"/>
      <c r="AA171" s="43"/>
      <c r="AB171" s="43"/>
      <c r="AC171" s="43"/>
    </row>
    <row r="172">
      <c r="M172" s="43"/>
      <c r="N172" s="43"/>
      <c r="O172" s="43"/>
      <c r="P172" s="43"/>
      <c r="Q172" s="43"/>
      <c r="R172" s="43"/>
      <c r="S172" s="43"/>
      <c r="T172" s="43"/>
      <c r="U172" s="43"/>
      <c r="V172" s="43"/>
      <c r="W172" s="43"/>
      <c r="X172" s="43"/>
      <c r="Y172" s="43"/>
      <c r="Z172" s="43"/>
      <c r="AA172" s="43"/>
      <c r="AB172" s="43"/>
      <c r="AC172" s="43"/>
    </row>
    <row r="173">
      <c r="M173" s="43"/>
      <c r="N173" s="43"/>
      <c r="O173" s="43"/>
      <c r="P173" s="43"/>
      <c r="Q173" s="43"/>
      <c r="R173" s="43"/>
      <c r="S173" s="43"/>
      <c r="T173" s="43"/>
      <c r="U173" s="43"/>
      <c r="V173" s="43"/>
      <c r="W173" s="43"/>
      <c r="X173" s="43"/>
      <c r="Y173" s="43"/>
      <c r="Z173" s="43"/>
      <c r="AA173" s="43"/>
      <c r="AB173" s="43"/>
      <c r="AC173" s="43"/>
    </row>
    <row r="174">
      <c r="B174" s="108"/>
      <c r="Y174" s="13"/>
      <c r="Z174" s="13"/>
      <c r="AA174" s="13"/>
      <c r="AB174" s="13"/>
      <c r="AC174" s="13"/>
    </row>
    <row r="175">
      <c r="B175" s="108"/>
      <c r="Y175" s="13"/>
      <c r="Z175" s="13"/>
      <c r="AA175" s="13"/>
      <c r="AB175" s="13"/>
      <c r="AC175" s="13"/>
    </row>
    <row r="176">
      <c r="B176" s="108"/>
      <c r="Y176" s="13"/>
      <c r="Z176" s="13"/>
      <c r="AA176" s="13"/>
      <c r="AB176" s="13"/>
      <c r="AC176" s="13"/>
    </row>
    <row r="177">
      <c r="B177" s="108"/>
      <c r="Y177" s="13"/>
      <c r="Z177" s="13"/>
      <c r="AA177" s="13"/>
      <c r="AB177" s="13"/>
      <c r="AC177" s="13"/>
    </row>
    <row r="178">
      <c r="B178" s="108"/>
      <c r="Y178" s="13"/>
      <c r="Z178" s="13"/>
      <c r="AA178" s="13"/>
      <c r="AB178" s="13"/>
      <c r="AC178" s="13"/>
    </row>
    <row r="179">
      <c r="B179" s="108"/>
      <c r="Y179" s="13"/>
      <c r="Z179" s="13"/>
      <c r="AA179" s="13"/>
      <c r="AB179" s="13"/>
      <c r="AC179" s="13"/>
    </row>
    <row r="180">
      <c r="B180" s="108"/>
      <c r="Y180" s="13"/>
      <c r="Z180" s="13"/>
      <c r="AA180" s="13"/>
      <c r="AB180" s="13"/>
      <c r="AC180" s="13"/>
    </row>
    <row r="181">
      <c r="B181" s="108"/>
      <c r="Y181" s="13"/>
      <c r="Z181" s="13"/>
      <c r="AA181" s="13"/>
      <c r="AB181" s="13"/>
      <c r="AC181" s="13"/>
    </row>
    <row r="182">
      <c r="B182" s="108"/>
      <c r="Y182" s="13"/>
      <c r="Z182" s="13"/>
      <c r="AA182" s="13"/>
      <c r="AB182" s="13"/>
      <c r="AC182" s="13"/>
    </row>
    <row r="183">
      <c r="B183" s="108"/>
      <c r="Y183" s="13"/>
      <c r="Z183" s="13"/>
      <c r="AA183" s="13"/>
      <c r="AB183" s="13"/>
      <c r="AC183" s="13"/>
    </row>
    <row r="184">
      <c r="B184" s="108"/>
      <c r="Y184" s="13"/>
      <c r="Z184" s="13"/>
      <c r="AA184" s="13"/>
      <c r="AB184" s="13"/>
      <c r="AC184" s="13"/>
    </row>
    <row r="185">
      <c r="B185" s="108"/>
      <c r="Y185" s="13"/>
      <c r="Z185" s="13"/>
      <c r="AA185" s="13"/>
      <c r="AB185" s="13"/>
      <c r="AC185" s="13"/>
    </row>
    <row r="186">
      <c r="B186" s="108"/>
      <c r="Y186" s="13"/>
      <c r="Z186" s="13"/>
      <c r="AA186" s="13"/>
      <c r="AB186" s="13"/>
      <c r="AC186" s="13"/>
    </row>
    <row r="187">
      <c r="B187" s="108"/>
      <c r="Y187" s="13"/>
      <c r="Z187" s="13"/>
      <c r="AA187" s="13"/>
      <c r="AB187" s="13"/>
      <c r="AC187" s="13"/>
    </row>
    <row r="188">
      <c r="B188" s="108"/>
      <c r="Y188" s="13"/>
      <c r="Z188" s="13"/>
      <c r="AA188" s="13"/>
      <c r="AB188" s="13"/>
      <c r="AC188" s="13"/>
    </row>
    <row r="189">
      <c r="B189" s="108"/>
      <c r="Y189" s="13"/>
      <c r="Z189" s="13"/>
      <c r="AA189" s="13"/>
      <c r="AB189" s="13"/>
      <c r="AC189" s="13"/>
    </row>
    <row r="190">
      <c r="B190" s="108"/>
      <c r="Y190" s="13"/>
      <c r="Z190" s="13"/>
      <c r="AA190" s="13"/>
      <c r="AB190" s="13"/>
      <c r="AC190" s="13"/>
    </row>
    <row r="191">
      <c r="B191" s="108"/>
      <c r="Y191" s="13"/>
      <c r="Z191" s="13"/>
      <c r="AA191" s="13"/>
      <c r="AB191" s="13"/>
      <c r="AC191" s="13"/>
    </row>
    <row r="192">
      <c r="B192" s="108"/>
      <c r="Y192" s="13"/>
      <c r="Z192" s="13"/>
      <c r="AA192" s="13"/>
      <c r="AB192" s="13"/>
      <c r="AC192" s="13"/>
    </row>
    <row r="193">
      <c r="B193" s="108"/>
      <c r="Y193" s="13"/>
      <c r="Z193" s="13"/>
      <c r="AA193" s="13"/>
      <c r="AB193" s="13"/>
      <c r="AC193" s="13"/>
    </row>
    <row r="194">
      <c r="B194" s="108"/>
      <c r="Y194" s="13"/>
      <c r="Z194" s="13"/>
      <c r="AA194" s="13"/>
      <c r="AB194" s="13"/>
      <c r="AC194" s="13"/>
    </row>
    <row r="195">
      <c r="B195" s="108"/>
      <c r="Y195" s="13"/>
      <c r="Z195" s="13"/>
      <c r="AA195" s="13"/>
      <c r="AB195" s="13"/>
      <c r="AC195" s="13"/>
    </row>
    <row r="196">
      <c r="B196" s="108"/>
      <c r="Y196" s="13"/>
      <c r="Z196" s="13"/>
      <c r="AA196" s="13"/>
      <c r="AB196" s="13"/>
      <c r="AC196" s="13"/>
    </row>
    <row r="197">
      <c r="B197" s="108"/>
      <c r="Y197" s="13"/>
      <c r="Z197" s="13"/>
      <c r="AA197" s="13"/>
      <c r="AB197" s="13"/>
      <c r="AC197" s="13"/>
    </row>
    <row r="198">
      <c r="B198" s="108"/>
      <c r="Y198" s="13"/>
      <c r="Z198" s="13"/>
      <c r="AA198" s="13"/>
      <c r="AB198" s="13"/>
      <c r="AC198" s="13"/>
    </row>
    <row r="199">
      <c r="B199" s="108"/>
      <c r="Y199" s="13"/>
      <c r="Z199" s="13"/>
      <c r="AA199" s="13"/>
      <c r="AB199" s="13"/>
      <c r="AC199" s="13"/>
    </row>
    <row r="200">
      <c r="B200" s="108"/>
      <c r="Y200" s="13"/>
      <c r="Z200" s="13"/>
      <c r="AA200" s="13"/>
      <c r="AB200" s="13"/>
      <c r="AC200" s="13"/>
    </row>
    <row r="201">
      <c r="B201" s="108"/>
      <c r="Y201" s="13"/>
      <c r="Z201" s="13"/>
      <c r="AA201" s="13"/>
      <c r="AB201" s="13"/>
      <c r="AC201" s="13"/>
    </row>
    <row r="202">
      <c r="B202" s="108"/>
      <c r="Y202" s="13"/>
      <c r="Z202" s="13"/>
      <c r="AA202" s="13"/>
      <c r="AB202" s="13"/>
      <c r="AC202" s="13"/>
    </row>
    <row r="203">
      <c r="B203" s="108"/>
      <c r="Y203" s="13"/>
      <c r="Z203" s="13"/>
      <c r="AA203" s="13"/>
      <c r="AB203" s="13"/>
      <c r="AC203" s="13"/>
    </row>
    <row r="204">
      <c r="B204" s="108"/>
      <c r="Y204" s="13"/>
      <c r="Z204" s="13"/>
      <c r="AA204" s="13"/>
      <c r="AB204" s="13"/>
      <c r="AC204" s="13"/>
    </row>
    <row r="205">
      <c r="B205" s="108"/>
      <c r="Y205" s="13"/>
      <c r="Z205" s="13"/>
      <c r="AA205" s="13"/>
      <c r="AB205" s="13"/>
      <c r="AC205" s="13"/>
    </row>
    <row r="206">
      <c r="B206" s="108"/>
      <c r="Y206" s="13"/>
      <c r="Z206" s="13"/>
      <c r="AA206" s="13"/>
      <c r="AB206" s="13"/>
      <c r="AC206" s="13"/>
    </row>
    <row r="207">
      <c r="B207" s="108"/>
      <c r="Y207" s="13"/>
      <c r="Z207" s="13"/>
      <c r="AA207" s="13"/>
      <c r="AB207" s="13"/>
      <c r="AC207" s="13"/>
    </row>
    <row r="208">
      <c r="B208" s="108"/>
      <c r="Y208" s="13"/>
      <c r="Z208" s="13"/>
      <c r="AA208" s="13"/>
      <c r="AB208" s="13"/>
      <c r="AC208" s="13"/>
    </row>
    <row r="209">
      <c r="B209" s="108"/>
      <c r="Y209" s="13"/>
      <c r="Z209" s="13"/>
      <c r="AA209" s="13"/>
      <c r="AB209" s="13"/>
      <c r="AC209" s="13"/>
    </row>
    <row r="210">
      <c r="B210" s="108"/>
      <c r="Y210" s="13"/>
      <c r="Z210" s="13"/>
      <c r="AA210" s="13"/>
      <c r="AB210" s="13"/>
      <c r="AC210" s="13"/>
    </row>
    <row r="211">
      <c r="B211" s="108"/>
      <c r="Y211" s="13"/>
      <c r="Z211" s="13"/>
      <c r="AA211" s="13"/>
      <c r="AB211" s="13"/>
      <c r="AC211" s="13"/>
    </row>
    <row r="212">
      <c r="B212" s="108"/>
      <c r="Y212" s="13"/>
      <c r="Z212" s="13"/>
      <c r="AA212" s="13"/>
      <c r="AB212" s="13"/>
      <c r="AC212" s="13"/>
    </row>
    <row r="213">
      <c r="B213" s="108"/>
      <c r="Y213" s="13"/>
      <c r="Z213" s="13"/>
      <c r="AA213" s="13"/>
      <c r="AB213" s="13"/>
      <c r="AC213" s="13"/>
    </row>
    <row r="214">
      <c r="B214" s="108"/>
      <c r="Y214" s="13"/>
      <c r="Z214" s="13"/>
      <c r="AA214" s="13"/>
      <c r="AB214" s="13"/>
      <c r="AC214" s="13"/>
    </row>
    <row r="215">
      <c r="B215" s="108"/>
      <c r="Y215" s="13"/>
      <c r="Z215" s="13"/>
      <c r="AA215" s="13"/>
      <c r="AB215" s="13"/>
      <c r="AC215" s="13"/>
    </row>
    <row r="216">
      <c r="B216" s="108"/>
      <c r="Y216" s="13"/>
      <c r="Z216" s="13"/>
      <c r="AA216" s="13"/>
      <c r="AB216" s="13"/>
      <c r="AC216" s="13"/>
    </row>
    <row r="217">
      <c r="B217" s="108"/>
      <c r="Y217" s="13"/>
      <c r="Z217" s="13"/>
      <c r="AA217" s="13"/>
      <c r="AB217" s="13"/>
      <c r="AC217" s="13"/>
    </row>
    <row r="218">
      <c r="B218" s="108"/>
      <c r="Y218" s="13"/>
      <c r="Z218" s="13"/>
      <c r="AA218" s="13"/>
      <c r="AB218" s="13"/>
      <c r="AC218" s="13"/>
    </row>
    <row r="219">
      <c r="B219" s="108"/>
      <c r="Y219" s="13"/>
      <c r="Z219" s="13"/>
      <c r="AA219" s="13"/>
      <c r="AB219" s="13"/>
      <c r="AC219" s="13"/>
    </row>
    <row r="220">
      <c r="B220" s="108"/>
      <c r="Y220" s="13"/>
      <c r="Z220" s="13"/>
      <c r="AA220" s="13"/>
      <c r="AB220" s="13"/>
      <c r="AC220" s="13"/>
    </row>
    <row r="221">
      <c r="B221" s="108"/>
      <c r="Y221" s="13"/>
      <c r="Z221" s="13"/>
      <c r="AA221" s="13"/>
      <c r="AB221" s="13"/>
      <c r="AC221" s="13"/>
    </row>
    <row r="222">
      <c r="B222" s="108"/>
      <c r="Y222" s="13"/>
      <c r="Z222" s="13"/>
      <c r="AA222" s="13"/>
      <c r="AB222" s="13"/>
      <c r="AC222" s="13"/>
    </row>
    <row r="223">
      <c r="B223" s="108"/>
      <c r="Y223" s="13"/>
      <c r="Z223" s="13"/>
      <c r="AA223" s="13"/>
      <c r="AB223" s="13"/>
      <c r="AC223" s="13"/>
    </row>
    <row r="224">
      <c r="B224" s="108"/>
      <c r="Y224" s="13"/>
      <c r="Z224" s="13"/>
      <c r="AA224" s="13"/>
      <c r="AB224" s="13"/>
      <c r="AC224" s="13"/>
    </row>
    <row r="225">
      <c r="B225" s="108"/>
      <c r="Y225" s="13"/>
      <c r="Z225" s="13"/>
      <c r="AA225" s="13"/>
      <c r="AB225" s="13"/>
      <c r="AC225" s="13"/>
    </row>
    <row r="226">
      <c r="B226" s="108"/>
      <c r="Y226" s="13"/>
      <c r="Z226" s="13"/>
      <c r="AA226" s="13"/>
      <c r="AB226" s="13"/>
      <c r="AC226" s="13"/>
    </row>
    <row r="227">
      <c r="B227" s="108"/>
      <c r="Y227" s="13"/>
      <c r="Z227" s="13"/>
      <c r="AA227" s="13"/>
      <c r="AB227" s="13"/>
      <c r="AC227" s="13"/>
    </row>
    <row r="228">
      <c r="B228" s="108"/>
      <c r="Y228" s="13"/>
      <c r="Z228" s="13"/>
      <c r="AA228" s="13"/>
      <c r="AB228" s="13"/>
      <c r="AC228" s="13"/>
    </row>
    <row r="229">
      <c r="B229" s="108"/>
      <c r="Y229" s="13"/>
      <c r="Z229" s="13"/>
      <c r="AA229" s="13"/>
      <c r="AB229" s="13"/>
      <c r="AC229" s="13"/>
    </row>
    <row r="230">
      <c r="B230" s="108"/>
      <c r="Y230" s="13"/>
      <c r="Z230" s="13"/>
      <c r="AA230" s="13"/>
      <c r="AB230" s="13"/>
      <c r="AC230" s="13"/>
    </row>
    <row r="231">
      <c r="B231" s="108"/>
      <c r="Y231" s="13"/>
      <c r="Z231" s="13"/>
      <c r="AA231" s="13"/>
      <c r="AB231" s="13"/>
      <c r="AC231" s="13"/>
    </row>
    <row r="232">
      <c r="B232" s="108"/>
      <c r="Y232" s="13"/>
      <c r="Z232" s="13"/>
      <c r="AA232" s="13"/>
      <c r="AB232" s="13"/>
      <c r="AC232" s="13"/>
    </row>
    <row r="233">
      <c r="B233" s="108"/>
      <c r="Y233" s="13"/>
      <c r="Z233" s="13"/>
      <c r="AA233" s="13"/>
      <c r="AB233" s="13"/>
      <c r="AC233" s="13"/>
    </row>
    <row r="234">
      <c r="B234" s="108"/>
      <c r="Y234" s="13"/>
      <c r="Z234" s="13"/>
      <c r="AA234" s="13"/>
      <c r="AB234" s="13"/>
      <c r="AC234" s="13"/>
    </row>
    <row r="235">
      <c r="B235" s="108"/>
      <c r="Y235" s="13"/>
      <c r="Z235" s="13"/>
      <c r="AA235" s="13"/>
      <c r="AB235" s="13"/>
      <c r="AC235" s="13"/>
    </row>
    <row r="236">
      <c r="B236" s="108"/>
      <c r="Y236" s="13"/>
      <c r="Z236" s="13"/>
      <c r="AA236" s="13"/>
      <c r="AB236" s="13"/>
      <c r="AC236" s="13"/>
    </row>
    <row r="237">
      <c r="B237" s="108"/>
      <c r="Y237" s="13"/>
      <c r="Z237" s="13"/>
      <c r="AA237" s="13"/>
      <c r="AB237" s="13"/>
      <c r="AC237" s="13"/>
    </row>
    <row r="238">
      <c r="B238" s="108"/>
      <c r="Y238" s="13"/>
      <c r="Z238" s="13"/>
      <c r="AA238" s="13"/>
      <c r="AB238" s="13"/>
      <c r="AC238" s="13"/>
    </row>
    <row r="239">
      <c r="B239" s="108"/>
      <c r="Y239" s="13"/>
      <c r="Z239" s="13"/>
      <c r="AA239" s="13"/>
      <c r="AB239" s="13"/>
      <c r="AC239" s="13"/>
    </row>
    <row r="240">
      <c r="B240" s="108"/>
      <c r="Y240" s="13"/>
      <c r="Z240" s="13"/>
      <c r="AA240" s="13"/>
      <c r="AB240" s="13"/>
      <c r="AC240" s="13"/>
    </row>
    <row r="241">
      <c r="B241" s="108"/>
      <c r="Y241" s="13"/>
      <c r="Z241" s="13"/>
      <c r="AA241" s="13"/>
      <c r="AB241" s="13"/>
      <c r="AC241" s="13"/>
    </row>
    <row r="242">
      <c r="B242" s="108"/>
      <c r="Y242" s="13"/>
      <c r="Z242" s="13"/>
      <c r="AA242" s="13"/>
      <c r="AB242" s="13"/>
      <c r="AC242" s="13"/>
    </row>
    <row r="243">
      <c r="B243" s="108"/>
      <c r="Y243" s="13"/>
      <c r="Z243" s="13"/>
      <c r="AA243" s="13"/>
      <c r="AB243" s="13"/>
      <c r="AC243" s="13"/>
    </row>
    <row r="244">
      <c r="B244" s="108"/>
      <c r="Y244" s="13"/>
      <c r="Z244" s="13"/>
      <c r="AA244" s="13"/>
      <c r="AB244" s="13"/>
      <c r="AC244" s="13"/>
    </row>
    <row r="245">
      <c r="B245" s="108"/>
      <c r="Y245" s="13"/>
      <c r="Z245" s="13"/>
      <c r="AA245" s="13"/>
      <c r="AB245" s="13"/>
      <c r="AC245" s="13"/>
    </row>
    <row r="246">
      <c r="B246" s="108"/>
      <c r="Y246" s="13"/>
      <c r="Z246" s="13"/>
      <c r="AA246" s="13"/>
      <c r="AB246" s="13"/>
      <c r="AC246" s="13"/>
    </row>
    <row r="247">
      <c r="B247" s="108"/>
      <c r="Y247" s="13"/>
      <c r="Z247" s="13"/>
      <c r="AA247" s="13"/>
      <c r="AB247" s="13"/>
      <c r="AC247" s="13"/>
    </row>
    <row r="248">
      <c r="B248" s="108"/>
      <c r="Y248" s="13"/>
      <c r="Z248" s="13"/>
      <c r="AA248" s="13"/>
      <c r="AB248" s="13"/>
      <c r="AC248" s="13"/>
    </row>
    <row r="249">
      <c r="B249" s="108"/>
      <c r="Y249" s="13"/>
      <c r="Z249" s="13"/>
      <c r="AA249" s="13"/>
      <c r="AB249" s="13"/>
      <c r="AC249" s="13"/>
    </row>
    <row r="250">
      <c r="B250" s="108"/>
      <c r="Y250" s="13"/>
      <c r="Z250" s="13"/>
      <c r="AA250" s="13"/>
      <c r="AB250" s="13"/>
      <c r="AC250" s="13"/>
    </row>
    <row r="251">
      <c r="B251" s="108"/>
      <c r="Y251" s="13"/>
      <c r="Z251" s="13"/>
      <c r="AA251" s="13"/>
      <c r="AB251" s="13"/>
      <c r="AC251" s="13"/>
    </row>
    <row r="252">
      <c r="B252" s="108"/>
      <c r="Y252" s="13"/>
      <c r="Z252" s="13"/>
      <c r="AA252" s="13"/>
      <c r="AB252" s="13"/>
      <c r="AC252" s="13"/>
    </row>
    <row r="253">
      <c r="B253" s="108"/>
      <c r="Y253" s="13"/>
      <c r="Z253" s="13"/>
      <c r="AA253" s="13"/>
      <c r="AB253" s="13"/>
      <c r="AC253" s="13"/>
    </row>
    <row r="254">
      <c r="B254" s="108"/>
      <c r="Y254" s="13"/>
      <c r="Z254" s="13"/>
      <c r="AA254" s="13"/>
      <c r="AB254" s="13"/>
      <c r="AC254" s="13"/>
    </row>
    <row r="255">
      <c r="B255" s="108"/>
      <c r="Y255" s="13"/>
      <c r="Z255" s="13"/>
      <c r="AA255" s="13"/>
      <c r="AB255" s="13"/>
      <c r="AC255" s="13"/>
    </row>
    <row r="256">
      <c r="B256" s="108"/>
      <c r="Y256" s="13"/>
      <c r="Z256" s="13"/>
      <c r="AA256" s="13"/>
      <c r="AB256" s="13"/>
      <c r="AC256" s="13"/>
    </row>
    <row r="257">
      <c r="B257" s="108"/>
      <c r="Y257" s="13"/>
      <c r="Z257" s="13"/>
      <c r="AA257" s="13"/>
      <c r="AB257" s="13"/>
      <c r="AC257" s="13"/>
    </row>
    <row r="258">
      <c r="B258" s="108"/>
      <c r="Y258" s="13"/>
      <c r="Z258" s="13"/>
      <c r="AA258" s="13"/>
      <c r="AB258" s="13"/>
      <c r="AC258" s="13"/>
    </row>
    <row r="259">
      <c r="B259" s="108"/>
      <c r="Y259" s="13"/>
      <c r="Z259" s="13"/>
      <c r="AA259" s="13"/>
      <c r="AB259" s="13"/>
      <c r="AC259" s="13"/>
    </row>
    <row r="260">
      <c r="B260" s="108"/>
      <c r="Y260" s="13"/>
      <c r="Z260" s="13"/>
      <c r="AA260" s="13"/>
      <c r="AB260" s="13"/>
      <c r="AC260" s="13"/>
    </row>
    <row r="261">
      <c r="B261" s="108"/>
      <c r="Y261" s="13"/>
      <c r="Z261" s="13"/>
      <c r="AA261" s="13"/>
      <c r="AB261" s="13"/>
      <c r="AC261" s="13"/>
    </row>
    <row r="262">
      <c r="B262" s="108"/>
      <c r="Y262" s="13"/>
      <c r="Z262" s="13"/>
      <c r="AA262" s="13"/>
      <c r="AB262" s="13"/>
      <c r="AC262" s="13"/>
    </row>
    <row r="263">
      <c r="B263" s="108"/>
      <c r="Y263" s="13"/>
      <c r="Z263" s="13"/>
      <c r="AA263" s="13"/>
      <c r="AB263" s="13"/>
      <c r="AC263" s="13"/>
    </row>
    <row r="264">
      <c r="B264" s="108"/>
      <c r="Y264" s="13"/>
      <c r="Z264" s="13"/>
      <c r="AA264" s="13"/>
      <c r="AB264" s="13"/>
      <c r="AC264" s="13"/>
    </row>
    <row r="265">
      <c r="B265" s="108"/>
      <c r="Y265" s="13"/>
      <c r="Z265" s="13"/>
      <c r="AA265" s="13"/>
      <c r="AB265" s="13"/>
      <c r="AC265" s="13"/>
    </row>
    <row r="266">
      <c r="B266" s="108"/>
      <c r="Y266" s="13"/>
      <c r="Z266" s="13"/>
      <c r="AA266" s="13"/>
      <c r="AB266" s="13"/>
      <c r="AC266" s="13"/>
    </row>
    <row r="267">
      <c r="B267" s="108"/>
      <c r="Y267" s="13"/>
      <c r="Z267" s="13"/>
      <c r="AA267" s="13"/>
      <c r="AB267" s="13"/>
      <c r="AC267" s="13"/>
    </row>
    <row r="268">
      <c r="B268" s="108"/>
      <c r="Y268" s="13"/>
      <c r="Z268" s="13"/>
      <c r="AA268" s="13"/>
      <c r="AB268" s="13"/>
      <c r="AC268" s="13"/>
    </row>
    <row r="269">
      <c r="B269" s="108"/>
      <c r="Y269" s="13"/>
      <c r="Z269" s="13"/>
      <c r="AA269" s="13"/>
      <c r="AB269" s="13"/>
      <c r="AC269" s="13"/>
    </row>
    <row r="270">
      <c r="B270" s="108"/>
      <c r="Y270" s="13"/>
      <c r="Z270" s="13"/>
      <c r="AA270" s="13"/>
      <c r="AB270" s="13"/>
      <c r="AC270" s="13"/>
    </row>
    <row r="271">
      <c r="B271" s="108"/>
      <c r="Y271" s="13"/>
      <c r="Z271" s="13"/>
      <c r="AA271" s="13"/>
      <c r="AB271" s="13"/>
      <c r="AC271" s="13"/>
    </row>
    <row r="272">
      <c r="B272" s="108"/>
      <c r="Y272" s="13"/>
      <c r="Z272" s="13"/>
      <c r="AA272" s="13"/>
      <c r="AB272" s="13"/>
      <c r="AC272" s="13"/>
    </row>
    <row r="273">
      <c r="B273" s="108"/>
      <c r="Y273" s="13"/>
      <c r="Z273" s="13"/>
      <c r="AA273" s="13"/>
      <c r="AB273" s="13"/>
      <c r="AC273" s="13"/>
    </row>
    <row r="274">
      <c r="B274" s="108"/>
      <c r="Y274" s="13"/>
      <c r="Z274" s="13"/>
      <c r="AA274" s="13"/>
      <c r="AB274" s="13"/>
      <c r="AC274" s="13"/>
    </row>
    <row r="275">
      <c r="B275" s="108"/>
      <c r="Y275" s="13"/>
      <c r="Z275" s="13"/>
      <c r="AA275" s="13"/>
      <c r="AB275" s="13"/>
      <c r="AC275" s="13"/>
    </row>
    <row r="276">
      <c r="B276" s="108"/>
      <c r="Y276" s="13"/>
      <c r="Z276" s="13"/>
      <c r="AA276" s="13"/>
      <c r="AB276" s="13"/>
      <c r="AC276" s="13"/>
    </row>
    <row r="277">
      <c r="B277" s="108"/>
      <c r="Y277" s="13"/>
      <c r="Z277" s="13"/>
      <c r="AA277" s="13"/>
      <c r="AB277" s="13"/>
      <c r="AC277" s="13"/>
    </row>
    <row r="278">
      <c r="B278" s="108"/>
      <c r="Y278" s="13"/>
      <c r="Z278" s="13"/>
      <c r="AA278" s="13"/>
      <c r="AB278" s="13"/>
      <c r="AC278" s="13"/>
    </row>
    <row r="279">
      <c r="B279" s="108"/>
      <c r="Y279" s="13"/>
      <c r="Z279" s="13"/>
      <c r="AA279" s="13"/>
      <c r="AB279" s="13"/>
      <c r="AC279" s="13"/>
    </row>
    <row r="280">
      <c r="B280" s="108"/>
      <c r="Y280" s="13"/>
      <c r="Z280" s="13"/>
      <c r="AA280" s="13"/>
      <c r="AB280" s="13"/>
      <c r="AC280" s="13"/>
    </row>
    <row r="281">
      <c r="B281" s="108"/>
      <c r="Y281" s="13"/>
      <c r="Z281" s="13"/>
      <c r="AA281" s="13"/>
      <c r="AB281" s="13"/>
      <c r="AC281" s="13"/>
    </row>
    <row r="282">
      <c r="B282" s="108"/>
      <c r="Y282" s="13"/>
      <c r="Z282" s="13"/>
      <c r="AA282" s="13"/>
      <c r="AB282" s="13"/>
      <c r="AC282" s="13"/>
    </row>
    <row r="283">
      <c r="B283" s="108"/>
      <c r="Y283" s="13"/>
      <c r="Z283" s="13"/>
      <c r="AA283" s="13"/>
      <c r="AB283" s="13"/>
      <c r="AC283" s="13"/>
    </row>
    <row r="284">
      <c r="B284" s="108"/>
      <c r="Y284" s="13"/>
      <c r="Z284" s="13"/>
      <c r="AA284" s="13"/>
      <c r="AB284" s="13"/>
      <c r="AC284" s="13"/>
    </row>
    <row r="285">
      <c r="B285" s="108"/>
      <c r="Y285" s="13"/>
      <c r="Z285" s="13"/>
      <c r="AA285" s="13"/>
      <c r="AB285" s="13"/>
      <c r="AC285" s="13"/>
    </row>
    <row r="286">
      <c r="B286" s="108"/>
      <c r="Y286" s="13"/>
      <c r="Z286" s="13"/>
      <c r="AA286" s="13"/>
      <c r="AB286" s="13"/>
      <c r="AC286" s="13"/>
    </row>
    <row r="287">
      <c r="B287" s="108"/>
      <c r="Y287" s="13"/>
      <c r="Z287" s="13"/>
      <c r="AA287" s="13"/>
      <c r="AB287" s="13"/>
      <c r="AC287" s="13"/>
    </row>
    <row r="288">
      <c r="B288" s="108"/>
      <c r="Y288" s="13"/>
      <c r="Z288" s="13"/>
      <c r="AA288" s="13"/>
      <c r="AB288" s="13"/>
      <c r="AC288" s="13"/>
    </row>
    <row r="289">
      <c r="B289" s="108"/>
      <c r="Y289" s="13"/>
      <c r="Z289" s="13"/>
      <c r="AA289" s="13"/>
      <c r="AB289" s="13"/>
      <c r="AC289" s="13"/>
    </row>
    <row r="290">
      <c r="B290" s="108"/>
      <c r="Y290" s="13"/>
      <c r="Z290" s="13"/>
      <c r="AA290" s="13"/>
      <c r="AB290" s="13"/>
      <c r="AC290" s="13"/>
    </row>
    <row r="291">
      <c r="B291" s="108"/>
      <c r="Y291" s="13"/>
      <c r="Z291" s="13"/>
      <c r="AA291" s="13"/>
      <c r="AB291" s="13"/>
      <c r="AC291" s="13"/>
    </row>
    <row r="292">
      <c r="B292" s="108"/>
      <c r="Y292" s="13"/>
      <c r="Z292" s="13"/>
      <c r="AA292" s="13"/>
      <c r="AB292" s="13"/>
      <c r="AC292" s="13"/>
    </row>
    <row r="293">
      <c r="B293" s="108"/>
      <c r="Y293" s="13"/>
      <c r="Z293" s="13"/>
      <c r="AA293" s="13"/>
      <c r="AB293" s="13"/>
      <c r="AC293" s="13"/>
    </row>
    <row r="294">
      <c r="B294" s="108"/>
      <c r="Y294" s="13"/>
      <c r="Z294" s="13"/>
      <c r="AA294" s="13"/>
      <c r="AB294" s="13"/>
      <c r="AC294" s="13"/>
    </row>
    <row r="295">
      <c r="B295" s="108"/>
      <c r="Y295" s="13"/>
      <c r="Z295" s="13"/>
      <c r="AA295" s="13"/>
      <c r="AB295" s="13"/>
      <c r="AC295" s="13"/>
    </row>
    <row r="296">
      <c r="B296" s="108"/>
      <c r="Y296" s="13"/>
      <c r="Z296" s="13"/>
      <c r="AA296" s="13"/>
      <c r="AB296" s="13"/>
      <c r="AC296" s="13"/>
    </row>
    <row r="297">
      <c r="B297" s="108"/>
      <c r="Y297" s="13"/>
      <c r="Z297" s="13"/>
      <c r="AA297" s="13"/>
      <c r="AB297" s="13"/>
      <c r="AC297" s="13"/>
    </row>
    <row r="298">
      <c r="B298" s="108"/>
      <c r="Y298" s="13"/>
      <c r="Z298" s="13"/>
      <c r="AA298" s="13"/>
      <c r="AB298" s="13"/>
      <c r="AC298" s="13"/>
    </row>
    <row r="299">
      <c r="B299" s="108"/>
      <c r="Y299" s="13"/>
      <c r="Z299" s="13"/>
      <c r="AA299" s="13"/>
      <c r="AB299" s="13"/>
      <c r="AC299" s="13"/>
    </row>
    <row r="300">
      <c r="B300" s="108"/>
      <c r="Y300" s="13"/>
      <c r="Z300" s="13"/>
      <c r="AA300" s="13"/>
      <c r="AB300" s="13"/>
      <c r="AC300" s="13"/>
    </row>
    <row r="301">
      <c r="B301" s="108"/>
      <c r="Y301" s="13"/>
      <c r="Z301" s="13"/>
      <c r="AA301" s="13"/>
      <c r="AB301" s="13"/>
      <c r="AC301" s="13"/>
    </row>
    <row r="302">
      <c r="B302" s="108"/>
      <c r="Y302" s="13"/>
      <c r="Z302" s="13"/>
      <c r="AA302" s="13"/>
      <c r="AB302" s="13"/>
      <c r="AC302" s="13"/>
    </row>
    <row r="303">
      <c r="B303" s="108"/>
      <c r="Y303" s="13"/>
      <c r="Z303" s="13"/>
      <c r="AA303" s="13"/>
      <c r="AB303" s="13"/>
      <c r="AC303" s="13"/>
    </row>
    <row r="304">
      <c r="B304" s="108"/>
      <c r="Y304" s="13"/>
      <c r="Z304" s="13"/>
      <c r="AA304" s="13"/>
      <c r="AB304" s="13"/>
      <c r="AC304" s="13"/>
    </row>
    <row r="305">
      <c r="B305" s="108"/>
      <c r="Y305" s="13"/>
      <c r="Z305" s="13"/>
      <c r="AA305" s="13"/>
      <c r="AB305" s="13"/>
      <c r="AC305" s="13"/>
    </row>
    <row r="306">
      <c r="B306" s="108"/>
      <c r="Y306" s="13"/>
      <c r="Z306" s="13"/>
      <c r="AA306" s="13"/>
      <c r="AB306" s="13"/>
      <c r="AC306" s="13"/>
    </row>
    <row r="307">
      <c r="B307" s="108"/>
      <c r="Y307" s="13"/>
      <c r="Z307" s="13"/>
      <c r="AA307" s="13"/>
      <c r="AB307" s="13"/>
      <c r="AC307" s="13"/>
    </row>
    <row r="308">
      <c r="B308" s="108"/>
      <c r="Y308" s="13"/>
      <c r="Z308" s="13"/>
      <c r="AA308" s="13"/>
      <c r="AB308" s="13"/>
      <c r="AC308" s="13"/>
    </row>
    <row r="309">
      <c r="B309" s="108"/>
      <c r="Y309" s="13"/>
      <c r="Z309" s="13"/>
      <c r="AA309" s="13"/>
      <c r="AB309" s="13"/>
      <c r="AC309" s="13"/>
    </row>
    <row r="310">
      <c r="B310" s="108"/>
      <c r="Y310" s="13"/>
      <c r="Z310" s="13"/>
      <c r="AA310" s="13"/>
      <c r="AB310" s="13"/>
      <c r="AC310" s="13"/>
    </row>
    <row r="311">
      <c r="B311" s="108"/>
      <c r="Y311" s="13"/>
      <c r="Z311" s="13"/>
      <c r="AA311" s="13"/>
      <c r="AB311" s="13"/>
      <c r="AC311" s="13"/>
    </row>
    <row r="312">
      <c r="B312" s="108"/>
      <c r="Y312" s="13"/>
      <c r="Z312" s="13"/>
      <c r="AA312" s="13"/>
      <c r="AB312" s="13"/>
      <c r="AC312" s="13"/>
    </row>
    <row r="313">
      <c r="B313" s="108"/>
      <c r="Y313" s="13"/>
      <c r="Z313" s="13"/>
      <c r="AA313" s="13"/>
      <c r="AB313" s="13"/>
      <c r="AC313" s="13"/>
    </row>
    <row r="314">
      <c r="B314" s="108"/>
      <c r="Y314" s="13"/>
      <c r="Z314" s="13"/>
      <c r="AA314" s="13"/>
      <c r="AB314" s="13"/>
      <c r="AC314" s="13"/>
    </row>
    <row r="315">
      <c r="B315" s="108"/>
      <c r="Y315" s="13"/>
      <c r="Z315" s="13"/>
      <c r="AA315" s="13"/>
      <c r="AB315" s="13"/>
      <c r="AC315" s="13"/>
    </row>
    <row r="316">
      <c r="B316" s="108"/>
      <c r="Y316" s="13"/>
      <c r="Z316" s="13"/>
      <c r="AA316" s="13"/>
      <c r="AB316" s="13"/>
      <c r="AC316" s="13"/>
    </row>
    <row r="317">
      <c r="B317" s="108"/>
      <c r="Y317" s="13"/>
      <c r="Z317" s="13"/>
      <c r="AA317" s="13"/>
      <c r="AB317" s="13"/>
      <c r="AC317" s="13"/>
    </row>
    <row r="318">
      <c r="B318" s="108"/>
      <c r="Y318" s="13"/>
      <c r="Z318" s="13"/>
      <c r="AA318" s="13"/>
      <c r="AB318" s="13"/>
      <c r="AC318" s="13"/>
    </row>
    <row r="319">
      <c r="B319" s="108"/>
      <c r="Y319" s="13"/>
      <c r="Z319" s="13"/>
      <c r="AA319" s="13"/>
      <c r="AB319" s="13"/>
      <c r="AC319" s="13"/>
    </row>
    <row r="320">
      <c r="B320" s="108"/>
      <c r="Y320" s="13"/>
      <c r="Z320" s="13"/>
      <c r="AA320" s="13"/>
      <c r="AB320" s="13"/>
      <c r="AC320" s="13"/>
    </row>
    <row r="321">
      <c r="B321" s="108"/>
      <c r="Y321" s="13"/>
      <c r="Z321" s="13"/>
      <c r="AA321" s="13"/>
      <c r="AB321" s="13"/>
      <c r="AC321" s="13"/>
    </row>
    <row r="322">
      <c r="B322" s="108"/>
      <c r="Y322" s="13"/>
      <c r="Z322" s="13"/>
      <c r="AA322" s="13"/>
      <c r="AB322" s="13"/>
      <c r="AC322" s="13"/>
    </row>
    <row r="323">
      <c r="B323" s="108"/>
      <c r="Y323" s="13"/>
      <c r="Z323" s="13"/>
      <c r="AA323" s="13"/>
      <c r="AB323" s="13"/>
      <c r="AC323" s="13"/>
    </row>
    <row r="324">
      <c r="B324" s="108"/>
      <c r="Y324" s="13"/>
      <c r="Z324" s="13"/>
      <c r="AA324" s="13"/>
      <c r="AB324" s="13"/>
      <c r="AC324" s="13"/>
    </row>
    <row r="325">
      <c r="B325" s="108"/>
      <c r="Y325" s="13"/>
      <c r="Z325" s="13"/>
      <c r="AA325" s="13"/>
      <c r="AB325" s="13"/>
      <c r="AC325" s="13"/>
    </row>
    <row r="326">
      <c r="B326" s="108"/>
      <c r="Y326" s="13"/>
      <c r="Z326" s="13"/>
      <c r="AA326" s="13"/>
      <c r="AB326" s="13"/>
      <c r="AC326" s="13"/>
    </row>
    <row r="327">
      <c r="B327" s="108"/>
      <c r="Y327" s="13"/>
      <c r="Z327" s="13"/>
      <c r="AA327" s="13"/>
      <c r="AB327" s="13"/>
      <c r="AC327" s="13"/>
    </row>
    <row r="328">
      <c r="B328" s="108"/>
      <c r="Y328" s="13"/>
      <c r="Z328" s="13"/>
      <c r="AA328" s="13"/>
      <c r="AB328" s="13"/>
      <c r="AC328" s="13"/>
    </row>
    <row r="329">
      <c r="B329" s="108"/>
      <c r="Y329" s="13"/>
      <c r="Z329" s="13"/>
      <c r="AA329" s="13"/>
      <c r="AB329" s="13"/>
      <c r="AC329" s="13"/>
    </row>
    <row r="330">
      <c r="B330" s="108"/>
      <c r="Y330" s="13"/>
      <c r="Z330" s="13"/>
      <c r="AA330" s="13"/>
      <c r="AB330" s="13"/>
      <c r="AC330" s="13"/>
    </row>
    <row r="331">
      <c r="B331" s="108"/>
      <c r="Y331" s="13"/>
      <c r="Z331" s="13"/>
      <c r="AA331" s="13"/>
      <c r="AB331" s="13"/>
      <c r="AC331" s="13"/>
    </row>
    <row r="332">
      <c r="B332" s="108"/>
      <c r="Y332" s="13"/>
      <c r="Z332" s="13"/>
      <c r="AA332" s="13"/>
      <c r="AB332" s="13"/>
      <c r="AC332" s="13"/>
    </row>
    <row r="333">
      <c r="B333" s="108"/>
      <c r="Y333" s="13"/>
      <c r="Z333" s="13"/>
      <c r="AA333" s="13"/>
      <c r="AB333" s="13"/>
      <c r="AC333" s="13"/>
    </row>
    <row r="334">
      <c r="B334" s="108"/>
      <c r="Y334" s="13"/>
      <c r="Z334" s="13"/>
      <c r="AA334" s="13"/>
      <c r="AB334" s="13"/>
      <c r="AC334" s="13"/>
    </row>
    <row r="335">
      <c r="B335" s="108"/>
      <c r="Y335" s="13"/>
      <c r="Z335" s="13"/>
      <c r="AA335" s="13"/>
      <c r="AB335" s="13"/>
      <c r="AC335" s="13"/>
    </row>
    <row r="336">
      <c r="B336" s="108"/>
      <c r="Y336" s="13"/>
      <c r="Z336" s="13"/>
      <c r="AA336" s="13"/>
      <c r="AB336" s="13"/>
      <c r="AC336" s="13"/>
    </row>
    <row r="337">
      <c r="B337" s="108"/>
      <c r="Y337" s="13"/>
      <c r="Z337" s="13"/>
      <c r="AA337" s="13"/>
      <c r="AB337" s="13"/>
      <c r="AC337" s="13"/>
    </row>
    <row r="338">
      <c r="B338" s="108"/>
      <c r="Y338" s="13"/>
      <c r="Z338" s="13"/>
      <c r="AA338" s="13"/>
      <c r="AB338" s="13"/>
      <c r="AC338" s="13"/>
    </row>
    <row r="339">
      <c r="B339" s="108"/>
      <c r="Y339" s="13"/>
      <c r="Z339" s="13"/>
      <c r="AA339" s="13"/>
      <c r="AB339" s="13"/>
      <c r="AC339" s="13"/>
    </row>
    <row r="340">
      <c r="B340" s="108"/>
      <c r="Y340" s="13"/>
      <c r="Z340" s="13"/>
      <c r="AA340" s="13"/>
      <c r="AB340" s="13"/>
      <c r="AC340" s="13"/>
    </row>
    <row r="341">
      <c r="B341" s="108"/>
      <c r="Y341" s="13"/>
      <c r="Z341" s="13"/>
      <c r="AA341" s="13"/>
      <c r="AB341" s="13"/>
      <c r="AC341" s="13"/>
    </row>
    <row r="342">
      <c r="B342" s="108"/>
      <c r="Y342" s="13"/>
      <c r="Z342" s="13"/>
      <c r="AA342" s="13"/>
      <c r="AB342" s="13"/>
      <c r="AC342" s="13"/>
    </row>
    <row r="343">
      <c r="B343" s="108"/>
      <c r="Y343" s="13"/>
      <c r="Z343" s="13"/>
      <c r="AA343" s="13"/>
      <c r="AB343" s="13"/>
      <c r="AC343" s="13"/>
    </row>
    <row r="344">
      <c r="B344" s="108"/>
      <c r="Y344" s="13"/>
      <c r="Z344" s="13"/>
      <c r="AA344" s="13"/>
      <c r="AB344" s="13"/>
      <c r="AC344" s="13"/>
    </row>
    <row r="345">
      <c r="B345" s="108"/>
      <c r="Y345" s="13"/>
      <c r="Z345" s="13"/>
      <c r="AA345" s="13"/>
      <c r="AB345" s="13"/>
      <c r="AC345" s="13"/>
    </row>
    <row r="346">
      <c r="B346" s="108"/>
      <c r="Y346" s="13"/>
      <c r="Z346" s="13"/>
      <c r="AA346" s="13"/>
      <c r="AB346" s="13"/>
      <c r="AC346" s="13"/>
    </row>
    <row r="347">
      <c r="B347" s="108"/>
      <c r="Y347" s="13"/>
      <c r="Z347" s="13"/>
      <c r="AA347" s="13"/>
      <c r="AB347" s="13"/>
      <c r="AC347" s="13"/>
    </row>
    <row r="348">
      <c r="B348" s="108"/>
      <c r="Y348" s="13"/>
      <c r="Z348" s="13"/>
      <c r="AA348" s="13"/>
      <c r="AB348" s="13"/>
      <c r="AC348" s="13"/>
    </row>
    <row r="349">
      <c r="B349" s="108"/>
      <c r="Y349" s="13"/>
      <c r="Z349" s="13"/>
      <c r="AA349" s="13"/>
      <c r="AB349" s="13"/>
      <c r="AC349" s="13"/>
    </row>
    <row r="350">
      <c r="B350" s="108"/>
      <c r="Y350" s="13"/>
      <c r="Z350" s="13"/>
      <c r="AA350" s="13"/>
      <c r="AB350" s="13"/>
      <c r="AC350" s="13"/>
    </row>
    <row r="351">
      <c r="B351" s="108"/>
      <c r="Y351" s="13"/>
      <c r="Z351" s="13"/>
      <c r="AA351" s="13"/>
      <c r="AB351" s="13"/>
      <c r="AC351" s="13"/>
    </row>
    <row r="352">
      <c r="B352" s="108"/>
      <c r="Y352" s="13"/>
      <c r="Z352" s="13"/>
      <c r="AA352" s="13"/>
      <c r="AB352" s="13"/>
      <c r="AC352" s="13"/>
    </row>
    <row r="353">
      <c r="B353" s="108"/>
      <c r="Y353" s="13"/>
      <c r="Z353" s="13"/>
      <c r="AA353" s="13"/>
      <c r="AB353" s="13"/>
      <c r="AC353" s="13"/>
    </row>
    <row r="354">
      <c r="B354" s="108"/>
      <c r="Y354" s="13"/>
      <c r="Z354" s="13"/>
      <c r="AA354" s="13"/>
      <c r="AB354" s="13"/>
      <c r="AC354" s="13"/>
    </row>
    <row r="355">
      <c r="B355" s="108"/>
      <c r="Y355" s="13"/>
      <c r="Z355" s="13"/>
      <c r="AA355" s="13"/>
      <c r="AB355" s="13"/>
      <c r="AC355" s="13"/>
    </row>
    <row r="356">
      <c r="B356" s="108"/>
      <c r="Y356" s="13"/>
      <c r="Z356" s="13"/>
      <c r="AA356" s="13"/>
      <c r="AB356" s="13"/>
      <c r="AC356" s="13"/>
    </row>
    <row r="357">
      <c r="B357" s="108"/>
      <c r="Y357" s="13"/>
      <c r="Z357" s="13"/>
      <c r="AA357" s="13"/>
      <c r="AB357" s="13"/>
      <c r="AC357" s="13"/>
    </row>
    <row r="358">
      <c r="B358" s="108"/>
      <c r="Y358" s="13"/>
      <c r="Z358" s="13"/>
      <c r="AA358" s="13"/>
      <c r="AB358" s="13"/>
      <c r="AC358" s="13"/>
    </row>
    <row r="359">
      <c r="B359" s="108"/>
      <c r="Y359" s="13"/>
      <c r="Z359" s="13"/>
      <c r="AA359" s="13"/>
      <c r="AB359" s="13"/>
      <c r="AC359" s="13"/>
    </row>
    <row r="360">
      <c r="B360" s="108"/>
      <c r="Y360" s="13"/>
      <c r="Z360" s="13"/>
      <c r="AA360" s="13"/>
      <c r="AB360" s="13"/>
      <c r="AC360" s="13"/>
    </row>
    <row r="361">
      <c r="B361" s="108"/>
      <c r="Y361" s="13"/>
      <c r="Z361" s="13"/>
      <c r="AA361" s="13"/>
      <c r="AB361" s="13"/>
      <c r="AC361" s="13"/>
    </row>
    <row r="362">
      <c r="B362" s="108"/>
      <c r="Y362" s="13"/>
      <c r="Z362" s="13"/>
      <c r="AA362" s="13"/>
      <c r="AB362" s="13"/>
      <c r="AC362" s="13"/>
    </row>
    <row r="363">
      <c r="B363" s="108"/>
      <c r="Y363" s="13"/>
      <c r="Z363" s="13"/>
      <c r="AA363" s="13"/>
      <c r="AB363" s="13"/>
      <c r="AC363" s="13"/>
    </row>
    <row r="364">
      <c r="B364" s="108"/>
      <c r="Y364" s="13"/>
      <c r="Z364" s="13"/>
      <c r="AA364" s="13"/>
      <c r="AB364" s="13"/>
      <c r="AC364" s="13"/>
    </row>
    <row r="365">
      <c r="B365" s="108"/>
      <c r="Y365" s="13"/>
      <c r="Z365" s="13"/>
      <c r="AA365" s="13"/>
      <c r="AB365" s="13"/>
      <c r="AC365" s="13"/>
    </row>
    <row r="366">
      <c r="B366" s="108"/>
      <c r="Y366" s="13"/>
      <c r="Z366" s="13"/>
      <c r="AA366" s="13"/>
      <c r="AB366" s="13"/>
      <c r="AC366" s="13"/>
    </row>
    <row r="367">
      <c r="B367" s="108"/>
      <c r="Y367" s="13"/>
      <c r="Z367" s="13"/>
      <c r="AA367" s="13"/>
      <c r="AB367" s="13"/>
      <c r="AC367" s="13"/>
    </row>
    <row r="368">
      <c r="B368" s="108"/>
      <c r="Y368" s="13"/>
      <c r="Z368" s="13"/>
      <c r="AA368" s="13"/>
      <c r="AB368" s="13"/>
      <c r="AC368" s="13"/>
    </row>
    <row r="369">
      <c r="B369" s="108"/>
      <c r="Y369" s="13"/>
      <c r="Z369" s="13"/>
      <c r="AA369" s="13"/>
      <c r="AB369" s="13"/>
      <c r="AC369" s="13"/>
    </row>
    <row r="370">
      <c r="B370" s="108"/>
      <c r="Y370" s="13"/>
      <c r="Z370" s="13"/>
      <c r="AA370" s="13"/>
      <c r="AB370" s="13"/>
      <c r="AC370" s="13"/>
    </row>
    <row r="371">
      <c r="B371" s="108"/>
      <c r="Y371" s="13"/>
      <c r="Z371" s="13"/>
      <c r="AA371" s="13"/>
      <c r="AB371" s="13"/>
      <c r="AC371" s="13"/>
    </row>
    <row r="372">
      <c r="B372" s="108"/>
      <c r="Y372" s="13"/>
      <c r="Z372" s="13"/>
      <c r="AA372" s="13"/>
      <c r="AB372" s="13"/>
      <c r="AC372" s="13"/>
    </row>
    <row r="373">
      <c r="B373" s="108"/>
      <c r="Y373" s="13"/>
      <c r="Z373" s="13"/>
      <c r="AA373" s="13"/>
      <c r="AB373" s="13"/>
      <c r="AC373" s="13"/>
    </row>
    <row r="374">
      <c r="B374" s="108"/>
      <c r="Y374" s="13"/>
      <c r="Z374" s="13"/>
      <c r="AA374" s="13"/>
      <c r="AB374" s="13"/>
      <c r="AC374" s="13"/>
    </row>
    <row r="375">
      <c r="B375" s="108"/>
      <c r="Y375" s="13"/>
      <c r="Z375" s="13"/>
      <c r="AA375" s="13"/>
      <c r="AB375" s="13"/>
      <c r="AC375" s="13"/>
    </row>
    <row r="376">
      <c r="B376" s="108"/>
      <c r="Y376" s="13"/>
      <c r="Z376" s="13"/>
      <c r="AA376" s="13"/>
      <c r="AB376" s="13"/>
      <c r="AC376" s="13"/>
    </row>
    <row r="377">
      <c r="B377" s="108"/>
      <c r="Y377" s="13"/>
      <c r="Z377" s="13"/>
      <c r="AA377" s="13"/>
      <c r="AB377" s="13"/>
      <c r="AC377" s="13"/>
    </row>
    <row r="378">
      <c r="B378" s="108"/>
      <c r="Y378" s="13"/>
      <c r="Z378" s="13"/>
      <c r="AA378" s="13"/>
      <c r="AB378" s="13"/>
      <c r="AC378" s="13"/>
    </row>
    <row r="379">
      <c r="B379" s="108"/>
      <c r="Y379" s="13"/>
      <c r="Z379" s="13"/>
      <c r="AA379" s="13"/>
      <c r="AB379" s="13"/>
      <c r="AC379" s="13"/>
    </row>
    <row r="380">
      <c r="B380" s="108"/>
      <c r="Y380" s="13"/>
      <c r="Z380" s="13"/>
      <c r="AA380" s="13"/>
      <c r="AB380" s="13"/>
      <c r="AC380" s="13"/>
    </row>
    <row r="381">
      <c r="B381" s="108"/>
      <c r="Y381" s="13"/>
      <c r="Z381" s="13"/>
      <c r="AA381" s="13"/>
      <c r="AB381" s="13"/>
      <c r="AC381" s="13"/>
    </row>
    <row r="382">
      <c r="B382" s="108"/>
      <c r="Y382" s="13"/>
      <c r="Z382" s="13"/>
      <c r="AA382" s="13"/>
      <c r="AB382" s="13"/>
      <c r="AC382" s="13"/>
    </row>
    <row r="383">
      <c r="B383" s="108"/>
      <c r="Y383" s="13"/>
      <c r="Z383" s="13"/>
      <c r="AA383" s="13"/>
      <c r="AB383" s="13"/>
      <c r="AC383" s="13"/>
    </row>
    <row r="384">
      <c r="B384" s="108"/>
      <c r="Y384" s="13"/>
      <c r="Z384" s="13"/>
      <c r="AA384" s="13"/>
      <c r="AB384" s="13"/>
      <c r="AC384" s="13"/>
    </row>
    <row r="385">
      <c r="B385" s="108"/>
      <c r="Y385" s="13"/>
      <c r="Z385" s="13"/>
      <c r="AA385" s="13"/>
      <c r="AB385" s="13"/>
      <c r="AC385" s="13"/>
    </row>
    <row r="386">
      <c r="B386" s="108"/>
      <c r="Y386" s="13"/>
      <c r="Z386" s="13"/>
      <c r="AA386" s="13"/>
      <c r="AB386" s="13"/>
      <c r="AC386" s="13"/>
    </row>
    <row r="387">
      <c r="B387" s="108"/>
      <c r="Y387" s="13"/>
      <c r="Z387" s="13"/>
      <c r="AA387" s="13"/>
      <c r="AB387" s="13"/>
      <c r="AC387" s="13"/>
    </row>
    <row r="388">
      <c r="B388" s="108"/>
      <c r="Y388" s="13"/>
      <c r="Z388" s="13"/>
      <c r="AA388" s="13"/>
      <c r="AB388" s="13"/>
      <c r="AC388" s="13"/>
    </row>
    <row r="389">
      <c r="B389" s="108"/>
      <c r="Y389" s="13"/>
      <c r="Z389" s="13"/>
      <c r="AA389" s="13"/>
      <c r="AB389" s="13"/>
      <c r="AC389" s="13"/>
    </row>
    <row r="390">
      <c r="B390" s="108"/>
      <c r="Y390" s="13"/>
      <c r="Z390" s="13"/>
      <c r="AA390" s="13"/>
      <c r="AB390" s="13"/>
      <c r="AC390" s="13"/>
    </row>
    <row r="391">
      <c r="B391" s="108"/>
      <c r="Y391" s="13"/>
      <c r="Z391" s="13"/>
      <c r="AA391" s="13"/>
      <c r="AB391" s="13"/>
      <c r="AC391" s="13"/>
    </row>
    <row r="392">
      <c r="B392" s="108"/>
      <c r="Y392" s="13"/>
      <c r="Z392" s="13"/>
      <c r="AA392" s="13"/>
      <c r="AB392" s="13"/>
      <c r="AC392" s="13"/>
    </row>
    <row r="393">
      <c r="B393" s="108"/>
      <c r="Y393" s="13"/>
      <c r="Z393" s="13"/>
      <c r="AA393" s="13"/>
      <c r="AB393" s="13"/>
      <c r="AC393" s="13"/>
    </row>
    <row r="394">
      <c r="B394" s="108"/>
      <c r="Y394" s="13"/>
      <c r="Z394" s="13"/>
      <c r="AA394" s="13"/>
      <c r="AB394" s="13"/>
      <c r="AC394" s="13"/>
    </row>
    <row r="395">
      <c r="B395" s="108"/>
      <c r="Y395" s="13"/>
      <c r="Z395" s="13"/>
      <c r="AA395" s="13"/>
      <c r="AB395" s="13"/>
      <c r="AC395" s="13"/>
    </row>
    <row r="396">
      <c r="B396" s="108"/>
      <c r="Y396" s="13"/>
      <c r="Z396" s="13"/>
      <c r="AA396" s="13"/>
      <c r="AB396" s="13"/>
      <c r="AC396" s="13"/>
    </row>
    <row r="397">
      <c r="B397" s="108"/>
      <c r="Y397" s="13"/>
      <c r="Z397" s="13"/>
      <c r="AA397" s="13"/>
      <c r="AB397" s="13"/>
      <c r="AC397" s="13"/>
    </row>
    <row r="398">
      <c r="B398" s="108"/>
      <c r="Y398" s="13"/>
      <c r="Z398" s="13"/>
      <c r="AA398" s="13"/>
      <c r="AB398" s="13"/>
      <c r="AC398" s="13"/>
    </row>
    <row r="399">
      <c r="B399" s="108"/>
      <c r="Y399" s="13"/>
      <c r="Z399" s="13"/>
      <c r="AA399" s="13"/>
      <c r="AB399" s="13"/>
      <c r="AC399" s="13"/>
    </row>
    <row r="400">
      <c r="B400" s="108"/>
      <c r="Y400" s="13"/>
      <c r="Z400" s="13"/>
      <c r="AA400" s="13"/>
      <c r="AB400" s="13"/>
      <c r="AC400" s="13"/>
    </row>
    <row r="401">
      <c r="B401" s="108"/>
      <c r="Y401" s="13"/>
      <c r="Z401" s="13"/>
      <c r="AA401" s="13"/>
      <c r="AB401" s="13"/>
      <c r="AC401" s="13"/>
    </row>
    <row r="402">
      <c r="B402" s="108"/>
      <c r="Y402" s="13"/>
      <c r="Z402" s="13"/>
      <c r="AA402" s="13"/>
      <c r="AB402" s="13"/>
      <c r="AC402" s="13"/>
    </row>
    <row r="403">
      <c r="B403" s="108"/>
      <c r="Y403" s="13"/>
      <c r="Z403" s="13"/>
      <c r="AA403" s="13"/>
      <c r="AB403" s="13"/>
      <c r="AC403" s="13"/>
    </row>
    <row r="404">
      <c r="B404" s="108"/>
      <c r="Y404" s="13"/>
      <c r="Z404" s="13"/>
      <c r="AA404" s="13"/>
      <c r="AB404" s="13"/>
      <c r="AC404" s="13"/>
    </row>
    <row r="405">
      <c r="B405" s="108"/>
      <c r="Y405" s="13"/>
      <c r="Z405" s="13"/>
      <c r="AA405" s="13"/>
      <c r="AB405" s="13"/>
      <c r="AC405" s="13"/>
    </row>
    <row r="406">
      <c r="B406" s="108"/>
      <c r="Y406" s="13"/>
      <c r="Z406" s="13"/>
      <c r="AA406" s="13"/>
      <c r="AB406" s="13"/>
      <c r="AC406" s="13"/>
    </row>
    <row r="407">
      <c r="B407" s="108"/>
      <c r="Y407" s="13"/>
      <c r="Z407" s="13"/>
      <c r="AA407" s="13"/>
      <c r="AB407" s="13"/>
      <c r="AC407" s="13"/>
    </row>
    <row r="408">
      <c r="B408" s="108"/>
      <c r="Y408" s="13"/>
      <c r="Z408" s="13"/>
      <c r="AA408" s="13"/>
      <c r="AB408" s="13"/>
      <c r="AC408" s="13"/>
    </row>
    <row r="409">
      <c r="B409" s="108"/>
      <c r="Y409" s="13"/>
      <c r="Z409" s="13"/>
      <c r="AA409" s="13"/>
      <c r="AB409" s="13"/>
      <c r="AC409" s="13"/>
    </row>
    <row r="410">
      <c r="B410" s="108"/>
      <c r="Y410" s="13"/>
      <c r="Z410" s="13"/>
      <c r="AA410" s="13"/>
      <c r="AB410" s="13"/>
      <c r="AC410" s="13"/>
    </row>
    <row r="411">
      <c r="B411" s="108"/>
      <c r="Y411" s="13"/>
      <c r="Z411" s="13"/>
      <c r="AA411" s="13"/>
      <c r="AB411" s="13"/>
      <c r="AC411" s="13"/>
    </row>
    <row r="412">
      <c r="B412" s="108"/>
      <c r="Y412" s="13"/>
      <c r="Z412" s="13"/>
      <c r="AA412" s="13"/>
      <c r="AB412" s="13"/>
      <c r="AC412" s="13"/>
    </row>
    <row r="413">
      <c r="B413" s="108"/>
      <c r="Y413" s="13"/>
      <c r="Z413" s="13"/>
      <c r="AA413" s="13"/>
      <c r="AB413" s="13"/>
      <c r="AC413" s="13"/>
    </row>
    <row r="414">
      <c r="B414" s="108"/>
      <c r="Y414" s="13"/>
      <c r="Z414" s="13"/>
      <c r="AA414" s="13"/>
      <c r="AB414" s="13"/>
      <c r="AC414" s="13"/>
    </row>
    <row r="415">
      <c r="B415" s="108"/>
      <c r="Y415" s="13"/>
      <c r="Z415" s="13"/>
      <c r="AA415" s="13"/>
      <c r="AB415" s="13"/>
      <c r="AC415" s="13"/>
    </row>
    <row r="416">
      <c r="B416" s="108"/>
      <c r="Y416" s="13"/>
      <c r="Z416" s="13"/>
      <c r="AA416" s="13"/>
      <c r="AB416" s="13"/>
      <c r="AC416" s="13"/>
    </row>
    <row r="417">
      <c r="B417" s="108"/>
      <c r="Y417" s="13"/>
      <c r="Z417" s="13"/>
      <c r="AA417" s="13"/>
      <c r="AB417" s="13"/>
      <c r="AC417" s="13"/>
    </row>
    <row r="418">
      <c r="B418" s="108"/>
      <c r="Y418" s="13"/>
      <c r="Z418" s="13"/>
      <c r="AA418" s="13"/>
      <c r="AB418" s="13"/>
      <c r="AC418" s="13"/>
    </row>
    <row r="419">
      <c r="B419" s="108"/>
      <c r="Y419" s="13"/>
      <c r="Z419" s="13"/>
      <c r="AA419" s="13"/>
      <c r="AB419" s="13"/>
      <c r="AC419" s="13"/>
    </row>
    <row r="420">
      <c r="B420" s="108"/>
      <c r="Y420" s="13"/>
      <c r="Z420" s="13"/>
      <c r="AA420" s="13"/>
      <c r="AB420" s="13"/>
      <c r="AC420" s="13"/>
    </row>
    <row r="421">
      <c r="B421" s="108"/>
      <c r="Y421" s="13"/>
      <c r="Z421" s="13"/>
      <c r="AA421" s="13"/>
      <c r="AB421" s="13"/>
      <c r="AC421" s="13"/>
    </row>
    <row r="422">
      <c r="B422" s="108"/>
      <c r="Y422" s="13"/>
      <c r="Z422" s="13"/>
      <c r="AA422" s="13"/>
      <c r="AB422" s="13"/>
      <c r="AC422" s="13"/>
    </row>
    <row r="423">
      <c r="B423" s="108"/>
      <c r="Y423" s="13"/>
      <c r="Z423" s="13"/>
      <c r="AA423" s="13"/>
      <c r="AB423" s="13"/>
      <c r="AC423" s="13"/>
    </row>
    <row r="424">
      <c r="B424" s="108"/>
      <c r="Y424" s="13"/>
      <c r="Z424" s="13"/>
      <c r="AA424" s="13"/>
      <c r="AB424" s="13"/>
      <c r="AC424" s="13"/>
    </row>
    <row r="425">
      <c r="B425" s="108"/>
      <c r="Y425" s="13"/>
      <c r="Z425" s="13"/>
      <c r="AA425" s="13"/>
      <c r="AB425" s="13"/>
      <c r="AC425" s="13"/>
    </row>
    <row r="426">
      <c r="B426" s="108"/>
      <c r="Y426" s="13"/>
      <c r="Z426" s="13"/>
      <c r="AA426" s="13"/>
      <c r="AB426" s="13"/>
      <c r="AC426" s="13"/>
    </row>
    <row r="427">
      <c r="B427" s="108"/>
      <c r="Y427" s="13"/>
      <c r="Z427" s="13"/>
      <c r="AA427" s="13"/>
      <c r="AB427" s="13"/>
      <c r="AC427" s="13"/>
    </row>
    <row r="428">
      <c r="B428" s="108"/>
      <c r="Y428" s="13"/>
      <c r="Z428" s="13"/>
      <c r="AA428" s="13"/>
      <c r="AB428" s="13"/>
      <c r="AC428" s="13"/>
    </row>
    <row r="429">
      <c r="B429" s="108"/>
      <c r="Y429" s="13"/>
      <c r="Z429" s="13"/>
      <c r="AA429" s="13"/>
      <c r="AB429" s="13"/>
      <c r="AC429" s="13"/>
    </row>
    <row r="430">
      <c r="B430" s="108"/>
      <c r="Y430" s="13"/>
      <c r="Z430" s="13"/>
      <c r="AA430" s="13"/>
      <c r="AB430" s="13"/>
      <c r="AC430" s="13"/>
    </row>
    <row r="431">
      <c r="B431" s="108"/>
      <c r="Y431" s="13"/>
      <c r="Z431" s="13"/>
      <c r="AA431" s="13"/>
      <c r="AB431" s="13"/>
      <c r="AC431" s="13"/>
    </row>
    <row r="432">
      <c r="B432" s="108"/>
      <c r="Y432" s="13"/>
      <c r="Z432" s="13"/>
      <c r="AA432" s="13"/>
      <c r="AB432" s="13"/>
      <c r="AC432" s="13"/>
    </row>
    <row r="433">
      <c r="B433" s="108"/>
      <c r="Y433" s="13"/>
      <c r="Z433" s="13"/>
      <c r="AA433" s="13"/>
      <c r="AB433" s="13"/>
      <c r="AC433" s="13"/>
    </row>
    <row r="434">
      <c r="B434" s="108"/>
      <c r="Y434" s="13"/>
      <c r="Z434" s="13"/>
      <c r="AA434" s="13"/>
      <c r="AB434" s="13"/>
      <c r="AC434" s="13"/>
    </row>
    <row r="435">
      <c r="B435" s="108"/>
      <c r="Y435" s="13"/>
      <c r="Z435" s="13"/>
      <c r="AA435" s="13"/>
      <c r="AB435" s="13"/>
      <c r="AC435" s="13"/>
    </row>
    <row r="436">
      <c r="B436" s="108"/>
      <c r="Y436" s="13"/>
      <c r="Z436" s="13"/>
      <c r="AA436" s="13"/>
      <c r="AB436" s="13"/>
      <c r="AC436" s="13"/>
    </row>
    <row r="437">
      <c r="B437" s="108"/>
      <c r="Y437" s="13"/>
      <c r="Z437" s="13"/>
      <c r="AA437" s="13"/>
      <c r="AB437" s="13"/>
      <c r="AC437" s="13"/>
    </row>
    <row r="438">
      <c r="B438" s="108"/>
      <c r="Y438" s="13"/>
      <c r="Z438" s="13"/>
      <c r="AA438" s="13"/>
      <c r="AB438" s="13"/>
      <c r="AC438" s="13"/>
    </row>
    <row r="439">
      <c r="B439" s="108"/>
      <c r="Y439" s="13"/>
      <c r="Z439" s="13"/>
      <c r="AA439" s="13"/>
      <c r="AB439" s="13"/>
      <c r="AC439" s="13"/>
    </row>
    <row r="440">
      <c r="B440" s="108"/>
      <c r="Y440" s="13"/>
      <c r="Z440" s="13"/>
      <c r="AA440" s="13"/>
      <c r="AB440" s="13"/>
      <c r="AC440" s="13"/>
    </row>
    <row r="441">
      <c r="B441" s="108"/>
      <c r="Y441" s="13"/>
      <c r="Z441" s="13"/>
      <c r="AA441" s="13"/>
      <c r="AB441" s="13"/>
      <c r="AC441" s="13"/>
    </row>
    <row r="442">
      <c r="B442" s="108"/>
      <c r="Y442" s="13"/>
      <c r="Z442" s="13"/>
      <c r="AA442" s="13"/>
      <c r="AB442" s="13"/>
      <c r="AC442" s="13"/>
    </row>
    <row r="443">
      <c r="B443" s="108"/>
      <c r="Y443" s="13"/>
      <c r="Z443" s="13"/>
      <c r="AA443" s="13"/>
      <c r="AB443" s="13"/>
      <c r="AC443" s="13"/>
    </row>
    <row r="444">
      <c r="B444" s="108"/>
      <c r="Y444" s="13"/>
      <c r="Z444" s="13"/>
      <c r="AA444" s="13"/>
      <c r="AB444" s="13"/>
      <c r="AC444" s="13"/>
    </row>
    <row r="445">
      <c r="B445" s="108"/>
      <c r="Y445" s="13"/>
      <c r="Z445" s="13"/>
      <c r="AA445" s="13"/>
      <c r="AB445" s="13"/>
      <c r="AC445" s="13"/>
    </row>
    <row r="446">
      <c r="B446" s="108"/>
      <c r="Y446" s="13"/>
      <c r="Z446" s="13"/>
      <c r="AA446" s="13"/>
      <c r="AB446" s="13"/>
      <c r="AC446" s="13"/>
    </row>
    <row r="447">
      <c r="B447" s="108"/>
      <c r="Y447" s="13"/>
      <c r="Z447" s="13"/>
      <c r="AA447" s="13"/>
      <c r="AB447" s="13"/>
      <c r="AC447" s="13"/>
    </row>
    <row r="448">
      <c r="B448" s="108"/>
      <c r="Y448" s="13"/>
      <c r="Z448" s="13"/>
      <c r="AA448" s="13"/>
      <c r="AB448" s="13"/>
      <c r="AC448" s="13"/>
    </row>
    <row r="449">
      <c r="B449" s="108"/>
      <c r="Y449" s="13"/>
      <c r="Z449" s="13"/>
      <c r="AA449" s="13"/>
      <c r="AB449" s="13"/>
      <c r="AC449" s="13"/>
    </row>
    <row r="450">
      <c r="B450" s="108"/>
      <c r="Y450" s="13"/>
      <c r="Z450" s="13"/>
      <c r="AA450" s="13"/>
      <c r="AB450" s="13"/>
      <c r="AC450" s="13"/>
    </row>
    <row r="451">
      <c r="B451" s="108"/>
      <c r="Y451" s="13"/>
      <c r="Z451" s="13"/>
      <c r="AA451" s="13"/>
      <c r="AB451" s="13"/>
      <c r="AC451" s="13"/>
    </row>
    <row r="452">
      <c r="B452" s="108"/>
      <c r="Y452" s="13"/>
      <c r="Z452" s="13"/>
      <c r="AA452" s="13"/>
      <c r="AB452" s="13"/>
      <c r="AC452" s="13"/>
    </row>
    <row r="453">
      <c r="B453" s="108"/>
      <c r="Y453" s="13"/>
      <c r="Z453" s="13"/>
      <c r="AA453" s="13"/>
      <c r="AB453" s="13"/>
      <c r="AC453" s="13"/>
    </row>
    <row r="454">
      <c r="B454" s="108"/>
      <c r="Y454" s="13"/>
      <c r="Z454" s="13"/>
      <c r="AA454" s="13"/>
      <c r="AB454" s="13"/>
      <c r="AC454" s="13"/>
    </row>
    <row r="455">
      <c r="B455" s="108"/>
      <c r="Y455" s="13"/>
      <c r="Z455" s="13"/>
      <c r="AA455" s="13"/>
      <c r="AB455" s="13"/>
      <c r="AC455" s="13"/>
    </row>
    <row r="456">
      <c r="B456" s="108"/>
      <c r="Y456" s="13"/>
      <c r="Z456" s="13"/>
      <c r="AA456" s="13"/>
      <c r="AB456" s="13"/>
      <c r="AC456" s="13"/>
    </row>
    <row r="457">
      <c r="B457" s="108"/>
      <c r="Y457" s="13"/>
      <c r="Z457" s="13"/>
      <c r="AA457" s="13"/>
      <c r="AB457" s="13"/>
      <c r="AC457" s="13"/>
    </row>
    <row r="458">
      <c r="B458" s="108"/>
      <c r="Y458" s="13"/>
      <c r="Z458" s="13"/>
      <c r="AA458" s="13"/>
      <c r="AB458" s="13"/>
      <c r="AC458" s="13"/>
    </row>
    <row r="459">
      <c r="B459" s="108"/>
      <c r="Y459" s="13"/>
      <c r="Z459" s="13"/>
      <c r="AA459" s="13"/>
      <c r="AB459" s="13"/>
      <c r="AC459" s="13"/>
    </row>
    <row r="460">
      <c r="B460" s="108"/>
      <c r="Y460" s="13"/>
      <c r="Z460" s="13"/>
      <c r="AA460" s="13"/>
      <c r="AB460" s="13"/>
      <c r="AC460" s="13"/>
    </row>
    <row r="461">
      <c r="B461" s="108"/>
      <c r="Y461" s="13"/>
      <c r="Z461" s="13"/>
      <c r="AA461" s="13"/>
      <c r="AB461" s="13"/>
      <c r="AC461" s="13"/>
    </row>
    <row r="462">
      <c r="B462" s="108"/>
      <c r="Y462" s="13"/>
      <c r="Z462" s="13"/>
      <c r="AA462" s="13"/>
      <c r="AB462" s="13"/>
      <c r="AC462" s="13"/>
    </row>
    <row r="463">
      <c r="B463" s="108"/>
      <c r="Y463" s="13"/>
      <c r="Z463" s="13"/>
      <c r="AA463" s="13"/>
      <c r="AB463" s="13"/>
      <c r="AC463" s="13"/>
    </row>
    <row r="464">
      <c r="B464" s="108"/>
      <c r="Y464" s="13"/>
      <c r="Z464" s="13"/>
      <c r="AA464" s="13"/>
      <c r="AB464" s="13"/>
      <c r="AC464" s="13"/>
    </row>
    <row r="465">
      <c r="B465" s="108"/>
      <c r="Y465" s="13"/>
      <c r="Z465" s="13"/>
      <c r="AA465" s="13"/>
      <c r="AB465" s="13"/>
      <c r="AC465" s="13"/>
    </row>
    <row r="466">
      <c r="B466" s="108"/>
      <c r="Y466" s="13"/>
      <c r="Z466" s="13"/>
      <c r="AA466" s="13"/>
      <c r="AB466" s="13"/>
      <c r="AC466" s="13"/>
    </row>
    <row r="467">
      <c r="B467" s="108"/>
      <c r="Y467" s="13"/>
      <c r="Z467" s="13"/>
      <c r="AA467" s="13"/>
      <c r="AB467" s="13"/>
      <c r="AC467" s="13"/>
    </row>
    <row r="468">
      <c r="B468" s="108"/>
      <c r="Y468" s="13"/>
      <c r="Z468" s="13"/>
      <c r="AA468" s="13"/>
      <c r="AB468" s="13"/>
      <c r="AC468" s="13"/>
    </row>
    <row r="469">
      <c r="B469" s="108"/>
      <c r="Y469" s="13"/>
      <c r="Z469" s="13"/>
      <c r="AA469" s="13"/>
      <c r="AB469" s="13"/>
      <c r="AC469" s="13"/>
    </row>
    <row r="470">
      <c r="B470" s="108"/>
      <c r="Y470" s="13"/>
      <c r="Z470" s="13"/>
      <c r="AA470" s="13"/>
      <c r="AB470" s="13"/>
      <c r="AC470" s="13"/>
    </row>
    <row r="471">
      <c r="B471" s="108"/>
      <c r="Y471" s="13"/>
      <c r="Z471" s="13"/>
      <c r="AA471" s="13"/>
      <c r="AB471" s="13"/>
      <c r="AC471" s="13"/>
    </row>
    <row r="472">
      <c r="B472" s="108"/>
      <c r="Y472" s="13"/>
      <c r="Z472" s="13"/>
      <c r="AA472" s="13"/>
      <c r="AB472" s="13"/>
      <c r="AC472" s="13"/>
    </row>
    <row r="473">
      <c r="B473" s="108"/>
      <c r="Y473" s="13"/>
      <c r="Z473" s="13"/>
      <c r="AA473" s="13"/>
      <c r="AB473" s="13"/>
      <c r="AC473" s="13"/>
    </row>
    <row r="474">
      <c r="B474" s="108"/>
      <c r="Y474" s="13"/>
      <c r="Z474" s="13"/>
      <c r="AA474" s="13"/>
      <c r="AB474" s="13"/>
      <c r="AC474" s="13"/>
    </row>
    <row r="475">
      <c r="B475" s="108"/>
      <c r="Y475" s="13"/>
      <c r="Z475" s="13"/>
      <c r="AA475" s="13"/>
      <c r="AB475" s="13"/>
      <c r="AC475" s="13"/>
    </row>
    <row r="476">
      <c r="B476" s="108"/>
      <c r="Y476" s="13"/>
      <c r="Z476" s="13"/>
      <c r="AA476" s="13"/>
      <c r="AB476" s="13"/>
      <c r="AC476" s="13"/>
    </row>
    <row r="477">
      <c r="B477" s="108"/>
      <c r="Y477" s="13"/>
      <c r="Z477" s="13"/>
      <c r="AA477" s="13"/>
      <c r="AB477" s="13"/>
      <c r="AC477" s="13"/>
    </row>
    <row r="478">
      <c r="B478" s="108"/>
      <c r="Y478" s="13"/>
      <c r="Z478" s="13"/>
      <c r="AA478" s="13"/>
      <c r="AB478" s="13"/>
      <c r="AC478" s="13"/>
    </row>
    <row r="479">
      <c r="B479" s="108"/>
      <c r="Y479" s="13"/>
      <c r="Z479" s="13"/>
      <c r="AA479" s="13"/>
      <c r="AB479" s="13"/>
      <c r="AC479" s="13"/>
    </row>
    <row r="480">
      <c r="B480" s="108"/>
      <c r="Y480" s="13"/>
      <c r="Z480" s="13"/>
      <c r="AA480" s="13"/>
      <c r="AB480" s="13"/>
      <c r="AC480" s="13"/>
    </row>
    <row r="481">
      <c r="B481" s="108"/>
      <c r="Y481" s="13"/>
      <c r="Z481" s="13"/>
      <c r="AA481" s="13"/>
      <c r="AB481" s="13"/>
      <c r="AC481" s="13"/>
    </row>
    <row r="482">
      <c r="B482" s="108"/>
      <c r="Y482" s="13"/>
      <c r="Z482" s="13"/>
      <c r="AA482" s="13"/>
      <c r="AB482" s="13"/>
      <c r="AC482" s="13"/>
    </row>
    <row r="483">
      <c r="B483" s="108"/>
      <c r="Y483" s="13"/>
      <c r="Z483" s="13"/>
      <c r="AA483" s="13"/>
      <c r="AB483" s="13"/>
      <c r="AC483" s="13"/>
    </row>
    <row r="484">
      <c r="B484" s="108"/>
      <c r="Y484" s="13"/>
      <c r="Z484" s="13"/>
      <c r="AA484" s="13"/>
      <c r="AB484" s="13"/>
      <c r="AC484" s="13"/>
    </row>
    <row r="485">
      <c r="B485" s="108"/>
      <c r="Y485" s="13"/>
      <c r="Z485" s="13"/>
      <c r="AA485" s="13"/>
      <c r="AB485" s="13"/>
      <c r="AC485" s="13"/>
    </row>
    <row r="486">
      <c r="B486" s="108"/>
      <c r="Y486" s="13"/>
      <c r="Z486" s="13"/>
      <c r="AA486" s="13"/>
      <c r="AB486" s="13"/>
      <c r="AC486" s="13"/>
    </row>
    <row r="487">
      <c r="B487" s="108"/>
      <c r="Y487" s="13"/>
      <c r="Z487" s="13"/>
      <c r="AA487" s="13"/>
      <c r="AB487" s="13"/>
      <c r="AC487" s="13"/>
    </row>
    <row r="488">
      <c r="B488" s="108"/>
      <c r="Y488" s="13"/>
      <c r="Z488" s="13"/>
      <c r="AA488" s="13"/>
      <c r="AB488" s="13"/>
      <c r="AC488" s="13"/>
    </row>
    <row r="489">
      <c r="B489" s="108"/>
      <c r="Y489" s="13"/>
      <c r="Z489" s="13"/>
      <c r="AA489" s="13"/>
      <c r="AB489" s="13"/>
      <c r="AC489" s="13"/>
    </row>
    <row r="490">
      <c r="B490" s="108"/>
      <c r="Y490" s="13"/>
      <c r="Z490" s="13"/>
      <c r="AA490" s="13"/>
      <c r="AB490" s="13"/>
      <c r="AC490" s="13"/>
    </row>
    <row r="491">
      <c r="B491" s="108"/>
      <c r="Y491" s="13"/>
      <c r="Z491" s="13"/>
      <c r="AA491" s="13"/>
      <c r="AB491" s="13"/>
      <c r="AC491" s="13"/>
    </row>
    <row r="492">
      <c r="B492" s="108"/>
      <c r="Y492" s="13"/>
      <c r="Z492" s="13"/>
      <c r="AA492" s="13"/>
      <c r="AB492" s="13"/>
      <c r="AC492" s="13"/>
    </row>
    <row r="493">
      <c r="B493" s="108"/>
      <c r="Y493" s="13"/>
      <c r="Z493" s="13"/>
      <c r="AA493" s="13"/>
      <c r="AB493" s="13"/>
      <c r="AC493" s="13"/>
    </row>
    <row r="494">
      <c r="B494" s="108"/>
      <c r="Y494" s="13"/>
      <c r="Z494" s="13"/>
      <c r="AA494" s="13"/>
      <c r="AB494" s="13"/>
      <c r="AC494" s="13"/>
    </row>
    <row r="495">
      <c r="B495" s="108"/>
      <c r="Y495" s="13"/>
      <c r="Z495" s="13"/>
      <c r="AA495" s="13"/>
      <c r="AB495" s="13"/>
      <c r="AC495" s="13"/>
    </row>
    <row r="496">
      <c r="B496" s="108"/>
      <c r="Y496" s="13"/>
      <c r="Z496" s="13"/>
      <c r="AA496" s="13"/>
      <c r="AB496" s="13"/>
      <c r="AC496" s="13"/>
    </row>
    <row r="497">
      <c r="B497" s="108"/>
      <c r="Y497" s="13"/>
      <c r="Z497" s="13"/>
      <c r="AA497" s="13"/>
      <c r="AB497" s="13"/>
      <c r="AC497" s="13"/>
    </row>
    <row r="498">
      <c r="B498" s="108"/>
      <c r="Y498" s="13"/>
      <c r="Z498" s="13"/>
      <c r="AA498" s="13"/>
      <c r="AB498" s="13"/>
      <c r="AC498" s="13"/>
    </row>
    <row r="499">
      <c r="B499" s="108"/>
      <c r="Y499" s="13"/>
      <c r="Z499" s="13"/>
      <c r="AA499" s="13"/>
      <c r="AB499" s="13"/>
      <c r="AC499" s="13"/>
    </row>
    <row r="500">
      <c r="B500" s="108"/>
      <c r="Y500" s="13"/>
      <c r="Z500" s="13"/>
      <c r="AA500" s="13"/>
      <c r="AB500" s="13"/>
      <c r="AC500" s="13"/>
    </row>
    <row r="501">
      <c r="B501" s="108"/>
      <c r="Y501" s="13"/>
      <c r="Z501" s="13"/>
      <c r="AA501" s="13"/>
      <c r="AB501" s="13"/>
      <c r="AC501" s="13"/>
    </row>
    <row r="502">
      <c r="B502" s="108"/>
      <c r="Y502" s="13"/>
      <c r="Z502" s="13"/>
      <c r="AA502" s="13"/>
      <c r="AB502" s="13"/>
      <c r="AC502" s="13"/>
    </row>
    <row r="503">
      <c r="B503" s="108"/>
      <c r="Y503" s="13"/>
      <c r="Z503" s="13"/>
      <c r="AA503" s="13"/>
      <c r="AB503" s="13"/>
      <c r="AC503" s="13"/>
    </row>
    <row r="504">
      <c r="B504" s="108"/>
      <c r="Y504" s="13"/>
      <c r="Z504" s="13"/>
      <c r="AA504" s="13"/>
      <c r="AB504" s="13"/>
      <c r="AC504" s="13"/>
    </row>
    <row r="505">
      <c r="B505" s="108"/>
      <c r="Y505" s="13"/>
      <c r="Z505" s="13"/>
      <c r="AA505" s="13"/>
      <c r="AB505" s="13"/>
      <c r="AC505" s="13"/>
    </row>
    <row r="506">
      <c r="B506" s="108"/>
      <c r="Y506" s="13"/>
      <c r="Z506" s="13"/>
      <c r="AA506" s="13"/>
      <c r="AB506" s="13"/>
      <c r="AC506" s="13"/>
    </row>
    <row r="507">
      <c r="B507" s="108"/>
      <c r="Y507" s="13"/>
      <c r="Z507" s="13"/>
      <c r="AA507" s="13"/>
      <c r="AB507" s="13"/>
      <c r="AC507" s="13"/>
    </row>
    <row r="508">
      <c r="B508" s="108"/>
      <c r="Y508" s="13"/>
      <c r="Z508" s="13"/>
      <c r="AA508" s="13"/>
      <c r="AB508" s="13"/>
      <c r="AC508" s="13"/>
    </row>
    <row r="509">
      <c r="B509" s="108"/>
      <c r="Y509" s="13"/>
      <c r="Z509" s="13"/>
      <c r="AA509" s="13"/>
      <c r="AB509" s="13"/>
      <c r="AC509" s="13"/>
    </row>
    <row r="510">
      <c r="B510" s="108"/>
      <c r="Y510" s="13"/>
      <c r="Z510" s="13"/>
      <c r="AA510" s="13"/>
      <c r="AB510" s="13"/>
      <c r="AC510" s="13"/>
    </row>
    <row r="511">
      <c r="B511" s="108"/>
      <c r="Y511" s="13"/>
      <c r="Z511" s="13"/>
      <c r="AA511" s="13"/>
      <c r="AB511" s="13"/>
      <c r="AC511" s="13"/>
    </row>
    <row r="512">
      <c r="B512" s="108"/>
      <c r="Y512" s="13"/>
      <c r="Z512" s="13"/>
      <c r="AA512" s="13"/>
      <c r="AB512" s="13"/>
      <c r="AC512" s="13"/>
    </row>
    <row r="513">
      <c r="B513" s="108"/>
      <c r="Y513" s="13"/>
      <c r="Z513" s="13"/>
      <c r="AA513" s="13"/>
      <c r="AB513" s="13"/>
      <c r="AC513" s="13"/>
    </row>
    <row r="514">
      <c r="B514" s="108"/>
      <c r="Y514" s="13"/>
      <c r="Z514" s="13"/>
      <c r="AA514" s="13"/>
      <c r="AB514" s="13"/>
      <c r="AC514" s="13"/>
    </row>
    <row r="515">
      <c r="B515" s="108"/>
      <c r="Y515" s="13"/>
      <c r="Z515" s="13"/>
      <c r="AA515" s="13"/>
      <c r="AB515" s="13"/>
      <c r="AC515" s="13"/>
    </row>
    <row r="516">
      <c r="B516" s="108"/>
      <c r="Y516" s="13"/>
      <c r="Z516" s="13"/>
      <c r="AA516" s="13"/>
      <c r="AB516" s="13"/>
      <c r="AC516" s="13"/>
    </row>
    <row r="517">
      <c r="B517" s="108"/>
      <c r="Y517" s="13"/>
      <c r="Z517" s="13"/>
      <c r="AA517" s="13"/>
      <c r="AB517" s="13"/>
      <c r="AC517" s="13"/>
    </row>
    <row r="518">
      <c r="B518" s="108"/>
      <c r="Y518" s="13"/>
      <c r="Z518" s="13"/>
      <c r="AA518" s="13"/>
      <c r="AB518" s="13"/>
      <c r="AC518" s="13"/>
    </row>
    <row r="519">
      <c r="B519" s="108"/>
      <c r="Y519" s="13"/>
      <c r="Z519" s="13"/>
      <c r="AA519" s="13"/>
      <c r="AB519" s="13"/>
      <c r="AC519" s="13"/>
    </row>
    <row r="520">
      <c r="B520" s="108"/>
      <c r="Y520" s="13"/>
      <c r="Z520" s="13"/>
      <c r="AA520" s="13"/>
      <c r="AB520" s="13"/>
      <c r="AC520" s="13"/>
    </row>
    <row r="521">
      <c r="B521" s="108"/>
      <c r="Y521" s="13"/>
      <c r="Z521" s="13"/>
      <c r="AA521" s="13"/>
      <c r="AB521" s="13"/>
      <c r="AC521" s="13"/>
    </row>
    <row r="522">
      <c r="B522" s="108"/>
      <c r="Y522" s="13"/>
      <c r="Z522" s="13"/>
      <c r="AA522" s="13"/>
      <c r="AB522" s="13"/>
      <c r="AC522" s="13"/>
    </row>
    <row r="523">
      <c r="B523" s="108"/>
      <c r="Y523" s="13"/>
      <c r="Z523" s="13"/>
      <c r="AA523" s="13"/>
      <c r="AB523" s="13"/>
      <c r="AC523" s="13"/>
    </row>
    <row r="524">
      <c r="B524" s="108"/>
      <c r="Y524" s="13"/>
      <c r="Z524" s="13"/>
      <c r="AA524" s="13"/>
      <c r="AB524" s="13"/>
      <c r="AC524" s="13"/>
    </row>
    <row r="525">
      <c r="B525" s="108"/>
      <c r="Y525" s="13"/>
      <c r="Z525" s="13"/>
      <c r="AA525" s="13"/>
      <c r="AB525" s="13"/>
      <c r="AC525" s="13"/>
    </row>
    <row r="526">
      <c r="B526" s="108"/>
      <c r="Y526" s="13"/>
      <c r="Z526" s="13"/>
      <c r="AA526" s="13"/>
      <c r="AB526" s="13"/>
      <c r="AC526" s="13"/>
    </row>
    <row r="527">
      <c r="B527" s="108"/>
      <c r="Y527" s="13"/>
      <c r="Z527" s="13"/>
      <c r="AA527" s="13"/>
      <c r="AB527" s="13"/>
      <c r="AC527" s="13"/>
    </row>
    <row r="528">
      <c r="B528" s="108"/>
      <c r="Y528" s="13"/>
      <c r="Z528" s="13"/>
      <c r="AA528" s="13"/>
      <c r="AB528" s="13"/>
      <c r="AC528" s="13"/>
    </row>
    <row r="529">
      <c r="B529" s="108"/>
      <c r="Y529" s="13"/>
      <c r="Z529" s="13"/>
      <c r="AA529" s="13"/>
      <c r="AB529" s="13"/>
      <c r="AC529" s="13"/>
    </row>
    <row r="530">
      <c r="B530" s="108"/>
      <c r="Y530" s="13"/>
      <c r="Z530" s="13"/>
      <c r="AA530" s="13"/>
      <c r="AB530" s="13"/>
      <c r="AC530" s="13"/>
    </row>
    <row r="531">
      <c r="B531" s="108"/>
      <c r="Y531" s="13"/>
      <c r="Z531" s="13"/>
      <c r="AA531" s="13"/>
      <c r="AB531" s="13"/>
      <c r="AC531" s="13"/>
    </row>
    <row r="532">
      <c r="B532" s="108"/>
      <c r="Y532" s="13"/>
      <c r="Z532" s="13"/>
      <c r="AA532" s="13"/>
      <c r="AB532" s="13"/>
      <c r="AC532" s="13"/>
    </row>
    <row r="533">
      <c r="B533" s="108"/>
      <c r="Y533" s="13"/>
      <c r="Z533" s="13"/>
      <c r="AA533" s="13"/>
      <c r="AB533" s="13"/>
      <c r="AC533" s="13"/>
    </row>
    <row r="534">
      <c r="B534" s="108"/>
      <c r="Y534" s="13"/>
      <c r="Z534" s="13"/>
      <c r="AA534" s="13"/>
      <c r="AB534" s="13"/>
      <c r="AC534" s="13"/>
    </row>
    <row r="535">
      <c r="B535" s="108"/>
      <c r="Y535" s="13"/>
      <c r="Z535" s="13"/>
      <c r="AA535" s="13"/>
      <c r="AB535" s="13"/>
      <c r="AC535" s="13"/>
    </row>
    <row r="536">
      <c r="B536" s="108"/>
      <c r="Y536" s="13"/>
      <c r="Z536" s="13"/>
      <c r="AA536" s="13"/>
      <c r="AB536" s="13"/>
      <c r="AC536" s="13"/>
    </row>
    <row r="537">
      <c r="B537" s="108"/>
      <c r="Y537" s="13"/>
      <c r="Z537" s="13"/>
      <c r="AA537" s="13"/>
      <c r="AB537" s="13"/>
      <c r="AC537" s="13"/>
    </row>
    <row r="538">
      <c r="B538" s="108"/>
      <c r="Y538" s="13"/>
      <c r="Z538" s="13"/>
      <c r="AA538" s="13"/>
      <c r="AB538" s="13"/>
      <c r="AC538" s="13"/>
    </row>
    <row r="539">
      <c r="B539" s="108"/>
      <c r="Y539" s="13"/>
      <c r="Z539" s="13"/>
      <c r="AA539" s="13"/>
      <c r="AB539" s="13"/>
      <c r="AC539" s="13"/>
    </row>
    <row r="540">
      <c r="B540" s="108"/>
      <c r="Y540" s="13"/>
      <c r="Z540" s="13"/>
      <c r="AA540" s="13"/>
      <c r="AB540" s="13"/>
      <c r="AC540" s="13"/>
    </row>
    <row r="541">
      <c r="B541" s="108"/>
      <c r="Y541" s="13"/>
      <c r="Z541" s="13"/>
      <c r="AA541" s="13"/>
      <c r="AB541" s="13"/>
      <c r="AC541" s="13"/>
    </row>
    <row r="542">
      <c r="B542" s="108"/>
      <c r="Y542" s="13"/>
      <c r="Z542" s="13"/>
      <c r="AA542" s="13"/>
      <c r="AB542" s="13"/>
      <c r="AC542" s="13"/>
    </row>
    <row r="543">
      <c r="B543" s="108"/>
      <c r="Y543" s="13"/>
      <c r="Z543" s="13"/>
      <c r="AA543" s="13"/>
      <c r="AB543" s="13"/>
      <c r="AC543" s="13"/>
    </row>
    <row r="544">
      <c r="B544" s="108"/>
      <c r="Y544" s="13"/>
      <c r="Z544" s="13"/>
      <c r="AA544" s="13"/>
      <c r="AB544" s="13"/>
      <c r="AC544" s="13"/>
    </row>
    <row r="545">
      <c r="B545" s="108"/>
      <c r="Y545" s="13"/>
      <c r="Z545" s="13"/>
      <c r="AA545" s="13"/>
      <c r="AB545" s="13"/>
      <c r="AC545" s="13"/>
    </row>
    <row r="546">
      <c r="B546" s="108"/>
      <c r="Y546" s="13"/>
      <c r="Z546" s="13"/>
      <c r="AA546" s="13"/>
      <c r="AB546" s="13"/>
      <c r="AC546" s="13"/>
    </row>
    <row r="547">
      <c r="B547" s="108"/>
      <c r="Y547" s="13"/>
      <c r="Z547" s="13"/>
      <c r="AA547" s="13"/>
      <c r="AB547" s="13"/>
      <c r="AC547" s="13"/>
    </row>
    <row r="548">
      <c r="B548" s="108"/>
      <c r="Y548" s="13"/>
      <c r="Z548" s="13"/>
      <c r="AA548" s="13"/>
      <c r="AB548" s="13"/>
      <c r="AC548" s="13"/>
    </row>
    <row r="549">
      <c r="B549" s="108"/>
      <c r="Y549" s="13"/>
      <c r="Z549" s="13"/>
      <c r="AA549" s="13"/>
      <c r="AB549" s="13"/>
      <c r="AC549" s="13"/>
    </row>
    <row r="550">
      <c r="B550" s="108"/>
      <c r="Y550" s="13"/>
      <c r="Z550" s="13"/>
      <c r="AA550" s="13"/>
      <c r="AB550" s="13"/>
      <c r="AC550" s="13"/>
    </row>
    <row r="551">
      <c r="B551" s="108"/>
      <c r="Y551" s="13"/>
      <c r="Z551" s="13"/>
      <c r="AA551" s="13"/>
      <c r="AB551" s="13"/>
      <c r="AC551" s="13"/>
    </row>
    <row r="552">
      <c r="B552" s="108"/>
      <c r="Y552" s="13"/>
      <c r="Z552" s="13"/>
      <c r="AA552" s="13"/>
      <c r="AB552" s="13"/>
      <c r="AC552" s="13"/>
    </row>
    <row r="553">
      <c r="B553" s="108"/>
      <c r="Y553" s="13"/>
      <c r="Z553" s="13"/>
      <c r="AA553" s="13"/>
      <c r="AB553" s="13"/>
      <c r="AC553" s="13"/>
    </row>
    <row r="554">
      <c r="B554" s="108"/>
      <c r="Y554" s="13"/>
      <c r="Z554" s="13"/>
      <c r="AA554" s="13"/>
      <c r="AB554" s="13"/>
      <c r="AC554" s="13"/>
    </row>
    <row r="555">
      <c r="B555" s="108"/>
      <c r="Y555" s="13"/>
      <c r="Z555" s="13"/>
      <c r="AA555" s="13"/>
      <c r="AB555" s="13"/>
      <c r="AC555" s="13"/>
    </row>
    <row r="556">
      <c r="B556" s="108"/>
      <c r="Y556" s="13"/>
      <c r="Z556" s="13"/>
      <c r="AA556" s="13"/>
      <c r="AB556" s="13"/>
      <c r="AC556" s="13"/>
    </row>
    <row r="557">
      <c r="B557" s="108"/>
      <c r="Y557" s="13"/>
      <c r="Z557" s="13"/>
      <c r="AA557" s="13"/>
      <c r="AB557" s="13"/>
      <c r="AC557" s="13"/>
    </row>
    <row r="558">
      <c r="B558" s="108"/>
      <c r="Y558" s="13"/>
      <c r="Z558" s="13"/>
      <c r="AA558" s="13"/>
      <c r="AB558" s="13"/>
      <c r="AC558" s="13"/>
    </row>
    <row r="559">
      <c r="B559" s="108"/>
      <c r="Y559" s="13"/>
      <c r="Z559" s="13"/>
      <c r="AA559" s="13"/>
      <c r="AB559" s="13"/>
      <c r="AC559" s="13"/>
    </row>
    <row r="560">
      <c r="B560" s="108"/>
      <c r="Y560" s="13"/>
      <c r="Z560" s="13"/>
      <c r="AA560" s="13"/>
      <c r="AB560" s="13"/>
      <c r="AC560" s="13"/>
    </row>
    <row r="561">
      <c r="B561" s="108"/>
      <c r="Y561" s="13"/>
      <c r="Z561" s="13"/>
      <c r="AA561" s="13"/>
      <c r="AB561" s="13"/>
      <c r="AC561" s="13"/>
    </row>
    <row r="562">
      <c r="B562" s="108"/>
      <c r="Y562" s="13"/>
      <c r="Z562" s="13"/>
      <c r="AA562" s="13"/>
      <c r="AB562" s="13"/>
      <c r="AC562" s="13"/>
    </row>
    <row r="563">
      <c r="B563" s="108"/>
      <c r="Y563" s="13"/>
      <c r="Z563" s="13"/>
      <c r="AA563" s="13"/>
      <c r="AB563" s="13"/>
      <c r="AC563" s="13"/>
    </row>
    <row r="564">
      <c r="B564" s="108"/>
      <c r="Y564" s="13"/>
      <c r="Z564" s="13"/>
      <c r="AA564" s="13"/>
      <c r="AB564" s="13"/>
      <c r="AC564" s="13"/>
    </row>
    <row r="565">
      <c r="B565" s="108"/>
      <c r="Y565" s="13"/>
      <c r="Z565" s="13"/>
      <c r="AA565" s="13"/>
      <c r="AB565" s="13"/>
      <c r="AC565" s="13"/>
    </row>
    <row r="566">
      <c r="B566" s="108"/>
      <c r="Y566" s="13"/>
      <c r="Z566" s="13"/>
      <c r="AA566" s="13"/>
      <c r="AB566" s="13"/>
      <c r="AC566" s="13"/>
    </row>
    <row r="567">
      <c r="B567" s="108"/>
      <c r="Y567" s="13"/>
      <c r="Z567" s="13"/>
      <c r="AA567" s="13"/>
      <c r="AB567" s="13"/>
      <c r="AC567" s="13"/>
    </row>
    <row r="568">
      <c r="B568" s="108"/>
      <c r="Y568" s="13"/>
      <c r="Z568" s="13"/>
      <c r="AA568" s="13"/>
      <c r="AB568" s="13"/>
      <c r="AC568" s="13"/>
    </row>
    <row r="569">
      <c r="B569" s="108"/>
      <c r="Y569" s="13"/>
      <c r="Z569" s="13"/>
      <c r="AA569" s="13"/>
      <c r="AB569" s="13"/>
      <c r="AC569" s="13"/>
    </row>
    <row r="570">
      <c r="B570" s="108"/>
      <c r="Y570" s="13"/>
      <c r="Z570" s="13"/>
      <c r="AA570" s="13"/>
      <c r="AB570" s="13"/>
      <c r="AC570" s="13"/>
    </row>
    <row r="571">
      <c r="B571" s="108"/>
      <c r="Y571" s="13"/>
      <c r="Z571" s="13"/>
      <c r="AA571" s="13"/>
      <c r="AB571" s="13"/>
      <c r="AC571" s="13"/>
    </row>
    <row r="572">
      <c r="B572" s="108"/>
      <c r="Y572" s="13"/>
      <c r="Z572" s="13"/>
      <c r="AA572" s="13"/>
      <c r="AB572" s="13"/>
      <c r="AC572" s="13"/>
    </row>
    <row r="573">
      <c r="B573" s="108"/>
      <c r="Y573" s="13"/>
      <c r="Z573" s="13"/>
      <c r="AA573" s="13"/>
      <c r="AB573" s="13"/>
      <c r="AC573" s="13"/>
    </row>
    <row r="574">
      <c r="B574" s="108"/>
      <c r="Y574" s="13"/>
      <c r="Z574" s="13"/>
      <c r="AA574" s="13"/>
      <c r="AB574" s="13"/>
      <c r="AC574" s="13"/>
    </row>
    <row r="575">
      <c r="B575" s="108"/>
      <c r="Y575" s="13"/>
      <c r="Z575" s="13"/>
      <c r="AA575" s="13"/>
      <c r="AB575" s="13"/>
      <c r="AC575" s="13"/>
    </row>
    <row r="576">
      <c r="B576" s="108"/>
      <c r="Y576" s="13"/>
      <c r="Z576" s="13"/>
      <c r="AA576" s="13"/>
      <c r="AB576" s="13"/>
      <c r="AC576" s="13"/>
    </row>
    <row r="577">
      <c r="B577" s="108"/>
      <c r="Y577" s="13"/>
      <c r="Z577" s="13"/>
      <c r="AA577" s="13"/>
      <c r="AB577" s="13"/>
      <c r="AC577" s="13"/>
    </row>
    <row r="578">
      <c r="B578" s="108"/>
      <c r="Y578" s="13"/>
      <c r="Z578" s="13"/>
      <c r="AA578" s="13"/>
      <c r="AB578" s="13"/>
      <c r="AC578" s="13"/>
    </row>
    <row r="579">
      <c r="B579" s="108"/>
      <c r="Y579" s="13"/>
      <c r="Z579" s="13"/>
      <c r="AA579" s="13"/>
      <c r="AB579" s="13"/>
      <c r="AC579" s="13"/>
    </row>
    <row r="580">
      <c r="B580" s="108"/>
      <c r="Y580" s="13"/>
      <c r="Z580" s="13"/>
      <c r="AA580" s="13"/>
      <c r="AB580" s="13"/>
      <c r="AC580" s="13"/>
    </row>
    <row r="581">
      <c r="B581" s="108"/>
      <c r="Y581" s="13"/>
      <c r="Z581" s="13"/>
      <c r="AA581" s="13"/>
      <c r="AB581" s="13"/>
      <c r="AC581" s="13"/>
    </row>
    <row r="582">
      <c r="B582" s="108"/>
      <c r="Y582" s="13"/>
      <c r="Z582" s="13"/>
      <c r="AA582" s="13"/>
      <c r="AB582" s="13"/>
      <c r="AC582" s="13"/>
    </row>
    <row r="583">
      <c r="B583" s="108"/>
      <c r="Y583" s="13"/>
      <c r="Z583" s="13"/>
      <c r="AA583" s="13"/>
      <c r="AB583" s="13"/>
      <c r="AC583" s="13"/>
    </row>
    <row r="584">
      <c r="B584" s="108"/>
      <c r="Y584" s="13"/>
      <c r="Z584" s="13"/>
      <c r="AA584" s="13"/>
      <c r="AB584" s="13"/>
      <c r="AC584" s="13"/>
    </row>
    <row r="585">
      <c r="B585" s="108"/>
      <c r="Y585" s="13"/>
      <c r="Z585" s="13"/>
      <c r="AA585" s="13"/>
      <c r="AB585" s="13"/>
      <c r="AC585" s="13"/>
    </row>
    <row r="586">
      <c r="B586" s="108"/>
      <c r="Y586" s="13"/>
      <c r="Z586" s="13"/>
      <c r="AA586" s="13"/>
      <c r="AB586" s="13"/>
      <c r="AC586" s="13"/>
    </row>
    <row r="587">
      <c r="B587" s="108"/>
      <c r="Y587" s="13"/>
      <c r="Z587" s="13"/>
      <c r="AA587" s="13"/>
      <c r="AB587" s="13"/>
      <c r="AC587" s="13"/>
    </row>
    <row r="588">
      <c r="B588" s="108"/>
      <c r="Y588" s="13"/>
      <c r="Z588" s="13"/>
      <c r="AA588" s="13"/>
      <c r="AB588" s="13"/>
      <c r="AC588" s="13"/>
    </row>
    <row r="589">
      <c r="B589" s="108"/>
      <c r="Y589" s="13"/>
      <c r="Z589" s="13"/>
      <c r="AA589" s="13"/>
      <c r="AB589" s="13"/>
      <c r="AC589" s="13"/>
    </row>
    <row r="590">
      <c r="B590" s="108"/>
      <c r="Y590" s="13"/>
      <c r="Z590" s="13"/>
      <c r="AA590" s="13"/>
      <c r="AB590" s="13"/>
      <c r="AC590" s="13"/>
    </row>
    <row r="591">
      <c r="B591" s="108"/>
      <c r="Y591" s="13"/>
      <c r="Z591" s="13"/>
      <c r="AA591" s="13"/>
      <c r="AB591" s="13"/>
      <c r="AC591" s="13"/>
    </row>
    <row r="592">
      <c r="B592" s="108"/>
      <c r="Y592" s="13"/>
      <c r="Z592" s="13"/>
      <c r="AA592" s="13"/>
      <c r="AB592" s="13"/>
      <c r="AC592" s="13"/>
    </row>
    <row r="593">
      <c r="B593" s="108"/>
      <c r="Y593" s="13"/>
      <c r="Z593" s="13"/>
      <c r="AA593" s="13"/>
      <c r="AB593" s="13"/>
      <c r="AC593" s="13"/>
    </row>
    <row r="594">
      <c r="B594" s="108"/>
      <c r="Y594" s="13"/>
      <c r="Z594" s="13"/>
      <c r="AA594" s="13"/>
      <c r="AB594" s="13"/>
      <c r="AC594" s="13"/>
    </row>
    <row r="595">
      <c r="B595" s="108"/>
      <c r="Y595" s="13"/>
      <c r="Z595" s="13"/>
      <c r="AA595" s="13"/>
      <c r="AB595" s="13"/>
      <c r="AC595" s="13"/>
    </row>
    <row r="596">
      <c r="B596" s="108"/>
      <c r="Y596" s="13"/>
      <c r="Z596" s="13"/>
      <c r="AA596" s="13"/>
      <c r="AB596" s="13"/>
      <c r="AC596" s="13"/>
    </row>
    <row r="597">
      <c r="B597" s="108"/>
      <c r="Y597" s="13"/>
      <c r="Z597" s="13"/>
      <c r="AA597" s="13"/>
      <c r="AB597" s="13"/>
      <c r="AC597" s="13"/>
    </row>
    <row r="598">
      <c r="B598" s="108"/>
      <c r="Y598" s="13"/>
      <c r="Z598" s="13"/>
      <c r="AA598" s="13"/>
      <c r="AB598" s="13"/>
      <c r="AC598" s="13"/>
    </row>
    <row r="599">
      <c r="B599" s="108"/>
      <c r="Y599" s="13"/>
      <c r="Z599" s="13"/>
      <c r="AA599" s="13"/>
      <c r="AB599" s="13"/>
      <c r="AC599" s="13"/>
    </row>
    <row r="600">
      <c r="B600" s="108"/>
      <c r="Y600" s="13"/>
      <c r="Z600" s="13"/>
      <c r="AA600" s="13"/>
      <c r="AB600" s="13"/>
      <c r="AC600" s="13"/>
    </row>
    <row r="601">
      <c r="B601" s="108"/>
      <c r="Y601" s="13"/>
      <c r="Z601" s="13"/>
      <c r="AA601" s="13"/>
      <c r="AB601" s="13"/>
      <c r="AC601" s="13"/>
    </row>
    <row r="602">
      <c r="B602" s="108"/>
      <c r="Y602" s="13"/>
      <c r="Z602" s="13"/>
      <c r="AA602" s="13"/>
      <c r="AB602" s="13"/>
      <c r="AC602" s="13"/>
    </row>
    <row r="603">
      <c r="B603" s="108"/>
      <c r="Y603" s="13"/>
      <c r="Z603" s="13"/>
      <c r="AA603" s="13"/>
      <c r="AB603" s="13"/>
      <c r="AC603" s="13"/>
    </row>
    <row r="604">
      <c r="B604" s="108"/>
      <c r="Y604" s="13"/>
      <c r="Z604" s="13"/>
      <c r="AA604" s="13"/>
      <c r="AB604" s="13"/>
      <c r="AC604" s="13"/>
    </row>
    <row r="605">
      <c r="B605" s="108"/>
      <c r="Y605" s="13"/>
      <c r="Z605" s="13"/>
      <c r="AA605" s="13"/>
      <c r="AB605" s="13"/>
      <c r="AC605" s="13"/>
    </row>
    <row r="606">
      <c r="B606" s="108"/>
      <c r="Y606" s="13"/>
      <c r="Z606" s="13"/>
      <c r="AA606" s="13"/>
      <c r="AB606" s="13"/>
      <c r="AC606" s="13"/>
    </row>
    <row r="607">
      <c r="B607" s="108"/>
      <c r="Y607" s="13"/>
      <c r="Z607" s="13"/>
      <c r="AA607" s="13"/>
      <c r="AB607" s="13"/>
      <c r="AC607" s="13"/>
    </row>
    <row r="608">
      <c r="B608" s="108"/>
      <c r="Y608" s="13"/>
      <c r="Z608" s="13"/>
      <c r="AA608" s="13"/>
      <c r="AB608" s="13"/>
      <c r="AC608" s="13"/>
    </row>
    <row r="609">
      <c r="B609" s="108"/>
      <c r="Y609" s="13"/>
      <c r="Z609" s="13"/>
      <c r="AA609" s="13"/>
      <c r="AB609" s="13"/>
      <c r="AC609" s="13"/>
    </row>
    <row r="610">
      <c r="B610" s="108"/>
      <c r="Y610" s="13"/>
      <c r="Z610" s="13"/>
      <c r="AA610" s="13"/>
      <c r="AB610" s="13"/>
      <c r="AC610" s="13"/>
    </row>
    <row r="611">
      <c r="B611" s="108"/>
      <c r="Y611" s="13"/>
      <c r="Z611" s="13"/>
      <c r="AA611" s="13"/>
      <c r="AB611" s="13"/>
      <c r="AC611" s="13"/>
    </row>
    <row r="612">
      <c r="B612" s="108"/>
      <c r="Y612" s="13"/>
      <c r="Z612" s="13"/>
      <c r="AA612" s="13"/>
      <c r="AB612" s="13"/>
      <c r="AC612" s="13"/>
    </row>
    <row r="613">
      <c r="B613" s="108"/>
      <c r="Y613" s="13"/>
      <c r="Z613" s="13"/>
      <c r="AA613" s="13"/>
      <c r="AB613" s="13"/>
      <c r="AC613" s="13"/>
    </row>
    <row r="614">
      <c r="B614" s="108"/>
      <c r="Y614" s="13"/>
      <c r="Z614" s="13"/>
      <c r="AA614" s="13"/>
      <c r="AB614" s="13"/>
      <c r="AC614" s="13"/>
    </row>
    <row r="615">
      <c r="B615" s="108"/>
      <c r="Y615" s="13"/>
      <c r="Z615" s="13"/>
      <c r="AA615" s="13"/>
      <c r="AB615" s="13"/>
      <c r="AC615" s="13"/>
    </row>
    <row r="616">
      <c r="B616" s="108"/>
      <c r="Y616" s="13"/>
      <c r="Z616" s="13"/>
      <c r="AA616" s="13"/>
      <c r="AB616" s="13"/>
      <c r="AC616" s="13"/>
    </row>
    <row r="617">
      <c r="B617" s="108"/>
      <c r="Y617" s="13"/>
      <c r="Z617" s="13"/>
      <c r="AA617" s="13"/>
      <c r="AB617" s="13"/>
      <c r="AC617" s="13"/>
    </row>
    <row r="618">
      <c r="B618" s="108"/>
      <c r="Y618" s="13"/>
      <c r="Z618" s="13"/>
      <c r="AA618" s="13"/>
      <c r="AB618" s="13"/>
      <c r="AC618" s="13"/>
    </row>
    <row r="619">
      <c r="B619" s="108"/>
      <c r="Y619" s="13"/>
      <c r="Z619" s="13"/>
      <c r="AA619" s="13"/>
      <c r="AB619" s="13"/>
      <c r="AC619" s="13"/>
    </row>
    <row r="620">
      <c r="B620" s="108"/>
      <c r="Y620" s="13"/>
      <c r="Z620" s="13"/>
      <c r="AA620" s="13"/>
      <c r="AB620" s="13"/>
      <c r="AC620" s="13"/>
    </row>
    <row r="621">
      <c r="B621" s="108"/>
      <c r="Y621" s="13"/>
      <c r="Z621" s="13"/>
      <c r="AA621" s="13"/>
      <c r="AB621" s="13"/>
      <c r="AC621" s="13"/>
    </row>
    <row r="622">
      <c r="B622" s="108"/>
      <c r="Y622" s="13"/>
      <c r="Z622" s="13"/>
      <c r="AA622" s="13"/>
      <c r="AB622" s="13"/>
      <c r="AC622" s="13"/>
    </row>
    <row r="623">
      <c r="B623" s="108"/>
      <c r="Y623" s="13"/>
      <c r="Z623" s="13"/>
      <c r="AA623" s="13"/>
      <c r="AB623" s="13"/>
      <c r="AC623" s="13"/>
    </row>
    <row r="624">
      <c r="B624" s="108"/>
      <c r="Y624" s="13"/>
      <c r="Z624" s="13"/>
      <c r="AA624" s="13"/>
      <c r="AB624" s="13"/>
      <c r="AC624" s="13"/>
    </row>
    <row r="625">
      <c r="B625" s="108"/>
      <c r="Y625" s="13"/>
      <c r="Z625" s="13"/>
      <c r="AA625" s="13"/>
      <c r="AB625" s="13"/>
      <c r="AC625" s="13"/>
    </row>
    <row r="626">
      <c r="B626" s="108"/>
      <c r="Y626" s="13"/>
      <c r="Z626" s="13"/>
      <c r="AA626" s="13"/>
      <c r="AB626" s="13"/>
      <c r="AC626" s="13"/>
    </row>
    <row r="627">
      <c r="B627" s="108"/>
      <c r="Y627" s="13"/>
      <c r="Z627" s="13"/>
      <c r="AA627" s="13"/>
      <c r="AB627" s="13"/>
      <c r="AC627" s="13"/>
    </row>
    <row r="628">
      <c r="B628" s="108"/>
      <c r="Y628" s="13"/>
      <c r="Z628" s="13"/>
      <c r="AA628" s="13"/>
      <c r="AB628" s="13"/>
      <c r="AC628" s="13"/>
    </row>
    <row r="629">
      <c r="B629" s="108"/>
      <c r="Y629" s="13"/>
      <c r="Z629" s="13"/>
      <c r="AA629" s="13"/>
      <c r="AB629" s="13"/>
      <c r="AC629" s="13"/>
    </row>
    <row r="630">
      <c r="B630" s="108"/>
      <c r="Y630" s="13"/>
      <c r="Z630" s="13"/>
      <c r="AA630" s="13"/>
      <c r="AB630" s="13"/>
      <c r="AC630" s="13"/>
    </row>
    <row r="631">
      <c r="B631" s="108"/>
      <c r="Y631" s="13"/>
      <c r="Z631" s="13"/>
      <c r="AA631" s="13"/>
      <c r="AB631" s="13"/>
      <c r="AC631" s="13"/>
    </row>
    <row r="632">
      <c r="B632" s="108"/>
      <c r="Y632" s="13"/>
      <c r="Z632" s="13"/>
      <c r="AA632" s="13"/>
      <c r="AB632" s="13"/>
      <c r="AC632" s="13"/>
    </row>
    <row r="633">
      <c r="B633" s="108"/>
      <c r="Y633" s="13"/>
      <c r="Z633" s="13"/>
      <c r="AA633" s="13"/>
      <c r="AB633" s="13"/>
      <c r="AC633" s="13"/>
    </row>
    <row r="634">
      <c r="B634" s="108"/>
      <c r="Y634" s="13"/>
      <c r="Z634" s="13"/>
      <c r="AA634" s="13"/>
      <c r="AB634" s="13"/>
      <c r="AC634" s="13"/>
    </row>
    <row r="635">
      <c r="B635" s="108"/>
      <c r="Y635" s="13"/>
      <c r="Z635" s="13"/>
      <c r="AA635" s="13"/>
      <c r="AB635" s="13"/>
      <c r="AC635" s="13"/>
    </row>
    <row r="636">
      <c r="B636" s="108"/>
      <c r="Y636" s="13"/>
      <c r="Z636" s="13"/>
      <c r="AA636" s="13"/>
      <c r="AB636" s="13"/>
      <c r="AC636" s="13"/>
    </row>
    <row r="637">
      <c r="B637" s="108"/>
      <c r="Y637" s="13"/>
      <c r="Z637" s="13"/>
      <c r="AA637" s="13"/>
      <c r="AB637" s="13"/>
      <c r="AC637" s="13"/>
    </row>
    <row r="638">
      <c r="B638" s="108"/>
      <c r="Y638" s="13"/>
      <c r="Z638" s="13"/>
      <c r="AA638" s="13"/>
      <c r="AB638" s="13"/>
      <c r="AC638" s="13"/>
    </row>
    <row r="639">
      <c r="B639" s="108"/>
      <c r="Y639" s="13"/>
      <c r="Z639" s="13"/>
      <c r="AA639" s="13"/>
      <c r="AB639" s="13"/>
      <c r="AC639" s="13"/>
    </row>
    <row r="640">
      <c r="B640" s="108"/>
      <c r="Y640" s="13"/>
      <c r="Z640" s="13"/>
      <c r="AA640" s="13"/>
      <c r="AB640" s="13"/>
      <c r="AC640" s="13"/>
    </row>
    <row r="641">
      <c r="B641" s="108"/>
      <c r="Y641" s="13"/>
      <c r="Z641" s="13"/>
      <c r="AA641" s="13"/>
      <c r="AB641" s="13"/>
      <c r="AC641" s="13"/>
    </row>
    <row r="642">
      <c r="B642" s="108"/>
      <c r="Y642" s="13"/>
      <c r="Z642" s="13"/>
      <c r="AA642" s="13"/>
      <c r="AB642" s="13"/>
      <c r="AC642" s="13"/>
    </row>
    <row r="643">
      <c r="B643" s="108"/>
      <c r="Y643" s="13"/>
      <c r="Z643" s="13"/>
      <c r="AA643" s="13"/>
      <c r="AB643" s="13"/>
      <c r="AC643" s="13"/>
    </row>
    <row r="644">
      <c r="B644" s="108"/>
      <c r="Y644" s="13"/>
      <c r="Z644" s="13"/>
      <c r="AA644" s="13"/>
      <c r="AB644" s="13"/>
      <c r="AC644" s="13"/>
    </row>
    <row r="645">
      <c r="B645" s="108"/>
      <c r="Y645" s="13"/>
      <c r="Z645" s="13"/>
      <c r="AA645" s="13"/>
      <c r="AB645" s="13"/>
      <c r="AC645" s="13"/>
    </row>
    <row r="646">
      <c r="B646" s="108"/>
      <c r="Y646" s="13"/>
      <c r="Z646" s="13"/>
      <c r="AA646" s="13"/>
      <c r="AB646" s="13"/>
      <c r="AC646" s="13"/>
    </row>
    <row r="647">
      <c r="B647" s="108"/>
      <c r="Y647" s="13"/>
      <c r="Z647" s="13"/>
      <c r="AA647" s="13"/>
      <c r="AB647" s="13"/>
      <c r="AC647" s="13"/>
    </row>
    <row r="648">
      <c r="B648" s="108"/>
      <c r="Y648" s="13"/>
      <c r="Z648" s="13"/>
      <c r="AA648" s="13"/>
      <c r="AB648" s="13"/>
      <c r="AC648" s="13"/>
    </row>
    <row r="649">
      <c r="B649" s="108"/>
      <c r="Y649" s="13"/>
      <c r="Z649" s="13"/>
      <c r="AA649" s="13"/>
      <c r="AB649" s="13"/>
      <c r="AC649" s="13"/>
    </row>
    <row r="650">
      <c r="B650" s="108"/>
      <c r="Y650" s="13"/>
      <c r="Z650" s="13"/>
      <c r="AA650" s="13"/>
      <c r="AB650" s="13"/>
      <c r="AC650" s="13"/>
    </row>
    <row r="651">
      <c r="B651" s="108"/>
      <c r="Y651" s="13"/>
      <c r="Z651" s="13"/>
      <c r="AA651" s="13"/>
      <c r="AB651" s="13"/>
      <c r="AC651" s="13"/>
    </row>
    <row r="652">
      <c r="B652" s="108"/>
      <c r="Y652" s="13"/>
      <c r="Z652" s="13"/>
      <c r="AA652" s="13"/>
      <c r="AB652" s="13"/>
      <c r="AC652" s="13"/>
    </row>
    <row r="653">
      <c r="B653" s="108"/>
      <c r="Y653" s="13"/>
      <c r="Z653" s="13"/>
      <c r="AA653" s="13"/>
      <c r="AB653" s="13"/>
      <c r="AC653" s="13"/>
    </row>
    <row r="654">
      <c r="B654" s="108"/>
      <c r="Y654" s="13"/>
      <c r="Z654" s="13"/>
      <c r="AA654" s="13"/>
      <c r="AB654" s="13"/>
      <c r="AC654" s="13"/>
    </row>
    <row r="655">
      <c r="B655" s="108"/>
      <c r="Y655" s="13"/>
      <c r="Z655" s="13"/>
      <c r="AA655" s="13"/>
      <c r="AB655" s="13"/>
      <c r="AC655" s="13"/>
    </row>
    <row r="656">
      <c r="B656" s="108"/>
      <c r="Y656" s="13"/>
      <c r="Z656" s="13"/>
      <c r="AA656" s="13"/>
      <c r="AB656" s="13"/>
      <c r="AC656" s="13"/>
    </row>
    <row r="657">
      <c r="B657" s="108"/>
      <c r="Y657" s="13"/>
      <c r="Z657" s="13"/>
      <c r="AA657" s="13"/>
      <c r="AB657" s="13"/>
      <c r="AC657" s="13"/>
    </row>
    <row r="658">
      <c r="B658" s="108"/>
      <c r="Y658" s="13"/>
      <c r="Z658" s="13"/>
      <c r="AA658" s="13"/>
      <c r="AB658" s="13"/>
      <c r="AC658" s="13"/>
    </row>
    <row r="659">
      <c r="B659" s="108"/>
      <c r="Y659" s="13"/>
      <c r="Z659" s="13"/>
      <c r="AA659" s="13"/>
      <c r="AB659" s="13"/>
      <c r="AC659" s="13"/>
    </row>
    <row r="660">
      <c r="B660" s="108"/>
      <c r="Y660" s="13"/>
      <c r="Z660" s="13"/>
      <c r="AA660" s="13"/>
      <c r="AB660" s="13"/>
      <c r="AC660" s="13"/>
    </row>
    <row r="661">
      <c r="B661" s="108"/>
      <c r="Y661" s="13"/>
      <c r="Z661" s="13"/>
      <c r="AA661" s="13"/>
      <c r="AB661" s="13"/>
      <c r="AC661" s="13"/>
    </row>
    <row r="662">
      <c r="B662" s="108"/>
      <c r="Y662" s="13"/>
      <c r="Z662" s="13"/>
      <c r="AA662" s="13"/>
      <c r="AB662" s="13"/>
      <c r="AC662" s="13"/>
    </row>
    <row r="663">
      <c r="B663" s="108"/>
      <c r="Y663" s="13"/>
      <c r="Z663" s="13"/>
      <c r="AA663" s="13"/>
      <c r="AB663" s="13"/>
      <c r="AC663" s="13"/>
    </row>
    <row r="664">
      <c r="B664" s="108"/>
      <c r="Y664" s="13"/>
      <c r="Z664" s="13"/>
      <c r="AA664" s="13"/>
      <c r="AB664" s="13"/>
      <c r="AC664" s="13"/>
    </row>
    <row r="665">
      <c r="B665" s="108"/>
      <c r="Y665" s="13"/>
      <c r="Z665" s="13"/>
      <c r="AA665" s="13"/>
      <c r="AB665" s="13"/>
      <c r="AC665" s="13"/>
    </row>
    <row r="666">
      <c r="B666" s="108"/>
      <c r="Y666" s="13"/>
      <c r="Z666" s="13"/>
      <c r="AA666" s="13"/>
      <c r="AB666" s="13"/>
      <c r="AC666" s="13"/>
    </row>
    <row r="667">
      <c r="B667" s="108"/>
      <c r="Y667" s="13"/>
      <c r="Z667" s="13"/>
      <c r="AA667" s="13"/>
      <c r="AB667" s="13"/>
      <c r="AC667" s="13"/>
    </row>
    <row r="668">
      <c r="B668" s="108"/>
      <c r="Y668" s="13"/>
      <c r="Z668" s="13"/>
      <c r="AA668" s="13"/>
      <c r="AB668" s="13"/>
      <c r="AC668" s="13"/>
    </row>
    <row r="669">
      <c r="B669" s="108"/>
      <c r="Y669" s="13"/>
      <c r="Z669" s="13"/>
      <c r="AA669" s="13"/>
      <c r="AB669" s="13"/>
      <c r="AC669" s="13"/>
    </row>
    <row r="670">
      <c r="B670" s="108"/>
      <c r="Y670" s="13"/>
      <c r="Z670" s="13"/>
      <c r="AA670" s="13"/>
      <c r="AB670" s="13"/>
      <c r="AC670" s="13"/>
    </row>
    <row r="671">
      <c r="B671" s="108"/>
      <c r="Y671" s="13"/>
      <c r="Z671" s="13"/>
      <c r="AA671" s="13"/>
      <c r="AB671" s="13"/>
      <c r="AC671" s="13"/>
    </row>
    <row r="672">
      <c r="B672" s="108"/>
      <c r="Y672" s="13"/>
      <c r="Z672" s="13"/>
      <c r="AA672" s="13"/>
      <c r="AB672" s="13"/>
      <c r="AC672" s="13"/>
    </row>
    <row r="673">
      <c r="B673" s="108"/>
      <c r="Y673" s="13"/>
      <c r="Z673" s="13"/>
      <c r="AA673" s="13"/>
      <c r="AB673" s="13"/>
      <c r="AC673" s="13"/>
    </row>
    <row r="674">
      <c r="B674" s="108"/>
      <c r="Y674" s="13"/>
      <c r="Z674" s="13"/>
      <c r="AA674" s="13"/>
      <c r="AB674" s="13"/>
      <c r="AC674" s="13"/>
    </row>
    <row r="675">
      <c r="B675" s="108"/>
      <c r="Y675" s="13"/>
      <c r="Z675" s="13"/>
      <c r="AA675" s="13"/>
      <c r="AB675" s="13"/>
      <c r="AC675" s="13"/>
    </row>
    <row r="676">
      <c r="B676" s="108"/>
      <c r="Y676" s="13"/>
      <c r="Z676" s="13"/>
      <c r="AA676" s="13"/>
      <c r="AB676" s="13"/>
      <c r="AC676" s="13"/>
    </row>
    <row r="677">
      <c r="B677" s="108"/>
      <c r="Y677" s="13"/>
      <c r="Z677" s="13"/>
      <c r="AA677" s="13"/>
      <c r="AB677" s="13"/>
      <c r="AC677" s="13"/>
    </row>
    <row r="678">
      <c r="B678" s="108"/>
      <c r="Y678" s="13"/>
      <c r="Z678" s="13"/>
      <c r="AA678" s="13"/>
      <c r="AB678" s="13"/>
      <c r="AC678" s="13"/>
    </row>
    <row r="679">
      <c r="B679" s="108"/>
      <c r="Y679" s="13"/>
      <c r="Z679" s="13"/>
      <c r="AA679" s="13"/>
      <c r="AB679" s="13"/>
      <c r="AC679" s="13"/>
    </row>
    <row r="680">
      <c r="B680" s="108"/>
      <c r="Y680" s="13"/>
      <c r="Z680" s="13"/>
      <c r="AA680" s="13"/>
      <c r="AB680" s="13"/>
      <c r="AC680" s="13"/>
    </row>
    <row r="681">
      <c r="B681" s="108"/>
      <c r="Y681" s="13"/>
      <c r="Z681" s="13"/>
      <c r="AA681" s="13"/>
      <c r="AB681" s="13"/>
      <c r="AC681" s="13"/>
    </row>
    <row r="682">
      <c r="B682" s="108"/>
      <c r="Y682" s="13"/>
      <c r="Z682" s="13"/>
      <c r="AA682" s="13"/>
      <c r="AB682" s="13"/>
      <c r="AC682" s="13"/>
    </row>
    <row r="683">
      <c r="B683" s="108"/>
      <c r="Y683" s="13"/>
      <c r="Z683" s="13"/>
      <c r="AA683" s="13"/>
      <c r="AB683" s="13"/>
      <c r="AC683" s="13"/>
    </row>
    <row r="684">
      <c r="B684" s="108"/>
      <c r="Y684" s="13"/>
      <c r="Z684" s="13"/>
      <c r="AA684" s="13"/>
      <c r="AB684" s="13"/>
      <c r="AC684" s="13"/>
    </row>
    <row r="685">
      <c r="B685" s="108"/>
      <c r="Y685" s="13"/>
      <c r="Z685" s="13"/>
      <c r="AA685" s="13"/>
      <c r="AB685" s="13"/>
      <c r="AC685" s="13"/>
    </row>
    <row r="686">
      <c r="B686" s="108"/>
      <c r="Y686" s="13"/>
      <c r="Z686" s="13"/>
      <c r="AA686" s="13"/>
      <c r="AB686" s="13"/>
      <c r="AC686" s="13"/>
    </row>
    <row r="687">
      <c r="B687" s="108"/>
      <c r="Y687" s="13"/>
      <c r="Z687" s="13"/>
      <c r="AA687" s="13"/>
      <c r="AB687" s="13"/>
      <c r="AC687" s="13"/>
    </row>
    <row r="688">
      <c r="B688" s="108"/>
      <c r="Y688" s="13"/>
      <c r="Z688" s="13"/>
      <c r="AA688" s="13"/>
      <c r="AB688" s="13"/>
      <c r="AC688" s="13"/>
    </row>
    <row r="689">
      <c r="B689" s="108"/>
      <c r="Y689" s="13"/>
      <c r="Z689" s="13"/>
      <c r="AA689" s="13"/>
      <c r="AB689" s="13"/>
      <c r="AC689" s="13"/>
    </row>
    <row r="690">
      <c r="B690" s="108"/>
      <c r="Y690" s="13"/>
      <c r="Z690" s="13"/>
      <c r="AA690" s="13"/>
      <c r="AB690" s="13"/>
      <c r="AC690" s="13"/>
    </row>
    <row r="691">
      <c r="B691" s="108"/>
      <c r="Y691" s="13"/>
      <c r="Z691" s="13"/>
      <c r="AA691" s="13"/>
      <c r="AB691" s="13"/>
      <c r="AC691" s="13"/>
    </row>
    <row r="692">
      <c r="B692" s="108"/>
      <c r="Y692" s="13"/>
      <c r="Z692" s="13"/>
      <c r="AA692" s="13"/>
      <c r="AB692" s="13"/>
      <c r="AC692" s="13"/>
    </row>
    <row r="693">
      <c r="B693" s="108"/>
      <c r="Y693" s="13"/>
      <c r="Z693" s="13"/>
      <c r="AA693" s="13"/>
      <c r="AB693" s="13"/>
      <c r="AC693" s="13"/>
    </row>
    <row r="694">
      <c r="B694" s="108"/>
      <c r="Y694" s="13"/>
      <c r="Z694" s="13"/>
      <c r="AA694" s="13"/>
      <c r="AB694" s="13"/>
      <c r="AC694" s="13"/>
    </row>
    <row r="695">
      <c r="B695" s="108"/>
      <c r="Y695" s="13"/>
      <c r="Z695" s="13"/>
      <c r="AA695" s="13"/>
      <c r="AB695" s="13"/>
      <c r="AC695" s="13"/>
    </row>
    <row r="696">
      <c r="B696" s="108"/>
      <c r="Y696" s="13"/>
      <c r="Z696" s="13"/>
      <c r="AA696" s="13"/>
      <c r="AB696" s="13"/>
      <c r="AC696" s="13"/>
    </row>
    <row r="697">
      <c r="B697" s="108"/>
      <c r="Y697" s="13"/>
      <c r="Z697" s="13"/>
      <c r="AA697" s="13"/>
      <c r="AB697" s="13"/>
      <c r="AC697" s="13"/>
    </row>
    <row r="698">
      <c r="B698" s="108"/>
      <c r="Y698" s="13"/>
      <c r="Z698" s="13"/>
      <c r="AA698" s="13"/>
      <c r="AB698" s="13"/>
      <c r="AC698" s="13"/>
    </row>
    <row r="699">
      <c r="B699" s="108"/>
      <c r="Y699" s="13"/>
      <c r="Z699" s="13"/>
      <c r="AA699" s="13"/>
      <c r="AB699" s="13"/>
      <c r="AC699" s="13"/>
    </row>
    <row r="700">
      <c r="B700" s="108"/>
      <c r="Y700" s="13"/>
      <c r="Z700" s="13"/>
      <c r="AA700" s="13"/>
      <c r="AB700" s="13"/>
      <c r="AC700" s="13"/>
    </row>
    <row r="701">
      <c r="B701" s="108"/>
      <c r="Y701" s="13"/>
      <c r="Z701" s="13"/>
      <c r="AA701" s="13"/>
      <c r="AB701" s="13"/>
      <c r="AC701" s="13"/>
    </row>
    <row r="702">
      <c r="B702" s="108"/>
      <c r="Y702" s="13"/>
      <c r="Z702" s="13"/>
      <c r="AA702" s="13"/>
      <c r="AB702" s="13"/>
      <c r="AC702" s="13"/>
    </row>
    <row r="703">
      <c r="B703" s="108"/>
      <c r="Y703" s="13"/>
      <c r="Z703" s="13"/>
      <c r="AA703" s="13"/>
      <c r="AB703" s="13"/>
      <c r="AC703" s="13"/>
    </row>
    <row r="704">
      <c r="B704" s="108"/>
      <c r="Y704" s="13"/>
      <c r="Z704" s="13"/>
      <c r="AA704" s="13"/>
      <c r="AB704" s="13"/>
      <c r="AC704" s="13"/>
    </row>
    <row r="705">
      <c r="B705" s="108"/>
      <c r="Y705" s="13"/>
      <c r="Z705" s="13"/>
      <c r="AA705" s="13"/>
      <c r="AB705" s="13"/>
      <c r="AC705" s="13"/>
    </row>
    <row r="706">
      <c r="B706" s="108"/>
      <c r="Y706" s="13"/>
      <c r="Z706" s="13"/>
      <c r="AA706" s="13"/>
      <c r="AB706" s="13"/>
      <c r="AC706" s="13"/>
    </row>
    <row r="707">
      <c r="B707" s="108"/>
      <c r="Y707" s="13"/>
      <c r="Z707" s="13"/>
      <c r="AA707" s="13"/>
      <c r="AB707" s="13"/>
      <c r="AC707" s="13"/>
    </row>
    <row r="708">
      <c r="B708" s="108"/>
      <c r="Y708" s="13"/>
      <c r="Z708" s="13"/>
      <c r="AA708" s="13"/>
      <c r="AB708" s="13"/>
      <c r="AC708" s="13"/>
    </row>
    <row r="709">
      <c r="B709" s="108"/>
      <c r="Y709" s="13"/>
      <c r="Z709" s="13"/>
      <c r="AA709" s="13"/>
      <c r="AB709" s="13"/>
      <c r="AC709" s="13"/>
    </row>
    <row r="710">
      <c r="B710" s="108"/>
      <c r="Y710" s="13"/>
      <c r="Z710" s="13"/>
      <c r="AA710" s="13"/>
      <c r="AB710" s="13"/>
      <c r="AC710" s="13"/>
    </row>
    <row r="711">
      <c r="B711" s="108"/>
      <c r="Y711" s="13"/>
      <c r="Z711" s="13"/>
      <c r="AA711" s="13"/>
      <c r="AB711" s="13"/>
      <c r="AC711" s="13"/>
    </row>
    <row r="712">
      <c r="B712" s="108"/>
      <c r="Y712" s="13"/>
      <c r="Z712" s="13"/>
      <c r="AA712" s="13"/>
      <c r="AB712" s="13"/>
      <c r="AC712" s="13"/>
    </row>
    <row r="713">
      <c r="B713" s="108"/>
      <c r="Y713" s="13"/>
      <c r="Z713" s="13"/>
      <c r="AA713" s="13"/>
      <c r="AB713" s="13"/>
      <c r="AC713" s="13"/>
    </row>
    <row r="714">
      <c r="B714" s="108"/>
      <c r="Y714" s="13"/>
      <c r="Z714" s="13"/>
      <c r="AA714" s="13"/>
      <c r="AB714" s="13"/>
      <c r="AC714" s="13"/>
    </row>
    <row r="715">
      <c r="B715" s="108"/>
      <c r="Y715" s="13"/>
      <c r="Z715" s="13"/>
      <c r="AA715" s="13"/>
      <c r="AB715" s="13"/>
      <c r="AC715" s="13"/>
    </row>
    <row r="716">
      <c r="B716" s="108"/>
      <c r="Y716" s="13"/>
      <c r="Z716" s="13"/>
      <c r="AA716" s="13"/>
      <c r="AB716" s="13"/>
      <c r="AC716" s="13"/>
    </row>
    <row r="717">
      <c r="B717" s="108"/>
      <c r="Y717" s="13"/>
      <c r="Z717" s="13"/>
      <c r="AA717" s="13"/>
      <c r="AB717" s="13"/>
      <c r="AC717" s="13"/>
    </row>
    <row r="718">
      <c r="B718" s="108"/>
      <c r="Y718" s="13"/>
      <c r="Z718" s="13"/>
      <c r="AA718" s="13"/>
      <c r="AB718" s="13"/>
      <c r="AC718" s="13"/>
    </row>
    <row r="719">
      <c r="B719" s="108"/>
      <c r="Y719" s="13"/>
      <c r="Z719" s="13"/>
      <c r="AA719" s="13"/>
      <c r="AB719" s="13"/>
      <c r="AC719" s="13"/>
    </row>
    <row r="720">
      <c r="B720" s="108"/>
      <c r="Y720" s="13"/>
      <c r="Z720" s="13"/>
      <c r="AA720" s="13"/>
      <c r="AB720" s="13"/>
      <c r="AC720" s="13"/>
    </row>
    <row r="721">
      <c r="B721" s="108"/>
      <c r="Y721" s="13"/>
      <c r="Z721" s="13"/>
      <c r="AA721" s="13"/>
      <c r="AB721" s="13"/>
      <c r="AC721" s="13"/>
    </row>
    <row r="722">
      <c r="B722" s="108"/>
      <c r="Y722" s="13"/>
      <c r="Z722" s="13"/>
      <c r="AA722" s="13"/>
      <c r="AB722" s="13"/>
      <c r="AC722" s="13"/>
    </row>
    <row r="723">
      <c r="B723" s="108"/>
      <c r="Y723" s="13"/>
      <c r="Z723" s="13"/>
      <c r="AA723" s="13"/>
      <c r="AB723" s="13"/>
      <c r="AC723" s="13"/>
    </row>
    <row r="724">
      <c r="B724" s="108"/>
      <c r="Y724" s="13"/>
      <c r="Z724" s="13"/>
      <c r="AA724" s="13"/>
      <c r="AB724" s="13"/>
      <c r="AC724" s="13"/>
    </row>
    <row r="725">
      <c r="B725" s="108"/>
      <c r="Y725" s="13"/>
      <c r="Z725" s="13"/>
      <c r="AA725" s="13"/>
      <c r="AB725" s="13"/>
      <c r="AC725" s="13"/>
    </row>
    <row r="726">
      <c r="B726" s="108"/>
      <c r="Y726" s="13"/>
      <c r="Z726" s="13"/>
      <c r="AA726" s="13"/>
      <c r="AB726" s="13"/>
      <c r="AC726" s="13"/>
    </row>
    <row r="727">
      <c r="B727" s="108"/>
      <c r="Y727" s="13"/>
      <c r="Z727" s="13"/>
      <c r="AA727" s="13"/>
      <c r="AB727" s="13"/>
      <c r="AC727" s="13"/>
    </row>
    <row r="728">
      <c r="B728" s="108"/>
      <c r="Y728" s="13"/>
      <c r="Z728" s="13"/>
      <c r="AA728" s="13"/>
      <c r="AB728" s="13"/>
      <c r="AC728" s="13"/>
    </row>
    <row r="729">
      <c r="B729" s="108"/>
      <c r="Y729" s="13"/>
      <c r="Z729" s="13"/>
      <c r="AA729" s="13"/>
      <c r="AB729" s="13"/>
      <c r="AC729" s="13"/>
    </row>
    <row r="730">
      <c r="B730" s="108"/>
      <c r="Y730" s="13"/>
      <c r="Z730" s="13"/>
      <c r="AA730" s="13"/>
      <c r="AB730" s="13"/>
      <c r="AC730" s="13"/>
    </row>
    <row r="731">
      <c r="B731" s="108"/>
      <c r="Y731" s="13"/>
      <c r="Z731" s="13"/>
      <c r="AA731" s="13"/>
      <c r="AB731" s="13"/>
      <c r="AC731" s="13"/>
    </row>
    <row r="732">
      <c r="B732" s="108"/>
      <c r="Y732" s="13"/>
      <c r="Z732" s="13"/>
      <c r="AA732" s="13"/>
      <c r="AB732" s="13"/>
      <c r="AC732" s="13"/>
    </row>
    <row r="733">
      <c r="B733" s="108"/>
      <c r="Y733" s="13"/>
      <c r="Z733" s="13"/>
      <c r="AA733" s="13"/>
      <c r="AB733" s="13"/>
      <c r="AC733" s="13"/>
    </row>
    <row r="734">
      <c r="B734" s="108"/>
      <c r="Y734" s="13"/>
      <c r="Z734" s="13"/>
      <c r="AA734" s="13"/>
      <c r="AB734" s="13"/>
      <c r="AC734" s="13"/>
    </row>
    <row r="735">
      <c r="B735" s="108"/>
      <c r="Y735" s="13"/>
      <c r="Z735" s="13"/>
      <c r="AA735" s="13"/>
      <c r="AB735" s="13"/>
      <c r="AC735" s="13"/>
    </row>
    <row r="736">
      <c r="B736" s="108"/>
      <c r="Y736" s="13"/>
      <c r="Z736" s="13"/>
      <c r="AA736" s="13"/>
      <c r="AB736" s="13"/>
      <c r="AC736" s="13"/>
    </row>
    <row r="737">
      <c r="B737" s="108"/>
      <c r="Y737" s="13"/>
      <c r="Z737" s="13"/>
      <c r="AA737" s="13"/>
      <c r="AB737" s="13"/>
      <c r="AC737" s="13"/>
    </row>
    <row r="738">
      <c r="B738" s="108"/>
      <c r="Y738" s="13"/>
      <c r="Z738" s="13"/>
      <c r="AA738" s="13"/>
      <c r="AB738" s="13"/>
      <c r="AC738" s="13"/>
    </row>
    <row r="739">
      <c r="B739" s="108"/>
      <c r="Y739" s="13"/>
      <c r="Z739" s="13"/>
      <c r="AA739" s="13"/>
      <c r="AB739" s="13"/>
      <c r="AC739" s="13"/>
    </row>
    <row r="740">
      <c r="B740" s="108"/>
      <c r="Y740" s="13"/>
      <c r="Z740" s="13"/>
      <c r="AA740" s="13"/>
      <c r="AB740" s="13"/>
      <c r="AC740" s="13"/>
    </row>
    <row r="741">
      <c r="B741" s="108"/>
      <c r="Y741" s="13"/>
      <c r="Z741" s="13"/>
      <c r="AA741" s="13"/>
      <c r="AB741" s="13"/>
      <c r="AC741" s="13"/>
    </row>
    <row r="742">
      <c r="B742" s="108"/>
      <c r="Y742" s="13"/>
      <c r="Z742" s="13"/>
      <c r="AA742" s="13"/>
      <c r="AB742" s="13"/>
      <c r="AC742" s="13"/>
    </row>
    <row r="743">
      <c r="B743" s="108"/>
      <c r="Y743" s="13"/>
      <c r="Z743" s="13"/>
      <c r="AA743" s="13"/>
      <c r="AB743" s="13"/>
      <c r="AC743" s="13"/>
    </row>
    <row r="744">
      <c r="B744" s="108"/>
      <c r="Y744" s="13"/>
      <c r="Z744" s="13"/>
      <c r="AA744" s="13"/>
      <c r="AB744" s="13"/>
      <c r="AC744" s="13"/>
    </row>
    <row r="745">
      <c r="B745" s="108"/>
      <c r="Y745" s="13"/>
      <c r="Z745" s="13"/>
      <c r="AA745" s="13"/>
      <c r="AB745" s="13"/>
      <c r="AC745" s="13"/>
    </row>
    <row r="746">
      <c r="B746" s="108"/>
      <c r="Y746" s="13"/>
      <c r="Z746" s="13"/>
      <c r="AA746" s="13"/>
      <c r="AB746" s="13"/>
      <c r="AC746" s="13"/>
    </row>
    <row r="747">
      <c r="B747" s="108"/>
      <c r="Y747" s="13"/>
      <c r="Z747" s="13"/>
      <c r="AA747" s="13"/>
      <c r="AB747" s="13"/>
      <c r="AC747" s="13"/>
    </row>
    <row r="748">
      <c r="B748" s="108"/>
      <c r="Y748" s="13"/>
      <c r="Z748" s="13"/>
      <c r="AA748" s="13"/>
      <c r="AB748" s="13"/>
      <c r="AC748" s="13"/>
    </row>
    <row r="749">
      <c r="B749" s="108"/>
      <c r="Y749" s="13"/>
      <c r="Z749" s="13"/>
      <c r="AA749" s="13"/>
      <c r="AB749" s="13"/>
      <c r="AC749" s="13"/>
    </row>
    <row r="750">
      <c r="B750" s="108"/>
      <c r="Y750" s="13"/>
      <c r="Z750" s="13"/>
      <c r="AA750" s="13"/>
      <c r="AB750" s="13"/>
      <c r="AC750" s="13"/>
    </row>
    <row r="751">
      <c r="B751" s="108"/>
      <c r="Y751" s="13"/>
      <c r="Z751" s="13"/>
      <c r="AA751" s="13"/>
      <c r="AB751" s="13"/>
      <c r="AC751" s="13"/>
    </row>
    <row r="752">
      <c r="B752" s="108"/>
      <c r="Y752" s="13"/>
      <c r="Z752" s="13"/>
      <c r="AA752" s="13"/>
      <c r="AB752" s="13"/>
      <c r="AC752" s="13"/>
    </row>
    <row r="753">
      <c r="B753" s="108"/>
      <c r="Y753" s="13"/>
      <c r="Z753" s="13"/>
      <c r="AA753" s="13"/>
      <c r="AB753" s="13"/>
      <c r="AC753" s="13"/>
    </row>
    <row r="754">
      <c r="B754" s="108"/>
      <c r="Y754" s="13"/>
      <c r="Z754" s="13"/>
      <c r="AA754" s="13"/>
      <c r="AB754" s="13"/>
      <c r="AC754" s="13"/>
    </row>
    <row r="755">
      <c r="B755" s="108"/>
      <c r="Y755" s="13"/>
      <c r="Z755" s="13"/>
      <c r="AA755" s="13"/>
      <c r="AB755" s="13"/>
      <c r="AC755" s="13"/>
    </row>
    <row r="756">
      <c r="B756" s="108"/>
      <c r="Y756" s="13"/>
      <c r="Z756" s="13"/>
      <c r="AA756" s="13"/>
      <c r="AB756" s="13"/>
      <c r="AC756" s="13"/>
    </row>
    <row r="757">
      <c r="B757" s="108"/>
      <c r="Y757" s="13"/>
      <c r="Z757" s="13"/>
      <c r="AA757" s="13"/>
      <c r="AB757" s="13"/>
      <c r="AC757" s="13"/>
    </row>
    <row r="758">
      <c r="B758" s="108"/>
      <c r="Y758" s="13"/>
      <c r="Z758" s="13"/>
      <c r="AA758" s="13"/>
      <c r="AB758" s="13"/>
      <c r="AC758" s="13"/>
    </row>
    <row r="759">
      <c r="B759" s="108"/>
      <c r="Y759" s="13"/>
      <c r="Z759" s="13"/>
      <c r="AA759" s="13"/>
      <c r="AB759" s="13"/>
      <c r="AC759" s="13"/>
    </row>
    <row r="760">
      <c r="B760" s="108"/>
      <c r="Y760" s="13"/>
      <c r="Z760" s="13"/>
      <c r="AA760" s="13"/>
      <c r="AB760" s="13"/>
      <c r="AC760" s="13"/>
    </row>
    <row r="761">
      <c r="B761" s="108"/>
      <c r="Y761" s="13"/>
      <c r="Z761" s="13"/>
      <c r="AA761" s="13"/>
      <c r="AB761" s="13"/>
      <c r="AC761" s="13"/>
    </row>
    <row r="762">
      <c r="B762" s="108"/>
      <c r="Y762" s="13"/>
      <c r="Z762" s="13"/>
      <c r="AA762" s="13"/>
      <c r="AB762" s="13"/>
      <c r="AC762" s="13"/>
    </row>
    <row r="763">
      <c r="B763" s="108"/>
      <c r="Y763" s="13"/>
      <c r="Z763" s="13"/>
      <c r="AA763" s="13"/>
      <c r="AB763" s="13"/>
      <c r="AC763" s="13"/>
    </row>
    <row r="764">
      <c r="B764" s="108"/>
      <c r="Y764" s="13"/>
      <c r="Z764" s="13"/>
      <c r="AA764" s="13"/>
      <c r="AB764" s="13"/>
      <c r="AC764" s="13"/>
    </row>
    <row r="765">
      <c r="B765" s="108"/>
      <c r="Y765" s="13"/>
      <c r="Z765" s="13"/>
      <c r="AA765" s="13"/>
      <c r="AB765" s="13"/>
      <c r="AC765" s="13"/>
    </row>
    <row r="766">
      <c r="B766" s="108"/>
      <c r="Y766" s="13"/>
      <c r="Z766" s="13"/>
      <c r="AA766" s="13"/>
      <c r="AB766" s="13"/>
      <c r="AC766" s="13"/>
    </row>
    <row r="767">
      <c r="B767" s="108"/>
      <c r="Y767" s="13"/>
      <c r="Z767" s="13"/>
      <c r="AA767" s="13"/>
      <c r="AB767" s="13"/>
      <c r="AC767" s="13"/>
    </row>
    <row r="768">
      <c r="B768" s="108"/>
      <c r="Y768" s="13"/>
      <c r="Z768" s="13"/>
      <c r="AA768" s="13"/>
      <c r="AB768" s="13"/>
      <c r="AC768" s="13"/>
    </row>
    <row r="769">
      <c r="B769" s="108"/>
      <c r="Y769" s="13"/>
      <c r="Z769" s="13"/>
      <c r="AA769" s="13"/>
      <c r="AB769" s="13"/>
      <c r="AC769" s="13"/>
    </row>
    <row r="770">
      <c r="B770" s="108"/>
      <c r="Y770" s="13"/>
      <c r="Z770" s="13"/>
      <c r="AA770" s="13"/>
      <c r="AB770" s="13"/>
      <c r="AC770" s="13"/>
    </row>
    <row r="771">
      <c r="B771" s="108"/>
      <c r="Y771" s="13"/>
      <c r="Z771" s="13"/>
      <c r="AA771" s="13"/>
      <c r="AB771" s="13"/>
      <c r="AC771" s="13"/>
    </row>
    <row r="772">
      <c r="B772" s="108"/>
      <c r="Y772" s="13"/>
      <c r="Z772" s="13"/>
      <c r="AA772" s="13"/>
      <c r="AB772" s="13"/>
      <c r="AC772" s="13"/>
    </row>
    <row r="773">
      <c r="B773" s="108"/>
      <c r="Y773" s="13"/>
      <c r="Z773" s="13"/>
      <c r="AA773" s="13"/>
      <c r="AB773" s="13"/>
      <c r="AC773" s="13"/>
    </row>
    <row r="774">
      <c r="B774" s="108"/>
      <c r="Y774" s="13"/>
      <c r="Z774" s="13"/>
      <c r="AA774" s="13"/>
      <c r="AB774" s="13"/>
      <c r="AC774" s="13"/>
    </row>
    <row r="775">
      <c r="B775" s="108"/>
      <c r="Y775" s="13"/>
      <c r="Z775" s="13"/>
      <c r="AA775" s="13"/>
      <c r="AB775" s="13"/>
      <c r="AC775" s="13"/>
    </row>
    <row r="776">
      <c r="B776" s="108"/>
      <c r="Y776" s="13"/>
      <c r="Z776" s="13"/>
      <c r="AA776" s="13"/>
      <c r="AB776" s="13"/>
      <c r="AC776" s="13"/>
    </row>
    <row r="777">
      <c r="B777" s="108"/>
      <c r="Y777" s="13"/>
      <c r="Z777" s="13"/>
      <c r="AA777" s="13"/>
      <c r="AB777" s="13"/>
      <c r="AC777" s="13"/>
    </row>
    <row r="778">
      <c r="B778" s="108"/>
      <c r="Y778" s="13"/>
      <c r="Z778" s="13"/>
      <c r="AA778" s="13"/>
      <c r="AB778" s="13"/>
      <c r="AC778" s="13"/>
    </row>
    <row r="779">
      <c r="B779" s="108"/>
      <c r="Y779" s="13"/>
      <c r="Z779" s="13"/>
      <c r="AA779" s="13"/>
      <c r="AB779" s="13"/>
      <c r="AC779" s="13"/>
    </row>
    <row r="780">
      <c r="B780" s="108"/>
      <c r="Y780" s="13"/>
      <c r="Z780" s="13"/>
      <c r="AA780" s="13"/>
      <c r="AB780" s="13"/>
      <c r="AC780" s="13"/>
    </row>
    <row r="781">
      <c r="B781" s="108"/>
      <c r="Y781" s="13"/>
      <c r="Z781" s="13"/>
      <c r="AA781" s="13"/>
      <c r="AB781" s="13"/>
      <c r="AC781" s="13"/>
    </row>
    <row r="782">
      <c r="B782" s="108"/>
      <c r="Y782" s="13"/>
      <c r="Z782" s="13"/>
      <c r="AA782" s="13"/>
      <c r="AB782" s="13"/>
      <c r="AC782" s="13"/>
    </row>
    <row r="783">
      <c r="B783" s="108"/>
      <c r="Y783" s="13"/>
      <c r="Z783" s="13"/>
      <c r="AA783" s="13"/>
      <c r="AB783" s="13"/>
      <c r="AC783" s="13"/>
    </row>
    <row r="784">
      <c r="B784" s="108"/>
      <c r="Y784" s="13"/>
      <c r="Z784" s="13"/>
      <c r="AA784" s="13"/>
      <c r="AB784" s="13"/>
      <c r="AC784" s="13"/>
    </row>
    <row r="785">
      <c r="B785" s="108"/>
      <c r="Y785" s="13"/>
      <c r="Z785" s="13"/>
      <c r="AA785" s="13"/>
      <c r="AB785" s="13"/>
      <c r="AC785" s="13"/>
    </row>
    <row r="786">
      <c r="B786" s="108"/>
      <c r="Y786" s="13"/>
      <c r="Z786" s="13"/>
      <c r="AA786" s="13"/>
      <c r="AB786" s="13"/>
      <c r="AC786" s="13"/>
    </row>
    <row r="787">
      <c r="B787" s="108"/>
      <c r="Y787" s="13"/>
      <c r="Z787" s="13"/>
      <c r="AA787" s="13"/>
      <c r="AB787" s="13"/>
      <c r="AC787" s="13"/>
    </row>
    <row r="788">
      <c r="B788" s="108"/>
      <c r="Y788" s="13"/>
      <c r="Z788" s="13"/>
      <c r="AA788" s="13"/>
      <c r="AB788" s="13"/>
      <c r="AC788" s="13"/>
    </row>
    <row r="789">
      <c r="B789" s="108"/>
      <c r="Y789" s="13"/>
      <c r="Z789" s="13"/>
      <c r="AA789" s="13"/>
      <c r="AB789" s="13"/>
      <c r="AC789" s="13"/>
    </row>
    <row r="790">
      <c r="B790" s="108"/>
      <c r="Y790" s="13"/>
      <c r="Z790" s="13"/>
      <c r="AA790" s="13"/>
      <c r="AB790" s="13"/>
      <c r="AC790" s="13"/>
    </row>
    <row r="791">
      <c r="B791" s="108"/>
      <c r="Y791" s="13"/>
      <c r="Z791" s="13"/>
      <c r="AA791" s="13"/>
      <c r="AB791" s="13"/>
      <c r="AC791" s="13"/>
    </row>
    <row r="792">
      <c r="B792" s="108"/>
      <c r="Y792" s="13"/>
      <c r="Z792" s="13"/>
      <c r="AA792" s="13"/>
      <c r="AB792" s="13"/>
      <c r="AC792" s="13"/>
    </row>
    <row r="793">
      <c r="B793" s="108"/>
      <c r="Y793" s="13"/>
      <c r="Z793" s="13"/>
      <c r="AA793" s="13"/>
      <c r="AB793" s="13"/>
      <c r="AC793" s="13"/>
    </row>
    <row r="794">
      <c r="B794" s="108"/>
      <c r="Y794" s="13"/>
      <c r="Z794" s="13"/>
      <c r="AA794" s="13"/>
      <c r="AB794" s="13"/>
      <c r="AC794" s="13"/>
    </row>
    <row r="795">
      <c r="B795" s="108"/>
      <c r="Y795" s="13"/>
      <c r="Z795" s="13"/>
      <c r="AA795" s="13"/>
      <c r="AB795" s="13"/>
      <c r="AC795" s="13"/>
    </row>
    <row r="796">
      <c r="B796" s="108"/>
      <c r="Y796" s="13"/>
      <c r="Z796" s="13"/>
      <c r="AA796" s="13"/>
      <c r="AB796" s="13"/>
      <c r="AC796" s="13"/>
    </row>
    <row r="797">
      <c r="B797" s="108"/>
      <c r="Y797" s="13"/>
      <c r="Z797" s="13"/>
      <c r="AA797" s="13"/>
      <c r="AB797" s="13"/>
      <c r="AC797" s="13"/>
    </row>
    <row r="798">
      <c r="B798" s="108"/>
      <c r="Y798" s="13"/>
      <c r="Z798" s="13"/>
      <c r="AA798" s="13"/>
      <c r="AB798" s="13"/>
      <c r="AC798" s="13"/>
    </row>
    <row r="799">
      <c r="B799" s="108"/>
      <c r="Y799" s="13"/>
      <c r="Z799" s="13"/>
      <c r="AA799" s="13"/>
      <c r="AB799" s="13"/>
      <c r="AC799" s="13"/>
    </row>
    <row r="800">
      <c r="B800" s="108"/>
      <c r="Y800" s="13"/>
      <c r="Z800" s="13"/>
      <c r="AA800" s="13"/>
      <c r="AB800" s="13"/>
      <c r="AC800" s="13"/>
    </row>
    <row r="801">
      <c r="B801" s="108"/>
      <c r="Y801" s="13"/>
      <c r="Z801" s="13"/>
      <c r="AA801" s="13"/>
      <c r="AB801" s="13"/>
      <c r="AC801" s="13"/>
    </row>
    <row r="802">
      <c r="B802" s="108"/>
      <c r="Y802" s="13"/>
      <c r="Z802" s="13"/>
      <c r="AA802" s="13"/>
      <c r="AB802" s="13"/>
      <c r="AC802" s="13"/>
    </row>
    <row r="803">
      <c r="B803" s="108"/>
      <c r="Y803" s="13"/>
      <c r="Z803" s="13"/>
      <c r="AA803" s="13"/>
      <c r="AB803" s="13"/>
      <c r="AC803" s="13"/>
    </row>
    <row r="804">
      <c r="B804" s="108"/>
      <c r="Y804" s="13"/>
      <c r="Z804" s="13"/>
      <c r="AA804" s="13"/>
      <c r="AB804" s="13"/>
      <c r="AC804" s="13"/>
    </row>
    <row r="805">
      <c r="B805" s="108"/>
      <c r="Y805" s="13"/>
      <c r="Z805" s="13"/>
      <c r="AA805" s="13"/>
      <c r="AB805" s="13"/>
      <c r="AC805" s="13"/>
    </row>
    <row r="806">
      <c r="B806" s="108"/>
      <c r="Y806" s="13"/>
      <c r="Z806" s="13"/>
      <c r="AA806" s="13"/>
      <c r="AB806" s="13"/>
      <c r="AC806" s="13"/>
    </row>
    <row r="807">
      <c r="B807" s="108"/>
      <c r="Y807" s="13"/>
      <c r="Z807" s="13"/>
      <c r="AA807" s="13"/>
      <c r="AB807" s="13"/>
      <c r="AC807" s="13"/>
    </row>
    <row r="808">
      <c r="B808" s="108"/>
      <c r="Y808" s="13"/>
      <c r="Z808" s="13"/>
      <c r="AA808" s="13"/>
      <c r="AB808" s="13"/>
      <c r="AC808" s="13"/>
    </row>
    <row r="809">
      <c r="B809" s="108"/>
      <c r="Y809" s="13"/>
      <c r="Z809" s="13"/>
      <c r="AA809" s="13"/>
      <c r="AB809" s="13"/>
      <c r="AC809" s="13"/>
    </row>
    <row r="810">
      <c r="B810" s="108"/>
      <c r="Y810" s="13"/>
      <c r="Z810" s="13"/>
      <c r="AA810" s="13"/>
      <c r="AB810" s="13"/>
      <c r="AC810" s="13"/>
    </row>
    <row r="811">
      <c r="B811" s="108"/>
      <c r="Y811" s="13"/>
      <c r="Z811" s="13"/>
      <c r="AA811" s="13"/>
      <c r="AB811" s="13"/>
      <c r="AC811" s="13"/>
    </row>
    <row r="812">
      <c r="B812" s="108"/>
      <c r="Y812" s="13"/>
      <c r="Z812" s="13"/>
      <c r="AA812" s="13"/>
      <c r="AB812" s="13"/>
      <c r="AC812" s="13"/>
    </row>
    <row r="813">
      <c r="B813" s="108"/>
      <c r="Y813" s="13"/>
      <c r="Z813" s="13"/>
      <c r="AA813" s="13"/>
      <c r="AB813" s="13"/>
      <c r="AC813" s="13"/>
    </row>
    <row r="814">
      <c r="B814" s="108"/>
      <c r="Y814" s="13"/>
      <c r="Z814" s="13"/>
      <c r="AA814" s="13"/>
      <c r="AB814" s="13"/>
      <c r="AC814" s="13"/>
    </row>
    <row r="815">
      <c r="B815" s="108"/>
      <c r="Y815" s="13"/>
      <c r="Z815" s="13"/>
      <c r="AA815" s="13"/>
      <c r="AB815" s="13"/>
      <c r="AC815" s="13"/>
    </row>
    <row r="816">
      <c r="B816" s="108"/>
      <c r="Y816" s="13"/>
      <c r="Z816" s="13"/>
      <c r="AA816" s="13"/>
      <c r="AB816" s="13"/>
      <c r="AC816" s="13"/>
    </row>
    <row r="817">
      <c r="B817" s="108"/>
      <c r="Y817" s="13"/>
      <c r="Z817" s="13"/>
      <c r="AA817" s="13"/>
      <c r="AB817" s="13"/>
      <c r="AC817" s="13"/>
    </row>
    <row r="818">
      <c r="B818" s="108"/>
      <c r="Y818" s="13"/>
      <c r="Z818" s="13"/>
      <c r="AA818" s="13"/>
      <c r="AB818" s="13"/>
      <c r="AC818" s="13"/>
    </row>
    <row r="819">
      <c r="B819" s="108"/>
      <c r="Y819" s="13"/>
      <c r="Z819" s="13"/>
      <c r="AA819" s="13"/>
      <c r="AB819" s="13"/>
      <c r="AC819" s="13"/>
    </row>
    <row r="820">
      <c r="B820" s="108"/>
      <c r="Y820" s="13"/>
      <c r="Z820" s="13"/>
      <c r="AA820" s="13"/>
      <c r="AB820" s="13"/>
      <c r="AC820" s="13"/>
    </row>
    <row r="821">
      <c r="B821" s="108"/>
      <c r="Y821" s="13"/>
      <c r="Z821" s="13"/>
      <c r="AA821" s="13"/>
      <c r="AB821" s="13"/>
      <c r="AC821" s="13"/>
    </row>
    <row r="822">
      <c r="B822" s="108"/>
      <c r="Y822" s="13"/>
      <c r="Z822" s="13"/>
      <c r="AA822" s="13"/>
      <c r="AB822" s="13"/>
      <c r="AC822" s="13"/>
    </row>
    <row r="823">
      <c r="B823" s="108"/>
      <c r="Y823" s="13"/>
      <c r="Z823" s="13"/>
      <c r="AA823" s="13"/>
      <c r="AB823" s="13"/>
      <c r="AC823" s="13"/>
    </row>
    <row r="824">
      <c r="B824" s="108"/>
      <c r="Y824" s="13"/>
      <c r="Z824" s="13"/>
      <c r="AA824" s="13"/>
      <c r="AB824" s="13"/>
      <c r="AC824" s="13"/>
    </row>
    <row r="825">
      <c r="B825" s="108"/>
      <c r="Y825" s="13"/>
      <c r="Z825" s="13"/>
      <c r="AA825" s="13"/>
      <c r="AB825" s="13"/>
      <c r="AC825" s="13"/>
    </row>
    <row r="826">
      <c r="B826" s="108"/>
      <c r="Y826" s="13"/>
      <c r="Z826" s="13"/>
      <c r="AA826" s="13"/>
      <c r="AB826" s="13"/>
      <c r="AC826" s="13"/>
    </row>
    <row r="827">
      <c r="B827" s="108"/>
      <c r="Y827" s="13"/>
      <c r="Z827" s="13"/>
      <c r="AA827" s="13"/>
      <c r="AB827" s="13"/>
      <c r="AC827" s="13"/>
    </row>
    <row r="828">
      <c r="B828" s="108"/>
      <c r="Y828" s="13"/>
      <c r="Z828" s="13"/>
      <c r="AA828" s="13"/>
      <c r="AB828" s="13"/>
      <c r="AC828" s="13"/>
    </row>
    <row r="829">
      <c r="B829" s="108"/>
      <c r="Y829" s="13"/>
      <c r="Z829" s="13"/>
      <c r="AA829" s="13"/>
      <c r="AB829" s="13"/>
      <c r="AC829" s="13"/>
    </row>
    <row r="830">
      <c r="B830" s="108"/>
      <c r="Y830" s="13"/>
      <c r="Z830" s="13"/>
      <c r="AA830" s="13"/>
      <c r="AB830" s="13"/>
      <c r="AC830" s="13"/>
    </row>
    <row r="831">
      <c r="B831" s="108"/>
      <c r="Y831" s="13"/>
      <c r="Z831" s="13"/>
      <c r="AA831" s="13"/>
      <c r="AB831" s="13"/>
      <c r="AC831" s="13"/>
    </row>
    <row r="832">
      <c r="B832" s="108"/>
      <c r="Y832" s="13"/>
      <c r="Z832" s="13"/>
      <c r="AA832" s="13"/>
      <c r="AB832" s="13"/>
      <c r="AC832" s="13"/>
    </row>
    <row r="833">
      <c r="B833" s="108"/>
      <c r="Y833" s="13"/>
      <c r="Z833" s="13"/>
      <c r="AA833" s="13"/>
      <c r="AB833" s="13"/>
      <c r="AC833" s="13"/>
    </row>
    <row r="834">
      <c r="B834" s="108"/>
      <c r="Y834" s="13"/>
      <c r="Z834" s="13"/>
      <c r="AA834" s="13"/>
      <c r="AB834" s="13"/>
      <c r="AC834" s="13"/>
    </row>
    <row r="835">
      <c r="B835" s="108"/>
      <c r="Y835" s="13"/>
      <c r="Z835" s="13"/>
      <c r="AA835" s="13"/>
      <c r="AB835" s="13"/>
      <c r="AC835" s="13"/>
    </row>
    <row r="836">
      <c r="B836" s="108"/>
      <c r="Y836" s="13"/>
      <c r="Z836" s="13"/>
      <c r="AA836" s="13"/>
      <c r="AB836" s="13"/>
      <c r="AC836" s="13"/>
    </row>
    <row r="837">
      <c r="B837" s="108"/>
      <c r="Y837" s="13"/>
      <c r="Z837" s="13"/>
      <c r="AA837" s="13"/>
      <c r="AB837" s="13"/>
      <c r="AC837" s="13"/>
    </row>
    <row r="838">
      <c r="B838" s="108"/>
      <c r="Y838" s="13"/>
      <c r="Z838" s="13"/>
      <c r="AA838" s="13"/>
      <c r="AB838" s="13"/>
      <c r="AC838" s="13"/>
    </row>
    <row r="839">
      <c r="B839" s="108"/>
      <c r="Y839" s="13"/>
      <c r="Z839" s="13"/>
      <c r="AA839" s="13"/>
      <c r="AB839" s="13"/>
      <c r="AC839" s="13"/>
    </row>
    <row r="840">
      <c r="B840" s="108"/>
      <c r="Y840" s="13"/>
      <c r="Z840" s="13"/>
      <c r="AA840" s="13"/>
      <c r="AB840" s="13"/>
      <c r="AC840" s="13"/>
    </row>
    <row r="841">
      <c r="B841" s="108"/>
      <c r="Y841" s="13"/>
      <c r="Z841" s="13"/>
      <c r="AA841" s="13"/>
      <c r="AB841" s="13"/>
      <c r="AC841" s="13"/>
    </row>
    <row r="842">
      <c r="B842" s="108"/>
      <c r="Y842" s="13"/>
      <c r="Z842" s="13"/>
      <c r="AA842" s="13"/>
      <c r="AB842" s="13"/>
      <c r="AC842" s="13"/>
    </row>
    <row r="843">
      <c r="B843" s="108"/>
      <c r="Y843" s="13"/>
      <c r="Z843" s="13"/>
      <c r="AA843" s="13"/>
      <c r="AB843" s="13"/>
      <c r="AC843" s="13"/>
    </row>
    <row r="844">
      <c r="B844" s="108"/>
      <c r="Y844" s="13"/>
      <c r="Z844" s="13"/>
      <c r="AA844" s="13"/>
      <c r="AB844" s="13"/>
      <c r="AC844" s="13"/>
    </row>
    <row r="845">
      <c r="B845" s="108"/>
      <c r="Y845" s="13"/>
      <c r="Z845" s="13"/>
      <c r="AA845" s="13"/>
      <c r="AB845" s="13"/>
      <c r="AC845" s="13"/>
    </row>
    <row r="846">
      <c r="B846" s="108"/>
      <c r="Y846" s="13"/>
      <c r="Z846" s="13"/>
      <c r="AA846" s="13"/>
      <c r="AB846" s="13"/>
      <c r="AC846" s="13"/>
    </row>
    <row r="847">
      <c r="B847" s="108"/>
      <c r="Y847" s="13"/>
      <c r="Z847" s="13"/>
      <c r="AA847" s="13"/>
      <c r="AB847" s="13"/>
      <c r="AC847" s="13"/>
    </row>
    <row r="848">
      <c r="B848" s="108"/>
      <c r="Y848" s="13"/>
      <c r="Z848" s="13"/>
      <c r="AA848" s="13"/>
      <c r="AB848" s="13"/>
      <c r="AC848" s="13"/>
    </row>
    <row r="849">
      <c r="B849" s="108"/>
      <c r="Y849" s="13"/>
      <c r="Z849" s="13"/>
      <c r="AA849" s="13"/>
      <c r="AB849" s="13"/>
      <c r="AC849" s="13"/>
    </row>
    <row r="850">
      <c r="B850" s="108"/>
      <c r="Y850" s="13"/>
      <c r="Z850" s="13"/>
      <c r="AA850" s="13"/>
      <c r="AB850" s="13"/>
      <c r="AC850" s="13"/>
    </row>
    <row r="851">
      <c r="B851" s="108"/>
      <c r="Y851" s="13"/>
      <c r="Z851" s="13"/>
      <c r="AA851" s="13"/>
      <c r="AB851" s="13"/>
      <c r="AC851" s="13"/>
    </row>
    <row r="852">
      <c r="B852" s="108"/>
      <c r="Y852" s="13"/>
      <c r="Z852" s="13"/>
      <c r="AA852" s="13"/>
      <c r="AB852" s="13"/>
      <c r="AC852" s="13"/>
    </row>
    <row r="853">
      <c r="B853" s="108"/>
      <c r="Y853" s="13"/>
      <c r="Z853" s="13"/>
      <c r="AA853" s="13"/>
      <c r="AB853" s="13"/>
      <c r="AC853" s="13"/>
    </row>
    <row r="854">
      <c r="B854" s="108"/>
      <c r="Y854" s="13"/>
      <c r="Z854" s="13"/>
      <c r="AA854" s="13"/>
      <c r="AB854" s="13"/>
      <c r="AC854" s="13"/>
    </row>
    <row r="855">
      <c r="B855" s="108"/>
      <c r="Y855" s="13"/>
      <c r="Z855" s="13"/>
      <c r="AA855" s="13"/>
      <c r="AB855" s="13"/>
      <c r="AC855" s="13"/>
    </row>
    <row r="856">
      <c r="B856" s="108"/>
      <c r="Y856" s="13"/>
      <c r="Z856" s="13"/>
      <c r="AA856" s="13"/>
      <c r="AB856" s="13"/>
      <c r="AC856" s="13"/>
    </row>
    <row r="857">
      <c r="B857" s="108"/>
      <c r="Y857" s="13"/>
      <c r="Z857" s="13"/>
      <c r="AA857" s="13"/>
      <c r="AB857" s="13"/>
      <c r="AC857" s="13"/>
    </row>
    <row r="858">
      <c r="B858" s="108"/>
      <c r="Y858" s="13"/>
      <c r="Z858" s="13"/>
      <c r="AA858" s="13"/>
      <c r="AB858" s="13"/>
      <c r="AC858" s="13"/>
    </row>
    <row r="859">
      <c r="B859" s="108"/>
      <c r="Y859" s="13"/>
      <c r="Z859" s="13"/>
      <c r="AA859" s="13"/>
      <c r="AB859" s="13"/>
      <c r="AC859" s="13"/>
    </row>
    <row r="860">
      <c r="B860" s="108"/>
      <c r="Y860" s="13"/>
      <c r="Z860" s="13"/>
      <c r="AA860" s="13"/>
      <c r="AB860" s="13"/>
      <c r="AC860" s="13"/>
    </row>
    <row r="861">
      <c r="B861" s="108"/>
      <c r="Y861" s="13"/>
      <c r="Z861" s="13"/>
      <c r="AA861" s="13"/>
      <c r="AB861" s="13"/>
      <c r="AC861" s="13"/>
    </row>
    <row r="862">
      <c r="B862" s="108"/>
      <c r="Y862" s="13"/>
      <c r="Z862" s="13"/>
      <c r="AA862" s="13"/>
      <c r="AB862" s="13"/>
      <c r="AC862" s="13"/>
    </row>
    <row r="863">
      <c r="B863" s="108"/>
      <c r="Y863" s="13"/>
      <c r="Z863" s="13"/>
      <c r="AA863" s="13"/>
      <c r="AB863" s="13"/>
      <c r="AC863" s="13"/>
    </row>
    <row r="864">
      <c r="B864" s="108"/>
      <c r="Y864" s="13"/>
      <c r="Z864" s="13"/>
      <c r="AA864" s="13"/>
      <c r="AB864" s="13"/>
      <c r="AC864" s="13"/>
    </row>
    <row r="865">
      <c r="B865" s="108"/>
      <c r="Y865" s="13"/>
      <c r="Z865" s="13"/>
      <c r="AA865" s="13"/>
      <c r="AB865" s="13"/>
      <c r="AC865" s="13"/>
    </row>
    <row r="866">
      <c r="B866" s="108"/>
      <c r="Y866" s="13"/>
      <c r="Z866" s="13"/>
      <c r="AA866" s="13"/>
      <c r="AB866" s="13"/>
      <c r="AC866" s="13"/>
    </row>
    <row r="867">
      <c r="B867" s="108"/>
      <c r="Y867" s="13"/>
      <c r="Z867" s="13"/>
      <c r="AA867" s="13"/>
      <c r="AB867" s="13"/>
      <c r="AC867" s="13"/>
    </row>
    <row r="868">
      <c r="B868" s="108"/>
      <c r="Y868" s="13"/>
      <c r="Z868" s="13"/>
      <c r="AA868" s="13"/>
      <c r="AB868" s="13"/>
      <c r="AC868" s="13"/>
    </row>
    <row r="869">
      <c r="B869" s="108"/>
      <c r="Y869" s="13"/>
      <c r="Z869" s="13"/>
      <c r="AA869" s="13"/>
      <c r="AB869" s="13"/>
      <c r="AC869" s="13"/>
    </row>
    <row r="870">
      <c r="B870" s="108"/>
      <c r="Y870" s="13"/>
      <c r="Z870" s="13"/>
      <c r="AA870" s="13"/>
      <c r="AB870" s="13"/>
      <c r="AC870" s="13"/>
    </row>
    <row r="871">
      <c r="B871" s="108"/>
      <c r="Y871" s="13"/>
      <c r="Z871" s="13"/>
      <c r="AA871" s="13"/>
      <c r="AB871" s="13"/>
      <c r="AC871" s="13"/>
    </row>
    <row r="872">
      <c r="B872" s="108"/>
      <c r="Y872" s="13"/>
      <c r="Z872" s="13"/>
      <c r="AA872" s="13"/>
      <c r="AB872" s="13"/>
      <c r="AC872" s="13"/>
    </row>
    <row r="873">
      <c r="B873" s="108"/>
      <c r="Y873" s="13"/>
      <c r="Z873" s="13"/>
      <c r="AA873" s="13"/>
      <c r="AB873" s="13"/>
      <c r="AC873" s="13"/>
    </row>
    <row r="874">
      <c r="B874" s="108"/>
      <c r="Y874" s="13"/>
      <c r="Z874" s="13"/>
      <c r="AA874" s="13"/>
      <c r="AB874" s="13"/>
      <c r="AC874" s="13"/>
    </row>
    <row r="875">
      <c r="B875" s="108"/>
      <c r="Y875" s="13"/>
      <c r="Z875" s="13"/>
      <c r="AA875" s="13"/>
      <c r="AB875" s="13"/>
      <c r="AC875" s="13"/>
    </row>
    <row r="876">
      <c r="B876" s="108"/>
      <c r="Y876" s="13"/>
      <c r="Z876" s="13"/>
      <c r="AA876" s="13"/>
      <c r="AB876" s="13"/>
      <c r="AC876" s="13"/>
    </row>
    <row r="877">
      <c r="B877" s="108"/>
      <c r="Y877" s="13"/>
      <c r="Z877" s="13"/>
      <c r="AA877" s="13"/>
      <c r="AB877" s="13"/>
      <c r="AC877" s="13"/>
    </row>
    <row r="878">
      <c r="B878" s="108"/>
      <c r="Y878" s="13"/>
      <c r="Z878" s="13"/>
      <c r="AA878" s="13"/>
      <c r="AB878" s="13"/>
      <c r="AC878" s="13"/>
    </row>
    <row r="879">
      <c r="B879" s="108"/>
      <c r="Y879" s="13"/>
      <c r="Z879" s="13"/>
      <c r="AA879" s="13"/>
      <c r="AB879" s="13"/>
      <c r="AC879" s="13"/>
    </row>
    <row r="880">
      <c r="B880" s="108"/>
      <c r="Y880" s="13"/>
      <c r="Z880" s="13"/>
      <c r="AA880" s="13"/>
      <c r="AB880" s="13"/>
      <c r="AC880" s="13"/>
    </row>
    <row r="881">
      <c r="B881" s="108"/>
      <c r="Y881" s="13"/>
      <c r="Z881" s="13"/>
      <c r="AA881" s="13"/>
      <c r="AB881" s="13"/>
      <c r="AC881" s="13"/>
    </row>
    <row r="882">
      <c r="B882" s="108"/>
      <c r="Y882" s="13"/>
      <c r="Z882" s="13"/>
      <c r="AA882" s="13"/>
      <c r="AB882" s="13"/>
      <c r="AC882" s="13"/>
    </row>
    <row r="883">
      <c r="B883" s="108"/>
      <c r="Y883" s="13"/>
      <c r="Z883" s="13"/>
      <c r="AA883" s="13"/>
      <c r="AB883" s="13"/>
      <c r="AC883" s="13"/>
    </row>
    <row r="884">
      <c r="B884" s="108"/>
      <c r="Y884" s="13"/>
      <c r="Z884" s="13"/>
      <c r="AA884" s="13"/>
      <c r="AB884" s="13"/>
      <c r="AC884" s="13"/>
    </row>
    <row r="885">
      <c r="B885" s="108"/>
      <c r="Y885" s="13"/>
      <c r="Z885" s="13"/>
      <c r="AA885" s="13"/>
      <c r="AB885" s="13"/>
      <c r="AC885" s="13"/>
    </row>
    <row r="886">
      <c r="B886" s="108"/>
      <c r="Y886" s="13"/>
      <c r="Z886" s="13"/>
      <c r="AA886" s="13"/>
      <c r="AB886" s="13"/>
      <c r="AC886" s="13"/>
    </row>
    <row r="887">
      <c r="B887" s="108"/>
      <c r="Y887" s="13"/>
      <c r="Z887" s="13"/>
      <c r="AA887" s="13"/>
      <c r="AB887" s="13"/>
      <c r="AC887" s="13"/>
    </row>
    <row r="888">
      <c r="B888" s="108"/>
      <c r="Y888" s="13"/>
      <c r="Z888" s="13"/>
      <c r="AA888" s="13"/>
      <c r="AB888" s="13"/>
      <c r="AC888" s="13"/>
    </row>
    <row r="889">
      <c r="B889" s="108"/>
      <c r="Y889" s="13"/>
      <c r="Z889" s="13"/>
      <c r="AA889" s="13"/>
      <c r="AB889" s="13"/>
      <c r="AC889" s="13"/>
    </row>
    <row r="890">
      <c r="B890" s="108"/>
      <c r="Y890" s="13"/>
      <c r="Z890" s="13"/>
      <c r="AA890" s="13"/>
      <c r="AB890" s="13"/>
      <c r="AC890" s="13"/>
    </row>
    <row r="891">
      <c r="B891" s="108"/>
      <c r="Y891" s="13"/>
      <c r="Z891" s="13"/>
      <c r="AA891" s="13"/>
      <c r="AB891" s="13"/>
      <c r="AC891" s="13"/>
    </row>
    <row r="892">
      <c r="B892" s="108"/>
      <c r="Y892" s="13"/>
      <c r="Z892" s="13"/>
      <c r="AA892" s="13"/>
      <c r="AB892" s="13"/>
      <c r="AC892" s="13"/>
    </row>
    <row r="893">
      <c r="B893" s="108"/>
      <c r="Y893" s="13"/>
      <c r="Z893" s="13"/>
      <c r="AA893" s="13"/>
      <c r="AB893" s="13"/>
      <c r="AC893" s="13"/>
    </row>
    <row r="894">
      <c r="B894" s="108"/>
      <c r="Y894" s="13"/>
      <c r="Z894" s="13"/>
      <c r="AA894" s="13"/>
      <c r="AB894" s="13"/>
      <c r="AC894" s="13"/>
    </row>
    <row r="895">
      <c r="B895" s="108"/>
      <c r="Y895" s="13"/>
      <c r="Z895" s="13"/>
      <c r="AA895" s="13"/>
      <c r="AB895" s="13"/>
      <c r="AC895" s="13"/>
    </row>
    <row r="896">
      <c r="B896" s="108"/>
      <c r="Y896" s="13"/>
      <c r="Z896" s="13"/>
      <c r="AA896" s="13"/>
      <c r="AB896" s="13"/>
      <c r="AC896" s="13"/>
    </row>
    <row r="897">
      <c r="B897" s="108"/>
      <c r="Y897" s="13"/>
      <c r="Z897" s="13"/>
      <c r="AA897" s="13"/>
      <c r="AB897" s="13"/>
      <c r="AC897" s="13"/>
    </row>
    <row r="898">
      <c r="B898" s="108"/>
      <c r="Y898" s="13"/>
      <c r="Z898" s="13"/>
      <c r="AA898" s="13"/>
      <c r="AB898" s="13"/>
      <c r="AC898" s="13"/>
    </row>
    <row r="899">
      <c r="B899" s="108"/>
      <c r="Y899" s="13"/>
      <c r="Z899" s="13"/>
      <c r="AA899" s="13"/>
      <c r="AB899" s="13"/>
      <c r="AC899" s="13"/>
    </row>
    <row r="900">
      <c r="B900" s="108"/>
      <c r="Y900" s="13"/>
      <c r="Z900" s="13"/>
      <c r="AA900" s="13"/>
      <c r="AB900" s="13"/>
      <c r="AC900" s="13"/>
    </row>
    <row r="901">
      <c r="B901" s="108"/>
      <c r="Y901" s="13"/>
      <c r="Z901" s="13"/>
      <c r="AA901" s="13"/>
      <c r="AB901" s="13"/>
      <c r="AC901" s="13"/>
    </row>
    <row r="902">
      <c r="B902" s="108"/>
      <c r="Y902" s="13"/>
      <c r="Z902" s="13"/>
      <c r="AA902" s="13"/>
      <c r="AB902" s="13"/>
      <c r="AC902" s="13"/>
    </row>
    <row r="903">
      <c r="B903" s="108"/>
      <c r="Y903" s="13"/>
      <c r="Z903" s="13"/>
      <c r="AA903" s="13"/>
      <c r="AB903" s="13"/>
      <c r="AC903" s="13"/>
    </row>
    <row r="904">
      <c r="B904" s="108"/>
      <c r="Y904" s="13"/>
      <c r="Z904" s="13"/>
      <c r="AA904" s="13"/>
      <c r="AB904" s="13"/>
      <c r="AC904" s="13"/>
    </row>
    <row r="905">
      <c r="B905" s="108"/>
      <c r="Y905" s="13"/>
      <c r="Z905" s="13"/>
      <c r="AA905" s="13"/>
      <c r="AB905" s="13"/>
      <c r="AC905" s="13"/>
    </row>
    <row r="906">
      <c r="B906" s="108"/>
      <c r="Y906" s="13"/>
      <c r="Z906" s="13"/>
      <c r="AA906" s="13"/>
      <c r="AB906" s="13"/>
      <c r="AC906" s="13"/>
    </row>
    <row r="907">
      <c r="B907" s="108"/>
      <c r="Y907" s="13"/>
      <c r="Z907" s="13"/>
      <c r="AA907" s="13"/>
      <c r="AB907" s="13"/>
      <c r="AC907" s="13"/>
    </row>
    <row r="908">
      <c r="B908" s="108"/>
      <c r="Y908" s="13"/>
      <c r="Z908" s="13"/>
      <c r="AA908" s="13"/>
      <c r="AB908" s="13"/>
      <c r="AC908" s="13"/>
    </row>
    <row r="909">
      <c r="B909" s="108"/>
      <c r="Y909" s="13"/>
      <c r="Z909" s="13"/>
      <c r="AA909" s="13"/>
      <c r="AB909" s="13"/>
      <c r="AC909" s="13"/>
    </row>
    <row r="910">
      <c r="B910" s="108"/>
      <c r="Y910" s="13"/>
      <c r="Z910" s="13"/>
      <c r="AA910" s="13"/>
      <c r="AB910" s="13"/>
      <c r="AC910" s="13"/>
    </row>
    <row r="911">
      <c r="B911" s="108"/>
      <c r="Y911" s="13"/>
      <c r="Z911" s="13"/>
      <c r="AA911" s="13"/>
      <c r="AB911" s="13"/>
      <c r="AC911" s="13"/>
    </row>
    <row r="912">
      <c r="B912" s="108"/>
      <c r="Y912" s="13"/>
      <c r="Z912" s="13"/>
      <c r="AA912" s="13"/>
      <c r="AB912" s="13"/>
      <c r="AC912" s="13"/>
    </row>
    <row r="913">
      <c r="B913" s="108"/>
      <c r="Y913" s="13"/>
      <c r="Z913" s="13"/>
      <c r="AA913" s="13"/>
      <c r="AB913" s="13"/>
      <c r="AC913" s="13"/>
    </row>
    <row r="914">
      <c r="B914" s="108"/>
      <c r="Y914" s="13"/>
      <c r="Z914" s="13"/>
      <c r="AA914" s="13"/>
      <c r="AB914" s="13"/>
      <c r="AC914" s="13"/>
    </row>
    <row r="915">
      <c r="B915" s="108"/>
      <c r="Y915" s="13"/>
      <c r="Z915" s="13"/>
      <c r="AA915" s="13"/>
      <c r="AB915" s="13"/>
      <c r="AC915" s="13"/>
    </row>
    <row r="916">
      <c r="B916" s="108"/>
      <c r="Y916" s="13"/>
      <c r="Z916" s="13"/>
      <c r="AA916" s="13"/>
      <c r="AB916" s="13"/>
      <c r="AC916" s="13"/>
    </row>
    <row r="917">
      <c r="B917" s="108"/>
      <c r="Y917" s="13"/>
      <c r="Z917" s="13"/>
      <c r="AA917" s="13"/>
      <c r="AB917" s="13"/>
      <c r="AC917" s="13"/>
    </row>
    <row r="918">
      <c r="B918" s="108"/>
      <c r="Y918" s="13"/>
      <c r="Z918" s="13"/>
      <c r="AA918" s="13"/>
      <c r="AB918" s="13"/>
      <c r="AC918" s="13"/>
    </row>
    <row r="919">
      <c r="B919" s="108"/>
      <c r="Y919" s="13"/>
      <c r="Z919" s="13"/>
      <c r="AA919" s="13"/>
      <c r="AB919" s="13"/>
      <c r="AC919" s="13"/>
    </row>
    <row r="920">
      <c r="B920" s="108"/>
      <c r="Y920" s="13"/>
      <c r="Z920" s="13"/>
      <c r="AA920" s="13"/>
      <c r="AB920" s="13"/>
      <c r="AC920" s="13"/>
    </row>
    <row r="921">
      <c r="B921" s="108"/>
      <c r="Y921" s="13"/>
      <c r="Z921" s="13"/>
      <c r="AA921" s="13"/>
      <c r="AB921" s="13"/>
      <c r="AC921" s="13"/>
    </row>
    <row r="922">
      <c r="B922" s="108"/>
      <c r="Y922" s="13"/>
      <c r="Z922" s="13"/>
      <c r="AA922" s="13"/>
      <c r="AB922" s="13"/>
      <c r="AC922" s="13"/>
    </row>
    <row r="923">
      <c r="B923" s="108"/>
      <c r="Y923" s="13"/>
      <c r="Z923" s="13"/>
      <c r="AA923" s="13"/>
      <c r="AB923" s="13"/>
      <c r="AC923" s="13"/>
    </row>
    <row r="924">
      <c r="B924" s="108"/>
      <c r="Y924" s="13"/>
      <c r="Z924" s="13"/>
      <c r="AA924" s="13"/>
      <c r="AB924" s="13"/>
      <c r="AC924" s="13"/>
    </row>
    <row r="925">
      <c r="B925" s="108"/>
      <c r="Y925" s="13"/>
      <c r="Z925" s="13"/>
      <c r="AA925" s="13"/>
      <c r="AB925" s="13"/>
      <c r="AC925" s="13"/>
    </row>
    <row r="926">
      <c r="B926" s="108"/>
      <c r="Y926" s="13"/>
      <c r="Z926" s="13"/>
      <c r="AA926" s="13"/>
      <c r="AB926" s="13"/>
      <c r="AC926" s="13"/>
    </row>
    <row r="927">
      <c r="B927" s="108"/>
      <c r="Y927" s="13"/>
      <c r="Z927" s="13"/>
      <c r="AA927" s="13"/>
      <c r="AB927" s="13"/>
      <c r="AC927" s="13"/>
    </row>
    <row r="928">
      <c r="B928" s="108"/>
      <c r="Y928" s="13"/>
      <c r="Z928" s="13"/>
      <c r="AA928" s="13"/>
      <c r="AB928" s="13"/>
      <c r="AC928" s="13"/>
    </row>
    <row r="929">
      <c r="B929" s="108"/>
      <c r="Y929" s="13"/>
      <c r="Z929" s="13"/>
      <c r="AA929" s="13"/>
      <c r="AB929" s="13"/>
      <c r="AC929" s="13"/>
    </row>
    <row r="930">
      <c r="B930" s="108"/>
      <c r="Y930" s="13"/>
      <c r="Z930" s="13"/>
      <c r="AA930" s="13"/>
      <c r="AB930" s="13"/>
      <c r="AC930" s="13"/>
    </row>
    <row r="931">
      <c r="B931" s="108"/>
      <c r="Y931" s="13"/>
      <c r="Z931" s="13"/>
      <c r="AA931" s="13"/>
      <c r="AB931" s="13"/>
      <c r="AC931" s="13"/>
    </row>
    <row r="932">
      <c r="B932" s="108"/>
      <c r="Y932" s="13"/>
      <c r="Z932" s="13"/>
      <c r="AA932" s="13"/>
      <c r="AB932" s="13"/>
      <c r="AC932" s="13"/>
    </row>
    <row r="933">
      <c r="B933" s="108"/>
      <c r="Y933" s="13"/>
      <c r="Z933" s="13"/>
      <c r="AA933" s="13"/>
      <c r="AB933" s="13"/>
      <c r="AC933" s="13"/>
    </row>
    <row r="934">
      <c r="B934" s="108"/>
      <c r="Y934" s="13"/>
      <c r="Z934" s="13"/>
      <c r="AA934" s="13"/>
      <c r="AB934" s="13"/>
      <c r="AC934" s="13"/>
    </row>
    <row r="935">
      <c r="B935" s="108"/>
      <c r="Y935" s="13"/>
      <c r="Z935" s="13"/>
      <c r="AA935" s="13"/>
      <c r="AB935" s="13"/>
      <c r="AC935" s="13"/>
    </row>
    <row r="936">
      <c r="B936" s="108"/>
      <c r="Y936" s="13"/>
      <c r="Z936" s="13"/>
      <c r="AA936" s="13"/>
      <c r="AB936" s="13"/>
      <c r="AC936" s="13"/>
    </row>
    <row r="937">
      <c r="B937" s="108"/>
      <c r="Y937" s="13"/>
      <c r="Z937" s="13"/>
      <c r="AA937" s="13"/>
      <c r="AB937" s="13"/>
      <c r="AC937" s="13"/>
    </row>
    <row r="938">
      <c r="B938" s="108"/>
      <c r="Y938" s="13"/>
      <c r="Z938" s="13"/>
      <c r="AA938" s="13"/>
      <c r="AB938" s="13"/>
      <c r="AC938" s="13"/>
    </row>
    <row r="939">
      <c r="B939" s="108"/>
      <c r="Y939" s="13"/>
      <c r="Z939" s="13"/>
      <c r="AA939" s="13"/>
      <c r="AB939" s="13"/>
      <c r="AC939" s="13"/>
    </row>
    <row r="940">
      <c r="B940" s="108"/>
      <c r="Y940" s="13"/>
      <c r="Z940" s="13"/>
      <c r="AA940" s="13"/>
      <c r="AB940" s="13"/>
      <c r="AC940" s="13"/>
    </row>
    <row r="941">
      <c r="B941" s="108"/>
      <c r="Y941" s="13"/>
      <c r="Z941" s="13"/>
      <c r="AA941" s="13"/>
      <c r="AB941" s="13"/>
      <c r="AC941" s="13"/>
    </row>
    <row r="942">
      <c r="B942" s="108"/>
      <c r="Y942" s="13"/>
      <c r="Z942" s="13"/>
      <c r="AA942" s="13"/>
      <c r="AB942" s="13"/>
      <c r="AC942" s="13"/>
    </row>
    <row r="943">
      <c r="B943" s="108"/>
      <c r="Y943" s="13"/>
      <c r="Z943" s="13"/>
      <c r="AA943" s="13"/>
      <c r="AB943" s="13"/>
      <c r="AC943" s="13"/>
    </row>
    <row r="944">
      <c r="B944" s="108"/>
      <c r="Y944" s="13"/>
      <c r="Z944" s="13"/>
      <c r="AA944" s="13"/>
      <c r="AB944" s="13"/>
      <c r="AC944" s="13"/>
    </row>
    <row r="945">
      <c r="B945" s="108"/>
      <c r="Y945" s="13"/>
      <c r="Z945" s="13"/>
      <c r="AA945" s="13"/>
      <c r="AB945" s="13"/>
      <c r="AC945" s="13"/>
    </row>
    <row r="946">
      <c r="B946" s="108"/>
      <c r="Y946" s="13"/>
      <c r="Z946" s="13"/>
      <c r="AA946" s="13"/>
      <c r="AB946" s="13"/>
      <c r="AC946" s="13"/>
    </row>
    <row r="947">
      <c r="B947" s="108"/>
      <c r="Y947" s="13"/>
      <c r="Z947" s="13"/>
      <c r="AA947" s="13"/>
      <c r="AB947" s="13"/>
      <c r="AC947" s="13"/>
    </row>
    <row r="948">
      <c r="B948" s="108"/>
      <c r="Y948" s="13"/>
      <c r="Z948" s="13"/>
      <c r="AA948" s="13"/>
      <c r="AB948" s="13"/>
      <c r="AC948" s="13"/>
    </row>
    <row r="949">
      <c r="B949" s="108"/>
      <c r="Y949" s="13"/>
      <c r="Z949" s="13"/>
      <c r="AA949" s="13"/>
      <c r="AB949" s="13"/>
      <c r="AC949" s="13"/>
    </row>
    <row r="950">
      <c r="B950" s="108"/>
      <c r="Y950" s="13"/>
      <c r="Z950" s="13"/>
      <c r="AA950" s="13"/>
      <c r="AB950" s="13"/>
      <c r="AC950" s="13"/>
    </row>
    <row r="951">
      <c r="B951" s="108"/>
      <c r="Y951" s="13"/>
      <c r="Z951" s="13"/>
      <c r="AA951" s="13"/>
      <c r="AB951" s="13"/>
      <c r="AC951" s="13"/>
    </row>
    <row r="952">
      <c r="B952" s="108"/>
      <c r="Y952" s="13"/>
      <c r="Z952" s="13"/>
      <c r="AA952" s="13"/>
      <c r="AB952" s="13"/>
      <c r="AC952" s="13"/>
    </row>
    <row r="953">
      <c r="B953" s="108"/>
      <c r="Y953" s="13"/>
      <c r="Z953" s="13"/>
      <c r="AA953" s="13"/>
      <c r="AB953" s="13"/>
      <c r="AC953" s="13"/>
    </row>
    <row r="954">
      <c r="B954" s="108"/>
      <c r="Y954" s="13"/>
      <c r="Z954" s="13"/>
      <c r="AA954" s="13"/>
      <c r="AB954" s="13"/>
      <c r="AC954" s="13"/>
    </row>
    <row r="955">
      <c r="B955" s="108"/>
      <c r="Y955" s="13"/>
      <c r="Z955" s="13"/>
      <c r="AA955" s="13"/>
      <c r="AB955" s="13"/>
      <c r="AC955" s="13"/>
    </row>
    <row r="956">
      <c r="B956" s="108"/>
      <c r="Y956" s="13"/>
      <c r="Z956" s="13"/>
      <c r="AA956" s="13"/>
      <c r="AB956" s="13"/>
      <c r="AC956" s="13"/>
    </row>
    <row r="957">
      <c r="B957" s="108"/>
      <c r="Y957" s="13"/>
      <c r="Z957" s="13"/>
      <c r="AA957" s="13"/>
      <c r="AB957" s="13"/>
      <c r="AC957" s="13"/>
    </row>
    <row r="958">
      <c r="B958" s="108"/>
      <c r="Y958" s="13"/>
      <c r="Z958" s="13"/>
      <c r="AA958" s="13"/>
      <c r="AB958" s="13"/>
      <c r="AC958" s="13"/>
    </row>
    <row r="959">
      <c r="B959" s="108"/>
      <c r="Y959" s="13"/>
      <c r="Z959" s="13"/>
      <c r="AA959" s="13"/>
      <c r="AB959" s="13"/>
      <c r="AC959" s="13"/>
    </row>
    <row r="960">
      <c r="B960" s="108"/>
      <c r="Y960" s="13"/>
      <c r="Z960" s="13"/>
      <c r="AA960" s="13"/>
      <c r="AB960" s="13"/>
      <c r="AC960" s="13"/>
    </row>
    <row r="961">
      <c r="B961" s="108"/>
      <c r="Y961" s="13"/>
      <c r="Z961" s="13"/>
      <c r="AA961" s="13"/>
      <c r="AB961" s="13"/>
      <c r="AC961" s="13"/>
    </row>
    <row r="962">
      <c r="B962" s="108"/>
      <c r="Y962" s="13"/>
      <c r="Z962" s="13"/>
      <c r="AA962" s="13"/>
      <c r="AB962" s="13"/>
      <c r="AC962" s="13"/>
    </row>
    <row r="963">
      <c r="B963" s="108"/>
      <c r="Y963" s="13"/>
      <c r="Z963" s="13"/>
      <c r="AA963" s="13"/>
      <c r="AB963" s="13"/>
      <c r="AC963" s="13"/>
    </row>
    <row r="964">
      <c r="B964" s="108"/>
      <c r="Y964" s="13"/>
      <c r="Z964" s="13"/>
      <c r="AA964" s="13"/>
      <c r="AB964" s="13"/>
      <c r="AC964" s="13"/>
    </row>
    <row r="965">
      <c r="B965" s="108"/>
      <c r="Y965" s="13"/>
      <c r="Z965" s="13"/>
      <c r="AA965" s="13"/>
      <c r="AB965" s="13"/>
      <c r="AC965" s="13"/>
    </row>
    <row r="966">
      <c r="B966" s="108"/>
      <c r="Y966" s="13"/>
      <c r="Z966" s="13"/>
      <c r="AA966" s="13"/>
      <c r="AB966" s="13"/>
      <c r="AC966" s="13"/>
    </row>
    <row r="967">
      <c r="B967" s="108"/>
      <c r="Y967" s="13"/>
      <c r="Z967" s="13"/>
      <c r="AA967" s="13"/>
      <c r="AB967" s="13"/>
      <c r="AC967" s="13"/>
    </row>
    <row r="968">
      <c r="B968" s="108"/>
      <c r="Y968" s="13"/>
      <c r="Z968" s="13"/>
      <c r="AA968" s="13"/>
      <c r="AB968" s="13"/>
      <c r="AC968" s="13"/>
    </row>
    <row r="969">
      <c r="B969" s="108"/>
      <c r="Y969" s="13"/>
      <c r="Z969" s="13"/>
      <c r="AA969" s="13"/>
      <c r="AB969" s="13"/>
      <c r="AC969" s="13"/>
    </row>
    <row r="970">
      <c r="B970" s="108"/>
      <c r="Y970" s="13"/>
      <c r="Z970" s="13"/>
      <c r="AA970" s="13"/>
      <c r="AB970" s="13"/>
      <c r="AC970" s="13"/>
    </row>
    <row r="971">
      <c r="B971" s="108"/>
      <c r="Y971" s="13"/>
      <c r="Z971" s="13"/>
      <c r="AA971" s="13"/>
      <c r="AB971" s="13"/>
      <c r="AC971" s="13"/>
    </row>
    <row r="972">
      <c r="B972" s="108"/>
      <c r="Y972" s="13"/>
      <c r="Z972" s="13"/>
      <c r="AA972" s="13"/>
      <c r="AB972" s="13"/>
      <c r="AC972" s="13"/>
    </row>
    <row r="973">
      <c r="B973" s="108"/>
      <c r="Y973" s="13"/>
      <c r="Z973" s="13"/>
      <c r="AA973" s="13"/>
      <c r="AB973" s="13"/>
      <c r="AC973" s="13"/>
    </row>
    <row r="974">
      <c r="B974" s="108"/>
      <c r="Y974" s="13"/>
      <c r="Z974" s="13"/>
      <c r="AA974" s="13"/>
      <c r="AB974" s="13"/>
      <c r="AC974" s="13"/>
    </row>
    <row r="975">
      <c r="B975" s="108"/>
      <c r="Y975" s="13"/>
      <c r="Z975" s="13"/>
      <c r="AA975" s="13"/>
      <c r="AB975" s="13"/>
      <c r="AC975" s="13"/>
    </row>
    <row r="976">
      <c r="B976" s="108"/>
      <c r="Y976" s="13"/>
      <c r="Z976" s="13"/>
      <c r="AA976" s="13"/>
      <c r="AB976" s="13"/>
      <c r="AC976" s="13"/>
    </row>
    <row r="977">
      <c r="B977" s="108"/>
      <c r="Y977" s="13"/>
      <c r="Z977" s="13"/>
      <c r="AA977" s="13"/>
      <c r="AB977" s="13"/>
      <c r="AC977" s="13"/>
    </row>
    <row r="978">
      <c r="B978" s="108"/>
      <c r="Y978" s="13"/>
      <c r="Z978" s="13"/>
      <c r="AA978" s="13"/>
      <c r="AB978" s="13"/>
      <c r="AC978" s="13"/>
    </row>
    <row r="979">
      <c r="B979" s="108"/>
      <c r="Y979" s="13"/>
      <c r="Z979" s="13"/>
      <c r="AA979" s="13"/>
      <c r="AB979" s="13"/>
      <c r="AC979" s="13"/>
    </row>
    <row r="980">
      <c r="B980" s="108"/>
      <c r="Y980" s="13"/>
      <c r="Z980" s="13"/>
      <c r="AA980" s="13"/>
      <c r="AB980" s="13"/>
      <c r="AC980" s="13"/>
    </row>
    <row r="981">
      <c r="B981" s="108"/>
      <c r="Y981" s="13"/>
      <c r="Z981" s="13"/>
      <c r="AA981" s="13"/>
      <c r="AB981" s="13"/>
      <c r="AC981" s="13"/>
    </row>
    <row r="982">
      <c r="B982" s="108"/>
      <c r="Y982" s="13"/>
      <c r="Z982" s="13"/>
      <c r="AA982" s="13"/>
      <c r="AB982" s="13"/>
      <c r="AC982" s="13"/>
    </row>
    <row r="983">
      <c r="B983" s="108"/>
      <c r="Y983" s="13"/>
      <c r="Z983" s="13"/>
      <c r="AA983" s="13"/>
      <c r="AB983" s="13"/>
      <c r="AC983" s="13"/>
    </row>
    <row r="984">
      <c r="B984" s="108"/>
      <c r="Y984" s="13"/>
      <c r="Z984" s="13"/>
      <c r="AA984" s="13"/>
      <c r="AB984" s="13"/>
      <c r="AC984" s="13"/>
    </row>
    <row r="985">
      <c r="B985" s="108"/>
      <c r="Y985" s="13"/>
      <c r="Z985" s="13"/>
      <c r="AA985" s="13"/>
      <c r="AB985" s="13"/>
      <c r="AC985" s="13"/>
    </row>
    <row r="986">
      <c r="B986" s="108"/>
      <c r="Y986" s="13"/>
      <c r="Z986" s="13"/>
      <c r="AA986" s="13"/>
      <c r="AB986" s="13"/>
      <c r="AC986" s="13"/>
    </row>
    <row r="987">
      <c r="B987" s="108"/>
      <c r="Y987" s="13"/>
      <c r="Z987" s="13"/>
      <c r="AA987" s="13"/>
      <c r="AB987" s="13"/>
      <c r="AC987" s="13"/>
    </row>
    <row r="988">
      <c r="B988" s="108"/>
      <c r="Y988" s="13"/>
      <c r="Z988" s="13"/>
      <c r="AA988" s="13"/>
      <c r="AB988" s="13"/>
      <c r="AC988" s="13"/>
    </row>
    <row r="989">
      <c r="B989" s="108"/>
      <c r="Y989" s="13"/>
      <c r="Z989" s="13"/>
      <c r="AA989" s="13"/>
      <c r="AB989" s="13"/>
      <c r="AC989" s="13"/>
    </row>
    <row r="990">
      <c r="B990" s="108"/>
      <c r="Y990" s="13"/>
      <c r="Z990" s="13"/>
      <c r="AA990" s="13"/>
      <c r="AB990" s="13"/>
      <c r="AC990" s="13"/>
    </row>
    <row r="991">
      <c r="B991" s="108"/>
      <c r="Y991" s="13"/>
      <c r="Z991" s="13"/>
      <c r="AA991" s="13"/>
      <c r="AB991" s="13"/>
      <c r="AC991" s="13"/>
    </row>
    <row r="992">
      <c r="B992" s="108"/>
      <c r="Y992" s="13"/>
      <c r="Z992" s="13"/>
      <c r="AA992" s="13"/>
      <c r="AB992" s="13"/>
      <c r="AC992" s="13"/>
    </row>
    <row r="993">
      <c r="B993" s="108"/>
      <c r="Y993" s="13"/>
      <c r="Z993" s="13"/>
      <c r="AA993" s="13"/>
      <c r="AB993" s="13"/>
      <c r="AC993" s="13"/>
    </row>
    <row r="994">
      <c r="B994" s="108"/>
      <c r="Y994" s="13"/>
      <c r="Z994" s="13"/>
      <c r="AA994" s="13"/>
      <c r="AB994" s="13"/>
      <c r="AC994" s="13"/>
    </row>
    <row r="995">
      <c r="B995" s="108"/>
      <c r="Y995" s="13"/>
      <c r="Z995" s="13"/>
      <c r="AA995" s="13"/>
      <c r="AB995" s="13"/>
      <c r="AC995" s="13"/>
    </row>
    <row r="996">
      <c r="B996" s="108"/>
      <c r="Y996" s="13"/>
      <c r="Z996" s="13"/>
      <c r="AA996" s="13"/>
      <c r="AB996" s="13"/>
      <c r="AC996" s="13"/>
    </row>
    <row r="997">
      <c r="B997" s="108"/>
      <c r="Y997" s="13"/>
      <c r="Z997" s="13"/>
      <c r="AA997" s="13"/>
      <c r="AB997" s="13"/>
      <c r="AC997" s="13"/>
    </row>
    <row r="998">
      <c r="B998" s="108"/>
      <c r="Y998" s="13"/>
      <c r="Z998" s="13"/>
      <c r="AA998" s="13"/>
      <c r="AB998" s="13"/>
      <c r="AC998" s="13"/>
    </row>
    <row r="999">
      <c r="B999" s="108"/>
      <c r="Y999" s="13"/>
      <c r="Z999" s="13"/>
      <c r="AA999" s="13"/>
      <c r="AB999" s="13"/>
      <c r="AC999" s="13"/>
    </row>
    <row r="1000">
      <c r="B1000" s="108"/>
      <c r="Y1000" s="13"/>
      <c r="Z1000" s="13"/>
      <c r="AA1000" s="13"/>
      <c r="AB1000" s="13"/>
      <c r="AC1000" s="13"/>
    </row>
    <row r="1001">
      <c r="B1001" s="108"/>
      <c r="Y1001" s="13"/>
      <c r="Z1001" s="13"/>
      <c r="AA1001" s="13"/>
      <c r="AB1001" s="13"/>
      <c r="AC1001" s="13"/>
    </row>
    <row r="1002">
      <c r="B1002" s="108"/>
      <c r="Y1002" s="13"/>
      <c r="Z1002" s="13"/>
      <c r="AA1002" s="13"/>
      <c r="AB1002" s="13"/>
      <c r="AC1002" s="13"/>
    </row>
    <row r="1003">
      <c r="B1003" s="108"/>
      <c r="Y1003" s="13"/>
      <c r="Z1003" s="13"/>
      <c r="AA1003" s="13"/>
      <c r="AB1003" s="13"/>
      <c r="AC1003" s="13"/>
    </row>
    <row r="1004">
      <c r="B1004" s="108"/>
      <c r="Y1004" s="13"/>
      <c r="Z1004" s="13"/>
      <c r="AA1004" s="13"/>
      <c r="AB1004" s="13"/>
      <c r="AC1004" s="13"/>
    </row>
    <row r="1005">
      <c r="B1005" s="108"/>
      <c r="Y1005" s="13"/>
      <c r="Z1005" s="13"/>
      <c r="AA1005" s="13"/>
      <c r="AB1005" s="13"/>
      <c r="AC1005" s="13"/>
    </row>
    <row r="1006">
      <c r="B1006" s="108"/>
      <c r="Y1006" s="13"/>
      <c r="Z1006" s="13"/>
      <c r="AA1006" s="13"/>
      <c r="AB1006" s="13"/>
      <c r="AC1006" s="13"/>
    </row>
    <row r="1007">
      <c r="B1007" s="108"/>
      <c r="Y1007" s="13"/>
      <c r="Z1007" s="13"/>
      <c r="AA1007" s="13"/>
      <c r="AB1007" s="13"/>
      <c r="AC1007" s="13"/>
    </row>
    <row r="1008">
      <c r="B1008" s="108"/>
      <c r="Y1008" s="13"/>
      <c r="Z1008" s="13"/>
      <c r="AA1008" s="13"/>
      <c r="AB1008" s="13"/>
      <c r="AC1008" s="13"/>
    </row>
    <row r="1009">
      <c r="B1009" s="108"/>
      <c r="Y1009" s="13"/>
      <c r="Z1009" s="13"/>
      <c r="AA1009" s="13"/>
      <c r="AB1009" s="13"/>
      <c r="AC1009" s="13"/>
    </row>
    <row r="1010">
      <c r="B1010" s="108"/>
      <c r="Y1010" s="13"/>
      <c r="Z1010" s="13"/>
      <c r="AA1010" s="13"/>
      <c r="AB1010" s="13"/>
      <c r="AC1010" s="13"/>
    </row>
    <row r="1011">
      <c r="B1011" s="108"/>
      <c r="Y1011" s="13"/>
      <c r="Z1011" s="13"/>
      <c r="AA1011" s="13"/>
      <c r="AB1011" s="13"/>
      <c r="AC1011" s="13"/>
    </row>
    <row r="1012">
      <c r="B1012" s="108"/>
      <c r="Y1012" s="13"/>
      <c r="Z1012" s="13"/>
      <c r="AA1012" s="13"/>
      <c r="AB1012" s="13"/>
      <c r="AC1012" s="13"/>
    </row>
    <row r="1013">
      <c r="B1013" s="108"/>
      <c r="Y1013" s="13"/>
      <c r="Z1013" s="13"/>
      <c r="AA1013" s="13"/>
      <c r="AB1013" s="13"/>
      <c r="AC1013" s="13"/>
    </row>
    <row r="1014">
      <c r="B1014" s="108"/>
      <c r="Y1014" s="13"/>
      <c r="Z1014" s="13"/>
      <c r="AA1014" s="13"/>
      <c r="AB1014" s="13"/>
      <c r="AC1014" s="13"/>
    </row>
    <row r="1015">
      <c r="B1015" s="108"/>
      <c r="Y1015" s="13"/>
      <c r="Z1015" s="13"/>
      <c r="AA1015" s="13"/>
      <c r="AB1015" s="13"/>
      <c r="AC1015" s="13"/>
    </row>
    <row r="1016">
      <c r="B1016" s="108"/>
      <c r="Y1016" s="13"/>
      <c r="Z1016" s="13"/>
      <c r="AA1016" s="13"/>
      <c r="AB1016" s="13"/>
      <c r="AC1016" s="13"/>
    </row>
    <row r="1017">
      <c r="B1017" s="108"/>
      <c r="Y1017" s="13"/>
      <c r="Z1017" s="13"/>
      <c r="AA1017" s="13"/>
      <c r="AB1017" s="13"/>
      <c r="AC1017" s="13"/>
    </row>
    <row r="1018">
      <c r="B1018" s="108"/>
      <c r="Y1018" s="13"/>
      <c r="Z1018" s="13"/>
      <c r="AA1018" s="13"/>
      <c r="AB1018" s="13"/>
      <c r="AC1018" s="13"/>
    </row>
    <row r="1019">
      <c r="B1019" s="108"/>
      <c r="Y1019" s="13"/>
      <c r="Z1019" s="13"/>
      <c r="AA1019" s="13"/>
      <c r="AB1019" s="13"/>
      <c r="AC1019" s="13"/>
    </row>
    <row r="1020">
      <c r="B1020" s="108"/>
      <c r="Y1020" s="13"/>
      <c r="Z1020" s="13"/>
      <c r="AA1020" s="13"/>
      <c r="AB1020" s="13"/>
      <c r="AC1020" s="13"/>
    </row>
    <row r="1021">
      <c r="B1021" s="108"/>
      <c r="Y1021" s="13"/>
      <c r="Z1021" s="13"/>
      <c r="AA1021" s="13"/>
      <c r="AB1021" s="13"/>
      <c r="AC1021" s="13"/>
    </row>
    <row r="1022">
      <c r="B1022" s="108"/>
      <c r="Y1022" s="13"/>
      <c r="Z1022" s="13"/>
      <c r="AA1022" s="13"/>
      <c r="AB1022" s="13"/>
      <c r="AC1022" s="13"/>
    </row>
    <row r="1023">
      <c r="B1023" s="108"/>
      <c r="Y1023" s="13"/>
      <c r="Z1023" s="13"/>
      <c r="AA1023" s="13"/>
      <c r="AB1023" s="13"/>
      <c r="AC1023" s="13"/>
    </row>
    <row r="1024">
      <c r="B1024" s="108"/>
      <c r="Y1024" s="13"/>
      <c r="Z1024" s="13"/>
      <c r="AA1024" s="13"/>
      <c r="AB1024" s="13"/>
      <c r="AC1024" s="13"/>
    </row>
    <row r="1025">
      <c r="B1025" s="108"/>
      <c r="Y1025" s="13"/>
      <c r="Z1025" s="13"/>
      <c r="AA1025" s="13"/>
      <c r="AB1025" s="13"/>
      <c r="AC1025" s="13"/>
    </row>
    <row r="1026">
      <c r="B1026" s="108"/>
      <c r="Y1026" s="13"/>
      <c r="Z1026" s="13"/>
      <c r="AA1026" s="13"/>
      <c r="AB1026" s="13"/>
      <c r="AC1026" s="13"/>
    </row>
    <row r="1027">
      <c r="B1027" s="108"/>
      <c r="Y1027" s="13"/>
      <c r="Z1027" s="13"/>
      <c r="AA1027" s="13"/>
      <c r="AB1027" s="13"/>
      <c r="AC1027" s="13"/>
    </row>
    <row r="1028">
      <c r="B1028" s="108"/>
      <c r="Y1028" s="13"/>
      <c r="Z1028" s="13"/>
      <c r="AA1028" s="13"/>
      <c r="AB1028" s="13"/>
      <c r="AC1028" s="13"/>
    </row>
    <row r="1029">
      <c r="B1029" s="108"/>
      <c r="Y1029" s="13"/>
      <c r="Z1029" s="13"/>
      <c r="AA1029" s="13"/>
      <c r="AB1029" s="13"/>
      <c r="AC1029" s="13"/>
    </row>
    <row r="1030">
      <c r="B1030" s="108"/>
      <c r="Y1030" s="13"/>
      <c r="Z1030" s="13"/>
      <c r="AA1030" s="13"/>
      <c r="AB1030" s="13"/>
      <c r="AC1030" s="13"/>
    </row>
    <row r="1031">
      <c r="B1031" s="108"/>
      <c r="Y1031" s="13"/>
      <c r="Z1031" s="13"/>
      <c r="AA1031" s="13"/>
      <c r="AB1031" s="13"/>
      <c r="AC1031" s="13"/>
    </row>
    <row r="1032">
      <c r="B1032" s="108"/>
      <c r="Y1032" s="13"/>
      <c r="Z1032" s="13"/>
      <c r="AA1032" s="13"/>
      <c r="AB1032" s="13"/>
      <c r="AC1032" s="13"/>
    </row>
    <row r="1033">
      <c r="B1033" s="108"/>
      <c r="Y1033" s="13"/>
      <c r="Z1033" s="13"/>
      <c r="AA1033" s="13"/>
      <c r="AB1033" s="13"/>
      <c r="AC1033" s="13"/>
    </row>
    <row r="1034">
      <c r="B1034" s="108"/>
      <c r="Y1034" s="13"/>
      <c r="Z1034" s="13"/>
      <c r="AA1034" s="13"/>
      <c r="AB1034" s="13"/>
      <c r="AC1034" s="13"/>
    </row>
    <row r="1035">
      <c r="B1035" s="108"/>
      <c r="Y1035" s="13"/>
      <c r="Z1035" s="13"/>
      <c r="AA1035" s="13"/>
      <c r="AB1035" s="13"/>
      <c r="AC1035" s="13"/>
    </row>
    <row r="1036">
      <c r="B1036" s="108"/>
      <c r="Y1036" s="13"/>
      <c r="Z1036" s="13"/>
      <c r="AA1036" s="13"/>
      <c r="AB1036" s="13"/>
      <c r="AC1036" s="13"/>
    </row>
    <row r="1037">
      <c r="B1037" s="108"/>
      <c r="Y1037" s="13"/>
      <c r="Z1037" s="13"/>
      <c r="AA1037" s="13"/>
      <c r="AB1037" s="13"/>
      <c r="AC1037" s="13"/>
    </row>
    <row r="1038">
      <c r="B1038" s="108"/>
      <c r="Y1038" s="13"/>
      <c r="Z1038" s="13"/>
      <c r="AA1038" s="13"/>
      <c r="AB1038" s="13"/>
      <c r="AC1038" s="13"/>
    </row>
    <row r="1039">
      <c r="B1039" s="108"/>
      <c r="Y1039" s="13"/>
      <c r="Z1039" s="13"/>
      <c r="AA1039" s="13"/>
      <c r="AB1039" s="13"/>
      <c r="AC1039" s="13"/>
    </row>
    <row r="1040">
      <c r="B1040" s="108"/>
      <c r="Y1040" s="13"/>
      <c r="Z1040" s="13"/>
      <c r="AA1040" s="13"/>
      <c r="AB1040" s="13"/>
      <c r="AC1040" s="13"/>
    </row>
    <row r="1041">
      <c r="B1041" s="108"/>
      <c r="Y1041" s="13"/>
      <c r="Z1041" s="13"/>
      <c r="AA1041" s="13"/>
      <c r="AB1041" s="13"/>
      <c r="AC1041" s="13"/>
    </row>
    <row r="1042">
      <c r="B1042" s="108"/>
      <c r="Y1042" s="13"/>
      <c r="Z1042" s="13"/>
      <c r="AA1042" s="13"/>
      <c r="AB1042" s="13"/>
      <c r="AC1042" s="13"/>
    </row>
    <row r="1043">
      <c r="B1043" s="108"/>
      <c r="Y1043" s="13"/>
      <c r="Z1043" s="13"/>
      <c r="AA1043" s="13"/>
      <c r="AB1043" s="13"/>
      <c r="AC1043" s="13"/>
    </row>
    <row r="1044">
      <c r="B1044" s="108"/>
      <c r="Y1044" s="13"/>
      <c r="Z1044" s="13"/>
      <c r="AA1044" s="13"/>
      <c r="AB1044" s="13"/>
      <c r="AC1044" s="13"/>
    </row>
    <row r="1045">
      <c r="B1045" s="108"/>
      <c r="Y1045" s="13"/>
      <c r="Z1045" s="13"/>
      <c r="AA1045" s="13"/>
      <c r="AB1045" s="13"/>
      <c r="AC1045" s="13"/>
    </row>
    <row r="1046">
      <c r="B1046" s="108"/>
      <c r="Y1046" s="13"/>
      <c r="Z1046" s="13"/>
      <c r="AA1046" s="13"/>
      <c r="AB1046" s="13"/>
      <c r="AC1046" s="13"/>
    </row>
    <row r="1047">
      <c r="B1047" s="108"/>
      <c r="Y1047" s="13"/>
      <c r="Z1047" s="13"/>
      <c r="AA1047" s="13"/>
      <c r="AB1047" s="13"/>
      <c r="AC1047" s="13"/>
    </row>
    <row r="1048">
      <c r="B1048" s="108"/>
      <c r="Y1048" s="13"/>
      <c r="Z1048" s="13"/>
      <c r="AA1048" s="13"/>
      <c r="AB1048" s="13"/>
      <c r="AC1048" s="13"/>
    </row>
    <row r="1049">
      <c r="B1049" s="108"/>
      <c r="Y1049" s="13"/>
      <c r="Z1049" s="13"/>
      <c r="AA1049" s="13"/>
      <c r="AB1049" s="13"/>
      <c r="AC1049" s="13"/>
    </row>
    <row r="1050">
      <c r="B1050" s="108"/>
      <c r="Y1050" s="13"/>
      <c r="Z1050" s="13"/>
      <c r="AA1050" s="13"/>
      <c r="AB1050" s="13"/>
      <c r="AC1050" s="13"/>
    </row>
    <row r="1051">
      <c r="B1051" s="108"/>
      <c r="Y1051" s="13"/>
      <c r="Z1051" s="13"/>
      <c r="AA1051" s="13"/>
      <c r="AB1051" s="13"/>
      <c r="AC1051" s="13"/>
    </row>
  </sheetData>
  <mergeCells count="109">
    <mergeCell ref="A1:L1"/>
    <mergeCell ref="A2:L2"/>
    <mergeCell ref="E3:L3"/>
    <mergeCell ref="U3:AC3"/>
    <mergeCell ref="E4:L5"/>
    <mergeCell ref="E6:L6"/>
    <mergeCell ref="E7:L7"/>
    <mergeCell ref="B15:B16"/>
    <mergeCell ref="C15:C16"/>
    <mergeCell ref="D15:D16"/>
    <mergeCell ref="E15:E16"/>
    <mergeCell ref="F15:F16"/>
    <mergeCell ref="G15:G16"/>
    <mergeCell ref="H15:H16"/>
    <mergeCell ref="I15:I16"/>
    <mergeCell ref="E8:L8"/>
    <mergeCell ref="E9:L9"/>
    <mergeCell ref="E10:L10"/>
    <mergeCell ref="E11:L11"/>
    <mergeCell ref="E12:L12"/>
    <mergeCell ref="E13:L13"/>
    <mergeCell ref="A15:A16"/>
    <mergeCell ref="L15:L16"/>
    <mergeCell ref="J15:J16"/>
    <mergeCell ref="K15:K16"/>
    <mergeCell ref="B75:K75"/>
    <mergeCell ref="B76:L76"/>
    <mergeCell ref="B77:L77"/>
    <mergeCell ref="B78:L78"/>
    <mergeCell ref="B79:L79"/>
    <mergeCell ref="G103:H103"/>
    <mergeCell ref="G104:H104"/>
    <mergeCell ref="G105:H105"/>
    <mergeCell ref="G106:H106"/>
    <mergeCell ref="G107:H107"/>
    <mergeCell ref="G108:H108"/>
    <mergeCell ref="G109:H109"/>
    <mergeCell ref="G110:H110"/>
    <mergeCell ref="G111:H111"/>
    <mergeCell ref="G113:H113"/>
    <mergeCell ref="G114:H114"/>
    <mergeCell ref="G115:H115"/>
    <mergeCell ref="G116:H116"/>
    <mergeCell ref="G117:H117"/>
    <mergeCell ref="G118:H118"/>
    <mergeCell ref="G119:H119"/>
    <mergeCell ref="G120:H120"/>
    <mergeCell ref="G121:H121"/>
    <mergeCell ref="G122:H122"/>
    <mergeCell ref="G123:H123"/>
    <mergeCell ref="G125:H125"/>
    <mergeCell ref="G126:H126"/>
    <mergeCell ref="G127:H127"/>
    <mergeCell ref="G128:H128"/>
    <mergeCell ref="G129:H129"/>
    <mergeCell ref="G131:H131"/>
    <mergeCell ref="G132:H132"/>
    <mergeCell ref="G133:H133"/>
    <mergeCell ref="G135:H135"/>
    <mergeCell ref="G136:H136"/>
    <mergeCell ref="G138:H138"/>
    <mergeCell ref="G139:H139"/>
    <mergeCell ref="G141:H141"/>
    <mergeCell ref="G143:H143"/>
    <mergeCell ref="G144:H144"/>
    <mergeCell ref="G152:I152"/>
    <mergeCell ref="A171:L173"/>
    <mergeCell ref="G145:H145"/>
    <mergeCell ref="G146:H146"/>
    <mergeCell ref="G147:H147"/>
    <mergeCell ref="G148:H148"/>
    <mergeCell ref="G149:H149"/>
    <mergeCell ref="G150:H150"/>
    <mergeCell ref="G151:I151"/>
    <mergeCell ref="J84:K84"/>
    <mergeCell ref="J85:K85"/>
    <mergeCell ref="J87:K87"/>
    <mergeCell ref="J88:K88"/>
    <mergeCell ref="J89:K89"/>
    <mergeCell ref="J90:K90"/>
    <mergeCell ref="J91:K91"/>
    <mergeCell ref="A81:L81"/>
    <mergeCell ref="E82:F82"/>
    <mergeCell ref="J82:K82"/>
    <mergeCell ref="E83:F83"/>
    <mergeCell ref="J83:K83"/>
    <mergeCell ref="E84:F84"/>
    <mergeCell ref="E85:F85"/>
    <mergeCell ref="B95:B96"/>
    <mergeCell ref="C95:C96"/>
    <mergeCell ref="D95:D96"/>
    <mergeCell ref="E95:E96"/>
    <mergeCell ref="F95:F96"/>
    <mergeCell ref="G95:G96"/>
    <mergeCell ref="E86:F86"/>
    <mergeCell ref="J86:K86"/>
    <mergeCell ref="A92:L92"/>
    <mergeCell ref="C93:F93"/>
    <mergeCell ref="J93:K93"/>
    <mergeCell ref="A94:L94"/>
    <mergeCell ref="A95:A96"/>
    <mergeCell ref="J95:L95"/>
    <mergeCell ref="H95:H96"/>
    <mergeCell ref="I95:I96"/>
    <mergeCell ref="G97:H97"/>
    <mergeCell ref="G98:H98"/>
    <mergeCell ref="G99:H99"/>
    <mergeCell ref="G100:H100"/>
    <mergeCell ref="G101:H10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6" width="9.25"/>
    <col customWidth="1" min="7" max="7" width="8.0"/>
    <col customWidth="1" min="8" max="8" width="7.25"/>
    <col customWidth="1" min="9" max="9" width="7.88"/>
    <col customWidth="1" min="10" max="11" width="9.25"/>
    <col customWidth="1" min="12" max="12" width="9.75"/>
    <col customWidth="1" min="13" max="13" width="9.63"/>
    <col customWidth="1" min="14" max="14" width="9.0"/>
    <col customWidth="1" min="15" max="15" width="13.13"/>
    <col customWidth="1" min="16" max="16" width="7.63"/>
    <col customWidth="1" min="17" max="17" width="9.13"/>
    <col customWidth="1" min="18" max="19" width="7.63"/>
    <col customWidth="1" min="20" max="20" width="8.25"/>
    <col customWidth="1" min="21" max="29" width="7.63"/>
    <col customWidth="1" min="30" max="43" width="12.63"/>
  </cols>
  <sheetData>
    <row r="1" ht="13.5" customHeight="1">
      <c r="A1" s="244" t="s">
        <v>819</v>
      </c>
      <c r="N1" s="245"/>
      <c r="O1" s="245"/>
      <c r="P1" s="245"/>
      <c r="Q1" s="245"/>
      <c r="R1" s="245"/>
      <c r="S1" s="245"/>
      <c r="T1" s="245"/>
      <c r="U1" s="245"/>
      <c r="V1" s="245"/>
      <c r="W1" s="245"/>
      <c r="X1" s="245"/>
      <c r="Y1" s="245"/>
      <c r="Z1" s="245"/>
      <c r="AA1" s="245"/>
    </row>
    <row r="2" ht="13.5" customHeight="1">
      <c r="N2" s="245"/>
      <c r="O2" s="245"/>
      <c r="P2" s="245"/>
      <c r="Q2" s="245"/>
      <c r="R2" s="245"/>
      <c r="S2" s="245"/>
      <c r="T2" s="245"/>
      <c r="U2" s="245"/>
      <c r="V2" s="245"/>
      <c r="W2" s="245"/>
      <c r="X2" s="245"/>
      <c r="Y2" s="245"/>
      <c r="Z2" s="245"/>
    </row>
    <row r="3" ht="13.5" customHeight="1">
      <c r="N3" s="245"/>
      <c r="O3" s="245"/>
      <c r="P3" s="245"/>
      <c r="Q3" s="245"/>
      <c r="R3" s="245"/>
      <c r="S3" s="245"/>
      <c r="T3" s="245"/>
      <c r="U3" s="245"/>
      <c r="V3" s="245"/>
      <c r="W3" s="245"/>
      <c r="X3" s="245"/>
      <c r="Y3" s="245"/>
      <c r="Z3" s="245"/>
    </row>
    <row r="4" ht="13.5" customHeight="1">
      <c r="N4" s="245"/>
      <c r="O4" s="245"/>
      <c r="P4" s="245"/>
      <c r="Q4" s="245"/>
      <c r="R4" s="245"/>
      <c r="S4" s="245"/>
      <c r="T4" s="245"/>
      <c r="U4" s="245"/>
      <c r="V4" s="245"/>
      <c r="W4" s="245"/>
      <c r="X4" s="245"/>
      <c r="Y4" s="245"/>
      <c r="Z4" s="245"/>
    </row>
    <row r="5" ht="13.5" customHeight="1">
      <c r="N5" s="245"/>
      <c r="O5" s="245"/>
      <c r="P5" s="245"/>
      <c r="Q5" s="245"/>
      <c r="R5" s="245" t="s">
        <v>820</v>
      </c>
      <c r="S5" s="245"/>
      <c r="T5" s="245"/>
      <c r="U5" s="245"/>
      <c r="V5" s="245"/>
      <c r="W5" s="245"/>
      <c r="X5" s="245"/>
      <c r="Y5" s="245"/>
      <c r="Z5" s="245"/>
      <c r="AA5" s="245"/>
      <c r="AB5" s="245"/>
      <c r="AC5" s="245"/>
    </row>
    <row r="6" ht="13.5" customHeight="1">
      <c r="A6" s="246" t="s">
        <v>821</v>
      </c>
      <c r="N6" s="245"/>
      <c r="O6" s="245"/>
      <c r="P6" s="245"/>
      <c r="Q6" s="245"/>
      <c r="R6" s="245"/>
      <c r="S6" s="245"/>
      <c r="T6" s="245"/>
      <c r="U6" s="245"/>
      <c r="V6" s="245"/>
      <c r="W6" s="245"/>
      <c r="X6" s="245"/>
      <c r="Y6" s="245"/>
      <c r="Z6" s="245"/>
      <c r="AA6" s="245"/>
      <c r="AB6" s="245"/>
      <c r="AC6" s="245"/>
    </row>
    <row r="7" ht="13.5" customHeight="1">
      <c r="N7" s="245"/>
      <c r="O7" s="245"/>
      <c r="P7" s="245"/>
      <c r="Q7" s="245"/>
      <c r="R7" s="245"/>
      <c r="S7" s="245"/>
      <c r="T7" s="245"/>
      <c r="U7" s="245"/>
      <c r="V7" s="245"/>
      <c r="W7" s="245"/>
      <c r="X7" s="245"/>
      <c r="Y7" s="245"/>
      <c r="Z7" s="245"/>
      <c r="AA7" s="245"/>
      <c r="AB7" s="245"/>
      <c r="AC7" s="245"/>
    </row>
    <row r="8" ht="13.5" customHeight="1">
      <c r="N8" s="245"/>
      <c r="O8" s="245"/>
      <c r="P8" s="245"/>
      <c r="Q8" s="245"/>
      <c r="R8" s="245"/>
      <c r="S8" s="245"/>
      <c r="T8" s="245"/>
      <c r="U8" s="245"/>
      <c r="V8" s="245"/>
      <c r="W8" s="245"/>
      <c r="X8" s="245"/>
      <c r="Y8" s="245"/>
      <c r="Z8" s="245"/>
      <c r="AA8" s="245"/>
      <c r="AB8" s="245"/>
      <c r="AC8" s="245"/>
    </row>
    <row r="9" ht="13.5" customHeight="1">
      <c r="N9" s="245"/>
      <c r="O9" s="245"/>
      <c r="P9" s="245"/>
      <c r="Q9" s="245"/>
      <c r="R9" s="245"/>
      <c r="S9" s="245"/>
      <c r="T9" s="245"/>
      <c r="U9" s="245"/>
      <c r="V9" s="245"/>
      <c r="W9" s="245"/>
      <c r="X9" s="245"/>
      <c r="Y9" s="245"/>
      <c r="Z9" s="245"/>
      <c r="AA9" s="245"/>
      <c r="AB9" s="245"/>
      <c r="AC9" s="245"/>
    </row>
    <row r="10" ht="13.5" hidden="1" customHeight="1">
      <c r="N10" s="245"/>
      <c r="O10" s="245"/>
      <c r="P10" s="245"/>
      <c r="Q10" s="245"/>
      <c r="R10" s="245"/>
      <c r="S10" s="245"/>
      <c r="T10" s="245"/>
      <c r="U10" s="245"/>
      <c r="V10" s="245"/>
      <c r="W10" s="245"/>
      <c r="X10" s="245"/>
      <c r="Y10" s="245"/>
      <c r="Z10" s="245"/>
      <c r="AA10" s="245"/>
      <c r="AB10" s="245"/>
      <c r="AC10" s="245"/>
    </row>
    <row r="11" ht="13.5" hidden="1" customHeight="1">
      <c r="N11" s="245"/>
      <c r="O11" s="245"/>
      <c r="P11" s="245"/>
      <c r="Q11" s="245"/>
      <c r="R11" s="245"/>
      <c r="S11" s="245"/>
      <c r="T11" s="245"/>
      <c r="U11" s="245"/>
      <c r="V11" s="245"/>
      <c r="W11" s="245"/>
      <c r="X11" s="245"/>
      <c r="Y11" s="245"/>
      <c r="Z11" s="245"/>
      <c r="AA11" s="245"/>
      <c r="AB11" s="245"/>
      <c r="AC11" s="245"/>
    </row>
    <row r="12" ht="13.5" hidden="1" customHeight="1">
      <c r="A12" s="247" t="s">
        <v>822</v>
      </c>
      <c r="M12" s="248"/>
      <c r="N12" s="245"/>
      <c r="O12" s="245"/>
      <c r="P12" s="245"/>
      <c r="Q12" s="245"/>
      <c r="R12" s="245"/>
      <c r="S12" s="245"/>
      <c r="T12" s="245"/>
      <c r="U12" s="245"/>
      <c r="V12" s="245"/>
      <c r="W12" s="245"/>
      <c r="X12" s="245"/>
      <c r="Y12" s="245"/>
      <c r="Z12" s="245"/>
      <c r="AA12" s="245"/>
      <c r="AB12" s="245"/>
      <c r="AC12" s="245"/>
    </row>
    <row r="13" ht="13.5" hidden="1" customHeight="1">
      <c r="N13" s="245"/>
      <c r="O13" s="245"/>
      <c r="P13" s="245"/>
      <c r="Q13" s="245"/>
      <c r="R13" s="245"/>
      <c r="S13" s="245"/>
      <c r="T13" s="245"/>
      <c r="U13" s="245"/>
      <c r="V13" s="245"/>
      <c r="W13" s="245"/>
      <c r="X13" s="245"/>
      <c r="Y13" s="245"/>
      <c r="Z13" s="245"/>
      <c r="AA13" s="245"/>
      <c r="AB13" s="245"/>
      <c r="AC13" s="245"/>
    </row>
    <row r="14" ht="13.5" customHeight="1">
      <c r="M14" s="248"/>
      <c r="N14" s="245"/>
      <c r="O14" s="245"/>
      <c r="P14" s="245"/>
      <c r="Q14" s="245"/>
      <c r="R14" s="245"/>
      <c r="S14" s="245"/>
      <c r="T14" s="245"/>
      <c r="U14" s="245"/>
      <c r="V14" s="245"/>
      <c r="W14" s="245"/>
      <c r="X14" s="245"/>
      <c r="Y14" s="245"/>
      <c r="Z14" s="245"/>
      <c r="AA14" s="245"/>
      <c r="AB14" s="245"/>
      <c r="AC14" s="245"/>
    </row>
    <row r="15" ht="13.5" customHeight="1">
      <c r="M15" s="248"/>
      <c r="N15" s="245"/>
      <c r="O15" s="245"/>
      <c r="P15" s="245"/>
      <c r="Q15" s="245"/>
      <c r="R15" s="245"/>
      <c r="S15" s="245"/>
      <c r="T15" s="245"/>
      <c r="U15" s="245"/>
      <c r="V15" s="245"/>
      <c r="W15" s="245"/>
      <c r="X15" s="245"/>
      <c r="Y15" s="245"/>
      <c r="Z15" s="245"/>
      <c r="AA15" s="245"/>
      <c r="AB15" s="245"/>
      <c r="AC15" s="245"/>
    </row>
    <row r="16" ht="13.5" customHeight="1">
      <c r="M16" s="248"/>
      <c r="N16" s="245"/>
      <c r="O16" s="245"/>
      <c r="P16" s="245"/>
      <c r="Q16" s="245"/>
      <c r="R16" s="245"/>
      <c r="S16" s="245"/>
      <c r="T16" s="245"/>
      <c r="U16" s="245"/>
      <c r="V16" s="245"/>
      <c r="W16" s="245"/>
      <c r="X16" s="245"/>
      <c r="Y16" s="245"/>
      <c r="Z16" s="245"/>
      <c r="AA16" s="245"/>
      <c r="AB16" s="245"/>
      <c r="AC16" s="245"/>
    </row>
    <row r="17" ht="13.5" customHeight="1">
      <c r="M17" s="248"/>
      <c r="N17" s="245"/>
      <c r="O17" s="245"/>
      <c r="P17" s="245"/>
      <c r="Q17" s="245"/>
      <c r="R17" s="245"/>
      <c r="S17" s="245"/>
      <c r="T17" s="245"/>
      <c r="U17" s="245"/>
      <c r="V17" s="245"/>
      <c r="W17" s="245"/>
      <c r="X17" s="245"/>
      <c r="Y17" s="245"/>
      <c r="Z17" s="245"/>
      <c r="AA17" s="245"/>
      <c r="AB17" s="245"/>
      <c r="AC17" s="245"/>
    </row>
    <row r="18" ht="13.5" customHeight="1">
      <c r="M18" s="248"/>
      <c r="N18" s="245"/>
      <c r="O18" s="245"/>
      <c r="P18" s="245"/>
      <c r="Q18" s="245"/>
      <c r="R18" s="245"/>
      <c r="S18" s="245"/>
      <c r="T18" s="245"/>
      <c r="U18" s="245"/>
      <c r="V18" s="245"/>
      <c r="W18" s="245"/>
      <c r="X18" s="245"/>
      <c r="Y18" s="245"/>
      <c r="Z18" s="245"/>
      <c r="AA18" s="245"/>
      <c r="AB18" s="245"/>
      <c r="AC18" s="245"/>
    </row>
    <row r="19" ht="13.5" customHeight="1">
      <c r="M19" s="248"/>
      <c r="N19" s="245"/>
      <c r="O19" s="245"/>
      <c r="P19" s="245"/>
      <c r="Q19" s="245"/>
      <c r="R19" s="245"/>
      <c r="S19" s="245"/>
      <c r="T19" s="245"/>
      <c r="U19" s="245"/>
      <c r="V19" s="245"/>
      <c r="W19" s="245"/>
      <c r="X19" s="245"/>
      <c r="Y19" s="245"/>
      <c r="Z19" s="245"/>
      <c r="AA19" s="245"/>
      <c r="AB19" s="245"/>
      <c r="AC19" s="245"/>
    </row>
    <row r="20" ht="13.5" customHeight="1">
      <c r="M20" s="248"/>
      <c r="N20" s="245"/>
      <c r="O20" s="245"/>
      <c r="P20" s="245"/>
      <c r="Q20" s="245"/>
      <c r="R20" s="245"/>
      <c r="S20" s="245"/>
      <c r="T20" s="245"/>
      <c r="U20" s="245"/>
      <c r="V20" s="245"/>
      <c r="W20" s="245"/>
      <c r="X20" s="245"/>
      <c r="Y20" s="245"/>
      <c r="Z20" s="245"/>
      <c r="AA20" s="245"/>
      <c r="AB20" s="245"/>
      <c r="AC20" s="245"/>
    </row>
    <row r="21" ht="13.5" customHeight="1">
      <c r="M21" s="248"/>
      <c r="N21" s="245"/>
      <c r="O21" s="245"/>
      <c r="P21" s="245"/>
      <c r="Q21" s="245"/>
      <c r="R21" s="245"/>
      <c r="S21" s="245"/>
      <c r="T21" s="245"/>
      <c r="U21" s="245"/>
      <c r="V21" s="245"/>
      <c r="W21" s="245"/>
      <c r="X21" s="245"/>
      <c r="Y21" s="245"/>
      <c r="Z21" s="245"/>
      <c r="AA21" s="245"/>
      <c r="AB21" s="245"/>
      <c r="AC21" s="245"/>
    </row>
    <row r="22" ht="13.5" customHeight="1">
      <c r="M22" s="248"/>
      <c r="N22" s="245"/>
      <c r="O22" s="245"/>
      <c r="P22" s="245"/>
      <c r="Q22" s="245"/>
      <c r="R22" s="245"/>
      <c r="S22" s="245"/>
      <c r="T22" s="245"/>
      <c r="U22" s="245"/>
      <c r="V22" s="245"/>
      <c r="W22" s="245"/>
      <c r="X22" s="245"/>
      <c r="Y22" s="245"/>
      <c r="Z22" s="245"/>
      <c r="AA22" s="245"/>
      <c r="AB22" s="245"/>
      <c r="AC22" s="245"/>
    </row>
    <row r="23" ht="13.5" customHeight="1">
      <c r="M23" s="248"/>
      <c r="N23" s="245"/>
      <c r="O23" s="245"/>
      <c r="P23" s="245"/>
      <c r="Q23" s="245"/>
      <c r="R23" s="245"/>
      <c r="S23" s="245"/>
      <c r="T23" s="245"/>
      <c r="U23" s="245"/>
      <c r="V23" s="245"/>
      <c r="W23" s="245"/>
      <c r="X23" s="245"/>
      <c r="Y23" s="245"/>
      <c r="Z23" s="245"/>
      <c r="AA23" s="245"/>
      <c r="AB23" s="245"/>
      <c r="AC23" s="245"/>
    </row>
    <row r="24" ht="13.5" customHeight="1">
      <c r="M24" s="248"/>
      <c r="N24" s="245"/>
      <c r="O24" s="245"/>
      <c r="P24" s="245"/>
      <c r="Q24" s="245"/>
      <c r="R24" s="245"/>
      <c r="S24" s="245"/>
      <c r="T24" s="245"/>
      <c r="U24" s="245"/>
      <c r="V24" s="245"/>
      <c r="W24" s="245"/>
      <c r="X24" s="245"/>
      <c r="Y24" s="245"/>
      <c r="Z24" s="245"/>
      <c r="AA24" s="245"/>
      <c r="AB24" s="245"/>
      <c r="AC24" s="245"/>
    </row>
    <row r="25" ht="13.5" customHeight="1">
      <c r="M25" s="248"/>
      <c r="N25" s="245"/>
      <c r="O25" s="245"/>
      <c r="P25" s="245"/>
      <c r="Q25" s="245"/>
      <c r="R25" s="245"/>
      <c r="S25" s="245"/>
      <c r="T25" s="245"/>
      <c r="U25" s="245"/>
      <c r="V25" s="245"/>
      <c r="W25" s="245"/>
      <c r="X25" s="245"/>
      <c r="Y25" s="245"/>
      <c r="Z25" s="245"/>
      <c r="AA25" s="245"/>
      <c r="AB25" s="245"/>
      <c r="AC25" s="245"/>
    </row>
    <row r="26" ht="13.5" customHeight="1">
      <c r="M26" s="248"/>
      <c r="N26" s="245"/>
      <c r="O26" s="245"/>
      <c r="P26" s="245"/>
      <c r="Q26" s="245"/>
      <c r="R26" s="245"/>
      <c r="S26" s="245"/>
      <c r="T26" s="245"/>
      <c r="U26" s="245"/>
      <c r="V26" s="245"/>
      <c r="W26" s="245"/>
      <c r="X26" s="245"/>
      <c r="Y26" s="245"/>
      <c r="Z26" s="245"/>
      <c r="AA26" s="245"/>
      <c r="AB26" s="245"/>
      <c r="AC26" s="245"/>
    </row>
    <row r="27" ht="13.5" customHeight="1">
      <c r="M27" s="248"/>
      <c r="N27" s="245"/>
      <c r="O27" s="245"/>
      <c r="P27" s="245"/>
      <c r="Q27" s="245"/>
      <c r="R27" s="245"/>
      <c r="S27" s="245"/>
      <c r="T27" s="245"/>
      <c r="U27" s="245"/>
      <c r="V27" s="245"/>
      <c r="W27" s="245"/>
      <c r="X27" s="245"/>
      <c r="Y27" s="245"/>
      <c r="Z27" s="245"/>
      <c r="AA27" s="245"/>
      <c r="AB27" s="245"/>
      <c r="AC27" s="245"/>
    </row>
    <row r="28" ht="13.5" customHeight="1">
      <c r="M28" s="248"/>
      <c r="N28" s="245"/>
      <c r="O28" s="245"/>
      <c r="P28" s="245"/>
      <c r="Q28" s="245"/>
      <c r="R28" s="245"/>
      <c r="S28" s="245"/>
      <c r="T28" s="245"/>
      <c r="U28" s="245"/>
      <c r="V28" s="245"/>
      <c r="W28" s="245"/>
      <c r="X28" s="245"/>
      <c r="Y28" s="245"/>
      <c r="Z28" s="245"/>
      <c r="AA28" s="245"/>
      <c r="AB28" s="245"/>
      <c r="AC28" s="245"/>
    </row>
    <row r="29" ht="13.5" customHeight="1">
      <c r="M29" s="248"/>
      <c r="N29" s="245"/>
      <c r="O29" s="245"/>
      <c r="P29" s="245"/>
      <c r="Q29" s="245"/>
      <c r="R29" s="245"/>
      <c r="S29" s="245"/>
      <c r="T29" s="245"/>
      <c r="U29" s="245"/>
      <c r="V29" s="245"/>
      <c r="W29" s="245"/>
      <c r="X29" s="245"/>
      <c r="Y29" s="245"/>
      <c r="Z29" s="245"/>
      <c r="AA29" s="245"/>
      <c r="AB29" s="245"/>
      <c r="AC29" s="245"/>
    </row>
    <row r="30" ht="13.5" customHeight="1">
      <c r="M30" s="248"/>
      <c r="N30" s="245"/>
      <c r="O30" s="245"/>
      <c r="P30" s="245"/>
      <c r="Q30" s="245"/>
      <c r="R30" s="245"/>
      <c r="S30" s="245"/>
      <c r="T30" s="245"/>
      <c r="U30" s="245"/>
      <c r="V30" s="245"/>
      <c r="W30" s="245"/>
      <c r="X30" s="245"/>
      <c r="Y30" s="245"/>
      <c r="Z30" s="245"/>
      <c r="AA30" s="245"/>
      <c r="AB30" s="245"/>
      <c r="AC30" s="245"/>
    </row>
    <row r="31" ht="13.5" customHeight="1">
      <c r="M31" s="248"/>
      <c r="N31" s="245"/>
      <c r="O31" s="245"/>
      <c r="P31" s="245"/>
      <c r="Q31" s="245"/>
      <c r="R31" s="245"/>
      <c r="S31" s="245"/>
      <c r="T31" s="245"/>
      <c r="U31" s="245"/>
      <c r="V31" s="245"/>
      <c r="W31" s="245"/>
      <c r="X31" s="245"/>
      <c r="Y31" s="245"/>
      <c r="Z31" s="245"/>
      <c r="AA31" s="245"/>
      <c r="AB31" s="245"/>
      <c r="AC31" s="245"/>
    </row>
    <row r="32" ht="13.5" customHeight="1">
      <c r="M32" s="248"/>
      <c r="N32" s="245"/>
      <c r="O32" s="245"/>
      <c r="P32" s="245"/>
      <c r="Q32" s="245"/>
      <c r="R32" s="245"/>
      <c r="S32" s="245"/>
      <c r="T32" s="245"/>
      <c r="U32" s="245"/>
      <c r="V32" s="245"/>
      <c r="W32" s="245"/>
      <c r="X32" s="245"/>
      <c r="Y32" s="245"/>
      <c r="Z32" s="245"/>
      <c r="AA32" s="245"/>
      <c r="AB32" s="245"/>
      <c r="AC32" s="245"/>
    </row>
    <row r="33" ht="13.5" customHeight="1">
      <c r="M33" s="248"/>
      <c r="N33" s="245"/>
      <c r="O33" s="245"/>
      <c r="P33" s="245"/>
      <c r="Q33" s="245"/>
      <c r="R33" s="245"/>
      <c r="S33" s="245"/>
      <c r="T33" s="245"/>
      <c r="U33" s="245"/>
      <c r="V33" s="245"/>
      <c r="W33" s="245"/>
      <c r="X33" s="245"/>
      <c r="Y33" s="245"/>
      <c r="Z33" s="245"/>
      <c r="AA33" s="245"/>
      <c r="AB33" s="245"/>
      <c r="AC33" s="245"/>
    </row>
    <row r="34" ht="13.5" customHeight="1">
      <c r="M34" s="248"/>
      <c r="N34" s="245"/>
      <c r="O34" s="245"/>
      <c r="P34" s="245"/>
      <c r="Q34" s="245"/>
      <c r="R34" s="245"/>
      <c r="S34" s="245"/>
      <c r="T34" s="245"/>
      <c r="U34" s="245"/>
      <c r="V34" s="245"/>
      <c r="W34" s="245"/>
      <c r="X34" s="245"/>
      <c r="Y34" s="245"/>
      <c r="Z34" s="245"/>
      <c r="AA34" s="245"/>
      <c r="AB34" s="245"/>
      <c r="AC34" s="245"/>
    </row>
    <row r="35" ht="13.5" hidden="1" customHeight="1">
      <c r="M35" s="248"/>
      <c r="N35" s="245"/>
      <c r="O35" s="245"/>
      <c r="P35" s="245"/>
      <c r="Q35" s="245"/>
      <c r="R35" s="245"/>
      <c r="S35" s="245"/>
      <c r="T35" s="245"/>
      <c r="U35" s="245"/>
      <c r="V35" s="245"/>
      <c r="W35" s="245"/>
      <c r="X35" s="245"/>
      <c r="Y35" s="245"/>
      <c r="Z35" s="245"/>
      <c r="AA35" s="245"/>
      <c r="AB35" s="245"/>
      <c r="AC35" s="245"/>
    </row>
    <row r="36" ht="13.5" hidden="1" customHeight="1">
      <c r="M36" s="248"/>
      <c r="N36" s="245"/>
      <c r="O36" s="245"/>
      <c r="P36" s="245"/>
      <c r="Q36" s="245"/>
      <c r="R36" s="245"/>
      <c r="S36" s="245"/>
      <c r="T36" s="245"/>
      <c r="U36" s="245"/>
      <c r="V36" s="245"/>
      <c r="W36" s="245"/>
      <c r="X36" s="245"/>
      <c r="Y36" s="245"/>
      <c r="Z36" s="245"/>
      <c r="AA36" s="245"/>
      <c r="AB36" s="245"/>
      <c r="AC36" s="245"/>
    </row>
    <row r="37" ht="13.5" hidden="1" customHeight="1">
      <c r="M37" s="248"/>
      <c r="N37" s="245"/>
      <c r="O37" s="245"/>
      <c r="P37" s="245"/>
      <c r="Q37" s="245"/>
      <c r="R37" s="245"/>
      <c r="S37" s="245"/>
      <c r="T37" s="245"/>
      <c r="U37" s="245"/>
      <c r="V37" s="245"/>
      <c r="W37" s="245"/>
      <c r="X37" s="245"/>
      <c r="Y37" s="245"/>
      <c r="Z37" s="245"/>
      <c r="AA37" s="245"/>
      <c r="AB37" s="245"/>
      <c r="AC37" s="245"/>
    </row>
    <row r="38" ht="13.5" hidden="1" customHeight="1">
      <c r="M38" s="248"/>
      <c r="N38" s="245"/>
      <c r="O38" s="245"/>
      <c r="P38" s="245"/>
      <c r="Q38" s="245"/>
      <c r="R38" s="245"/>
      <c r="S38" s="245"/>
      <c r="T38" s="245"/>
      <c r="U38" s="245"/>
      <c r="V38" s="245"/>
      <c r="W38" s="245"/>
      <c r="X38" s="245"/>
      <c r="Y38" s="245"/>
      <c r="Z38" s="245"/>
      <c r="AA38" s="245"/>
      <c r="AB38" s="245"/>
      <c r="AC38" s="245"/>
    </row>
    <row r="39" ht="24.0" hidden="1" customHeight="1">
      <c r="M39" s="248"/>
      <c r="N39" s="245"/>
      <c r="O39" s="245"/>
      <c r="P39" s="245"/>
      <c r="Q39" s="245"/>
      <c r="R39" s="245"/>
      <c r="S39" s="245"/>
      <c r="T39" s="245"/>
      <c r="U39" s="245"/>
      <c r="V39" s="245"/>
      <c r="W39" s="245"/>
      <c r="X39" s="245"/>
      <c r="Y39" s="245"/>
      <c r="Z39" s="245"/>
      <c r="AA39" s="245"/>
      <c r="AB39" s="245"/>
      <c r="AC39" s="245"/>
    </row>
    <row r="40" ht="15.75" hidden="1" customHeight="1">
      <c r="A40" s="249" t="s">
        <v>823</v>
      </c>
      <c r="C40" s="250"/>
      <c r="D40" s="250"/>
      <c r="E40" s="250"/>
      <c r="F40" s="250"/>
      <c r="G40" s="250"/>
      <c r="H40" s="250"/>
      <c r="I40" s="250"/>
      <c r="J40" s="250"/>
      <c r="K40" s="250"/>
      <c r="L40" s="251"/>
      <c r="M40" s="250"/>
      <c r="N40" s="250"/>
      <c r="O40" s="250"/>
      <c r="P40" s="250"/>
      <c r="Q40" s="250"/>
      <c r="R40" s="250"/>
      <c r="S40" s="250"/>
      <c r="T40" s="250"/>
      <c r="U40" s="250"/>
      <c r="V40" s="250"/>
      <c r="W40" s="250"/>
      <c r="X40" s="250"/>
      <c r="Y40" s="250"/>
      <c r="Z40" s="250"/>
      <c r="AA40" s="250"/>
      <c r="AB40" s="250"/>
      <c r="AC40" s="250"/>
      <c r="AD40" s="250"/>
      <c r="AE40" s="250"/>
    </row>
    <row r="41" ht="15.75" hidden="1" customHeight="1">
      <c r="A41" s="251" t="s">
        <v>707</v>
      </c>
      <c r="M41" s="251"/>
      <c r="N41" s="250"/>
      <c r="O41" s="250"/>
      <c r="P41" s="250"/>
      <c r="Q41" s="250"/>
      <c r="R41" s="250"/>
      <c r="S41" s="250"/>
      <c r="T41" s="250"/>
      <c r="U41" s="250"/>
      <c r="V41" s="250"/>
      <c r="W41" s="250"/>
      <c r="X41" s="250"/>
      <c r="Y41" s="250"/>
      <c r="Z41" s="250"/>
      <c r="AA41" s="250"/>
      <c r="AB41" s="250"/>
      <c r="AC41" s="250"/>
      <c r="AD41" s="250"/>
      <c r="AE41" s="250"/>
    </row>
    <row r="42" ht="15.75" hidden="1" customHeight="1">
      <c r="M42" s="251"/>
      <c r="N42" s="250"/>
      <c r="O42" s="250"/>
      <c r="Q42" s="250"/>
      <c r="R42" s="250"/>
      <c r="S42" s="250"/>
      <c r="T42" s="250"/>
      <c r="U42" s="250"/>
      <c r="V42" s="250"/>
      <c r="W42" s="250"/>
      <c r="X42" s="250"/>
      <c r="Y42" s="250"/>
      <c r="Z42" s="250"/>
      <c r="AA42" s="250"/>
      <c r="AB42" s="250"/>
      <c r="AC42" s="250"/>
      <c r="AD42" s="250"/>
      <c r="AE42" s="250"/>
    </row>
    <row r="43" ht="15.75" hidden="1" customHeight="1">
      <c r="M43" s="251"/>
      <c r="N43" s="250"/>
      <c r="O43" s="250"/>
      <c r="P43" s="250"/>
      <c r="Q43" s="250"/>
      <c r="R43" s="250"/>
      <c r="S43" s="250"/>
      <c r="T43" s="250"/>
      <c r="U43" s="250"/>
      <c r="V43" s="250"/>
      <c r="W43" s="250"/>
      <c r="X43" s="250"/>
      <c r="Y43" s="250"/>
      <c r="Z43" s="250"/>
      <c r="AA43" s="250"/>
      <c r="AB43" s="250"/>
      <c r="AC43" s="250"/>
      <c r="AD43" s="250"/>
      <c r="AE43" s="250"/>
    </row>
    <row r="44" ht="15.75" hidden="1" customHeight="1">
      <c r="M44" s="251"/>
      <c r="N44" s="250"/>
      <c r="O44" s="250"/>
      <c r="P44" s="250"/>
      <c r="Q44" s="250"/>
      <c r="R44" s="250"/>
      <c r="S44" s="250"/>
      <c r="T44" s="250"/>
      <c r="U44" s="250"/>
      <c r="V44" s="250"/>
      <c r="W44" s="250"/>
      <c r="X44" s="250"/>
      <c r="Y44" s="250"/>
      <c r="Z44" s="250"/>
      <c r="AA44" s="250"/>
      <c r="AB44" s="250"/>
      <c r="AC44" s="250"/>
      <c r="AD44" s="250"/>
      <c r="AE44" s="250"/>
    </row>
    <row r="45" ht="15.75" hidden="1" customHeight="1">
      <c r="M45" s="251"/>
      <c r="N45" s="250"/>
      <c r="O45" s="250"/>
      <c r="Q45" s="250"/>
      <c r="R45" s="250"/>
      <c r="S45" s="250"/>
      <c r="T45" s="250"/>
      <c r="U45" s="250"/>
      <c r="V45" s="250"/>
      <c r="W45" s="250"/>
      <c r="X45" s="250"/>
      <c r="Y45" s="250"/>
      <c r="Z45" s="250"/>
      <c r="AA45" s="250"/>
      <c r="AB45" s="250"/>
      <c r="AC45" s="250"/>
      <c r="AD45" s="250"/>
      <c r="AE45" s="250"/>
    </row>
    <row r="46" ht="15.75" hidden="1" customHeight="1">
      <c r="M46" s="251"/>
      <c r="N46" s="250"/>
      <c r="O46" s="250"/>
      <c r="P46" s="250"/>
      <c r="Q46" s="250"/>
      <c r="R46" s="250"/>
      <c r="S46" s="250"/>
      <c r="T46" s="250"/>
      <c r="U46" s="250"/>
      <c r="V46" s="250"/>
      <c r="W46" s="250"/>
      <c r="X46" s="250"/>
      <c r="Y46" s="250"/>
      <c r="Z46" s="250"/>
      <c r="AA46" s="250"/>
      <c r="AB46" s="250"/>
      <c r="AC46" s="250"/>
      <c r="AD46" s="250"/>
      <c r="AE46" s="250"/>
    </row>
    <row r="47" ht="15.75" hidden="1" customHeight="1">
      <c r="M47" s="251"/>
      <c r="N47" s="250"/>
      <c r="O47" s="250"/>
      <c r="P47" s="250"/>
      <c r="Q47" s="250"/>
      <c r="R47" s="250"/>
      <c r="S47" s="250"/>
      <c r="T47" s="250"/>
      <c r="U47" s="250"/>
      <c r="V47" s="250"/>
      <c r="W47" s="250"/>
      <c r="X47" s="250"/>
      <c r="Y47" s="250"/>
      <c r="Z47" s="250"/>
      <c r="AA47" s="250"/>
      <c r="AB47" s="250"/>
      <c r="AC47" s="250"/>
      <c r="AD47" s="250"/>
      <c r="AE47" s="250"/>
    </row>
    <row r="48" ht="15.75" hidden="1" customHeight="1">
      <c r="M48" s="251"/>
      <c r="N48" s="250"/>
      <c r="O48" s="250"/>
      <c r="P48" s="250"/>
      <c r="Q48" s="250"/>
      <c r="R48" s="250"/>
      <c r="S48" s="250"/>
      <c r="T48" s="250"/>
      <c r="U48" s="250"/>
      <c r="V48" s="250"/>
      <c r="W48" s="250"/>
      <c r="X48" s="250"/>
      <c r="Y48" s="250"/>
      <c r="Z48" s="250"/>
      <c r="AA48" s="250"/>
      <c r="AB48" s="250"/>
      <c r="AC48" s="250"/>
      <c r="AD48" s="250"/>
      <c r="AE48" s="250"/>
    </row>
    <row r="49" ht="15.75" hidden="1" customHeight="1">
      <c r="M49" s="251"/>
      <c r="N49" s="250"/>
      <c r="O49" s="250"/>
      <c r="P49" s="250"/>
      <c r="Q49" s="250"/>
      <c r="R49" s="250"/>
      <c r="S49" s="250"/>
      <c r="T49" s="250"/>
      <c r="U49" s="250"/>
      <c r="V49" s="250"/>
      <c r="W49" s="250"/>
      <c r="X49" s="250"/>
      <c r="Y49" s="250"/>
      <c r="Z49" s="250"/>
      <c r="AA49" s="250"/>
      <c r="AB49" s="250"/>
      <c r="AC49" s="250"/>
      <c r="AD49" s="250"/>
      <c r="AE49" s="250"/>
    </row>
    <row r="50" ht="15.75" hidden="1" customHeight="1">
      <c r="M50" s="251"/>
      <c r="N50" s="250"/>
      <c r="O50" s="250"/>
      <c r="Q50" s="250"/>
      <c r="R50" s="250"/>
      <c r="S50" s="250"/>
      <c r="T50" s="250"/>
      <c r="U50" s="250"/>
      <c r="V50" s="250"/>
      <c r="W50" s="250"/>
      <c r="X50" s="250"/>
      <c r="Y50" s="250"/>
      <c r="Z50" s="250"/>
      <c r="AA50" s="250"/>
      <c r="AB50" s="250"/>
      <c r="AC50" s="250"/>
      <c r="AD50" s="250"/>
      <c r="AE50" s="250"/>
    </row>
    <row r="51" ht="15.75" hidden="1" customHeight="1">
      <c r="M51" s="251"/>
      <c r="N51" s="250"/>
      <c r="O51" s="250"/>
      <c r="P51" s="250"/>
      <c r="Q51" s="250"/>
      <c r="R51" s="250"/>
      <c r="S51" s="250"/>
      <c r="T51" s="250"/>
      <c r="U51" s="250"/>
      <c r="V51" s="250"/>
      <c r="W51" s="250"/>
      <c r="X51" s="250"/>
      <c r="Y51" s="250"/>
      <c r="Z51" s="250"/>
      <c r="AA51" s="250"/>
      <c r="AB51" s="250"/>
      <c r="AC51" s="250"/>
      <c r="AD51" s="250"/>
      <c r="AE51" s="250"/>
    </row>
    <row r="52" ht="15.75" hidden="1" customHeight="1">
      <c r="M52" s="251"/>
      <c r="N52" s="250"/>
      <c r="O52" s="250"/>
      <c r="P52" s="250"/>
      <c r="Q52" s="250"/>
      <c r="R52" s="250"/>
      <c r="S52" s="250"/>
      <c r="T52" s="250"/>
      <c r="U52" s="250"/>
      <c r="V52" s="250"/>
      <c r="W52" s="250"/>
      <c r="X52" s="250"/>
      <c r="Y52" s="250"/>
      <c r="Z52" s="250"/>
      <c r="AA52" s="250"/>
      <c r="AB52" s="250"/>
      <c r="AC52" s="250"/>
      <c r="AD52" s="250"/>
      <c r="AE52" s="250"/>
    </row>
    <row r="53" ht="15.75" hidden="1" customHeight="1">
      <c r="M53" s="251"/>
      <c r="N53" s="250"/>
      <c r="O53" s="250"/>
      <c r="P53" s="250"/>
      <c r="Q53" s="250"/>
      <c r="R53" s="250"/>
      <c r="S53" s="250"/>
      <c r="T53" s="250"/>
      <c r="U53" s="250"/>
      <c r="V53" s="250"/>
      <c r="W53" s="250"/>
      <c r="X53" s="250"/>
      <c r="Y53" s="250"/>
      <c r="Z53" s="250"/>
      <c r="AA53" s="250"/>
      <c r="AB53" s="250"/>
      <c r="AC53" s="250"/>
      <c r="AD53" s="250"/>
      <c r="AE53" s="250"/>
    </row>
    <row r="54" ht="15.75" hidden="1" customHeight="1">
      <c r="M54" s="251"/>
      <c r="N54" s="250"/>
      <c r="O54" s="250"/>
      <c r="P54" s="250"/>
      <c r="Q54" s="250"/>
      <c r="R54" s="250"/>
      <c r="S54" s="250"/>
      <c r="T54" s="250"/>
      <c r="U54" s="250"/>
      <c r="V54" s="250"/>
      <c r="W54" s="250"/>
      <c r="X54" s="250"/>
      <c r="Y54" s="250"/>
      <c r="Z54" s="250"/>
      <c r="AA54" s="250"/>
      <c r="AB54" s="250"/>
      <c r="AC54" s="250"/>
      <c r="AD54" s="250"/>
      <c r="AE54" s="250"/>
    </row>
    <row r="55" ht="15.75" hidden="1" customHeight="1">
      <c r="M55" s="251"/>
      <c r="N55" s="250"/>
      <c r="O55" s="250"/>
      <c r="P55" s="250"/>
      <c r="Q55" s="250"/>
      <c r="R55" s="250"/>
      <c r="S55" s="250"/>
      <c r="T55" s="250"/>
      <c r="U55" s="250"/>
      <c r="V55" s="250"/>
      <c r="W55" s="250"/>
      <c r="X55" s="250"/>
      <c r="Y55" s="250"/>
      <c r="Z55" s="250"/>
      <c r="AA55" s="250"/>
      <c r="AB55" s="250"/>
      <c r="AC55" s="250"/>
      <c r="AD55" s="250"/>
      <c r="AE55" s="250"/>
    </row>
    <row r="56" ht="15.75" hidden="1" customHeight="1">
      <c r="M56" s="251"/>
      <c r="N56" s="250"/>
      <c r="O56" s="250"/>
      <c r="P56" s="250"/>
      <c r="Q56" s="250"/>
      <c r="R56" s="250"/>
      <c r="S56" s="250"/>
      <c r="T56" s="250"/>
      <c r="U56" s="250"/>
      <c r="V56" s="250"/>
      <c r="W56" s="250"/>
      <c r="X56" s="250"/>
      <c r="Y56" s="250"/>
      <c r="Z56" s="250"/>
      <c r="AA56" s="250"/>
      <c r="AB56" s="250"/>
      <c r="AC56" s="250"/>
      <c r="AD56" s="250"/>
      <c r="AE56" s="250"/>
    </row>
    <row r="57" ht="15.75" hidden="1" customHeight="1">
      <c r="M57" s="251"/>
      <c r="N57" s="250"/>
      <c r="O57" s="250"/>
      <c r="P57" s="250"/>
      <c r="Q57" s="250"/>
      <c r="R57" s="250"/>
      <c r="S57" s="250"/>
      <c r="T57" s="250"/>
      <c r="U57" s="250"/>
      <c r="V57" s="250"/>
      <c r="W57" s="250"/>
      <c r="X57" s="250"/>
      <c r="Y57" s="250"/>
      <c r="Z57" s="250"/>
      <c r="AA57" s="250"/>
      <c r="AB57" s="250"/>
      <c r="AC57" s="250"/>
      <c r="AD57" s="250"/>
      <c r="AE57" s="250"/>
    </row>
    <row r="58" ht="15.75" hidden="1" customHeight="1">
      <c r="M58" s="251"/>
      <c r="N58" s="250"/>
      <c r="O58" s="250"/>
      <c r="P58" s="250"/>
      <c r="Q58" s="250"/>
      <c r="R58" s="250"/>
      <c r="S58" s="250"/>
      <c r="T58" s="250"/>
      <c r="U58" s="250"/>
      <c r="V58" s="250"/>
      <c r="W58" s="250"/>
      <c r="X58" s="250"/>
      <c r="Y58" s="250"/>
      <c r="Z58" s="250"/>
      <c r="AA58" s="250"/>
      <c r="AB58" s="250"/>
      <c r="AC58" s="250"/>
      <c r="AD58" s="250"/>
      <c r="AE58" s="250"/>
    </row>
    <row r="59" ht="15.75" hidden="1" customHeight="1">
      <c r="M59" s="251"/>
      <c r="N59" s="250"/>
      <c r="O59" s="250"/>
      <c r="P59" s="250"/>
      <c r="Q59" s="250"/>
      <c r="R59" s="250"/>
      <c r="S59" s="250"/>
      <c r="T59" s="250"/>
      <c r="U59" s="250"/>
      <c r="V59" s="250"/>
      <c r="W59" s="250"/>
      <c r="X59" s="250"/>
      <c r="Y59" s="250"/>
      <c r="Z59" s="250"/>
      <c r="AA59" s="250"/>
      <c r="AB59" s="250"/>
      <c r="AC59" s="250"/>
      <c r="AD59" s="250"/>
      <c r="AE59" s="250"/>
    </row>
    <row r="60" ht="15.75" hidden="1" customHeight="1">
      <c r="M60" s="251"/>
      <c r="N60" s="250"/>
      <c r="O60" s="250"/>
      <c r="P60" s="250"/>
      <c r="Q60" s="250"/>
      <c r="R60" s="250"/>
      <c r="S60" s="250"/>
      <c r="T60" s="250"/>
      <c r="U60" s="250"/>
      <c r="V60" s="250"/>
      <c r="W60" s="250"/>
      <c r="X60" s="250"/>
      <c r="Y60" s="250"/>
      <c r="Z60" s="250"/>
      <c r="AA60" s="250"/>
      <c r="AB60" s="250"/>
      <c r="AC60" s="250"/>
      <c r="AD60" s="250"/>
      <c r="AE60" s="250"/>
    </row>
    <row r="61" ht="15.75" hidden="1" customHeight="1">
      <c r="M61" s="251"/>
      <c r="N61" s="250"/>
      <c r="O61" s="250"/>
      <c r="P61" s="250"/>
      <c r="Q61" s="250"/>
      <c r="R61" s="250"/>
      <c r="S61" s="250"/>
      <c r="T61" s="250"/>
      <c r="U61" s="250"/>
      <c r="V61" s="250"/>
      <c r="W61" s="250"/>
      <c r="X61" s="250"/>
      <c r="Y61" s="250"/>
      <c r="Z61" s="250"/>
      <c r="AA61" s="250"/>
      <c r="AB61" s="250"/>
      <c r="AC61" s="250"/>
      <c r="AD61" s="250"/>
      <c r="AE61" s="250"/>
    </row>
    <row r="62" ht="15.75" hidden="1" customHeight="1">
      <c r="M62" s="251"/>
      <c r="N62" s="250"/>
      <c r="O62" s="250"/>
      <c r="P62" s="250"/>
      <c r="Q62" s="250"/>
      <c r="R62" s="250"/>
      <c r="S62" s="250"/>
      <c r="T62" s="250"/>
      <c r="U62" s="250"/>
      <c r="V62" s="250"/>
      <c r="W62" s="250"/>
      <c r="X62" s="250"/>
      <c r="Y62" s="250"/>
      <c r="Z62" s="250"/>
      <c r="AA62" s="250"/>
      <c r="AB62" s="250"/>
      <c r="AC62" s="250"/>
      <c r="AD62" s="250"/>
      <c r="AE62" s="250"/>
    </row>
    <row r="63" ht="15.75" hidden="1" customHeight="1">
      <c r="M63" s="251"/>
      <c r="N63" s="250"/>
      <c r="O63" s="250"/>
      <c r="P63" s="250"/>
      <c r="Q63" s="250"/>
      <c r="R63" s="250"/>
      <c r="S63" s="250"/>
      <c r="T63" s="250"/>
      <c r="U63" s="250"/>
      <c r="V63" s="250"/>
      <c r="W63" s="250"/>
      <c r="X63" s="250"/>
      <c r="Y63" s="250"/>
      <c r="Z63" s="250"/>
      <c r="AA63" s="250"/>
      <c r="AB63" s="250"/>
      <c r="AC63" s="250"/>
      <c r="AD63" s="250"/>
      <c r="AE63" s="250"/>
    </row>
    <row r="64" ht="15.75" hidden="1" customHeight="1">
      <c r="M64" s="251"/>
      <c r="N64" s="250"/>
      <c r="O64" s="250"/>
      <c r="P64" s="250"/>
      <c r="Q64" s="250"/>
      <c r="R64" s="250"/>
      <c r="S64" s="250"/>
      <c r="T64" s="250"/>
      <c r="U64" s="250"/>
      <c r="V64" s="250"/>
      <c r="W64" s="250"/>
      <c r="X64" s="250"/>
      <c r="Y64" s="250"/>
      <c r="Z64" s="250"/>
      <c r="AA64" s="250"/>
      <c r="AB64" s="250"/>
      <c r="AC64" s="250"/>
      <c r="AD64" s="250"/>
      <c r="AE64" s="250"/>
    </row>
    <row r="65" ht="15.75" hidden="1" customHeight="1">
      <c r="M65" s="251"/>
      <c r="N65" s="250"/>
      <c r="O65" s="250"/>
      <c r="P65" s="250"/>
      <c r="Q65" s="250"/>
      <c r="R65" s="250"/>
      <c r="S65" s="250"/>
      <c r="T65" s="250"/>
      <c r="U65" s="250"/>
      <c r="V65" s="250"/>
      <c r="W65" s="250"/>
      <c r="X65" s="250"/>
      <c r="Y65" s="250"/>
      <c r="Z65" s="250"/>
      <c r="AA65" s="250"/>
      <c r="AB65" s="250"/>
      <c r="AC65" s="250"/>
      <c r="AD65" s="250"/>
      <c r="AE65" s="250"/>
    </row>
    <row r="66" ht="15.75" hidden="1" customHeight="1">
      <c r="M66" s="251"/>
      <c r="N66" s="250"/>
      <c r="O66" s="250"/>
      <c r="P66" s="250"/>
      <c r="Q66" s="250"/>
      <c r="R66" s="250"/>
      <c r="S66" s="250"/>
      <c r="T66" s="250"/>
      <c r="U66" s="250"/>
      <c r="V66" s="250"/>
      <c r="W66" s="250"/>
      <c r="X66" s="250"/>
      <c r="Y66" s="250"/>
      <c r="Z66" s="250"/>
      <c r="AA66" s="250"/>
      <c r="AB66" s="250"/>
      <c r="AC66" s="250"/>
      <c r="AD66" s="250"/>
      <c r="AE66" s="250"/>
    </row>
    <row r="67" ht="15.75" hidden="1" customHeight="1">
      <c r="M67" s="251"/>
      <c r="N67" s="250"/>
      <c r="O67" s="250"/>
      <c r="P67" s="250"/>
      <c r="Q67" s="250"/>
      <c r="R67" s="250"/>
      <c r="S67" s="250"/>
      <c r="T67" s="250"/>
      <c r="U67" s="250"/>
      <c r="V67" s="250"/>
      <c r="W67" s="250"/>
      <c r="X67" s="250"/>
      <c r="Y67" s="250"/>
      <c r="Z67" s="250"/>
      <c r="AA67" s="250"/>
      <c r="AB67" s="250"/>
      <c r="AC67" s="250"/>
      <c r="AD67" s="250"/>
      <c r="AE67" s="250"/>
    </row>
    <row r="68" ht="15.75" hidden="1" customHeight="1">
      <c r="M68" s="251"/>
      <c r="N68" s="250"/>
      <c r="O68" s="250"/>
      <c r="P68" s="250"/>
      <c r="Q68" s="250"/>
      <c r="R68" s="250"/>
      <c r="S68" s="250"/>
      <c r="T68" s="250"/>
      <c r="U68" s="250"/>
      <c r="V68" s="250"/>
      <c r="W68" s="250"/>
      <c r="X68" s="250"/>
      <c r="Y68" s="250"/>
      <c r="Z68" s="250"/>
      <c r="AA68" s="250"/>
      <c r="AB68" s="250"/>
      <c r="AC68" s="250"/>
      <c r="AD68" s="250"/>
      <c r="AE68" s="250"/>
    </row>
    <row r="69" ht="15.75" hidden="1" customHeight="1">
      <c r="M69" s="251"/>
      <c r="N69" s="250"/>
      <c r="O69" s="250"/>
      <c r="P69" s="250"/>
      <c r="Q69" s="250"/>
      <c r="R69" s="250"/>
      <c r="S69" s="250"/>
      <c r="T69" s="250"/>
      <c r="U69" s="250"/>
      <c r="V69" s="250"/>
      <c r="W69" s="250"/>
      <c r="X69" s="250"/>
      <c r="Y69" s="250"/>
      <c r="Z69" s="250"/>
      <c r="AA69" s="250"/>
      <c r="AB69" s="250"/>
      <c r="AC69" s="250"/>
      <c r="AD69" s="250"/>
      <c r="AE69" s="250"/>
    </row>
    <row r="70" ht="15.75" hidden="1" customHeight="1">
      <c r="M70" s="251"/>
      <c r="N70" s="250"/>
      <c r="O70" s="250"/>
      <c r="P70" s="250"/>
      <c r="Q70" s="250"/>
      <c r="R70" s="250"/>
      <c r="S70" s="250"/>
      <c r="T70" s="250"/>
      <c r="U70" s="250"/>
      <c r="V70" s="250"/>
      <c r="W70" s="250"/>
      <c r="X70" s="250"/>
      <c r="Y70" s="250"/>
      <c r="Z70" s="250"/>
      <c r="AA70" s="250"/>
      <c r="AB70" s="250"/>
      <c r="AC70" s="250"/>
      <c r="AD70" s="250"/>
      <c r="AE70" s="250"/>
    </row>
    <row r="71" ht="15.75" hidden="1" customHeight="1">
      <c r="M71" s="251"/>
      <c r="N71" s="250"/>
      <c r="O71" s="250"/>
      <c r="P71" s="250"/>
      <c r="Q71" s="250"/>
      <c r="R71" s="250"/>
      <c r="S71" s="250"/>
      <c r="T71" s="250"/>
      <c r="U71" s="250"/>
      <c r="V71" s="250"/>
      <c r="W71" s="250"/>
      <c r="X71" s="250"/>
      <c r="Y71" s="250"/>
      <c r="Z71" s="250"/>
      <c r="AA71" s="250"/>
      <c r="AB71" s="250"/>
      <c r="AC71" s="250"/>
      <c r="AD71" s="250"/>
      <c r="AE71" s="250"/>
    </row>
    <row r="72" ht="15.75" hidden="1" customHeight="1">
      <c r="M72" s="251"/>
      <c r="N72" s="250"/>
      <c r="O72" s="250"/>
      <c r="P72" s="250"/>
      <c r="Q72" s="250"/>
      <c r="R72" s="250"/>
      <c r="S72" s="250"/>
      <c r="T72" s="250"/>
      <c r="U72" s="250"/>
      <c r="V72" s="250"/>
      <c r="W72" s="250"/>
      <c r="X72" s="250"/>
      <c r="Y72" s="250"/>
      <c r="Z72" s="250"/>
      <c r="AA72" s="250"/>
      <c r="AB72" s="250"/>
      <c r="AC72" s="250"/>
      <c r="AD72" s="250"/>
      <c r="AE72" s="250"/>
    </row>
    <row r="73" ht="15.75" hidden="1" customHeight="1">
      <c r="M73" s="251"/>
      <c r="N73" s="250"/>
      <c r="O73" s="250"/>
      <c r="P73" s="250"/>
      <c r="Q73" s="250"/>
      <c r="R73" s="250"/>
      <c r="S73" s="250"/>
      <c r="T73" s="250"/>
      <c r="U73" s="250"/>
      <c r="V73" s="250"/>
      <c r="W73" s="250"/>
      <c r="X73" s="250"/>
      <c r="Y73" s="250"/>
      <c r="Z73" s="250"/>
      <c r="AA73" s="250"/>
      <c r="AB73" s="250"/>
      <c r="AC73" s="250"/>
      <c r="AD73" s="250"/>
      <c r="AE73" s="250"/>
    </row>
    <row r="74" ht="15.75" hidden="1" customHeight="1">
      <c r="M74" s="251"/>
      <c r="N74" s="250"/>
      <c r="O74" s="250"/>
      <c r="P74" s="250">
        <f>15*21+13*4+9*15+10</f>
        <v>512</v>
      </c>
      <c r="Q74" s="250"/>
      <c r="R74" s="250"/>
      <c r="S74" s="250"/>
      <c r="T74" s="250"/>
      <c r="U74" s="250"/>
      <c r="V74" s="250"/>
      <c r="W74" s="250"/>
      <c r="X74" s="250"/>
      <c r="Y74" s="250"/>
      <c r="Z74" s="250"/>
      <c r="AA74" s="250"/>
      <c r="AB74" s="250"/>
      <c r="AC74" s="250"/>
      <c r="AD74" s="250"/>
      <c r="AE74" s="250"/>
    </row>
    <row r="75" ht="15.75" hidden="1" customHeight="1">
      <c r="M75" s="251"/>
      <c r="N75" s="250"/>
      <c r="O75" s="250"/>
      <c r="P75" s="250"/>
      <c r="Q75" s="250"/>
      <c r="R75" s="250"/>
      <c r="S75" s="250"/>
      <c r="T75" s="250"/>
      <c r="U75" s="250"/>
      <c r="V75" s="250"/>
      <c r="W75" s="250"/>
      <c r="X75" s="250"/>
      <c r="Y75" s="250"/>
      <c r="Z75" s="250"/>
      <c r="AA75" s="250"/>
      <c r="AB75" s="250"/>
      <c r="AC75" s="250"/>
      <c r="AD75" s="250"/>
      <c r="AE75" s="250"/>
    </row>
    <row r="76" ht="15.75" hidden="1" customHeight="1">
      <c r="M76" s="251"/>
      <c r="N76" s="250"/>
      <c r="O76" s="250"/>
      <c r="P76" s="250"/>
      <c r="Q76" s="250"/>
      <c r="R76" s="250"/>
      <c r="S76" s="250"/>
      <c r="T76" s="250"/>
      <c r="U76" s="250"/>
      <c r="V76" s="250"/>
      <c r="W76" s="250"/>
      <c r="X76" s="250"/>
      <c r="Y76" s="250"/>
      <c r="Z76" s="250"/>
      <c r="AA76" s="250"/>
      <c r="AB76" s="250"/>
      <c r="AC76" s="250"/>
      <c r="AD76" s="250"/>
      <c r="AE76" s="250"/>
    </row>
    <row r="77" ht="15.75" hidden="1" customHeight="1">
      <c r="M77" s="251"/>
      <c r="N77" s="250"/>
      <c r="O77" s="250"/>
      <c r="P77" s="250"/>
      <c r="Q77" s="250"/>
      <c r="R77" s="250"/>
      <c r="S77" s="250"/>
      <c r="T77" s="250"/>
      <c r="U77" s="250"/>
      <c r="V77" s="250"/>
      <c r="W77" s="250"/>
      <c r="X77" s="250"/>
      <c r="Y77" s="250"/>
      <c r="Z77" s="250"/>
      <c r="AA77" s="250"/>
      <c r="AB77" s="250"/>
      <c r="AC77" s="250"/>
      <c r="AD77" s="250"/>
      <c r="AE77" s="250"/>
    </row>
    <row r="78" ht="15.75" hidden="1" customHeight="1">
      <c r="M78" s="251"/>
      <c r="N78" s="250"/>
      <c r="O78" s="250"/>
      <c r="P78" s="250"/>
      <c r="Q78" s="250"/>
      <c r="R78" s="250"/>
      <c r="S78" s="250"/>
      <c r="T78" s="250"/>
      <c r="U78" s="250"/>
      <c r="V78" s="250"/>
      <c r="W78" s="250"/>
      <c r="X78" s="250"/>
      <c r="Y78" s="250"/>
      <c r="Z78" s="250"/>
      <c r="AA78" s="250"/>
      <c r="AB78" s="250"/>
      <c r="AC78" s="250"/>
      <c r="AD78" s="250"/>
      <c r="AE78" s="250"/>
    </row>
    <row r="79" ht="15.75" hidden="1" customHeight="1">
      <c r="M79" s="251"/>
      <c r="N79" s="250"/>
      <c r="O79" s="250"/>
      <c r="P79" s="250"/>
      <c r="Q79" s="250"/>
      <c r="R79" s="250"/>
      <c r="S79" s="250"/>
      <c r="T79" s="250"/>
      <c r="U79" s="250"/>
      <c r="V79" s="250"/>
      <c r="W79" s="250"/>
      <c r="X79" s="250"/>
      <c r="Y79" s="250"/>
      <c r="Z79" s="250"/>
      <c r="AA79" s="250"/>
      <c r="AB79" s="250"/>
      <c r="AC79" s="250"/>
      <c r="AD79" s="250"/>
      <c r="AE79" s="250"/>
    </row>
    <row r="80" ht="15.75" hidden="1" customHeight="1">
      <c r="M80" s="251"/>
      <c r="N80" s="250"/>
      <c r="O80" s="250"/>
      <c r="P80" s="250"/>
      <c r="Q80" s="250"/>
      <c r="R80" s="250"/>
      <c r="S80" s="250"/>
      <c r="T80" s="250"/>
      <c r="U80" s="250"/>
      <c r="V80" s="250"/>
      <c r="W80" s="250"/>
      <c r="X80" s="250"/>
      <c r="Y80" s="250"/>
      <c r="Z80" s="250"/>
      <c r="AA80" s="250"/>
      <c r="AB80" s="250"/>
      <c r="AC80" s="250"/>
      <c r="AD80" s="250"/>
      <c r="AE80" s="250"/>
    </row>
    <row r="81" ht="15.75" hidden="1" customHeight="1">
      <c r="M81" s="251"/>
      <c r="N81" s="250"/>
      <c r="O81" s="250"/>
      <c r="P81" s="250"/>
      <c r="Q81" s="250"/>
      <c r="R81" s="250"/>
      <c r="S81" s="250"/>
      <c r="T81" s="250"/>
      <c r="U81" s="250"/>
      <c r="V81" s="250"/>
      <c r="W81" s="250"/>
      <c r="X81" s="250"/>
      <c r="Y81" s="250"/>
      <c r="Z81" s="250"/>
      <c r="AA81" s="250"/>
      <c r="AB81" s="250"/>
      <c r="AC81" s="250"/>
      <c r="AD81" s="250"/>
      <c r="AE81" s="250"/>
    </row>
    <row r="82" ht="9.75" hidden="1" customHeight="1">
      <c r="M82" s="251"/>
      <c r="N82" s="250"/>
      <c r="O82" s="250"/>
      <c r="P82" s="250"/>
      <c r="Q82" s="250"/>
      <c r="R82" s="250"/>
      <c r="S82" s="250"/>
      <c r="T82" s="250"/>
      <c r="U82" s="250"/>
      <c r="V82" s="250"/>
      <c r="W82" s="250"/>
      <c r="X82" s="250"/>
      <c r="Y82" s="250"/>
      <c r="Z82" s="250"/>
      <c r="AA82" s="250"/>
      <c r="AB82" s="250"/>
      <c r="AC82" s="250"/>
      <c r="AD82" s="250"/>
      <c r="AE82" s="250"/>
    </row>
    <row r="83" ht="15.75" hidden="1" customHeight="1">
      <c r="M83" s="251"/>
      <c r="N83" s="250"/>
      <c r="O83" s="250"/>
      <c r="P83" s="250"/>
      <c r="Q83" s="250"/>
      <c r="R83" s="250"/>
      <c r="S83" s="250"/>
      <c r="T83" s="250"/>
      <c r="U83" s="250"/>
      <c r="V83" s="250"/>
      <c r="W83" s="250"/>
      <c r="X83" s="250"/>
      <c r="Y83" s="250"/>
      <c r="Z83" s="250"/>
      <c r="AA83" s="250"/>
      <c r="AB83" s="250"/>
      <c r="AC83" s="250"/>
      <c r="AD83" s="250"/>
      <c r="AE83" s="250"/>
    </row>
    <row r="84" ht="15.75" hidden="1" customHeight="1">
      <c r="M84" s="251"/>
      <c r="N84" s="250"/>
      <c r="O84" s="250"/>
      <c r="P84" s="250"/>
      <c r="Q84" s="250"/>
      <c r="R84" s="250"/>
      <c r="S84" s="250"/>
      <c r="T84" s="250"/>
      <c r="U84" s="250"/>
      <c r="V84" s="250"/>
      <c r="W84" s="250"/>
      <c r="X84" s="250"/>
      <c r="Y84" s="250"/>
      <c r="Z84" s="250"/>
      <c r="AA84" s="250"/>
      <c r="AB84" s="250"/>
      <c r="AC84" s="250"/>
      <c r="AD84" s="250"/>
      <c r="AE84" s="250"/>
    </row>
    <row r="85" ht="15.75" hidden="1" customHeight="1">
      <c r="M85" s="251"/>
      <c r="N85" s="250"/>
      <c r="O85" s="250"/>
      <c r="P85" s="250"/>
      <c r="Q85" s="250"/>
      <c r="R85" s="250"/>
      <c r="S85" s="250"/>
      <c r="T85" s="250"/>
      <c r="U85" s="250"/>
      <c r="V85" s="250"/>
      <c r="W85" s="250"/>
      <c r="X85" s="250"/>
      <c r="Y85" s="250"/>
      <c r="Z85" s="250"/>
      <c r="AA85" s="250"/>
      <c r="AB85" s="250"/>
      <c r="AC85" s="250"/>
      <c r="AD85" s="250"/>
      <c r="AE85" s="250"/>
    </row>
    <row r="86" ht="15.75" hidden="1" customHeight="1">
      <c r="M86" s="251"/>
      <c r="N86" s="250"/>
      <c r="O86" s="250"/>
      <c r="P86" s="250"/>
      <c r="Q86" s="250"/>
      <c r="R86" s="250"/>
      <c r="S86" s="250"/>
      <c r="T86" s="250"/>
      <c r="U86" s="250"/>
      <c r="V86" s="250"/>
      <c r="W86" s="250"/>
      <c r="X86" s="250"/>
      <c r="Y86" s="250"/>
      <c r="Z86" s="250"/>
      <c r="AA86" s="250"/>
      <c r="AB86" s="250"/>
      <c r="AC86" s="250"/>
      <c r="AD86" s="250"/>
      <c r="AE86" s="250"/>
    </row>
    <row r="87" ht="15.75" hidden="1" customHeight="1">
      <c r="M87" s="251"/>
      <c r="N87" s="250"/>
      <c r="O87" s="250"/>
      <c r="P87" s="250"/>
      <c r="Q87" s="250"/>
      <c r="R87" s="250"/>
      <c r="S87" s="250"/>
      <c r="T87" s="250"/>
      <c r="U87" s="250"/>
      <c r="V87" s="250"/>
      <c r="W87" s="250"/>
      <c r="X87" s="250"/>
      <c r="Y87" s="250"/>
      <c r="Z87" s="250"/>
      <c r="AA87" s="250"/>
      <c r="AB87" s="250"/>
      <c r="AC87" s="250"/>
      <c r="AD87" s="250"/>
      <c r="AE87" s="250"/>
    </row>
    <row r="88" ht="10.5" hidden="1" customHeight="1">
      <c r="M88" s="251"/>
      <c r="N88" s="250"/>
      <c r="O88" s="250"/>
      <c r="P88" s="250"/>
      <c r="Q88" s="250"/>
      <c r="R88" s="250"/>
      <c r="S88" s="250"/>
      <c r="T88" s="250"/>
      <c r="U88" s="250"/>
      <c r="V88" s="250"/>
      <c r="W88" s="250"/>
      <c r="X88" s="250"/>
      <c r="Y88" s="250"/>
      <c r="Z88" s="250"/>
      <c r="AA88" s="250"/>
      <c r="AB88" s="250"/>
      <c r="AC88" s="250"/>
      <c r="AD88" s="250"/>
      <c r="AE88" s="250"/>
    </row>
    <row r="89" ht="13.5" hidden="1" customHeight="1">
      <c r="A89" s="244"/>
      <c r="B89" s="244"/>
      <c r="C89" s="252"/>
      <c r="D89" s="252"/>
      <c r="E89" s="252"/>
      <c r="F89" s="252"/>
      <c r="G89" s="244"/>
      <c r="H89" s="244"/>
      <c r="I89" s="244"/>
      <c r="J89" s="252"/>
      <c r="K89" s="252"/>
      <c r="L89" s="244"/>
      <c r="M89" s="244"/>
      <c r="N89" s="245"/>
      <c r="O89" s="245"/>
      <c r="P89" s="245"/>
      <c r="Q89" s="245"/>
      <c r="R89" s="245"/>
      <c r="S89" s="245"/>
      <c r="T89" s="245"/>
      <c r="U89" s="245"/>
      <c r="V89" s="245"/>
      <c r="W89" s="245"/>
      <c r="X89" s="245"/>
      <c r="Y89" s="245"/>
      <c r="Z89" s="245"/>
      <c r="AA89" s="245"/>
      <c r="AB89" s="245"/>
      <c r="AC89" s="245"/>
    </row>
    <row r="90" ht="13.5" customHeight="1">
      <c r="A90" s="253" t="s">
        <v>715</v>
      </c>
      <c r="M90" s="253"/>
      <c r="N90" s="245"/>
      <c r="O90" s="245"/>
      <c r="P90" s="245"/>
      <c r="Q90" s="245"/>
      <c r="R90" s="245"/>
      <c r="S90" s="245"/>
      <c r="T90" s="245"/>
      <c r="U90" s="245"/>
      <c r="V90" s="245"/>
      <c r="W90" s="245"/>
      <c r="X90" s="245"/>
      <c r="Y90" s="245"/>
      <c r="Z90" s="245"/>
      <c r="AA90" s="245"/>
      <c r="AB90" s="245"/>
      <c r="AC90" s="245"/>
    </row>
    <row r="91" ht="13.5" customHeight="1">
      <c r="A91" s="254" t="s">
        <v>716</v>
      </c>
      <c r="B91" s="113"/>
      <c r="C91" s="113"/>
      <c r="D91" s="113"/>
      <c r="E91" s="113"/>
      <c r="F91" s="113"/>
      <c r="G91" s="113"/>
      <c r="H91" s="113"/>
      <c r="I91" s="113"/>
      <c r="J91" s="113"/>
      <c r="K91" s="113"/>
      <c r="L91" s="113"/>
      <c r="M91" s="114"/>
      <c r="N91" s="245"/>
      <c r="O91" s="245"/>
      <c r="P91" s="245"/>
      <c r="Q91" s="245"/>
      <c r="R91" s="245"/>
      <c r="S91" s="245"/>
      <c r="T91" s="245"/>
      <c r="U91" s="245"/>
      <c r="V91" s="245"/>
      <c r="W91" s="245"/>
      <c r="X91" s="245"/>
      <c r="Y91" s="245"/>
      <c r="Z91" s="245"/>
      <c r="AA91" s="245"/>
      <c r="AB91" s="245"/>
      <c r="AC91" s="245"/>
    </row>
    <row r="92" ht="13.5" customHeight="1">
      <c r="A92" s="255"/>
      <c r="B92" s="256" t="s">
        <v>717</v>
      </c>
      <c r="C92" s="256"/>
      <c r="D92" s="256"/>
      <c r="E92" s="257" t="s">
        <v>718</v>
      </c>
      <c r="F92" s="94"/>
      <c r="G92" s="94"/>
      <c r="H92" s="94"/>
      <c r="I92" s="94"/>
      <c r="J92" s="94"/>
      <c r="K92" s="94"/>
      <c r="L92" s="94"/>
      <c r="M92" s="117"/>
      <c r="N92" s="245"/>
      <c r="O92" s="245"/>
      <c r="P92" s="245"/>
      <c r="Q92" s="245"/>
      <c r="R92" s="245"/>
      <c r="S92" s="245"/>
      <c r="T92" s="245"/>
      <c r="U92" s="245"/>
      <c r="V92" s="245"/>
      <c r="W92" s="257" t="s">
        <v>718</v>
      </c>
      <c r="X92" s="94"/>
      <c r="Y92" s="94"/>
      <c r="Z92" s="94"/>
      <c r="AA92" s="94"/>
      <c r="AB92" s="94"/>
      <c r="AC92" s="94"/>
      <c r="AD92" s="94"/>
      <c r="AE92" s="117"/>
    </row>
    <row r="93" ht="13.5" customHeight="1">
      <c r="A93" s="255"/>
      <c r="B93" s="256" t="s">
        <v>719</v>
      </c>
      <c r="C93" s="256"/>
      <c r="D93" s="256"/>
      <c r="E93" s="258" t="s">
        <v>720</v>
      </c>
      <c r="F93" s="120"/>
      <c r="G93" s="120"/>
      <c r="H93" s="120"/>
      <c r="I93" s="120"/>
      <c r="J93" s="120"/>
      <c r="K93" s="120"/>
      <c r="L93" s="120"/>
      <c r="M93" s="121"/>
      <c r="N93" s="245"/>
      <c r="O93" s="245"/>
      <c r="P93" s="245"/>
      <c r="Q93" s="245"/>
      <c r="R93" s="245"/>
      <c r="S93" s="245"/>
      <c r="T93" s="245"/>
      <c r="U93" s="245"/>
      <c r="V93" s="245"/>
      <c r="W93" s="245"/>
      <c r="X93" s="245"/>
      <c r="Y93" s="245"/>
      <c r="Z93" s="245"/>
      <c r="AA93" s="245"/>
      <c r="AB93" s="245"/>
      <c r="AC93" s="245"/>
    </row>
    <row r="94" ht="13.5" customHeight="1">
      <c r="A94" s="255"/>
      <c r="B94" s="256" t="s">
        <v>721</v>
      </c>
      <c r="C94" s="256"/>
      <c r="D94" s="256"/>
      <c r="E94" s="122"/>
      <c r="F94" s="123"/>
      <c r="G94" s="123"/>
      <c r="H94" s="123"/>
      <c r="I94" s="123"/>
      <c r="J94" s="123"/>
      <c r="K94" s="123"/>
      <c r="L94" s="123"/>
      <c r="M94" s="124"/>
      <c r="N94" s="245"/>
      <c r="O94" s="245"/>
      <c r="P94" s="245"/>
      <c r="Q94" s="245"/>
      <c r="R94" s="245"/>
      <c r="S94" s="245"/>
      <c r="T94" s="245"/>
      <c r="U94" s="245"/>
      <c r="V94" s="245"/>
      <c r="W94" s="245"/>
      <c r="X94" s="245"/>
      <c r="Y94" s="245"/>
      <c r="Z94" s="245"/>
      <c r="AA94" s="245"/>
      <c r="AB94" s="245"/>
      <c r="AC94" s="245"/>
    </row>
    <row r="95" ht="13.5" customHeight="1">
      <c r="A95" s="255"/>
      <c r="B95" s="256" t="s">
        <v>722</v>
      </c>
      <c r="C95" s="256"/>
      <c r="D95" s="256"/>
      <c r="E95" s="257" t="s">
        <v>723</v>
      </c>
      <c r="F95" s="94"/>
      <c r="G95" s="94"/>
      <c r="H95" s="94"/>
      <c r="I95" s="94"/>
      <c r="J95" s="94"/>
      <c r="K95" s="94"/>
      <c r="L95" s="94"/>
      <c r="M95" s="117"/>
      <c r="N95" s="245"/>
      <c r="O95" s="245"/>
      <c r="P95" s="245"/>
      <c r="Q95" s="245"/>
      <c r="R95" s="245"/>
      <c r="S95" s="245"/>
      <c r="T95" s="245"/>
      <c r="U95" s="245"/>
      <c r="V95" s="245"/>
      <c r="W95" s="245"/>
      <c r="X95" s="245"/>
      <c r="Y95" s="245"/>
      <c r="Z95" s="245"/>
      <c r="AA95" s="245"/>
      <c r="AB95" s="245"/>
      <c r="AC95" s="245"/>
    </row>
    <row r="96" ht="13.5" customHeight="1">
      <c r="A96" s="255"/>
      <c r="B96" s="256" t="s">
        <v>724</v>
      </c>
      <c r="C96" s="256"/>
      <c r="D96" s="256"/>
      <c r="E96" s="257" t="s">
        <v>725</v>
      </c>
      <c r="F96" s="94"/>
      <c r="G96" s="94"/>
      <c r="H96" s="94"/>
      <c r="I96" s="94"/>
      <c r="J96" s="94"/>
      <c r="K96" s="94"/>
      <c r="L96" s="94"/>
      <c r="M96" s="117"/>
      <c r="N96" s="245"/>
      <c r="O96" s="245"/>
      <c r="P96" s="245"/>
      <c r="Q96" s="245"/>
      <c r="R96" s="245"/>
      <c r="S96" s="245"/>
      <c r="T96" s="245"/>
      <c r="U96" s="245"/>
      <c r="V96" s="245"/>
      <c r="W96" s="245"/>
      <c r="X96" s="245"/>
      <c r="Y96" s="245"/>
      <c r="Z96" s="245"/>
      <c r="AA96" s="245"/>
      <c r="AB96" s="245"/>
      <c r="AC96" s="245"/>
    </row>
    <row r="97" ht="13.5" customHeight="1">
      <c r="A97" s="255"/>
      <c r="B97" s="256" t="s">
        <v>726</v>
      </c>
      <c r="C97" s="256"/>
      <c r="D97" s="256"/>
      <c r="E97" s="257"/>
      <c r="F97" s="94"/>
      <c r="G97" s="94"/>
      <c r="H97" s="94"/>
      <c r="I97" s="94"/>
      <c r="J97" s="94"/>
      <c r="K97" s="94"/>
      <c r="L97" s="94"/>
      <c r="M97" s="117"/>
      <c r="N97" s="245"/>
      <c r="O97" s="245"/>
      <c r="P97" s="245"/>
      <c r="Q97" s="245"/>
      <c r="R97" s="245"/>
      <c r="S97" s="245"/>
      <c r="T97" s="245"/>
      <c r="U97" s="245"/>
      <c r="V97" s="245"/>
      <c r="W97" s="245"/>
      <c r="X97" s="245"/>
      <c r="Y97" s="245"/>
      <c r="Z97" s="245"/>
      <c r="AA97" s="245"/>
      <c r="AB97" s="245"/>
      <c r="AC97" s="245"/>
    </row>
    <row r="98" ht="13.5" customHeight="1">
      <c r="A98" s="255"/>
      <c r="B98" s="256" t="s">
        <v>727</v>
      </c>
      <c r="C98" s="256"/>
      <c r="D98" s="256"/>
      <c r="E98" s="257" t="s">
        <v>728</v>
      </c>
      <c r="F98" s="94"/>
      <c r="G98" s="94"/>
      <c r="H98" s="94"/>
      <c r="I98" s="94"/>
      <c r="J98" s="94"/>
      <c r="K98" s="94"/>
      <c r="L98" s="94"/>
      <c r="M98" s="117"/>
      <c r="N98" s="245"/>
      <c r="O98" s="245"/>
      <c r="P98" s="245"/>
      <c r="Q98" s="245"/>
      <c r="R98" s="245"/>
      <c r="S98" s="245"/>
      <c r="T98" s="245"/>
      <c r="U98" s="245"/>
      <c r="V98" s="245"/>
      <c r="W98" s="245"/>
      <c r="X98" s="245"/>
      <c r="Y98" s="245"/>
      <c r="Z98" s="245"/>
      <c r="AA98" s="245"/>
      <c r="AB98" s="245"/>
      <c r="AC98" s="245"/>
    </row>
    <row r="99" ht="13.5" customHeight="1">
      <c r="A99" s="255"/>
      <c r="B99" s="256" t="s">
        <v>729</v>
      </c>
      <c r="C99" s="256"/>
      <c r="D99" s="256"/>
      <c r="E99" s="257" t="s">
        <v>730</v>
      </c>
      <c r="F99" s="94"/>
      <c r="G99" s="94"/>
      <c r="H99" s="94"/>
      <c r="I99" s="94"/>
      <c r="J99" s="94"/>
      <c r="K99" s="94"/>
      <c r="L99" s="94"/>
      <c r="M99" s="117"/>
      <c r="N99" s="245"/>
      <c r="O99" s="245"/>
      <c r="P99" s="245"/>
      <c r="Q99" s="245"/>
      <c r="R99" s="245"/>
      <c r="S99" s="245"/>
      <c r="T99" s="245"/>
      <c r="U99" s="245"/>
      <c r="V99" s="245"/>
      <c r="W99" s="245"/>
      <c r="X99" s="245"/>
      <c r="Y99" s="245"/>
      <c r="Z99" s="245"/>
      <c r="AA99" s="245"/>
      <c r="AB99" s="245"/>
      <c r="AC99" s="245"/>
    </row>
    <row r="100" ht="13.5" customHeight="1">
      <c r="A100" s="255"/>
      <c r="B100" s="256" t="s">
        <v>731</v>
      </c>
      <c r="C100" s="256"/>
      <c r="D100" s="256"/>
      <c r="E100" s="257" t="s">
        <v>732</v>
      </c>
      <c r="F100" s="94"/>
      <c r="G100" s="94"/>
      <c r="H100" s="94"/>
      <c r="I100" s="94"/>
      <c r="J100" s="94"/>
      <c r="K100" s="94"/>
      <c r="L100" s="94"/>
      <c r="M100" s="117"/>
      <c r="N100" s="245"/>
      <c r="O100" s="245"/>
      <c r="P100" s="245"/>
      <c r="Q100" s="245"/>
      <c r="R100" s="245"/>
      <c r="S100" s="245"/>
      <c r="T100" s="245"/>
      <c r="U100" s="245"/>
      <c r="V100" s="245"/>
      <c r="W100" s="245"/>
      <c r="X100" s="245"/>
      <c r="Y100" s="245"/>
      <c r="Z100" s="245"/>
      <c r="AA100" s="245"/>
      <c r="AB100" s="245"/>
      <c r="AC100" s="245"/>
    </row>
    <row r="101" ht="13.5" customHeight="1">
      <c r="A101" s="255"/>
      <c r="B101" s="256" t="s">
        <v>733</v>
      </c>
      <c r="C101" s="256"/>
      <c r="D101" s="256"/>
      <c r="E101" s="257" t="s">
        <v>734</v>
      </c>
      <c r="F101" s="94"/>
      <c r="G101" s="94"/>
      <c r="H101" s="94"/>
      <c r="I101" s="94"/>
      <c r="J101" s="94"/>
      <c r="K101" s="94"/>
      <c r="L101" s="94"/>
      <c r="M101" s="117"/>
      <c r="N101" s="245"/>
      <c r="O101" s="245"/>
      <c r="P101" s="245"/>
      <c r="Q101" s="245"/>
      <c r="R101" s="245"/>
      <c r="S101" s="245"/>
      <c r="T101" s="245"/>
      <c r="U101" s="245"/>
      <c r="V101" s="245"/>
      <c r="W101" s="245"/>
      <c r="X101" s="245"/>
      <c r="Y101" s="245"/>
      <c r="Z101" s="245"/>
      <c r="AA101" s="245"/>
      <c r="AB101" s="245"/>
      <c r="AC101" s="245"/>
    </row>
    <row r="102" ht="13.5" customHeight="1">
      <c r="A102" s="259"/>
      <c r="B102" s="260" t="s">
        <v>735</v>
      </c>
      <c r="C102" s="260"/>
      <c r="D102" s="260"/>
      <c r="E102" s="261" t="s">
        <v>736</v>
      </c>
      <c r="F102" s="130"/>
      <c r="G102" s="130"/>
      <c r="H102" s="130"/>
      <c r="I102" s="130"/>
      <c r="J102" s="130"/>
      <c r="K102" s="130"/>
      <c r="L102" s="130"/>
      <c r="M102" s="131"/>
      <c r="N102" s="262"/>
      <c r="O102" s="262"/>
      <c r="P102" s="262"/>
      <c r="Q102" s="262"/>
      <c r="R102" s="262"/>
      <c r="S102" s="262"/>
      <c r="T102" s="262"/>
      <c r="U102" s="262"/>
      <c r="V102" s="262"/>
      <c r="W102" s="262"/>
      <c r="X102" s="262"/>
      <c r="Y102" s="262"/>
      <c r="Z102" s="262"/>
      <c r="AA102" s="262"/>
      <c r="AB102" s="262"/>
      <c r="AC102" s="262"/>
    </row>
    <row r="103" ht="13.5" customHeight="1">
      <c r="A103" s="263"/>
      <c r="B103" s="263"/>
      <c r="C103" s="264"/>
      <c r="D103" s="264"/>
      <c r="E103" s="265"/>
      <c r="F103" s="265"/>
      <c r="G103" s="263"/>
      <c r="H103" s="263"/>
      <c r="I103" s="263"/>
      <c r="J103" s="266"/>
      <c r="K103" s="266"/>
      <c r="L103" s="263"/>
      <c r="M103" s="263"/>
      <c r="N103" s="267"/>
      <c r="O103" s="267"/>
      <c r="P103" s="267"/>
      <c r="Q103" s="267"/>
      <c r="R103" s="267"/>
      <c r="S103" s="267"/>
      <c r="T103" s="267"/>
      <c r="U103" s="267"/>
      <c r="V103" s="267"/>
      <c r="W103" s="267"/>
      <c r="X103" s="267"/>
      <c r="Y103" s="267"/>
      <c r="Z103" s="267"/>
      <c r="AA103" s="267"/>
      <c r="AB103" s="267"/>
      <c r="AC103" s="267"/>
    </row>
    <row r="104" ht="13.5" customHeight="1">
      <c r="A104" s="263"/>
      <c r="B104" s="263"/>
      <c r="C104" s="264"/>
      <c r="D104" s="264"/>
      <c r="E104" s="265"/>
      <c r="F104" s="265"/>
      <c r="G104" s="263"/>
      <c r="H104" s="263"/>
      <c r="I104" s="263"/>
      <c r="J104" s="266"/>
      <c r="K104" s="266"/>
      <c r="L104" s="263"/>
      <c r="M104" s="263"/>
      <c r="N104" s="267"/>
      <c r="O104" s="267"/>
      <c r="P104" s="267"/>
      <c r="Q104" s="267"/>
      <c r="R104" s="267"/>
      <c r="S104" s="267"/>
      <c r="T104" s="267"/>
      <c r="U104" s="267"/>
      <c r="V104" s="267"/>
      <c r="W104" s="267"/>
      <c r="X104" s="267"/>
      <c r="Y104" s="267"/>
      <c r="Z104" s="267"/>
      <c r="AA104" s="267"/>
      <c r="AB104" s="267"/>
      <c r="AC104" s="267"/>
    </row>
    <row r="105" ht="13.5" customHeight="1">
      <c r="A105" s="263"/>
      <c r="B105" s="263"/>
      <c r="C105" s="264"/>
      <c r="D105" s="264"/>
      <c r="E105" s="265"/>
      <c r="F105" s="265"/>
      <c r="G105" s="263"/>
      <c r="H105" s="263"/>
      <c r="I105" s="263"/>
      <c r="J105" s="266"/>
      <c r="K105" s="266"/>
      <c r="L105" s="263"/>
      <c r="M105" s="263"/>
      <c r="N105" s="267"/>
      <c r="O105" s="267"/>
      <c r="P105" s="267"/>
      <c r="Q105" s="267"/>
      <c r="R105" s="267"/>
      <c r="S105" s="267"/>
      <c r="T105" s="267"/>
      <c r="U105" s="267"/>
      <c r="V105" s="267"/>
      <c r="W105" s="267"/>
      <c r="X105" s="267"/>
      <c r="Y105" s="267"/>
      <c r="Z105" s="267"/>
      <c r="AA105" s="267"/>
      <c r="AB105" s="267"/>
      <c r="AC105" s="267"/>
    </row>
    <row r="106" ht="13.5" customHeight="1">
      <c r="A106" s="263"/>
      <c r="B106" s="263"/>
      <c r="C106" s="264"/>
      <c r="D106" s="264"/>
      <c r="E106" s="265"/>
      <c r="F106" s="265"/>
      <c r="G106" s="263"/>
      <c r="H106" s="263"/>
      <c r="I106" s="263"/>
      <c r="J106" s="266"/>
      <c r="K106" s="266"/>
      <c r="L106" s="263"/>
      <c r="M106" s="263"/>
      <c r="N106" s="267"/>
      <c r="O106" s="267"/>
      <c r="P106" s="267"/>
      <c r="Q106" s="267"/>
      <c r="R106" s="267"/>
      <c r="S106" s="267"/>
      <c r="T106" s="267"/>
      <c r="U106" s="267"/>
      <c r="V106" s="267"/>
      <c r="W106" s="267"/>
      <c r="X106" s="267"/>
      <c r="Y106" s="267"/>
      <c r="Z106" s="267"/>
      <c r="AA106" s="267"/>
      <c r="AB106" s="267"/>
      <c r="AC106" s="267"/>
    </row>
    <row r="107" ht="13.5" customHeight="1">
      <c r="A107" s="263"/>
      <c r="B107" s="263"/>
      <c r="C107" s="264"/>
      <c r="D107" s="264"/>
      <c r="E107" s="265"/>
      <c r="F107" s="265"/>
      <c r="G107" s="263"/>
      <c r="H107" s="263"/>
      <c r="I107" s="263"/>
      <c r="J107" s="266"/>
      <c r="K107" s="266"/>
      <c r="L107" s="263"/>
      <c r="M107" s="263"/>
      <c r="N107" s="267"/>
      <c r="O107" s="267"/>
      <c r="P107" s="267"/>
      <c r="Q107" s="267"/>
      <c r="R107" s="267"/>
      <c r="S107" s="267"/>
      <c r="T107" s="267"/>
      <c r="U107" s="267"/>
      <c r="V107" s="267"/>
      <c r="W107" s="267"/>
      <c r="X107" s="267"/>
      <c r="Y107" s="267"/>
      <c r="Z107" s="267"/>
      <c r="AA107" s="267"/>
      <c r="AB107" s="267"/>
      <c r="AC107" s="267"/>
    </row>
    <row r="108" ht="13.5" customHeight="1">
      <c r="A108" s="263"/>
      <c r="B108" s="263"/>
      <c r="C108" s="264"/>
      <c r="D108" s="264"/>
      <c r="E108" s="265"/>
      <c r="F108" s="265"/>
      <c r="G108" s="263"/>
      <c r="H108" s="263"/>
      <c r="I108" s="263"/>
      <c r="J108" s="266"/>
      <c r="K108" s="266"/>
      <c r="L108" s="263"/>
      <c r="M108" s="263"/>
      <c r="N108" s="267"/>
      <c r="O108" s="267"/>
      <c r="P108" s="267"/>
      <c r="Q108" s="267"/>
      <c r="R108" s="267"/>
      <c r="S108" s="267"/>
      <c r="T108" s="267"/>
      <c r="U108" s="267"/>
      <c r="V108" s="267"/>
      <c r="W108" s="267"/>
      <c r="X108" s="267"/>
      <c r="Y108" s="267"/>
      <c r="Z108" s="267"/>
      <c r="AA108" s="267"/>
      <c r="AB108" s="267"/>
      <c r="AC108" s="267"/>
    </row>
    <row r="109" ht="13.5" customHeight="1">
      <c r="A109" s="263"/>
      <c r="B109" s="263"/>
      <c r="C109" s="264"/>
      <c r="D109" s="264"/>
      <c r="E109" s="265"/>
      <c r="F109" s="265"/>
      <c r="G109" s="263"/>
      <c r="H109" s="263"/>
      <c r="I109" s="263"/>
      <c r="J109" s="266"/>
      <c r="K109" s="266"/>
      <c r="L109" s="263"/>
      <c r="M109" s="263"/>
      <c r="N109" s="267"/>
      <c r="O109" s="267"/>
      <c r="P109" s="267"/>
      <c r="Q109" s="267"/>
      <c r="R109" s="267"/>
      <c r="S109" s="267"/>
      <c r="T109" s="267"/>
      <c r="U109" s="267"/>
      <c r="V109" s="267"/>
      <c r="W109" s="267"/>
      <c r="X109" s="267"/>
      <c r="Y109" s="267"/>
      <c r="Z109" s="267"/>
      <c r="AA109" s="267"/>
      <c r="AB109" s="267"/>
      <c r="AC109" s="267"/>
    </row>
    <row r="110" ht="13.5" customHeight="1">
      <c r="A110" s="263"/>
      <c r="B110" s="263"/>
      <c r="C110" s="264"/>
      <c r="D110" s="264"/>
      <c r="E110" s="265"/>
      <c r="F110" s="265"/>
      <c r="G110" s="263"/>
      <c r="H110" s="263"/>
      <c r="I110" s="263"/>
      <c r="J110" s="266"/>
      <c r="K110" s="266"/>
      <c r="L110" s="263"/>
      <c r="M110" s="263"/>
      <c r="N110" s="267"/>
      <c r="O110" s="267"/>
      <c r="P110" s="267"/>
      <c r="Q110" s="267"/>
      <c r="R110" s="267"/>
      <c r="S110" s="267"/>
      <c r="T110" s="267"/>
      <c r="U110" s="267"/>
      <c r="V110" s="267"/>
      <c r="W110" s="267"/>
      <c r="X110" s="267"/>
      <c r="Y110" s="267"/>
      <c r="Z110" s="267"/>
      <c r="AA110" s="267"/>
      <c r="AB110" s="267"/>
      <c r="AC110" s="267"/>
    </row>
    <row r="111" ht="13.5" customHeight="1">
      <c r="A111" s="263"/>
      <c r="B111" s="263"/>
      <c r="C111" s="264"/>
      <c r="D111" s="264"/>
      <c r="E111" s="265"/>
      <c r="F111" s="265"/>
      <c r="G111" s="263"/>
      <c r="H111" s="263"/>
      <c r="I111" s="263"/>
      <c r="J111" s="266"/>
      <c r="K111" s="266"/>
      <c r="L111" s="263"/>
      <c r="M111" s="263"/>
      <c r="N111" s="267"/>
      <c r="O111" s="267"/>
      <c r="P111" s="267"/>
      <c r="Q111" s="267"/>
      <c r="R111" s="267"/>
      <c r="S111" s="267"/>
      <c r="T111" s="267"/>
      <c r="U111" s="267"/>
      <c r="V111" s="267"/>
      <c r="W111" s="267"/>
      <c r="X111" s="267"/>
      <c r="Y111" s="267"/>
      <c r="Z111" s="267"/>
      <c r="AA111" s="267"/>
      <c r="AB111" s="267"/>
      <c r="AC111" s="267"/>
    </row>
    <row r="112" ht="13.5" customHeight="1">
      <c r="A112" s="263"/>
      <c r="B112" s="263"/>
      <c r="C112" s="264"/>
      <c r="D112" s="264"/>
      <c r="E112" s="265"/>
      <c r="F112" s="265"/>
      <c r="G112" s="263"/>
      <c r="H112" s="263"/>
      <c r="I112" s="263"/>
      <c r="J112" s="266"/>
      <c r="K112" s="266"/>
      <c r="L112" s="263"/>
      <c r="M112" s="263"/>
      <c r="N112" s="267"/>
      <c r="O112" s="267"/>
      <c r="P112" s="267"/>
      <c r="Q112" s="267"/>
      <c r="R112" s="267"/>
      <c r="S112" s="267"/>
      <c r="T112" s="267"/>
      <c r="U112" s="267"/>
      <c r="V112" s="267"/>
      <c r="W112" s="267"/>
      <c r="X112" s="267"/>
      <c r="Y112" s="267"/>
      <c r="Z112" s="267"/>
      <c r="AA112" s="267"/>
      <c r="AB112" s="267"/>
      <c r="AC112" s="267"/>
    </row>
    <row r="113" ht="13.5" customHeight="1">
      <c r="A113" s="263"/>
      <c r="B113" s="263"/>
      <c r="C113" s="264"/>
      <c r="D113" s="264"/>
      <c r="E113" s="265"/>
      <c r="F113" s="265"/>
      <c r="G113" s="263"/>
      <c r="H113" s="263"/>
      <c r="I113" s="263"/>
      <c r="J113" s="266"/>
      <c r="K113" s="266"/>
      <c r="L113" s="263"/>
      <c r="M113" s="263"/>
      <c r="N113" s="267"/>
      <c r="O113" s="267"/>
      <c r="P113" s="267"/>
      <c r="Q113" s="267"/>
      <c r="R113" s="267"/>
      <c r="S113" s="267"/>
      <c r="T113" s="267"/>
      <c r="U113" s="267"/>
      <c r="V113" s="267"/>
      <c r="W113" s="267"/>
      <c r="X113" s="267"/>
      <c r="Y113" s="267"/>
      <c r="Z113" s="267"/>
      <c r="AA113" s="267"/>
      <c r="AB113" s="267"/>
      <c r="AC113" s="267"/>
    </row>
    <row r="114" ht="13.5" customHeight="1">
      <c r="A114" s="263"/>
      <c r="B114" s="263"/>
      <c r="C114" s="264"/>
      <c r="D114" s="264"/>
      <c r="E114" s="265"/>
      <c r="F114" s="265"/>
      <c r="G114" s="263"/>
      <c r="H114" s="263"/>
      <c r="I114" s="263"/>
      <c r="J114" s="266"/>
      <c r="K114" s="266"/>
      <c r="L114" s="263"/>
      <c r="M114" s="263"/>
      <c r="N114" s="267"/>
      <c r="O114" s="267"/>
      <c r="P114" s="267"/>
      <c r="Q114" s="267"/>
      <c r="R114" s="267"/>
      <c r="S114" s="267"/>
      <c r="T114" s="267"/>
      <c r="U114" s="267"/>
      <c r="V114" s="267"/>
      <c r="W114" s="267"/>
      <c r="X114" s="267"/>
      <c r="Y114" s="267"/>
      <c r="Z114" s="267"/>
      <c r="AA114" s="267"/>
      <c r="AB114" s="267"/>
      <c r="AC114" s="267"/>
    </row>
    <row r="115" ht="13.5" customHeight="1">
      <c r="A115" s="263"/>
      <c r="B115" s="263"/>
      <c r="C115" s="264"/>
      <c r="D115" s="264"/>
      <c r="E115" s="265"/>
      <c r="F115" s="265"/>
      <c r="G115" s="263"/>
      <c r="H115" s="263"/>
      <c r="I115" s="263"/>
      <c r="J115" s="266"/>
      <c r="K115" s="266"/>
      <c r="L115" s="263"/>
      <c r="M115" s="263"/>
      <c r="N115" s="267"/>
      <c r="O115" s="267"/>
      <c r="P115" s="267"/>
      <c r="Q115" s="267"/>
      <c r="R115" s="267"/>
      <c r="S115" s="267"/>
      <c r="T115" s="267"/>
      <c r="U115" s="267"/>
      <c r="V115" s="267"/>
      <c r="W115" s="267"/>
      <c r="X115" s="267"/>
      <c r="Y115" s="267"/>
      <c r="Z115" s="267"/>
      <c r="AA115" s="267"/>
      <c r="AB115" s="267"/>
      <c r="AC115" s="267"/>
    </row>
    <row r="116" ht="13.5" customHeight="1">
      <c r="A116" s="263"/>
      <c r="B116" s="263"/>
      <c r="C116" s="264"/>
      <c r="D116" s="264"/>
      <c r="E116" s="265"/>
      <c r="F116" s="265"/>
      <c r="G116" s="263"/>
      <c r="H116" s="263"/>
      <c r="I116" s="263"/>
      <c r="J116" s="266"/>
      <c r="K116" s="266"/>
      <c r="L116" s="263"/>
      <c r="M116" s="263"/>
      <c r="N116" s="267"/>
      <c r="O116" s="267"/>
      <c r="P116" s="267"/>
      <c r="Q116" s="267"/>
      <c r="R116" s="267"/>
      <c r="S116" s="267"/>
      <c r="T116" s="267"/>
      <c r="U116" s="267"/>
      <c r="V116" s="267"/>
      <c r="W116" s="267"/>
      <c r="X116" s="267"/>
      <c r="Y116" s="267"/>
      <c r="Z116" s="267"/>
      <c r="AA116" s="267"/>
      <c r="AB116" s="267"/>
      <c r="AC116" s="267"/>
    </row>
    <row r="117" ht="13.5" customHeight="1">
      <c r="A117" s="263"/>
      <c r="B117" s="263"/>
      <c r="C117" s="264"/>
      <c r="D117" s="264"/>
      <c r="E117" s="265"/>
      <c r="F117" s="265"/>
      <c r="G117" s="263"/>
      <c r="H117" s="263"/>
      <c r="I117" s="263"/>
      <c r="J117" s="266"/>
      <c r="K117" s="266"/>
      <c r="L117" s="263"/>
      <c r="M117" s="263"/>
      <c r="N117" s="267"/>
      <c r="O117" s="267"/>
      <c r="P117" s="267"/>
      <c r="Q117" s="267"/>
      <c r="R117" s="267"/>
      <c r="S117" s="267"/>
      <c r="T117" s="267"/>
      <c r="U117" s="267"/>
      <c r="V117" s="267"/>
      <c r="W117" s="267"/>
      <c r="X117" s="267"/>
      <c r="Y117" s="267"/>
      <c r="Z117" s="267"/>
      <c r="AA117" s="267"/>
      <c r="AB117" s="267"/>
      <c r="AC117" s="267"/>
    </row>
    <row r="118" ht="13.5" customHeight="1">
      <c r="A118" s="268" t="s">
        <v>28</v>
      </c>
      <c r="B118" s="269" t="s">
        <v>222</v>
      </c>
      <c r="C118" s="270" t="s">
        <v>737</v>
      </c>
      <c r="D118" s="270" t="s">
        <v>674</v>
      </c>
      <c r="E118" s="270" t="s">
        <v>675</v>
      </c>
      <c r="F118" s="270" t="s">
        <v>676</v>
      </c>
      <c r="G118" s="269" t="s">
        <v>737</v>
      </c>
      <c r="H118" s="269" t="s">
        <v>674</v>
      </c>
      <c r="I118" s="269" t="s">
        <v>676</v>
      </c>
      <c r="J118" s="270" t="s">
        <v>34</v>
      </c>
      <c r="K118" s="270" t="s">
        <v>678</v>
      </c>
      <c r="L118" s="269" t="s">
        <v>679</v>
      </c>
      <c r="M118" s="271" t="s">
        <v>824</v>
      </c>
      <c r="N118" s="267"/>
      <c r="O118" s="267" t="s">
        <v>680</v>
      </c>
      <c r="P118" s="267"/>
      <c r="Q118" s="267"/>
      <c r="R118" s="267"/>
      <c r="S118" s="267"/>
      <c r="T118" s="267"/>
      <c r="U118" s="267"/>
      <c r="V118" s="267"/>
      <c r="W118" s="267"/>
      <c r="X118" s="267"/>
      <c r="Y118" s="267"/>
      <c r="Z118" s="267"/>
      <c r="AA118" s="267"/>
      <c r="AB118" s="267"/>
      <c r="AC118" s="267"/>
    </row>
    <row r="119" ht="13.5" customHeight="1">
      <c r="A119" s="53"/>
      <c r="B119" s="54"/>
      <c r="C119" s="54"/>
      <c r="D119" s="54"/>
      <c r="E119" s="54"/>
      <c r="F119" s="54"/>
      <c r="G119" s="54"/>
      <c r="H119" s="54"/>
      <c r="I119" s="54"/>
      <c r="J119" s="54"/>
      <c r="K119" s="54"/>
      <c r="L119" s="54"/>
      <c r="M119" s="272"/>
      <c r="N119" s="267"/>
      <c r="O119" s="267"/>
      <c r="P119" s="267"/>
      <c r="Q119" s="267"/>
      <c r="R119" s="267"/>
      <c r="S119" s="267"/>
      <c r="T119" s="267"/>
      <c r="U119" s="267"/>
      <c r="V119" s="267"/>
      <c r="W119" s="267"/>
      <c r="X119" s="267"/>
      <c r="Y119" s="267"/>
      <c r="Z119" s="267"/>
      <c r="AA119" s="267"/>
      <c r="AB119" s="267"/>
      <c r="AC119" s="267"/>
    </row>
    <row r="120" ht="13.5" customHeight="1">
      <c r="A120" s="273"/>
      <c r="B120" s="274" t="s">
        <v>681</v>
      </c>
      <c r="C120" s="275"/>
      <c r="D120" s="275"/>
      <c r="E120" s="275"/>
      <c r="F120" s="275"/>
      <c r="G120" s="276"/>
      <c r="H120" s="276"/>
      <c r="I120" s="276"/>
      <c r="J120" s="275"/>
      <c r="K120" s="275"/>
      <c r="L120" s="277"/>
      <c r="M120" s="278"/>
      <c r="N120" s="267"/>
      <c r="O120" s="267"/>
      <c r="P120" s="267"/>
      <c r="Q120" s="279"/>
      <c r="R120" s="280"/>
      <c r="S120" s="280"/>
      <c r="T120" s="280"/>
      <c r="U120" s="280"/>
      <c r="V120" s="280"/>
      <c r="W120" s="280"/>
      <c r="X120" s="280"/>
      <c r="Y120" s="280"/>
      <c r="Z120" s="280"/>
      <c r="AA120" s="280"/>
      <c r="AB120" s="280"/>
      <c r="AC120" s="280"/>
      <c r="AD120" s="280"/>
      <c r="AE120" s="280"/>
    </row>
    <row r="121" ht="13.5" customHeight="1">
      <c r="A121" s="281"/>
      <c r="B121" s="274" t="s">
        <v>825</v>
      </c>
      <c r="C121" s="282"/>
      <c r="D121" s="282"/>
      <c r="E121" s="282"/>
      <c r="F121" s="282"/>
      <c r="G121" s="274"/>
      <c r="H121" s="274"/>
      <c r="I121" s="274"/>
      <c r="J121" s="282"/>
      <c r="K121" s="282"/>
      <c r="L121" s="283"/>
      <c r="M121" s="284"/>
      <c r="N121" s="279"/>
      <c r="O121" s="279"/>
      <c r="P121" s="279"/>
      <c r="Q121" s="279"/>
      <c r="R121" s="279"/>
      <c r="S121" s="279"/>
      <c r="T121" s="279"/>
      <c r="U121" s="279"/>
      <c r="V121" s="279"/>
      <c r="W121" s="279"/>
      <c r="X121" s="279"/>
      <c r="Y121" s="279"/>
      <c r="Z121" s="279"/>
      <c r="AA121" s="279"/>
      <c r="AB121" s="279"/>
      <c r="AC121" s="279"/>
      <c r="AD121" s="279"/>
      <c r="AE121" s="279"/>
    </row>
    <row r="122" ht="13.5" customHeight="1">
      <c r="A122" s="285"/>
      <c r="B122" s="286" t="s">
        <v>826</v>
      </c>
      <c r="C122" s="287">
        <v>4.0</v>
      </c>
      <c r="D122" s="287">
        <v>1.5</v>
      </c>
      <c r="E122" s="288">
        <f>C122*D122</f>
        <v>6</v>
      </c>
      <c r="F122" s="287" t="s">
        <v>683</v>
      </c>
      <c r="G122" s="289">
        <f t="shared" ref="G122:H122" si="1">C122*300</f>
        <v>1200</v>
      </c>
      <c r="H122" s="289">
        <f t="shared" si="1"/>
        <v>450</v>
      </c>
      <c r="I122" s="289" t="s">
        <v>684</v>
      </c>
      <c r="J122" s="290">
        <v>3808.0</v>
      </c>
      <c r="K122" s="290">
        <v>1.0</v>
      </c>
      <c r="L122" s="291">
        <f>K122*J122*E122</f>
        <v>22848</v>
      </c>
      <c r="M122" s="292">
        <f>L122-L122*0.4</f>
        <v>13708.8</v>
      </c>
      <c r="N122" s="279"/>
      <c r="O122" s="279"/>
      <c r="P122" s="279"/>
      <c r="Q122" s="279"/>
      <c r="R122" s="279"/>
      <c r="S122" s="279"/>
      <c r="T122" s="279"/>
      <c r="U122" s="279"/>
      <c r="V122" s="279"/>
      <c r="W122" s="279"/>
      <c r="X122" s="279"/>
      <c r="Y122" s="279"/>
      <c r="Z122" s="279"/>
      <c r="AA122" s="279"/>
      <c r="AB122" s="279"/>
      <c r="AC122" s="279"/>
      <c r="AD122" s="293"/>
      <c r="AE122" s="293"/>
      <c r="AF122" s="293"/>
      <c r="AG122" s="293"/>
      <c r="AH122" s="293"/>
      <c r="AI122" s="293"/>
      <c r="AJ122" s="293"/>
      <c r="AK122" s="293"/>
      <c r="AL122" s="293"/>
      <c r="AM122" s="293"/>
      <c r="AN122" s="293"/>
      <c r="AO122" s="293"/>
      <c r="AP122" s="293"/>
      <c r="AQ122" s="293"/>
    </row>
    <row r="123" ht="13.5" customHeight="1">
      <c r="A123" s="281"/>
      <c r="B123" s="274" t="s">
        <v>827</v>
      </c>
      <c r="C123" s="282"/>
      <c r="D123" s="282"/>
      <c r="E123" s="282"/>
      <c r="F123" s="282"/>
      <c r="G123" s="274"/>
      <c r="H123" s="274"/>
      <c r="I123" s="274"/>
      <c r="J123" s="282"/>
      <c r="K123" s="282"/>
      <c r="L123" s="283"/>
      <c r="M123" s="284"/>
      <c r="N123" s="279"/>
      <c r="O123" s="279"/>
      <c r="P123" s="279"/>
      <c r="Q123" s="279"/>
      <c r="R123" s="279"/>
      <c r="S123" s="279"/>
      <c r="T123" s="279"/>
      <c r="U123" s="279"/>
      <c r="V123" s="279"/>
      <c r="W123" s="279"/>
      <c r="X123" s="279"/>
      <c r="Y123" s="279"/>
      <c r="Z123" s="279"/>
      <c r="AA123" s="279"/>
      <c r="AB123" s="279"/>
      <c r="AC123" s="279"/>
      <c r="AD123" s="279"/>
      <c r="AE123" s="279"/>
      <c r="AF123" s="293"/>
      <c r="AG123" s="293"/>
      <c r="AH123" s="293"/>
      <c r="AI123" s="293"/>
      <c r="AJ123" s="293"/>
      <c r="AK123" s="293"/>
      <c r="AL123" s="293"/>
      <c r="AM123" s="293"/>
      <c r="AN123" s="293"/>
      <c r="AO123" s="293"/>
      <c r="AP123" s="293"/>
      <c r="AQ123" s="293"/>
    </row>
    <row r="124" ht="13.5" customHeight="1">
      <c r="A124" s="285"/>
      <c r="B124" s="286" t="s">
        <v>828</v>
      </c>
      <c r="C124" s="287">
        <v>3.25</v>
      </c>
      <c r="D124" s="287">
        <v>7.0</v>
      </c>
      <c r="E124" s="288">
        <f>C124*D124</f>
        <v>22.75</v>
      </c>
      <c r="F124" s="287" t="s">
        <v>683</v>
      </c>
      <c r="G124" s="289">
        <f t="shared" ref="G124:H124" si="2">C124*300</f>
        <v>975</v>
      </c>
      <c r="H124" s="289">
        <f t="shared" si="2"/>
        <v>2100</v>
      </c>
      <c r="I124" s="289" t="s">
        <v>684</v>
      </c>
      <c r="J124" s="290">
        <v>6748.0</v>
      </c>
      <c r="K124" s="290">
        <v>1.0</v>
      </c>
      <c r="L124" s="291">
        <f>K124*J124*E124</f>
        <v>153517</v>
      </c>
      <c r="M124" s="292">
        <f>L124-L124*0.4</f>
        <v>92110.2</v>
      </c>
      <c r="N124" s="279"/>
      <c r="O124" s="279"/>
      <c r="P124" s="279"/>
      <c r="Q124" s="279"/>
      <c r="R124" s="279"/>
      <c r="S124" s="279"/>
      <c r="T124" s="279"/>
      <c r="U124" s="279"/>
      <c r="V124" s="279"/>
      <c r="W124" s="279"/>
      <c r="X124" s="279"/>
      <c r="Y124" s="279"/>
      <c r="Z124" s="279"/>
      <c r="AA124" s="279"/>
      <c r="AB124" s="279"/>
      <c r="AC124" s="279"/>
      <c r="AD124" s="293"/>
      <c r="AE124" s="293"/>
      <c r="AF124" s="293"/>
      <c r="AG124" s="293"/>
      <c r="AH124" s="293"/>
      <c r="AI124" s="293"/>
      <c r="AJ124" s="293"/>
      <c r="AK124" s="293"/>
      <c r="AL124" s="293"/>
      <c r="AM124" s="293"/>
      <c r="AN124" s="293"/>
      <c r="AO124" s="293"/>
      <c r="AP124" s="293"/>
      <c r="AQ124" s="293"/>
    </row>
    <row r="125" ht="13.5" customHeight="1">
      <c r="A125" s="281"/>
      <c r="B125" s="274" t="s">
        <v>829</v>
      </c>
      <c r="C125" s="282"/>
      <c r="D125" s="282"/>
      <c r="E125" s="282"/>
      <c r="F125" s="282"/>
      <c r="G125" s="274"/>
      <c r="H125" s="274"/>
      <c r="I125" s="274"/>
      <c r="J125" s="282"/>
      <c r="K125" s="282"/>
      <c r="L125" s="283"/>
      <c r="M125" s="284"/>
      <c r="N125" s="279"/>
      <c r="O125" s="279"/>
      <c r="P125" s="279"/>
      <c r="Q125" s="279"/>
      <c r="R125" s="279"/>
      <c r="S125" s="279"/>
      <c r="T125" s="279"/>
      <c r="U125" s="279"/>
      <c r="V125" s="279"/>
      <c r="W125" s="279"/>
      <c r="X125" s="279"/>
      <c r="Y125" s="279"/>
      <c r="Z125" s="279"/>
      <c r="AA125" s="279"/>
      <c r="AB125" s="279"/>
      <c r="AC125" s="279"/>
      <c r="AD125" s="279"/>
      <c r="AE125" s="279"/>
      <c r="AF125" s="293"/>
      <c r="AG125" s="293"/>
      <c r="AH125" s="293"/>
      <c r="AI125" s="293"/>
      <c r="AJ125" s="293"/>
      <c r="AK125" s="293"/>
      <c r="AL125" s="293"/>
      <c r="AM125" s="293"/>
      <c r="AN125" s="293"/>
      <c r="AO125" s="293"/>
      <c r="AP125" s="293"/>
      <c r="AQ125" s="293"/>
    </row>
    <row r="126" ht="13.5" customHeight="1">
      <c r="A126" s="294"/>
      <c r="B126" s="295" t="s">
        <v>830</v>
      </c>
      <c r="C126" s="287">
        <v>13.75</v>
      </c>
      <c r="D126" s="287">
        <v>5.75</v>
      </c>
      <c r="E126" s="288">
        <f t="shared" ref="E126:E128" si="4">C126*D126</f>
        <v>79.0625</v>
      </c>
      <c r="F126" s="287" t="s">
        <v>683</v>
      </c>
      <c r="G126" s="289">
        <f t="shared" ref="G126:H126" si="3">C126*300</f>
        <v>4125</v>
      </c>
      <c r="H126" s="289">
        <f t="shared" si="3"/>
        <v>1725</v>
      </c>
      <c r="I126" s="296" t="s">
        <v>684</v>
      </c>
      <c r="J126" s="297">
        <f>1547+357</f>
        <v>1904</v>
      </c>
      <c r="K126" s="297">
        <v>1.0</v>
      </c>
      <c r="L126" s="291">
        <f t="shared" ref="L126:L128" si="6">K126*J126*E126</f>
        <v>150535</v>
      </c>
      <c r="M126" s="292">
        <f t="shared" ref="M126:M128" si="7">L126-L126*0.4</f>
        <v>90321</v>
      </c>
      <c r="N126" s="267"/>
      <c r="O126" s="267"/>
      <c r="P126" s="267"/>
      <c r="Q126" s="267"/>
      <c r="R126" s="267"/>
      <c r="S126" s="267"/>
      <c r="T126" s="279"/>
      <c r="U126" s="279"/>
      <c r="V126" s="279"/>
      <c r="W126" s="279"/>
      <c r="X126" s="279"/>
      <c r="Y126" s="279"/>
      <c r="Z126" s="279"/>
      <c r="AA126" s="279"/>
      <c r="AB126" s="279"/>
      <c r="AC126" s="279"/>
      <c r="AD126" s="293"/>
      <c r="AE126" s="293"/>
      <c r="AF126" s="293"/>
      <c r="AG126" s="293"/>
      <c r="AH126" s="293"/>
      <c r="AI126" s="293"/>
      <c r="AJ126" s="293"/>
      <c r="AK126" s="293"/>
      <c r="AL126" s="293"/>
      <c r="AM126" s="293"/>
      <c r="AN126" s="293"/>
      <c r="AO126" s="293"/>
      <c r="AP126" s="293"/>
      <c r="AQ126" s="293"/>
    </row>
    <row r="127" ht="13.5" customHeight="1">
      <c r="A127" s="285"/>
      <c r="B127" s="286" t="s">
        <v>831</v>
      </c>
      <c r="C127" s="287">
        <v>13.75</v>
      </c>
      <c r="D127" s="287">
        <v>1.5</v>
      </c>
      <c r="E127" s="288">
        <f t="shared" si="4"/>
        <v>20.625</v>
      </c>
      <c r="F127" s="287" t="s">
        <v>683</v>
      </c>
      <c r="G127" s="289">
        <f t="shared" ref="G127:H127" si="5">C127*300</f>
        <v>4125</v>
      </c>
      <c r="H127" s="289">
        <f t="shared" si="5"/>
        <v>450</v>
      </c>
      <c r="I127" s="289" t="s">
        <v>684</v>
      </c>
      <c r="J127" s="290">
        <v>3843.0</v>
      </c>
      <c r="K127" s="290">
        <v>1.0</v>
      </c>
      <c r="L127" s="291">
        <f t="shared" si="6"/>
        <v>79261.875</v>
      </c>
      <c r="M127" s="292">
        <f t="shared" si="7"/>
        <v>47557.125</v>
      </c>
      <c r="N127" s="279"/>
      <c r="O127" s="279"/>
      <c r="P127" s="279"/>
      <c r="Q127" s="279"/>
      <c r="R127" s="279"/>
      <c r="S127" s="279"/>
      <c r="T127" s="279"/>
      <c r="U127" s="279"/>
      <c r="V127" s="279"/>
      <c r="W127" s="279"/>
      <c r="X127" s="279"/>
      <c r="Y127" s="279"/>
      <c r="Z127" s="279"/>
      <c r="AA127" s="279"/>
      <c r="AB127" s="279"/>
      <c r="AC127" s="279"/>
      <c r="AD127" s="293"/>
      <c r="AE127" s="293"/>
      <c r="AF127" s="293"/>
      <c r="AG127" s="293"/>
      <c r="AH127" s="293"/>
      <c r="AI127" s="293"/>
      <c r="AJ127" s="293"/>
      <c r="AK127" s="293"/>
      <c r="AL127" s="293"/>
      <c r="AM127" s="293"/>
      <c r="AN127" s="293"/>
      <c r="AO127" s="293"/>
      <c r="AP127" s="293"/>
      <c r="AQ127" s="293"/>
    </row>
    <row r="128" ht="13.5" customHeight="1">
      <c r="A128" s="285"/>
      <c r="B128" s="286" t="s">
        <v>832</v>
      </c>
      <c r="C128" s="287">
        <v>1.5</v>
      </c>
      <c r="D128" s="287">
        <v>7.0</v>
      </c>
      <c r="E128" s="288">
        <f t="shared" si="4"/>
        <v>10.5</v>
      </c>
      <c r="F128" s="287" t="s">
        <v>683</v>
      </c>
      <c r="G128" s="289">
        <f t="shared" ref="G128:H128" si="8">C128*300</f>
        <v>450</v>
      </c>
      <c r="H128" s="289">
        <f t="shared" si="8"/>
        <v>2100</v>
      </c>
      <c r="I128" s="289" t="s">
        <v>684</v>
      </c>
      <c r="J128" s="290">
        <v>6621.0</v>
      </c>
      <c r="K128" s="290">
        <v>1.0</v>
      </c>
      <c r="L128" s="291">
        <f t="shared" si="6"/>
        <v>69520.5</v>
      </c>
      <c r="M128" s="292">
        <f t="shared" si="7"/>
        <v>41712.3</v>
      </c>
      <c r="N128" s="279"/>
      <c r="O128" s="279"/>
      <c r="P128" s="279"/>
      <c r="Q128" s="279"/>
      <c r="R128" s="279"/>
      <c r="S128" s="279"/>
      <c r="T128" s="279"/>
      <c r="U128" s="279"/>
      <c r="V128" s="279"/>
      <c r="W128" s="279"/>
      <c r="X128" s="279"/>
      <c r="Y128" s="279"/>
      <c r="Z128" s="279"/>
      <c r="AA128" s="279"/>
      <c r="AB128" s="279"/>
      <c r="AC128" s="279"/>
      <c r="AD128" s="293"/>
      <c r="AE128" s="293"/>
      <c r="AF128" s="293"/>
      <c r="AG128" s="293"/>
      <c r="AH128" s="293"/>
      <c r="AI128" s="293"/>
      <c r="AJ128" s="293"/>
      <c r="AK128" s="293"/>
      <c r="AL128" s="293"/>
      <c r="AM128" s="293"/>
      <c r="AN128" s="293"/>
      <c r="AO128" s="293"/>
      <c r="AP128" s="293"/>
      <c r="AQ128" s="293"/>
    </row>
    <row r="129" ht="13.5" customHeight="1">
      <c r="A129" s="281"/>
      <c r="B129" s="274" t="s">
        <v>833</v>
      </c>
      <c r="C129" s="282"/>
      <c r="D129" s="282"/>
      <c r="E129" s="282"/>
      <c r="F129" s="282"/>
      <c r="G129" s="274"/>
      <c r="H129" s="274"/>
      <c r="I129" s="274"/>
      <c r="J129" s="282"/>
      <c r="K129" s="282"/>
      <c r="L129" s="283"/>
      <c r="M129" s="284"/>
      <c r="N129" s="279"/>
      <c r="O129" s="279"/>
      <c r="P129" s="279"/>
      <c r="Q129" s="279"/>
      <c r="R129" s="279"/>
      <c r="S129" s="279"/>
      <c r="T129" s="279"/>
      <c r="U129" s="279"/>
      <c r="V129" s="279"/>
      <c r="W129" s="279"/>
      <c r="X129" s="279"/>
      <c r="Y129" s="279"/>
      <c r="Z129" s="279"/>
      <c r="AA129" s="279"/>
      <c r="AB129" s="279"/>
      <c r="AC129" s="279"/>
      <c r="AD129" s="279"/>
      <c r="AE129" s="279"/>
      <c r="AF129" s="293"/>
      <c r="AG129" s="293"/>
      <c r="AH129" s="293"/>
      <c r="AI129" s="293"/>
      <c r="AJ129" s="293"/>
      <c r="AK129" s="293"/>
      <c r="AL129" s="293"/>
      <c r="AM129" s="293"/>
      <c r="AN129" s="293"/>
      <c r="AO129" s="293"/>
      <c r="AP129" s="293"/>
      <c r="AQ129" s="293"/>
    </row>
    <row r="130" ht="13.5" customHeight="1">
      <c r="A130" s="285"/>
      <c r="B130" s="286" t="s">
        <v>834</v>
      </c>
      <c r="C130" s="287">
        <v>3.5</v>
      </c>
      <c r="D130" s="287">
        <v>6.0</v>
      </c>
      <c r="E130" s="288">
        <f t="shared" ref="E130:E134" si="10">C130*D130</f>
        <v>21</v>
      </c>
      <c r="F130" s="287" t="s">
        <v>683</v>
      </c>
      <c r="G130" s="289">
        <f t="shared" ref="G130:H130" si="9">C130*300</f>
        <v>1050</v>
      </c>
      <c r="H130" s="289">
        <f t="shared" si="9"/>
        <v>1800</v>
      </c>
      <c r="I130" s="289" t="s">
        <v>684</v>
      </c>
      <c r="J130" s="290">
        <v>6621.0</v>
      </c>
      <c r="K130" s="290">
        <v>1.0</v>
      </c>
      <c r="L130" s="291">
        <f t="shared" ref="L130:L134" si="12">K130*J130*E130</f>
        <v>139041</v>
      </c>
      <c r="M130" s="292">
        <f t="shared" ref="M130:M134" si="13">L130-L130*0.4</f>
        <v>83424.6</v>
      </c>
      <c r="N130" s="279"/>
      <c r="O130" s="279"/>
      <c r="P130" s="279"/>
      <c r="Q130" s="279"/>
      <c r="R130" s="279"/>
      <c r="S130" s="279"/>
      <c r="T130" s="279"/>
      <c r="U130" s="279"/>
      <c r="V130" s="279"/>
      <c r="W130" s="279"/>
      <c r="X130" s="279"/>
      <c r="Y130" s="279"/>
      <c r="Z130" s="279"/>
      <c r="AA130" s="279"/>
      <c r="AB130" s="279"/>
      <c r="AC130" s="279"/>
      <c r="AD130" s="293"/>
      <c r="AE130" s="293"/>
      <c r="AF130" s="293"/>
      <c r="AG130" s="293"/>
      <c r="AH130" s="293"/>
      <c r="AI130" s="293"/>
      <c r="AJ130" s="293"/>
      <c r="AK130" s="293"/>
      <c r="AL130" s="293"/>
      <c r="AM130" s="293"/>
      <c r="AN130" s="293"/>
      <c r="AO130" s="293"/>
      <c r="AP130" s="293"/>
      <c r="AQ130" s="293"/>
    </row>
    <row r="131" ht="13.5" customHeight="1">
      <c r="A131" s="285"/>
      <c r="B131" s="286" t="s">
        <v>835</v>
      </c>
      <c r="C131" s="287">
        <v>1.5</v>
      </c>
      <c r="D131" s="287">
        <v>6.25</v>
      </c>
      <c r="E131" s="288">
        <f t="shared" si="10"/>
        <v>9.375</v>
      </c>
      <c r="F131" s="287" t="s">
        <v>683</v>
      </c>
      <c r="G131" s="289">
        <f t="shared" ref="G131:H131" si="11">C131*300</f>
        <v>450</v>
      </c>
      <c r="H131" s="289">
        <f t="shared" si="11"/>
        <v>1875</v>
      </c>
      <c r="I131" s="289" t="s">
        <v>684</v>
      </c>
      <c r="J131" s="290">
        <v>3812.0</v>
      </c>
      <c r="K131" s="290">
        <v>2.0</v>
      </c>
      <c r="L131" s="291">
        <f t="shared" si="12"/>
        <v>71475</v>
      </c>
      <c r="M131" s="292">
        <f t="shared" si="13"/>
        <v>42885</v>
      </c>
      <c r="N131" s="279"/>
      <c r="O131" s="279"/>
      <c r="P131" s="279"/>
      <c r="Q131" s="279"/>
      <c r="R131" s="279"/>
      <c r="S131" s="279"/>
      <c r="T131" s="279"/>
      <c r="U131" s="279"/>
      <c r="V131" s="279"/>
      <c r="W131" s="279"/>
      <c r="X131" s="279"/>
      <c r="Y131" s="279"/>
      <c r="Z131" s="279"/>
      <c r="AA131" s="279"/>
      <c r="AB131" s="279"/>
      <c r="AC131" s="279"/>
      <c r="AD131" s="293"/>
      <c r="AE131" s="293"/>
      <c r="AF131" s="293"/>
      <c r="AG131" s="293"/>
      <c r="AH131" s="293"/>
      <c r="AI131" s="293"/>
      <c r="AJ131" s="293"/>
      <c r="AK131" s="293"/>
      <c r="AL131" s="293"/>
      <c r="AM131" s="293"/>
      <c r="AN131" s="293"/>
      <c r="AO131" s="293"/>
      <c r="AP131" s="293"/>
      <c r="AQ131" s="293"/>
    </row>
    <row r="132" ht="13.5" customHeight="1">
      <c r="A132" s="285"/>
      <c r="B132" s="286" t="s">
        <v>836</v>
      </c>
      <c r="C132" s="287">
        <v>6.75</v>
      </c>
      <c r="D132" s="287">
        <v>4.5</v>
      </c>
      <c r="E132" s="288">
        <f t="shared" si="10"/>
        <v>30.375</v>
      </c>
      <c r="F132" s="287" t="s">
        <v>683</v>
      </c>
      <c r="G132" s="289">
        <f t="shared" ref="G132:H132" si="14">C132*300</f>
        <v>2025</v>
      </c>
      <c r="H132" s="289">
        <f t="shared" si="14"/>
        <v>1350</v>
      </c>
      <c r="I132" s="289" t="s">
        <v>684</v>
      </c>
      <c r="J132" s="290">
        <v>2003.0</v>
      </c>
      <c r="K132" s="290">
        <v>1.0</v>
      </c>
      <c r="L132" s="291">
        <f t="shared" si="12"/>
        <v>60841.125</v>
      </c>
      <c r="M132" s="292">
        <f t="shared" si="13"/>
        <v>36504.675</v>
      </c>
      <c r="N132" s="279"/>
      <c r="O132" s="279"/>
      <c r="P132" s="279"/>
      <c r="Q132" s="279"/>
      <c r="R132" s="279"/>
      <c r="S132" s="279"/>
      <c r="T132" s="279"/>
      <c r="U132" s="279"/>
      <c r="V132" s="279"/>
      <c r="W132" s="279"/>
      <c r="X132" s="279"/>
      <c r="Y132" s="279"/>
      <c r="Z132" s="279"/>
      <c r="AA132" s="279"/>
      <c r="AB132" s="279"/>
      <c r="AC132" s="279"/>
      <c r="AD132" s="293"/>
      <c r="AE132" s="293"/>
      <c r="AF132" s="293"/>
      <c r="AG132" s="293"/>
      <c r="AH132" s="293"/>
      <c r="AI132" s="293"/>
      <c r="AJ132" s="293"/>
      <c r="AK132" s="293"/>
      <c r="AL132" s="293"/>
      <c r="AM132" s="293"/>
      <c r="AN132" s="293"/>
      <c r="AO132" s="293"/>
      <c r="AP132" s="293"/>
      <c r="AQ132" s="293"/>
    </row>
    <row r="133" ht="13.5" customHeight="1">
      <c r="A133" s="285"/>
      <c r="B133" s="286" t="s">
        <v>837</v>
      </c>
      <c r="C133" s="287">
        <v>6.75</v>
      </c>
      <c r="D133" s="287">
        <v>1.0</v>
      </c>
      <c r="E133" s="288">
        <f t="shared" si="10"/>
        <v>6.75</v>
      </c>
      <c r="F133" s="287" t="s">
        <v>683</v>
      </c>
      <c r="G133" s="289">
        <f t="shared" ref="G133:H133" si="15">C133*300</f>
        <v>2025</v>
      </c>
      <c r="H133" s="289">
        <f t="shared" si="15"/>
        <v>300</v>
      </c>
      <c r="I133" s="289" t="s">
        <v>684</v>
      </c>
      <c r="J133" s="290">
        <v>1666.0</v>
      </c>
      <c r="K133" s="290">
        <v>2.0</v>
      </c>
      <c r="L133" s="291">
        <f t="shared" si="12"/>
        <v>22491</v>
      </c>
      <c r="M133" s="292">
        <f t="shared" si="13"/>
        <v>13494.6</v>
      </c>
      <c r="N133" s="279"/>
      <c r="O133" s="279"/>
      <c r="P133" s="279"/>
      <c r="Q133" s="279"/>
      <c r="R133" s="279"/>
      <c r="S133" s="279"/>
      <c r="T133" s="279"/>
      <c r="U133" s="279"/>
      <c r="V133" s="279"/>
      <c r="W133" s="279"/>
      <c r="X133" s="279"/>
      <c r="Y133" s="279"/>
      <c r="Z133" s="279"/>
      <c r="AA133" s="279"/>
      <c r="AB133" s="279"/>
      <c r="AC133" s="279"/>
      <c r="AD133" s="293"/>
      <c r="AE133" s="293"/>
      <c r="AF133" s="293"/>
      <c r="AG133" s="293"/>
      <c r="AH133" s="293"/>
      <c r="AI133" s="293"/>
      <c r="AJ133" s="293"/>
      <c r="AK133" s="293"/>
      <c r="AL133" s="293"/>
      <c r="AM133" s="293"/>
      <c r="AN133" s="293"/>
      <c r="AO133" s="293"/>
      <c r="AP133" s="293"/>
      <c r="AQ133" s="293"/>
    </row>
    <row r="134" ht="13.5" customHeight="1">
      <c r="A134" s="285"/>
      <c r="B134" s="286" t="s">
        <v>838</v>
      </c>
      <c r="C134" s="287">
        <v>4.25</v>
      </c>
      <c r="D134" s="287">
        <v>4.5</v>
      </c>
      <c r="E134" s="288">
        <f t="shared" si="10"/>
        <v>19.125</v>
      </c>
      <c r="F134" s="287" t="s">
        <v>683</v>
      </c>
      <c r="G134" s="289">
        <f t="shared" ref="G134:H134" si="16">C134*300</f>
        <v>1275</v>
      </c>
      <c r="H134" s="289">
        <f t="shared" si="16"/>
        <v>1350</v>
      </c>
      <c r="I134" s="289" t="s">
        <v>684</v>
      </c>
      <c r="J134" s="290">
        <v>1428.0</v>
      </c>
      <c r="K134" s="290">
        <v>1.0</v>
      </c>
      <c r="L134" s="291">
        <f t="shared" si="12"/>
        <v>27310.5</v>
      </c>
      <c r="M134" s="292">
        <f t="shared" si="13"/>
        <v>16386.3</v>
      </c>
      <c r="N134" s="279"/>
      <c r="O134" s="279"/>
      <c r="P134" s="279"/>
      <c r="Q134" s="279"/>
      <c r="R134" s="279"/>
      <c r="S134" s="279"/>
      <c r="T134" s="279"/>
      <c r="U134" s="279"/>
      <c r="V134" s="279"/>
      <c r="W134" s="279"/>
      <c r="X134" s="279"/>
      <c r="Y134" s="279"/>
      <c r="Z134" s="279"/>
      <c r="AA134" s="279"/>
      <c r="AB134" s="279"/>
      <c r="AC134" s="279"/>
      <c r="AD134" s="293"/>
      <c r="AE134" s="293"/>
      <c r="AF134" s="293"/>
      <c r="AG134" s="293"/>
      <c r="AH134" s="293"/>
      <c r="AI134" s="293"/>
      <c r="AJ134" s="293"/>
      <c r="AK134" s="293"/>
      <c r="AL134" s="293"/>
      <c r="AM134" s="293"/>
      <c r="AN134" s="293"/>
      <c r="AO134" s="293"/>
      <c r="AP134" s="293"/>
      <c r="AQ134" s="293"/>
    </row>
    <row r="135" ht="13.5" customHeight="1">
      <c r="A135" s="298"/>
      <c r="B135" s="274" t="s">
        <v>688</v>
      </c>
      <c r="C135" s="299"/>
      <c r="D135" s="299"/>
      <c r="E135" s="300"/>
      <c r="F135" s="299"/>
      <c r="G135" s="301"/>
      <c r="H135" s="301"/>
      <c r="I135" s="301"/>
      <c r="J135" s="302"/>
      <c r="K135" s="302"/>
      <c r="L135" s="303"/>
      <c r="M135" s="284"/>
      <c r="N135" s="304"/>
      <c r="O135" s="304"/>
      <c r="P135" s="304"/>
      <c r="Q135" s="304"/>
      <c r="R135" s="304"/>
      <c r="S135" s="304"/>
      <c r="T135" s="304"/>
      <c r="U135" s="304"/>
      <c r="V135" s="304"/>
      <c r="W135" s="304"/>
      <c r="X135" s="304"/>
      <c r="Y135" s="304"/>
      <c r="Z135" s="304"/>
      <c r="AA135" s="304"/>
      <c r="AB135" s="304"/>
      <c r="AC135" s="304"/>
      <c r="AD135" s="304"/>
      <c r="AE135" s="304"/>
    </row>
    <row r="136" ht="13.5" customHeight="1">
      <c r="A136" s="285"/>
      <c r="B136" s="286" t="s">
        <v>839</v>
      </c>
      <c r="C136" s="287">
        <v>7.75</v>
      </c>
      <c r="D136" s="287">
        <v>3.0</v>
      </c>
      <c r="E136" s="288">
        <f t="shared" ref="E136:E145" si="18">C136*D136</f>
        <v>23.25</v>
      </c>
      <c r="F136" s="287" t="s">
        <v>683</v>
      </c>
      <c r="G136" s="289">
        <f t="shared" ref="G136:H136" si="17">C136*300</f>
        <v>2325</v>
      </c>
      <c r="H136" s="289">
        <f t="shared" si="17"/>
        <v>900</v>
      </c>
      <c r="I136" s="289" t="s">
        <v>684</v>
      </c>
      <c r="J136" s="290">
        <f>1428+357</f>
        <v>1785</v>
      </c>
      <c r="K136" s="290">
        <v>1.0</v>
      </c>
      <c r="L136" s="291">
        <f t="shared" ref="L136:L145" si="20">K136*J136*E136</f>
        <v>41501.25</v>
      </c>
      <c r="M136" s="292">
        <f t="shared" ref="M136:M145" si="21">L136-L136*0.4</f>
        <v>24900.75</v>
      </c>
      <c r="N136" s="305"/>
      <c r="O136" s="279"/>
      <c r="P136" s="279"/>
      <c r="Q136" s="279"/>
      <c r="R136" s="279"/>
      <c r="S136" s="279"/>
      <c r="T136" s="279"/>
      <c r="U136" s="279"/>
      <c r="V136" s="279"/>
      <c r="W136" s="279"/>
      <c r="X136" s="279"/>
      <c r="Y136" s="279"/>
      <c r="Z136" s="279"/>
      <c r="AA136" s="279"/>
      <c r="AB136" s="279"/>
      <c r="AC136" s="279"/>
    </row>
    <row r="137" ht="13.5" customHeight="1">
      <c r="A137" s="285"/>
      <c r="B137" s="286" t="s">
        <v>840</v>
      </c>
      <c r="C137" s="287">
        <v>22.0</v>
      </c>
      <c r="D137" s="287">
        <v>3.0</v>
      </c>
      <c r="E137" s="288">
        <f t="shared" si="18"/>
        <v>66</v>
      </c>
      <c r="F137" s="287" t="s">
        <v>683</v>
      </c>
      <c r="G137" s="289">
        <f t="shared" ref="G137:H137" si="19">C137*300</f>
        <v>6600</v>
      </c>
      <c r="H137" s="289">
        <f t="shared" si="19"/>
        <v>900</v>
      </c>
      <c r="I137" s="289" t="s">
        <v>684</v>
      </c>
      <c r="J137" s="290">
        <v>5093.0</v>
      </c>
      <c r="K137" s="290">
        <v>1.0</v>
      </c>
      <c r="L137" s="291">
        <f t="shared" si="20"/>
        <v>336138</v>
      </c>
      <c r="M137" s="292">
        <f t="shared" si="21"/>
        <v>201682.8</v>
      </c>
      <c r="N137" s="279"/>
      <c r="O137" s="279"/>
      <c r="P137" s="279"/>
      <c r="Q137" s="279"/>
      <c r="R137" s="279"/>
      <c r="S137" s="279"/>
      <c r="T137" s="279"/>
      <c r="U137" s="279"/>
      <c r="V137" s="279"/>
      <c r="W137" s="279"/>
      <c r="X137" s="279"/>
      <c r="Y137" s="279"/>
      <c r="Z137" s="279"/>
      <c r="AA137" s="279"/>
      <c r="AB137" s="279"/>
      <c r="AC137" s="279"/>
    </row>
    <row r="138" ht="13.5" customHeight="1">
      <c r="A138" s="285"/>
      <c r="B138" s="286" t="s">
        <v>841</v>
      </c>
      <c r="C138" s="287">
        <v>14.5</v>
      </c>
      <c r="D138" s="287">
        <v>2.0</v>
      </c>
      <c r="E138" s="288">
        <f t="shared" si="18"/>
        <v>29</v>
      </c>
      <c r="F138" s="287" t="s">
        <v>683</v>
      </c>
      <c r="G138" s="289">
        <f t="shared" ref="G138:H138" si="22">C138*300</f>
        <v>4350</v>
      </c>
      <c r="H138" s="289">
        <f t="shared" si="22"/>
        <v>600</v>
      </c>
      <c r="I138" s="289" t="s">
        <v>684</v>
      </c>
      <c r="J138" s="290">
        <v>4607.0</v>
      </c>
      <c r="K138" s="290">
        <v>1.0</v>
      </c>
      <c r="L138" s="291">
        <f t="shared" si="20"/>
        <v>133603</v>
      </c>
      <c r="M138" s="292">
        <f t="shared" si="21"/>
        <v>80161.8</v>
      </c>
      <c r="N138" s="279"/>
      <c r="O138" s="279"/>
      <c r="P138" s="279"/>
      <c r="Q138" s="279"/>
      <c r="R138" s="279"/>
      <c r="S138" s="279"/>
      <c r="T138" s="279"/>
      <c r="U138" s="279"/>
      <c r="V138" s="279"/>
      <c r="W138" s="279"/>
      <c r="X138" s="279"/>
      <c r="Y138" s="279"/>
      <c r="Z138" s="279"/>
      <c r="AA138" s="279"/>
      <c r="AB138" s="279"/>
      <c r="AC138" s="279"/>
    </row>
    <row r="139" ht="13.5" customHeight="1">
      <c r="A139" s="285"/>
      <c r="B139" s="286" t="s">
        <v>842</v>
      </c>
      <c r="C139" s="287">
        <v>1.0</v>
      </c>
      <c r="D139" s="287">
        <v>4.0</v>
      </c>
      <c r="E139" s="288">
        <f t="shared" si="18"/>
        <v>4</v>
      </c>
      <c r="F139" s="287" t="s">
        <v>683</v>
      </c>
      <c r="G139" s="289">
        <f t="shared" ref="G139:H139" si="23">C139*300</f>
        <v>300</v>
      </c>
      <c r="H139" s="289">
        <f t="shared" si="23"/>
        <v>1200</v>
      </c>
      <c r="I139" s="289" t="s">
        <v>684</v>
      </c>
      <c r="J139" s="290">
        <v>6367.0</v>
      </c>
      <c r="K139" s="290">
        <v>1.0</v>
      </c>
      <c r="L139" s="291">
        <f t="shared" si="20"/>
        <v>25468</v>
      </c>
      <c r="M139" s="292">
        <f t="shared" si="21"/>
        <v>15280.8</v>
      </c>
      <c r="N139" s="279"/>
      <c r="O139" s="279"/>
      <c r="P139" s="279"/>
      <c r="Q139" s="279"/>
      <c r="R139" s="279"/>
      <c r="S139" s="279"/>
      <c r="T139" s="279"/>
      <c r="U139" s="279"/>
      <c r="V139" s="279"/>
      <c r="W139" s="279"/>
      <c r="X139" s="279"/>
      <c r="Y139" s="279"/>
      <c r="Z139" s="279"/>
      <c r="AA139" s="279"/>
      <c r="AB139" s="279"/>
      <c r="AC139" s="279"/>
    </row>
    <row r="140" ht="13.5" customHeight="1">
      <c r="A140" s="285"/>
      <c r="B140" s="286" t="s">
        <v>843</v>
      </c>
      <c r="C140" s="287">
        <v>5.5</v>
      </c>
      <c r="D140" s="287">
        <v>2.0</v>
      </c>
      <c r="E140" s="288">
        <f t="shared" si="18"/>
        <v>11</v>
      </c>
      <c r="F140" s="287" t="s">
        <v>683</v>
      </c>
      <c r="G140" s="289">
        <f t="shared" ref="G140:H140" si="24">C140*300</f>
        <v>1650</v>
      </c>
      <c r="H140" s="289">
        <f t="shared" si="24"/>
        <v>600</v>
      </c>
      <c r="I140" s="289" t="s">
        <v>684</v>
      </c>
      <c r="J140" s="290">
        <v>6367.0</v>
      </c>
      <c r="K140" s="290">
        <v>1.0</v>
      </c>
      <c r="L140" s="291">
        <f t="shared" si="20"/>
        <v>70037</v>
      </c>
      <c r="M140" s="292">
        <f t="shared" si="21"/>
        <v>42022.2</v>
      </c>
      <c r="N140" s="279"/>
      <c r="O140" s="279"/>
      <c r="P140" s="279"/>
      <c r="Q140" s="279"/>
      <c r="R140" s="279"/>
      <c r="S140" s="279"/>
      <c r="T140" s="279"/>
      <c r="U140" s="279"/>
      <c r="V140" s="279"/>
      <c r="W140" s="279"/>
      <c r="X140" s="279"/>
      <c r="Y140" s="279"/>
      <c r="Z140" s="279"/>
      <c r="AA140" s="279"/>
      <c r="AB140" s="279"/>
      <c r="AC140" s="279"/>
      <c r="AD140" s="293"/>
      <c r="AE140" s="293"/>
      <c r="AF140" s="293"/>
      <c r="AG140" s="293"/>
      <c r="AH140" s="293"/>
      <c r="AI140" s="293"/>
      <c r="AJ140" s="293"/>
      <c r="AK140" s="293"/>
      <c r="AL140" s="293"/>
      <c r="AM140" s="293"/>
      <c r="AN140" s="293"/>
      <c r="AO140" s="293"/>
      <c r="AP140" s="293"/>
      <c r="AQ140" s="293"/>
    </row>
    <row r="141" ht="13.5" customHeight="1">
      <c r="A141" s="285"/>
      <c r="B141" s="286" t="s">
        <v>844</v>
      </c>
      <c r="C141" s="287">
        <v>5.75</v>
      </c>
      <c r="D141" s="287">
        <v>7.0</v>
      </c>
      <c r="E141" s="288">
        <f t="shared" si="18"/>
        <v>40.25</v>
      </c>
      <c r="F141" s="287" t="s">
        <v>683</v>
      </c>
      <c r="G141" s="289">
        <f t="shared" ref="G141:H141" si="25">C141*300</f>
        <v>1725</v>
      </c>
      <c r="H141" s="289">
        <f t="shared" si="25"/>
        <v>2100</v>
      </c>
      <c r="I141" s="289" t="s">
        <v>684</v>
      </c>
      <c r="J141" s="290">
        <v>4607.0</v>
      </c>
      <c r="K141" s="290">
        <v>1.0</v>
      </c>
      <c r="L141" s="291">
        <f t="shared" si="20"/>
        <v>185431.75</v>
      </c>
      <c r="M141" s="292">
        <f t="shared" si="21"/>
        <v>111259.05</v>
      </c>
      <c r="N141" s="279"/>
      <c r="O141" s="279"/>
      <c r="P141" s="279"/>
      <c r="Q141" s="279"/>
      <c r="R141" s="279"/>
      <c r="S141" s="279"/>
      <c r="T141" s="279"/>
      <c r="U141" s="279"/>
      <c r="V141" s="279"/>
      <c r="W141" s="279"/>
      <c r="X141" s="279"/>
      <c r="Y141" s="279"/>
      <c r="Z141" s="279"/>
      <c r="AA141" s="279"/>
      <c r="AB141" s="279"/>
      <c r="AC141" s="279"/>
      <c r="AD141" s="293"/>
      <c r="AE141" s="293"/>
      <c r="AF141" s="293"/>
      <c r="AG141" s="293"/>
      <c r="AH141" s="293"/>
      <c r="AI141" s="293"/>
      <c r="AJ141" s="293"/>
      <c r="AK141" s="293"/>
      <c r="AL141" s="293"/>
      <c r="AM141" s="293"/>
      <c r="AN141" s="293"/>
      <c r="AO141" s="293"/>
      <c r="AP141" s="293"/>
      <c r="AQ141" s="293"/>
    </row>
    <row r="142" ht="13.5" customHeight="1">
      <c r="A142" s="306"/>
      <c r="B142" s="286" t="s">
        <v>845</v>
      </c>
      <c r="C142" s="287">
        <v>14.5</v>
      </c>
      <c r="D142" s="287">
        <v>2.25</v>
      </c>
      <c r="E142" s="288">
        <f t="shared" si="18"/>
        <v>32.625</v>
      </c>
      <c r="F142" s="287" t="s">
        <v>683</v>
      </c>
      <c r="G142" s="289">
        <f t="shared" ref="G142:H142" si="26">C142*300</f>
        <v>4350</v>
      </c>
      <c r="H142" s="289">
        <f t="shared" si="26"/>
        <v>675</v>
      </c>
      <c r="I142" s="289" t="s">
        <v>684</v>
      </c>
      <c r="J142" s="290">
        <v>2793.0</v>
      </c>
      <c r="K142" s="290">
        <v>1.0</v>
      </c>
      <c r="L142" s="291">
        <f t="shared" si="20"/>
        <v>91121.625</v>
      </c>
      <c r="M142" s="292">
        <f t="shared" si="21"/>
        <v>54672.975</v>
      </c>
      <c r="N142" s="304"/>
      <c r="O142" s="304"/>
      <c r="P142" s="304"/>
      <c r="Q142" s="304"/>
      <c r="R142" s="304"/>
      <c r="S142" s="304"/>
      <c r="T142" s="304"/>
      <c r="U142" s="304"/>
      <c r="V142" s="304"/>
      <c r="W142" s="304"/>
      <c r="X142" s="304"/>
      <c r="Y142" s="304"/>
      <c r="Z142" s="304"/>
      <c r="AA142" s="304"/>
      <c r="AB142" s="304"/>
      <c r="AC142" s="304"/>
      <c r="AD142" s="307"/>
      <c r="AE142" s="307"/>
    </row>
    <row r="143" ht="13.5" customHeight="1">
      <c r="A143" s="306"/>
      <c r="B143" s="286" t="s">
        <v>846</v>
      </c>
      <c r="C143" s="287">
        <v>2.75</v>
      </c>
      <c r="D143" s="287">
        <v>7.0</v>
      </c>
      <c r="E143" s="288">
        <f t="shared" si="18"/>
        <v>19.25</v>
      </c>
      <c r="F143" s="287" t="s">
        <v>683</v>
      </c>
      <c r="G143" s="289">
        <f t="shared" ref="G143:H143" si="27">C143*300</f>
        <v>825</v>
      </c>
      <c r="H143" s="289">
        <f t="shared" si="27"/>
        <v>2100</v>
      </c>
      <c r="I143" s="289" t="s">
        <v>684</v>
      </c>
      <c r="J143" s="290">
        <v>2793.0</v>
      </c>
      <c r="K143" s="290">
        <v>1.0</v>
      </c>
      <c r="L143" s="291">
        <f t="shared" si="20"/>
        <v>53765.25</v>
      </c>
      <c r="M143" s="292">
        <f t="shared" si="21"/>
        <v>32259.15</v>
      </c>
      <c r="N143" s="304"/>
      <c r="O143" s="304"/>
      <c r="P143" s="304"/>
      <c r="Q143" s="304"/>
      <c r="R143" s="304"/>
      <c r="S143" s="304"/>
      <c r="T143" s="304"/>
      <c r="U143" s="304"/>
      <c r="V143" s="304"/>
      <c r="W143" s="304"/>
      <c r="X143" s="304"/>
      <c r="Y143" s="304"/>
      <c r="Z143" s="304"/>
      <c r="AA143" s="304"/>
      <c r="AB143" s="304"/>
      <c r="AC143" s="304"/>
      <c r="AD143" s="307"/>
      <c r="AE143" s="307"/>
      <c r="AF143" s="293"/>
      <c r="AG143" s="293"/>
      <c r="AH143" s="293"/>
      <c r="AI143" s="293"/>
      <c r="AJ143" s="293"/>
      <c r="AK143" s="293"/>
      <c r="AL143" s="293"/>
      <c r="AM143" s="293"/>
      <c r="AN143" s="293"/>
      <c r="AO143" s="293"/>
      <c r="AP143" s="293"/>
      <c r="AQ143" s="293"/>
    </row>
    <row r="144" ht="13.5" customHeight="1">
      <c r="A144" s="285"/>
      <c r="B144" s="286" t="s">
        <v>842</v>
      </c>
      <c r="C144" s="287">
        <v>3.0</v>
      </c>
      <c r="D144" s="287">
        <v>7.0</v>
      </c>
      <c r="E144" s="288">
        <f t="shared" si="18"/>
        <v>21</v>
      </c>
      <c r="F144" s="287" t="s">
        <v>683</v>
      </c>
      <c r="G144" s="289">
        <f t="shared" ref="G144:H144" si="28">C144*300</f>
        <v>900</v>
      </c>
      <c r="H144" s="289">
        <f t="shared" si="28"/>
        <v>2100</v>
      </c>
      <c r="I144" s="289" t="s">
        <v>684</v>
      </c>
      <c r="J144" s="290">
        <v>6367.0</v>
      </c>
      <c r="K144" s="290">
        <v>1.0</v>
      </c>
      <c r="L144" s="291">
        <f t="shared" si="20"/>
        <v>133707</v>
      </c>
      <c r="M144" s="292">
        <f t="shared" si="21"/>
        <v>80224.2</v>
      </c>
      <c r="N144" s="279"/>
      <c r="O144" s="279"/>
      <c r="P144" s="279"/>
      <c r="Q144" s="279"/>
      <c r="R144" s="279"/>
      <c r="S144" s="279"/>
      <c r="T144" s="279"/>
      <c r="U144" s="279"/>
      <c r="V144" s="279"/>
      <c r="W144" s="279"/>
      <c r="X144" s="279"/>
      <c r="Y144" s="279"/>
      <c r="Z144" s="279"/>
      <c r="AA144" s="279"/>
      <c r="AB144" s="279"/>
      <c r="AC144" s="279"/>
      <c r="AD144" s="293"/>
      <c r="AE144" s="293"/>
      <c r="AF144" s="293"/>
      <c r="AG144" s="293"/>
      <c r="AH144" s="293"/>
      <c r="AI144" s="293"/>
      <c r="AJ144" s="293"/>
      <c r="AK144" s="293"/>
      <c r="AL144" s="293"/>
      <c r="AM144" s="293"/>
      <c r="AN144" s="293"/>
      <c r="AO144" s="293"/>
      <c r="AP144" s="293"/>
      <c r="AQ144" s="293"/>
    </row>
    <row r="145" ht="13.5" customHeight="1">
      <c r="A145" s="306"/>
      <c r="B145" s="286" t="s">
        <v>847</v>
      </c>
      <c r="C145" s="287">
        <v>3.5</v>
      </c>
      <c r="D145" s="287">
        <v>1.0</v>
      </c>
      <c r="E145" s="288">
        <f t="shared" si="18"/>
        <v>3.5</v>
      </c>
      <c r="F145" s="287" t="s">
        <v>683</v>
      </c>
      <c r="G145" s="289">
        <f t="shared" ref="G145:H145" si="29">C145*300</f>
        <v>1050</v>
      </c>
      <c r="H145" s="289">
        <f t="shared" si="29"/>
        <v>300</v>
      </c>
      <c r="I145" s="289" t="s">
        <v>684</v>
      </c>
      <c r="J145" s="290">
        <v>2824.0</v>
      </c>
      <c r="K145" s="290">
        <v>1.0</v>
      </c>
      <c r="L145" s="291">
        <f t="shared" si="20"/>
        <v>9884</v>
      </c>
      <c r="M145" s="292">
        <f t="shared" si="21"/>
        <v>5930.4</v>
      </c>
      <c r="N145" s="304"/>
      <c r="O145" s="304"/>
      <c r="P145" s="304"/>
      <c r="Q145" s="304"/>
      <c r="R145" s="304"/>
      <c r="S145" s="304"/>
      <c r="T145" s="304"/>
      <c r="U145" s="304"/>
      <c r="V145" s="304"/>
      <c r="W145" s="304"/>
      <c r="X145" s="304"/>
      <c r="Y145" s="304"/>
      <c r="Z145" s="304"/>
      <c r="AA145" s="304"/>
      <c r="AB145" s="304"/>
      <c r="AC145" s="304"/>
      <c r="AD145" s="307"/>
      <c r="AE145" s="307"/>
    </row>
    <row r="146" ht="13.5" customHeight="1">
      <c r="A146" s="281"/>
      <c r="B146" s="274" t="s">
        <v>692</v>
      </c>
      <c r="C146" s="308"/>
      <c r="D146" s="308"/>
      <c r="E146" s="308"/>
      <c r="F146" s="308"/>
      <c r="G146" s="283"/>
      <c r="H146" s="283"/>
      <c r="I146" s="283"/>
      <c r="J146" s="308"/>
      <c r="K146" s="308"/>
      <c r="L146" s="283"/>
      <c r="M146" s="284"/>
      <c r="N146" s="279"/>
      <c r="O146" s="279"/>
      <c r="P146" s="279"/>
      <c r="Q146" s="279"/>
      <c r="R146" s="279"/>
      <c r="S146" s="279"/>
      <c r="T146" s="279"/>
      <c r="U146" s="279"/>
      <c r="V146" s="279"/>
      <c r="W146" s="279"/>
      <c r="X146" s="279"/>
      <c r="Y146" s="279"/>
      <c r="Z146" s="279"/>
      <c r="AA146" s="279"/>
      <c r="AB146" s="279"/>
      <c r="AC146" s="279"/>
      <c r="AD146" s="279"/>
      <c r="AE146" s="279"/>
    </row>
    <row r="147" ht="13.5" customHeight="1">
      <c r="A147" s="285"/>
      <c r="B147" s="286" t="s">
        <v>848</v>
      </c>
      <c r="C147" s="287">
        <v>7.0</v>
      </c>
      <c r="D147" s="287">
        <v>8.75</v>
      </c>
      <c r="E147" s="288">
        <f t="shared" ref="E147:E151" si="31">C147*D147</f>
        <v>61.25</v>
      </c>
      <c r="F147" s="287" t="s">
        <v>683</v>
      </c>
      <c r="G147" s="289">
        <f t="shared" ref="G147:H147" si="30">C147*300</f>
        <v>2100</v>
      </c>
      <c r="H147" s="289">
        <f t="shared" si="30"/>
        <v>2625</v>
      </c>
      <c r="I147" s="289" t="s">
        <v>684</v>
      </c>
      <c r="J147" s="290">
        <v>3451.0</v>
      </c>
      <c r="K147" s="290">
        <v>1.0</v>
      </c>
      <c r="L147" s="291">
        <f t="shared" ref="L147:L151" si="33">K147*J147*E147</f>
        <v>211373.75</v>
      </c>
      <c r="M147" s="292">
        <f t="shared" ref="M147:M151" si="34">L147-L147*0.4</f>
        <v>126824.25</v>
      </c>
      <c r="N147" s="279"/>
      <c r="O147" s="279"/>
      <c r="P147" s="279"/>
      <c r="Q147" s="279"/>
      <c r="R147" s="279"/>
      <c r="S147" s="279"/>
      <c r="T147" s="279"/>
      <c r="U147" s="279"/>
      <c r="V147" s="279"/>
      <c r="W147" s="279"/>
      <c r="X147" s="279"/>
      <c r="Y147" s="279"/>
      <c r="Z147" s="279"/>
      <c r="AA147" s="279"/>
      <c r="AB147" s="279"/>
      <c r="AC147" s="279"/>
      <c r="AD147" s="293"/>
      <c r="AE147" s="293"/>
      <c r="AF147" s="293"/>
      <c r="AG147" s="293"/>
      <c r="AH147" s="293"/>
      <c r="AI147" s="293"/>
      <c r="AJ147" s="293"/>
      <c r="AK147" s="293"/>
      <c r="AL147" s="293"/>
      <c r="AM147" s="293"/>
      <c r="AN147" s="293"/>
      <c r="AO147" s="293"/>
      <c r="AP147" s="293"/>
      <c r="AQ147" s="293"/>
    </row>
    <row r="148" ht="13.5" customHeight="1">
      <c r="A148" s="285"/>
      <c r="B148" s="286" t="s">
        <v>849</v>
      </c>
      <c r="C148" s="287">
        <v>1.5</v>
      </c>
      <c r="D148" s="287">
        <v>7.75</v>
      </c>
      <c r="E148" s="288">
        <f t="shared" si="31"/>
        <v>11.625</v>
      </c>
      <c r="F148" s="287" t="s">
        <v>683</v>
      </c>
      <c r="G148" s="289">
        <f t="shared" ref="G148:H148" si="32">C148*300</f>
        <v>450</v>
      </c>
      <c r="H148" s="289">
        <f t="shared" si="32"/>
        <v>2325</v>
      </c>
      <c r="I148" s="289" t="s">
        <v>684</v>
      </c>
      <c r="J148" s="290">
        <f t="shared" ref="J148:J149" si="36">4225+357</f>
        <v>4582</v>
      </c>
      <c r="K148" s="290">
        <v>1.0</v>
      </c>
      <c r="L148" s="291">
        <f t="shared" si="33"/>
        <v>53265.75</v>
      </c>
      <c r="M148" s="292">
        <f t="shared" si="34"/>
        <v>31959.45</v>
      </c>
      <c r="N148" s="279"/>
      <c r="O148" s="279"/>
      <c r="P148" s="279"/>
      <c r="Q148" s="279"/>
      <c r="R148" s="279"/>
      <c r="S148" s="279"/>
      <c r="T148" s="279"/>
      <c r="U148" s="279"/>
      <c r="V148" s="279"/>
      <c r="W148" s="279"/>
      <c r="X148" s="279"/>
      <c r="Y148" s="279"/>
      <c r="Z148" s="279"/>
      <c r="AA148" s="279"/>
      <c r="AB148" s="279"/>
      <c r="AC148" s="279"/>
    </row>
    <row r="149" ht="13.5" customHeight="1">
      <c r="A149" s="285"/>
      <c r="B149" s="286" t="s">
        <v>850</v>
      </c>
      <c r="C149" s="287">
        <v>9.0</v>
      </c>
      <c r="D149" s="287">
        <v>1.0</v>
      </c>
      <c r="E149" s="288">
        <f t="shared" si="31"/>
        <v>9</v>
      </c>
      <c r="F149" s="287" t="s">
        <v>683</v>
      </c>
      <c r="G149" s="289">
        <f t="shared" ref="G149:H149" si="35">C149*300</f>
        <v>2700</v>
      </c>
      <c r="H149" s="289">
        <f t="shared" si="35"/>
        <v>300</v>
      </c>
      <c r="I149" s="289" t="s">
        <v>684</v>
      </c>
      <c r="J149" s="290">
        <f t="shared" si="36"/>
        <v>4582</v>
      </c>
      <c r="K149" s="290">
        <v>1.0</v>
      </c>
      <c r="L149" s="291">
        <f t="shared" si="33"/>
        <v>41238</v>
      </c>
      <c r="M149" s="292">
        <f t="shared" si="34"/>
        <v>24742.8</v>
      </c>
      <c r="N149" s="279"/>
      <c r="O149" s="279"/>
      <c r="P149" s="279"/>
      <c r="Q149" s="279"/>
      <c r="R149" s="279"/>
      <c r="S149" s="279"/>
      <c r="T149" s="279"/>
      <c r="U149" s="279"/>
      <c r="V149" s="279"/>
      <c r="W149" s="279"/>
      <c r="X149" s="279"/>
      <c r="Y149" s="279"/>
      <c r="Z149" s="279"/>
      <c r="AA149" s="279"/>
      <c r="AB149" s="279"/>
      <c r="AC149" s="279"/>
      <c r="AD149" s="293"/>
      <c r="AE149" s="293"/>
      <c r="AF149" s="293"/>
      <c r="AG149" s="293"/>
      <c r="AH149" s="293"/>
      <c r="AI149" s="293"/>
      <c r="AJ149" s="293"/>
      <c r="AK149" s="293"/>
      <c r="AL149" s="293"/>
      <c r="AM149" s="293"/>
      <c r="AN149" s="293"/>
      <c r="AO149" s="293"/>
      <c r="AP149" s="293"/>
      <c r="AQ149" s="293"/>
    </row>
    <row r="150" ht="13.5" customHeight="1">
      <c r="A150" s="306"/>
      <c r="B150" s="286" t="s">
        <v>851</v>
      </c>
      <c r="C150" s="287">
        <v>8.5</v>
      </c>
      <c r="D150" s="287">
        <v>1.5</v>
      </c>
      <c r="E150" s="288">
        <f t="shared" si="31"/>
        <v>12.75</v>
      </c>
      <c r="F150" s="287" t="s">
        <v>683</v>
      </c>
      <c r="G150" s="289">
        <f t="shared" ref="G150:H150" si="37">C150*300</f>
        <v>2550</v>
      </c>
      <c r="H150" s="289">
        <f t="shared" si="37"/>
        <v>450</v>
      </c>
      <c r="I150" s="289" t="s">
        <v>684</v>
      </c>
      <c r="J150" s="290">
        <v>2034.0</v>
      </c>
      <c r="K150" s="290">
        <v>1.0</v>
      </c>
      <c r="L150" s="291">
        <f t="shared" si="33"/>
        <v>25933.5</v>
      </c>
      <c r="M150" s="292">
        <f t="shared" si="34"/>
        <v>15560.1</v>
      </c>
      <c r="N150" s="304"/>
      <c r="O150" s="304"/>
      <c r="P150" s="304"/>
      <c r="Q150" s="304"/>
      <c r="R150" s="304"/>
      <c r="S150" s="304"/>
      <c r="T150" s="304"/>
      <c r="U150" s="304"/>
      <c r="V150" s="304"/>
      <c r="W150" s="304"/>
      <c r="X150" s="304"/>
      <c r="Y150" s="304"/>
      <c r="Z150" s="304"/>
      <c r="AA150" s="304"/>
      <c r="AB150" s="304"/>
      <c r="AC150" s="304"/>
      <c r="AD150" s="307"/>
      <c r="AE150" s="307"/>
      <c r="AF150" s="293"/>
      <c r="AG150" s="293"/>
      <c r="AH150" s="293"/>
      <c r="AI150" s="293"/>
      <c r="AJ150" s="293"/>
      <c r="AK150" s="293"/>
      <c r="AL150" s="293"/>
      <c r="AM150" s="293"/>
      <c r="AN150" s="293"/>
      <c r="AO150" s="293"/>
      <c r="AP150" s="293"/>
      <c r="AQ150" s="293"/>
    </row>
    <row r="151" ht="13.5" customHeight="1">
      <c r="A151" s="306"/>
      <c r="B151" s="286" t="s">
        <v>852</v>
      </c>
      <c r="C151" s="287">
        <v>8.5</v>
      </c>
      <c r="D151" s="287">
        <v>7.0</v>
      </c>
      <c r="E151" s="288">
        <f t="shared" si="31"/>
        <v>59.5</v>
      </c>
      <c r="F151" s="287" t="s">
        <v>683</v>
      </c>
      <c r="G151" s="289">
        <f t="shared" ref="G151:H151" si="38">C151*300</f>
        <v>2550</v>
      </c>
      <c r="H151" s="289">
        <f t="shared" si="38"/>
        <v>2100</v>
      </c>
      <c r="I151" s="289" t="s">
        <v>684</v>
      </c>
      <c r="J151" s="290">
        <f>4639</f>
        <v>4639</v>
      </c>
      <c r="K151" s="290">
        <v>1.0</v>
      </c>
      <c r="L151" s="291">
        <f t="shared" si="33"/>
        <v>276020.5</v>
      </c>
      <c r="M151" s="292">
        <f t="shared" si="34"/>
        <v>165612.3</v>
      </c>
      <c r="N151" s="304"/>
      <c r="O151" s="304"/>
      <c r="P151" s="304"/>
      <c r="Q151" s="304"/>
      <c r="R151" s="304"/>
      <c r="S151" s="304"/>
      <c r="T151" s="304"/>
      <c r="U151" s="304"/>
      <c r="V151" s="304"/>
      <c r="W151" s="304"/>
      <c r="X151" s="304"/>
      <c r="Y151" s="304"/>
      <c r="Z151" s="304"/>
      <c r="AA151" s="304"/>
      <c r="AB151" s="304"/>
      <c r="AC151" s="304"/>
      <c r="AD151" s="307"/>
      <c r="AE151" s="307"/>
      <c r="AF151" s="293"/>
      <c r="AG151" s="293"/>
      <c r="AH151" s="293"/>
      <c r="AI151" s="293"/>
      <c r="AJ151" s="293"/>
      <c r="AK151" s="293"/>
      <c r="AL151" s="293"/>
      <c r="AM151" s="293"/>
      <c r="AN151" s="293"/>
      <c r="AO151" s="293"/>
      <c r="AP151" s="293"/>
      <c r="AQ151" s="293"/>
    </row>
    <row r="152" ht="13.5" customHeight="1">
      <c r="A152" s="281"/>
      <c r="B152" s="274" t="s">
        <v>853</v>
      </c>
      <c r="C152" s="308"/>
      <c r="D152" s="308"/>
      <c r="E152" s="308"/>
      <c r="F152" s="308"/>
      <c r="G152" s="283"/>
      <c r="H152" s="283"/>
      <c r="I152" s="283"/>
      <c r="J152" s="308"/>
      <c r="K152" s="308"/>
      <c r="L152" s="283"/>
      <c r="M152" s="284"/>
      <c r="N152" s="279"/>
      <c r="O152" s="279"/>
      <c r="P152" s="279"/>
      <c r="Q152" s="279"/>
      <c r="R152" s="279"/>
      <c r="S152" s="279"/>
      <c r="T152" s="279"/>
      <c r="U152" s="279"/>
      <c r="V152" s="279"/>
      <c r="W152" s="279"/>
      <c r="X152" s="279"/>
      <c r="Y152" s="279"/>
      <c r="Z152" s="279"/>
      <c r="AA152" s="279"/>
      <c r="AB152" s="279"/>
      <c r="AC152" s="279"/>
      <c r="AD152" s="279"/>
      <c r="AE152" s="279"/>
    </row>
    <row r="153" ht="13.5" customHeight="1">
      <c r="A153" s="285"/>
      <c r="B153" s="286" t="s">
        <v>854</v>
      </c>
      <c r="C153" s="287">
        <v>8.0</v>
      </c>
      <c r="D153" s="287">
        <v>2.0</v>
      </c>
      <c r="E153" s="288">
        <f t="shared" ref="E153:E160" si="40">C153*D153</f>
        <v>16</v>
      </c>
      <c r="F153" s="287" t="s">
        <v>683</v>
      </c>
      <c r="G153" s="289">
        <f t="shared" ref="G153:H153" si="39">C153*300</f>
        <v>2400</v>
      </c>
      <c r="H153" s="289">
        <f t="shared" si="39"/>
        <v>600</v>
      </c>
      <c r="I153" s="289" t="s">
        <v>684</v>
      </c>
      <c r="J153" s="290">
        <v>1666.0</v>
      </c>
      <c r="K153" s="290">
        <v>1.0</v>
      </c>
      <c r="L153" s="291">
        <f t="shared" ref="L153:L160" si="42">K153*J153*E153</f>
        <v>26656</v>
      </c>
      <c r="M153" s="292">
        <f t="shared" ref="M153:M160" si="43">L153-L153*0.4</f>
        <v>15993.6</v>
      </c>
      <c r="N153" s="279"/>
      <c r="O153" s="279"/>
      <c r="P153" s="279"/>
      <c r="Q153" s="279"/>
      <c r="R153" s="279"/>
      <c r="S153" s="279"/>
      <c r="T153" s="279"/>
      <c r="U153" s="279"/>
      <c r="V153" s="279"/>
      <c r="W153" s="279"/>
      <c r="X153" s="279"/>
      <c r="Y153" s="279"/>
      <c r="Z153" s="279"/>
      <c r="AA153" s="279"/>
      <c r="AB153" s="279"/>
      <c r="AC153" s="279"/>
      <c r="AD153" s="293"/>
      <c r="AE153" s="293"/>
      <c r="AF153" s="293"/>
      <c r="AG153" s="293"/>
      <c r="AH153" s="293"/>
      <c r="AI153" s="293"/>
      <c r="AJ153" s="293"/>
      <c r="AK153" s="293"/>
      <c r="AL153" s="293"/>
      <c r="AM153" s="293"/>
      <c r="AN153" s="293"/>
      <c r="AO153" s="293"/>
      <c r="AP153" s="293"/>
      <c r="AQ153" s="293"/>
    </row>
    <row r="154" ht="13.5" customHeight="1">
      <c r="A154" s="285"/>
      <c r="B154" s="286" t="s">
        <v>855</v>
      </c>
      <c r="C154" s="287">
        <v>2.0</v>
      </c>
      <c r="D154" s="287">
        <v>5.0</v>
      </c>
      <c r="E154" s="288">
        <f t="shared" si="40"/>
        <v>10</v>
      </c>
      <c r="F154" s="287" t="s">
        <v>683</v>
      </c>
      <c r="G154" s="289">
        <f t="shared" ref="G154:H154" si="41">C154*300</f>
        <v>600</v>
      </c>
      <c r="H154" s="289">
        <f t="shared" si="41"/>
        <v>1500</v>
      </c>
      <c r="I154" s="289" t="s">
        <v>684</v>
      </c>
      <c r="J154" s="290">
        <v>3451.0</v>
      </c>
      <c r="K154" s="290">
        <v>1.0</v>
      </c>
      <c r="L154" s="291">
        <f t="shared" si="42"/>
        <v>34510</v>
      </c>
      <c r="M154" s="292">
        <f t="shared" si="43"/>
        <v>20706</v>
      </c>
      <c r="N154" s="279"/>
      <c r="O154" s="279"/>
      <c r="P154" s="279"/>
      <c r="Q154" s="279"/>
      <c r="R154" s="279"/>
      <c r="S154" s="279"/>
      <c r="T154" s="279"/>
      <c r="U154" s="279"/>
      <c r="V154" s="279"/>
      <c r="W154" s="279"/>
      <c r="X154" s="279"/>
      <c r="Y154" s="279"/>
      <c r="Z154" s="279"/>
      <c r="AA154" s="279"/>
      <c r="AB154" s="279"/>
      <c r="AC154" s="279"/>
      <c r="AD154" s="293"/>
      <c r="AE154" s="293"/>
      <c r="AF154" s="293"/>
      <c r="AG154" s="293"/>
      <c r="AH154" s="293"/>
      <c r="AI154" s="293"/>
      <c r="AJ154" s="293"/>
      <c r="AK154" s="293"/>
      <c r="AL154" s="293"/>
      <c r="AM154" s="293"/>
      <c r="AN154" s="293"/>
      <c r="AO154" s="293"/>
      <c r="AP154" s="293"/>
      <c r="AQ154" s="293"/>
    </row>
    <row r="155" ht="13.5" customHeight="1">
      <c r="A155" s="285"/>
      <c r="B155" s="286" t="s">
        <v>855</v>
      </c>
      <c r="C155" s="287">
        <v>5.0</v>
      </c>
      <c r="D155" s="287">
        <v>1.0</v>
      </c>
      <c r="E155" s="288">
        <f t="shared" si="40"/>
        <v>5</v>
      </c>
      <c r="F155" s="287" t="s">
        <v>683</v>
      </c>
      <c r="G155" s="289">
        <f t="shared" ref="G155:H155" si="44">C155*300</f>
        <v>1500</v>
      </c>
      <c r="H155" s="289">
        <f t="shared" si="44"/>
        <v>300</v>
      </c>
      <c r="I155" s="289" t="s">
        <v>684</v>
      </c>
      <c r="J155" s="290">
        <v>3451.0</v>
      </c>
      <c r="K155" s="290">
        <v>1.0</v>
      </c>
      <c r="L155" s="291">
        <f t="shared" si="42"/>
        <v>17255</v>
      </c>
      <c r="M155" s="292">
        <f t="shared" si="43"/>
        <v>10353</v>
      </c>
      <c r="N155" s="279"/>
      <c r="O155" s="279"/>
      <c r="P155" s="279"/>
      <c r="Q155" s="279"/>
      <c r="R155" s="279"/>
      <c r="S155" s="279"/>
      <c r="T155" s="279"/>
      <c r="U155" s="279"/>
      <c r="V155" s="279"/>
      <c r="W155" s="279"/>
      <c r="X155" s="279"/>
      <c r="Y155" s="279"/>
      <c r="Z155" s="279"/>
      <c r="AA155" s="279"/>
      <c r="AB155" s="279"/>
      <c r="AC155" s="279"/>
      <c r="AD155" s="293"/>
      <c r="AE155" s="293"/>
      <c r="AF155" s="293"/>
      <c r="AG155" s="293"/>
      <c r="AH155" s="293"/>
      <c r="AI155" s="293"/>
      <c r="AJ155" s="293"/>
      <c r="AK155" s="293"/>
      <c r="AL155" s="293"/>
      <c r="AM155" s="293"/>
      <c r="AN155" s="293"/>
      <c r="AO155" s="293"/>
      <c r="AP155" s="293"/>
      <c r="AQ155" s="293"/>
    </row>
    <row r="156" ht="13.5" customHeight="1">
      <c r="A156" s="285"/>
      <c r="B156" s="286" t="s">
        <v>856</v>
      </c>
      <c r="C156" s="287">
        <v>2.5</v>
      </c>
      <c r="D156" s="287">
        <v>3.0</v>
      </c>
      <c r="E156" s="288">
        <f t="shared" si="40"/>
        <v>7.5</v>
      </c>
      <c r="F156" s="287" t="s">
        <v>683</v>
      </c>
      <c r="G156" s="289">
        <f t="shared" ref="G156:H156" si="45">C156*300</f>
        <v>750</v>
      </c>
      <c r="H156" s="289">
        <f t="shared" si="45"/>
        <v>900</v>
      </c>
      <c r="I156" s="289" t="s">
        <v>684</v>
      </c>
      <c r="J156" s="290">
        <v>2499.0</v>
      </c>
      <c r="K156" s="290">
        <v>1.0</v>
      </c>
      <c r="L156" s="291">
        <f t="shared" si="42"/>
        <v>18742.5</v>
      </c>
      <c r="M156" s="292">
        <f t="shared" si="43"/>
        <v>11245.5</v>
      </c>
      <c r="N156" s="279"/>
      <c r="O156" s="279"/>
      <c r="P156" s="279"/>
      <c r="Q156" s="279"/>
      <c r="R156" s="279"/>
      <c r="S156" s="279"/>
      <c r="T156" s="279"/>
      <c r="U156" s="279"/>
      <c r="V156" s="279"/>
      <c r="W156" s="279"/>
      <c r="X156" s="279"/>
      <c r="Y156" s="279"/>
      <c r="Z156" s="279"/>
      <c r="AA156" s="279"/>
      <c r="AB156" s="279"/>
      <c r="AC156" s="279"/>
      <c r="AD156" s="293"/>
      <c r="AE156" s="293"/>
      <c r="AF156" s="293"/>
      <c r="AG156" s="293"/>
      <c r="AH156" s="293"/>
      <c r="AI156" s="293"/>
      <c r="AJ156" s="293"/>
      <c r="AK156" s="293"/>
      <c r="AL156" s="293"/>
      <c r="AM156" s="293"/>
      <c r="AN156" s="293"/>
      <c r="AO156" s="293"/>
      <c r="AP156" s="293"/>
      <c r="AQ156" s="293"/>
    </row>
    <row r="157" ht="13.5" customHeight="1">
      <c r="A157" s="285"/>
      <c r="B157" s="286" t="s">
        <v>857</v>
      </c>
      <c r="C157" s="287">
        <v>5.0</v>
      </c>
      <c r="D157" s="287">
        <v>2.75</v>
      </c>
      <c r="E157" s="288">
        <f t="shared" si="40"/>
        <v>13.75</v>
      </c>
      <c r="F157" s="287" t="s">
        <v>683</v>
      </c>
      <c r="G157" s="289">
        <f t="shared" ref="G157:H157" si="46">C157*300</f>
        <v>1500</v>
      </c>
      <c r="H157" s="289">
        <f t="shared" si="46"/>
        <v>825</v>
      </c>
      <c r="I157" s="289" t="s">
        <v>684</v>
      </c>
      <c r="J157" s="290">
        <v>3843.0</v>
      </c>
      <c r="K157" s="290">
        <v>1.0</v>
      </c>
      <c r="L157" s="291">
        <f t="shared" si="42"/>
        <v>52841.25</v>
      </c>
      <c r="M157" s="292">
        <f t="shared" si="43"/>
        <v>31704.75</v>
      </c>
      <c r="N157" s="279"/>
      <c r="O157" s="279"/>
      <c r="P157" s="279"/>
      <c r="Q157" s="279"/>
      <c r="R157" s="279"/>
      <c r="S157" s="279"/>
      <c r="T157" s="279"/>
      <c r="U157" s="279"/>
      <c r="V157" s="279"/>
      <c r="W157" s="279"/>
      <c r="X157" s="279"/>
      <c r="Y157" s="279"/>
      <c r="Z157" s="279"/>
      <c r="AA157" s="279"/>
      <c r="AB157" s="279"/>
      <c r="AC157" s="279"/>
      <c r="AD157" s="293"/>
      <c r="AE157" s="293"/>
      <c r="AF157" s="293"/>
      <c r="AG157" s="293"/>
      <c r="AH157" s="293"/>
      <c r="AI157" s="293"/>
      <c r="AJ157" s="293"/>
      <c r="AK157" s="293"/>
      <c r="AL157" s="293"/>
      <c r="AM157" s="293"/>
      <c r="AN157" s="293"/>
      <c r="AO157" s="293"/>
      <c r="AP157" s="293"/>
      <c r="AQ157" s="293"/>
    </row>
    <row r="158" ht="13.5" customHeight="1">
      <c r="A158" s="306"/>
      <c r="B158" s="286" t="s">
        <v>851</v>
      </c>
      <c r="C158" s="287">
        <v>10.75</v>
      </c>
      <c r="D158" s="287">
        <v>1.5</v>
      </c>
      <c r="E158" s="288">
        <f t="shared" si="40"/>
        <v>16.125</v>
      </c>
      <c r="F158" s="287" t="s">
        <v>683</v>
      </c>
      <c r="G158" s="289">
        <f t="shared" ref="G158:H158" si="47">C158*300</f>
        <v>3225</v>
      </c>
      <c r="H158" s="289">
        <f t="shared" si="47"/>
        <v>450</v>
      </c>
      <c r="I158" s="289" t="s">
        <v>684</v>
      </c>
      <c r="J158" s="290">
        <v>2034.0</v>
      </c>
      <c r="K158" s="290">
        <v>1.0</v>
      </c>
      <c r="L158" s="291">
        <f t="shared" si="42"/>
        <v>32798.25</v>
      </c>
      <c r="M158" s="292">
        <f t="shared" si="43"/>
        <v>19678.95</v>
      </c>
      <c r="N158" s="304"/>
      <c r="O158" s="304"/>
      <c r="P158" s="304"/>
      <c r="Q158" s="304"/>
      <c r="R158" s="304"/>
      <c r="S158" s="304"/>
      <c r="T158" s="304"/>
      <c r="U158" s="304"/>
      <c r="V158" s="304"/>
      <c r="W158" s="304"/>
      <c r="X158" s="304"/>
      <c r="Y158" s="304"/>
      <c r="Z158" s="304"/>
      <c r="AA158" s="304"/>
      <c r="AB158" s="304"/>
      <c r="AC158" s="304"/>
      <c r="AD158" s="307"/>
      <c r="AE158" s="307"/>
      <c r="AF158" s="293"/>
      <c r="AG158" s="293"/>
      <c r="AH158" s="293"/>
      <c r="AI158" s="293"/>
      <c r="AJ158" s="293"/>
      <c r="AK158" s="293"/>
      <c r="AL158" s="293"/>
      <c r="AM158" s="293"/>
      <c r="AN158" s="293"/>
      <c r="AO158" s="293"/>
      <c r="AP158" s="293"/>
      <c r="AQ158" s="293"/>
    </row>
    <row r="159" ht="13.5" customHeight="1">
      <c r="A159" s="306"/>
      <c r="B159" s="286" t="s">
        <v>858</v>
      </c>
      <c r="C159" s="287">
        <v>10.75</v>
      </c>
      <c r="D159" s="287">
        <v>8.0</v>
      </c>
      <c r="E159" s="288">
        <f t="shared" si="40"/>
        <v>86</v>
      </c>
      <c r="F159" s="287" t="s">
        <v>683</v>
      </c>
      <c r="G159" s="289">
        <f t="shared" ref="G159:H159" si="48">C159*300</f>
        <v>3225</v>
      </c>
      <c r="H159" s="289">
        <f t="shared" si="48"/>
        <v>2400</v>
      </c>
      <c r="I159" s="289" t="s">
        <v>684</v>
      </c>
      <c r="J159" s="290">
        <v>1428.0</v>
      </c>
      <c r="K159" s="290">
        <v>1.0</v>
      </c>
      <c r="L159" s="291">
        <f t="shared" si="42"/>
        <v>122808</v>
      </c>
      <c r="M159" s="292">
        <f t="shared" si="43"/>
        <v>73684.8</v>
      </c>
      <c r="N159" s="304"/>
      <c r="O159" s="304"/>
      <c r="P159" s="304"/>
      <c r="Q159" s="304"/>
      <c r="R159" s="304"/>
      <c r="S159" s="304"/>
      <c r="T159" s="304"/>
      <c r="U159" s="304"/>
      <c r="V159" s="304"/>
      <c r="W159" s="304"/>
      <c r="X159" s="304"/>
      <c r="Y159" s="304"/>
      <c r="Z159" s="304"/>
      <c r="AA159" s="304"/>
      <c r="AB159" s="304"/>
      <c r="AC159" s="304"/>
      <c r="AD159" s="307"/>
      <c r="AE159" s="307"/>
      <c r="AF159" s="293"/>
      <c r="AG159" s="293"/>
      <c r="AH159" s="293"/>
      <c r="AI159" s="293"/>
      <c r="AJ159" s="293"/>
      <c r="AK159" s="293"/>
      <c r="AL159" s="293"/>
      <c r="AM159" s="293"/>
      <c r="AN159" s="293"/>
      <c r="AO159" s="293"/>
      <c r="AP159" s="293"/>
      <c r="AQ159" s="293"/>
    </row>
    <row r="160" ht="13.5" customHeight="1">
      <c r="A160" s="285"/>
      <c r="B160" s="286" t="s">
        <v>859</v>
      </c>
      <c r="C160" s="287">
        <v>1.75</v>
      </c>
      <c r="D160" s="287">
        <v>6.75</v>
      </c>
      <c r="E160" s="288">
        <f t="shared" si="40"/>
        <v>11.8125</v>
      </c>
      <c r="F160" s="287" t="s">
        <v>683</v>
      </c>
      <c r="G160" s="289">
        <f t="shared" ref="G160:H160" si="49">C160*300</f>
        <v>525</v>
      </c>
      <c r="H160" s="289">
        <f t="shared" si="49"/>
        <v>2025</v>
      </c>
      <c r="I160" s="289" t="s">
        <v>684</v>
      </c>
      <c r="J160" s="290">
        <f>1428+857</f>
        <v>2285</v>
      </c>
      <c r="K160" s="290">
        <v>1.0</v>
      </c>
      <c r="L160" s="291">
        <f t="shared" si="42"/>
        <v>26991.5625</v>
      </c>
      <c r="M160" s="292">
        <f t="shared" si="43"/>
        <v>16194.9375</v>
      </c>
      <c r="N160" s="279"/>
      <c r="O160" s="279"/>
      <c r="P160" s="279"/>
      <c r="Q160" s="279"/>
      <c r="R160" s="279"/>
      <c r="S160" s="279"/>
      <c r="T160" s="279"/>
      <c r="U160" s="279"/>
      <c r="V160" s="279"/>
      <c r="W160" s="279"/>
      <c r="X160" s="279"/>
      <c r="Y160" s="279"/>
      <c r="Z160" s="279"/>
      <c r="AA160" s="279"/>
      <c r="AB160" s="279"/>
      <c r="AC160" s="279"/>
      <c r="AD160" s="293"/>
      <c r="AE160" s="293"/>
      <c r="AF160" s="293"/>
      <c r="AG160" s="293"/>
      <c r="AH160" s="293"/>
      <c r="AI160" s="293"/>
      <c r="AJ160" s="293"/>
      <c r="AK160" s="293"/>
      <c r="AL160" s="293"/>
      <c r="AM160" s="293"/>
      <c r="AN160" s="293"/>
      <c r="AO160" s="293"/>
      <c r="AP160" s="293"/>
      <c r="AQ160" s="293"/>
    </row>
    <row r="161" ht="13.5" customHeight="1">
      <c r="A161" s="306"/>
      <c r="B161" s="309" t="s">
        <v>701</v>
      </c>
      <c r="C161" s="299"/>
      <c r="D161" s="299"/>
      <c r="E161" s="300"/>
      <c r="F161" s="299"/>
      <c r="G161" s="310"/>
      <c r="H161" s="310"/>
      <c r="I161" s="310"/>
      <c r="J161" s="302"/>
      <c r="K161" s="302"/>
      <c r="L161" s="311"/>
      <c r="M161" s="312">
        <v>10000.0</v>
      </c>
      <c r="N161" s="279"/>
      <c r="O161" s="279">
        <f>L162*0.4</f>
        <v>1127172.775</v>
      </c>
      <c r="P161" s="279"/>
      <c r="Q161" s="279"/>
      <c r="R161" s="279"/>
      <c r="S161" s="279"/>
      <c r="T161" s="279"/>
      <c r="U161" s="279"/>
      <c r="V161" s="279"/>
      <c r="W161" s="279"/>
      <c r="X161" s="279"/>
      <c r="Y161" s="279"/>
      <c r="Z161" s="279"/>
      <c r="AA161" s="279"/>
      <c r="AB161" s="279"/>
      <c r="AC161" s="279"/>
      <c r="AD161" s="279"/>
      <c r="AE161" s="279"/>
    </row>
    <row r="162" ht="13.5" customHeight="1">
      <c r="A162" s="298"/>
      <c r="B162" s="313" t="s">
        <v>702</v>
      </c>
      <c r="C162" s="94"/>
      <c r="D162" s="94"/>
      <c r="E162" s="94"/>
      <c r="F162" s="94"/>
      <c r="G162" s="94"/>
      <c r="H162" s="94"/>
      <c r="I162" s="94"/>
      <c r="J162" s="94"/>
      <c r="K162" s="95"/>
      <c r="L162" s="314">
        <f>SUM(L121:L160)</f>
        <v>2817931.938</v>
      </c>
      <c r="M162" s="315"/>
      <c r="N162" s="267"/>
      <c r="O162" s="267"/>
      <c r="P162" s="267"/>
      <c r="Q162" s="267"/>
      <c r="R162" s="267"/>
      <c r="S162" s="267"/>
      <c r="T162" s="267"/>
      <c r="U162" s="267"/>
      <c r="V162" s="267"/>
      <c r="W162" s="267"/>
      <c r="X162" s="267"/>
      <c r="Y162" s="267"/>
      <c r="Z162" s="267"/>
      <c r="AA162" s="267"/>
      <c r="AB162" s="267"/>
      <c r="AC162" s="267"/>
      <c r="AD162" s="267"/>
      <c r="AE162" s="267"/>
    </row>
    <row r="163" ht="13.5" customHeight="1">
      <c r="A163" s="298"/>
      <c r="B163" s="313" t="s">
        <v>738</v>
      </c>
      <c r="C163" s="94"/>
      <c r="D163" s="94"/>
      <c r="E163" s="94"/>
      <c r="F163" s="94"/>
      <c r="G163" s="94"/>
      <c r="H163" s="94"/>
      <c r="I163" s="94"/>
      <c r="J163" s="94"/>
      <c r="K163" s="94"/>
      <c r="L163" s="95"/>
      <c r="M163" s="316">
        <f>L162*0.4</f>
        <v>1127172.775</v>
      </c>
      <c r="N163" s="267"/>
      <c r="O163" s="267"/>
      <c r="P163" s="267"/>
      <c r="Q163" s="267"/>
      <c r="R163" s="267"/>
      <c r="S163" s="267"/>
      <c r="T163" s="267"/>
      <c r="U163" s="267"/>
      <c r="V163" s="267"/>
      <c r="W163" s="267"/>
      <c r="X163" s="267"/>
      <c r="Y163" s="267"/>
      <c r="Z163" s="267"/>
      <c r="AA163" s="267"/>
      <c r="AB163" s="267"/>
      <c r="AC163" s="267"/>
      <c r="AD163" s="267"/>
      <c r="AE163" s="267"/>
    </row>
    <row r="164" ht="13.5" customHeight="1">
      <c r="A164" s="298"/>
      <c r="B164" s="313" t="s">
        <v>739</v>
      </c>
      <c r="C164" s="94"/>
      <c r="D164" s="94"/>
      <c r="E164" s="94"/>
      <c r="F164" s="94"/>
      <c r="G164" s="94"/>
      <c r="H164" s="94"/>
      <c r="I164" s="94"/>
      <c r="J164" s="94"/>
      <c r="K164" s="94"/>
      <c r="L164" s="95"/>
      <c r="M164" s="316">
        <f>L162-M163+M161</f>
        <v>1700759.163</v>
      </c>
      <c r="N164" s="317"/>
      <c r="O164" s="318"/>
      <c r="P164" s="267"/>
      <c r="Q164" s="267"/>
      <c r="R164" s="267"/>
      <c r="S164" s="267"/>
      <c r="T164" s="267"/>
      <c r="U164" s="267"/>
      <c r="V164" s="267"/>
      <c r="W164" s="267"/>
      <c r="X164" s="267"/>
      <c r="Y164" s="267"/>
      <c r="Z164" s="267"/>
      <c r="AA164" s="267"/>
      <c r="AB164" s="267"/>
      <c r="AC164" s="267"/>
      <c r="AD164" s="267"/>
      <c r="AE164" s="267"/>
    </row>
    <row r="165" ht="13.5" customHeight="1">
      <c r="A165" s="298"/>
      <c r="B165" s="313" t="s">
        <v>705</v>
      </c>
      <c r="C165" s="94"/>
      <c r="D165" s="94"/>
      <c r="E165" s="94"/>
      <c r="F165" s="94"/>
      <c r="G165" s="94"/>
      <c r="H165" s="94"/>
      <c r="I165" s="94"/>
      <c r="J165" s="94"/>
      <c r="K165" s="94"/>
      <c r="L165" s="95"/>
      <c r="M165" s="316">
        <f>M164*18%</f>
        <v>306136.6493</v>
      </c>
      <c r="N165" s="319"/>
      <c r="O165" s="320"/>
      <c r="P165" s="319"/>
      <c r="Q165" s="319"/>
      <c r="R165" s="319"/>
      <c r="S165" s="319"/>
      <c r="T165" s="319"/>
      <c r="U165" s="319"/>
      <c r="V165" s="319"/>
      <c r="W165" s="319"/>
      <c r="X165" s="319"/>
      <c r="Y165" s="319"/>
      <c r="Z165" s="319"/>
      <c r="AA165" s="319"/>
      <c r="AB165" s="319"/>
      <c r="AC165" s="319"/>
      <c r="AD165" s="319"/>
      <c r="AE165" s="319"/>
    </row>
    <row r="166" ht="13.5" customHeight="1">
      <c r="A166" s="321"/>
      <c r="B166" s="322" t="s">
        <v>706</v>
      </c>
      <c r="C166" s="130"/>
      <c r="D166" s="130"/>
      <c r="E166" s="130"/>
      <c r="F166" s="130"/>
      <c r="G166" s="130"/>
      <c r="H166" s="130"/>
      <c r="I166" s="130"/>
      <c r="J166" s="130"/>
      <c r="K166" s="130"/>
      <c r="L166" s="136"/>
      <c r="M166" s="323">
        <f>M164+M165</f>
        <v>2006895.812</v>
      </c>
      <c r="N166" s="324"/>
      <c r="O166" s="319"/>
      <c r="P166" s="319"/>
      <c r="Q166" s="319"/>
      <c r="R166" s="319"/>
      <c r="S166" s="319" t="s">
        <v>707</v>
      </c>
      <c r="T166" s="319"/>
      <c r="U166" s="319"/>
      <c r="V166" s="319"/>
      <c r="W166" s="319"/>
      <c r="X166" s="319"/>
      <c r="Y166" s="319"/>
      <c r="Z166" s="319"/>
      <c r="AA166" s="319"/>
      <c r="AB166" s="319"/>
      <c r="AC166" s="319"/>
      <c r="AD166" s="319"/>
      <c r="AE166" s="319"/>
    </row>
    <row r="167" ht="13.5" customHeight="1">
      <c r="A167" s="325"/>
      <c r="B167" s="325"/>
      <c r="C167" s="326"/>
      <c r="D167" s="326"/>
      <c r="E167" s="327"/>
      <c r="F167" s="327"/>
      <c r="G167" s="328"/>
      <c r="H167" s="329"/>
      <c r="I167" s="330"/>
      <c r="J167" s="327"/>
      <c r="K167" s="327"/>
      <c r="L167" s="331"/>
      <c r="M167" s="332"/>
      <c r="N167" s="267"/>
      <c r="O167" s="267"/>
      <c r="P167" s="267"/>
      <c r="Q167" s="267"/>
      <c r="R167" s="267"/>
      <c r="S167" s="267"/>
      <c r="T167" s="267"/>
      <c r="U167" s="267"/>
      <c r="V167" s="267"/>
      <c r="W167" s="267"/>
      <c r="X167" s="267"/>
      <c r="Y167" s="267"/>
      <c r="Z167" s="267"/>
      <c r="AA167" s="267"/>
      <c r="AB167" s="267"/>
      <c r="AC167" s="267"/>
    </row>
    <row r="168" ht="13.5" customHeight="1">
      <c r="A168" s="325"/>
      <c r="B168" s="325"/>
      <c r="C168" s="326"/>
      <c r="D168" s="326"/>
      <c r="E168" s="327"/>
      <c r="F168" s="327"/>
      <c r="G168" s="328"/>
      <c r="H168" s="329"/>
      <c r="I168" s="330"/>
      <c r="J168" s="327"/>
      <c r="K168" s="327"/>
      <c r="L168" s="331"/>
      <c r="M168" s="332"/>
      <c r="N168" s="267"/>
      <c r="O168" s="267"/>
      <c r="P168" s="267"/>
      <c r="Q168" s="267"/>
      <c r="R168" s="267"/>
      <c r="S168" s="267"/>
      <c r="T168" s="267"/>
      <c r="U168" s="267"/>
      <c r="V168" s="267"/>
      <c r="W168" s="267"/>
      <c r="X168" s="267"/>
      <c r="Y168" s="267"/>
      <c r="Z168" s="267"/>
      <c r="AA168" s="267"/>
      <c r="AB168" s="267"/>
      <c r="AC168" s="267"/>
    </row>
    <row r="169" ht="13.5" customHeight="1">
      <c r="A169" s="325"/>
      <c r="B169" s="325"/>
      <c r="C169" s="326"/>
      <c r="D169" s="326"/>
      <c r="E169" s="327"/>
      <c r="F169" s="327"/>
      <c r="G169" s="328"/>
      <c r="H169" s="329"/>
      <c r="I169" s="330"/>
      <c r="J169" s="327"/>
      <c r="K169" s="327"/>
      <c r="L169" s="331"/>
      <c r="M169" s="332"/>
      <c r="N169" s="267"/>
      <c r="O169" s="267"/>
      <c r="P169" s="267"/>
      <c r="Q169" s="267"/>
      <c r="R169" s="267"/>
      <c r="S169" s="267"/>
      <c r="T169" s="267"/>
      <c r="U169" s="267"/>
      <c r="V169" s="267"/>
      <c r="W169" s="267"/>
      <c r="X169" s="267"/>
      <c r="Y169" s="267"/>
      <c r="Z169" s="267"/>
      <c r="AA169" s="267"/>
      <c r="AB169" s="267"/>
      <c r="AC169" s="267"/>
    </row>
    <row r="170" ht="13.5" customHeight="1">
      <c r="A170" s="325"/>
      <c r="B170" s="325"/>
      <c r="C170" s="326"/>
      <c r="D170" s="326"/>
      <c r="E170" s="327"/>
      <c r="F170" s="327"/>
      <c r="G170" s="328"/>
      <c r="H170" s="329"/>
      <c r="I170" s="330"/>
      <c r="J170" s="327"/>
      <c r="K170" s="327"/>
      <c r="L170" s="331"/>
      <c r="M170" s="332"/>
      <c r="N170" s="267"/>
      <c r="O170" s="267"/>
      <c r="P170" s="267"/>
      <c r="Q170" s="267"/>
      <c r="R170" s="267"/>
      <c r="S170" s="267"/>
      <c r="T170" s="267"/>
      <c r="U170" s="267"/>
      <c r="V170" s="267"/>
      <c r="W170" s="267"/>
      <c r="X170" s="267"/>
      <c r="Y170" s="267"/>
      <c r="Z170" s="267"/>
      <c r="AA170" s="267"/>
      <c r="AB170" s="267"/>
      <c r="AC170" s="267"/>
    </row>
    <row r="171" ht="13.5" customHeight="1">
      <c r="A171" s="325" t="s">
        <v>740</v>
      </c>
      <c r="M171" s="325"/>
      <c r="N171" s="267"/>
      <c r="O171" s="267"/>
      <c r="P171" s="267"/>
      <c r="Q171" s="267"/>
      <c r="R171" s="267"/>
      <c r="S171" s="267"/>
      <c r="T171" s="267"/>
      <c r="U171" s="267"/>
      <c r="V171" s="267"/>
      <c r="W171" s="267"/>
      <c r="X171" s="267"/>
      <c r="Y171" s="267"/>
      <c r="Z171" s="267"/>
      <c r="AA171" s="267"/>
      <c r="AB171" s="267"/>
      <c r="AC171" s="267"/>
    </row>
    <row r="172" ht="13.5" customHeight="1">
      <c r="A172" s="333" t="s">
        <v>741</v>
      </c>
      <c r="B172" s="334" t="s">
        <v>222</v>
      </c>
      <c r="C172" s="335" t="s">
        <v>742</v>
      </c>
      <c r="D172" s="335" t="s">
        <v>743</v>
      </c>
      <c r="E172" s="336"/>
      <c r="F172" s="145"/>
      <c r="G172" s="334" t="s">
        <v>742</v>
      </c>
      <c r="H172" s="334" t="s">
        <v>743</v>
      </c>
      <c r="I172" s="334" t="s">
        <v>744</v>
      </c>
      <c r="J172" s="336" t="s">
        <v>744</v>
      </c>
      <c r="K172" s="145"/>
      <c r="L172" s="337" t="s">
        <v>222</v>
      </c>
      <c r="M172" s="338"/>
      <c r="N172" s="267"/>
      <c r="O172" s="267"/>
      <c r="P172" s="267"/>
      <c r="Q172" s="267"/>
      <c r="R172" s="267"/>
      <c r="S172" s="267"/>
      <c r="T172" s="267"/>
      <c r="U172" s="267"/>
      <c r="V172" s="267"/>
      <c r="W172" s="267"/>
      <c r="X172" s="267"/>
      <c r="Y172" s="267"/>
      <c r="Z172" s="267"/>
      <c r="AA172" s="267"/>
      <c r="AB172" s="267"/>
      <c r="AC172" s="267"/>
    </row>
    <row r="173" ht="13.5" customHeight="1">
      <c r="A173" s="339">
        <v>1.0</v>
      </c>
      <c r="B173" s="295" t="s">
        <v>745</v>
      </c>
      <c r="C173" s="308" t="s">
        <v>746</v>
      </c>
      <c r="D173" s="290">
        <v>1.0</v>
      </c>
      <c r="E173" s="340"/>
      <c r="F173" s="95"/>
      <c r="G173" s="341" t="s">
        <v>746</v>
      </c>
      <c r="H173" s="291">
        <f t="shared" ref="H173:H176" si="50">D173</f>
        <v>1</v>
      </c>
      <c r="I173" s="342">
        <f t="shared" ref="I173:I177" si="51">J173*D173</f>
        <v>1971</v>
      </c>
      <c r="J173" s="343">
        <v>1971.0</v>
      </c>
      <c r="K173" s="95"/>
      <c r="L173" s="344"/>
      <c r="M173" s="345"/>
      <c r="N173" s="267"/>
    </row>
    <row r="174" ht="13.5" customHeight="1">
      <c r="A174" s="339">
        <v>2.0</v>
      </c>
      <c r="B174" s="295" t="s">
        <v>747</v>
      </c>
      <c r="C174" s="308" t="s">
        <v>746</v>
      </c>
      <c r="D174" s="290">
        <v>2.0</v>
      </c>
      <c r="E174" s="340"/>
      <c r="F174" s="95"/>
      <c r="G174" s="341" t="s">
        <v>746</v>
      </c>
      <c r="H174" s="291">
        <f t="shared" si="50"/>
        <v>2</v>
      </c>
      <c r="I174" s="342">
        <f t="shared" si="51"/>
        <v>13934</v>
      </c>
      <c r="J174" s="343">
        <v>6967.0</v>
      </c>
      <c r="K174" s="95"/>
      <c r="L174" s="344"/>
      <c r="M174" s="345"/>
      <c r="P174" s="293" t="s">
        <v>707</v>
      </c>
    </row>
    <row r="175" ht="13.5" customHeight="1">
      <c r="A175" s="339">
        <v>3.0</v>
      </c>
      <c r="B175" s="295" t="s">
        <v>748</v>
      </c>
      <c r="C175" s="308" t="s">
        <v>746</v>
      </c>
      <c r="D175" s="290">
        <v>3.0</v>
      </c>
      <c r="E175" s="340"/>
      <c r="F175" s="95"/>
      <c r="G175" s="341" t="s">
        <v>749</v>
      </c>
      <c r="H175" s="291">
        <f t="shared" si="50"/>
        <v>3</v>
      </c>
      <c r="I175" s="342">
        <f t="shared" si="51"/>
        <v>24192</v>
      </c>
      <c r="J175" s="343">
        <v>8064.0</v>
      </c>
      <c r="K175" s="95"/>
      <c r="L175" s="344"/>
      <c r="M175" s="346"/>
      <c r="N175" s="293"/>
      <c r="O175" s="293"/>
      <c r="P175" s="293"/>
      <c r="Q175" s="293"/>
      <c r="R175" s="293"/>
      <c r="S175" s="293"/>
      <c r="T175" s="293"/>
      <c r="U175" s="293"/>
      <c r="V175" s="293"/>
      <c r="W175" s="293"/>
      <c r="X175" s="293"/>
      <c r="Y175" s="293"/>
      <c r="Z175" s="293"/>
      <c r="AA175" s="293"/>
      <c r="AB175" s="293"/>
      <c r="AC175" s="293"/>
      <c r="AD175" s="293"/>
      <c r="AE175" s="293"/>
      <c r="AF175" s="347"/>
      <c r="AG175" s="347"/>
      <c r="AH175" s="347"/>
      <c r="AI175" s="347"/>
      <c r="AJ175" s="347"/>
      <c r="AK175" s="347"/>
      <c r="AL175" s="347"/>
      <c r="AM175" s="347"/>
      <c r="AN175" s="347"/>
      <c r="AO175" s="347"/>
      <c r="AP175" s="347"/>
      <c r="AQ175" s="347"/>
    </row>
    <row r="176" ht="13.5" customHeight="1">
      <c r="A176" s="339">
        <v>4.0</v>
      </c>
      <c r="B176" s="295" t="s">
        <v>860</v>
      </c>
      <c r="C176" s="308" t="s">
        <v>746</v>
      </c>
      <c r="D176" s="290">
        <v>1.0</v>
      </c>
      <c r="E176" s="348"/>
      <c r="F176" s="349"/>
      <c r="G176" s="341" t="s">
        <v>746</v>
      </c>
      <c r="H176" s="291">
        <f t="shared" si="50"/>
        <v>1</v>
      </c>
      <c r="I176" s="342">
        <f t="shared" si="51"/>
        <v>5880</v>
      </c>
      <c r="J176" s="343">
        <v>5880.0</v>
      </c>
      <c r="K176" s="95"/>
      <c r="L176" s="344"/>
      <c r="M176" s="332"/>
      <c r="N176" s="267"/>
      <c r="O176" s="267"/>
      <c r="P176" s="267"/>
      <c r="Q176" s="267"/>
      <c r="R176" s="267"/>
      <c r="S176" s="267"/>
      <c r="T176" s="267"/>
      <c r="U176" s="267"/>
      <c r="V176" s="267"/>
      <c r="W176" s="267"/>
      <c r="X176" s="267"/>
      <c r="Y176" s="267"/>
      <c r="Z176" s="267"/>
      <c r="AA176" s="267"/>
      <c r="AB176" s="267"/>
      <c r="AC176" s="267"/>
      <c r="AD176" s="293"/>
      <c r="AE176" s="293"/>
    </row>
    <row r="177" ht="13.5" customHeight="1">
      <c r="A177" s="339">
        <v>5.0</v>
      </c>
      <c r="B177" s="295" t="s">
        <v>754</v>
      </c>
      <c r="C177" s="308" t="s">
        <v>746</v>
      </c>
      <c r="D177" s="290">
        <v>17.0</v>
      </c>
      <c r="E177" s="348"/>
      <c r="F177" s="349"/>
      <c r="G177" s="341" t="s">
        <v>746</v>
      </c>
      <c r="H177" s="291">
        <v>17.0</v>
      </c>
      <c r="I177" s="342">
        <f t="shared" si="51"/>
        <v>71400</v>
      </c>
      <c r="J177" s="343">
        <v>4200.0</v>
      </c>
      <c r="K177" s="95"/>
      <c r="L177" s="344"/>
      <c r="M177" s="332"/>
      <c r="N177" s="267"/>
      <c r="O177" s="267"/>
      <c r="P177" s="267"/>
      <c r="Q177" s="267"/>
      <c r="R177" s="267"/>
      <c r="S177" s="267"/>
      <c r="T177" s="267"/>
      <c r="U177" s="267"/>
      <c r="V177" s="267"/>
      <c r="W177" s="267"/>
      <c r="X177" s="267"/>
      <c r="Y177" s="267"/>
      <c r="Z177" s="267"/>
      <c r="AA177" s="267"/>
      <c r="AB177" s="267"/>
      <c r="AC177" s="267"/>
      <c r="AD177" s="293"/>
      <c r="AE177" s="293"/>
      <c r="AF177" s="293"/>
      <c r="AG177" s="293"/>
      <c r="AH177" s="293"/>
      <c r="AI177" s="293"/>
      <c r="AJ177" s="293"/>
      <c r="AK177" s="293"/>
      <c r="AL177" s="293"/>
      <c r="AM177" s="293"/>
      <c r="AN177" s="293"/>
      <c r="AO177" s="293"/>
      <c r="AP177" s="293"/>
      <c r="AQ177" s="293"/>
    </row>
    <row r="178" ht="13.5" customHeight="1">
      <c r="A178" s="350"/>
      <c r="B178" s="351"/>
      <c r="C178" s="352"/>
      <c r="D178" s="353"/>
      <c r="E178" s="352"/>
      <c r="F178" s="353"/>
      <c r="G178" s="351"/>
      <c r="H178" s="354" t="s">
        <v>704</v>
      </c>
      <c r="I178" s="355">
        <f>SUM(I173:I177)</f>
        <v>117377</v>
      </c>
      <c r="J178" s="356"/>
      <c r="K178" s="168"/>
      <c r="L178" s="357"/>
      <c r="M178" s="345"/>
      <c r="N178" s="267"/>
      <c r="O178" s="267"/>
      <c r="P178" s="267"/>
      <c r="Q178" s="267"/>
      <c r="R178" s="267"/>
      <c r="S178" s="267"/>
      <c r="T178" s="267"/>
      <c r="U178" s="267"/>
      <c r="V178" s="267"/>
      <c r="W178" s="267"/>
      <c r="X178" s="267"/>
      <c r="Y178" s="267"/>
      <c r="Z178" s="267"/>
      <c r="AA178" s="267"/>
      <c r="AB178" s="267"/>
      <c r="AC178" s="267"/>
    </row>
    <row r="179" ht="13.5" customHeight="1">
      <c r="A179" s="358" t="s">
        <v>755</v>
      </c>
      <c r="B179" s="171"/>
      <c r="C179" s="171"/>
      <c r="D179" s="171"/>
      <c r="E179" s="171"/>
      <c r="F179" s="171"/>
      <c r="G179" s="171"/>
      <c r="H179" s="171"/>
      <c r="I179" s="171"/>
      <c r="J179" s="171"/>
      <c r="K179" s="171"/>
      <c r="L179" s="172"/>
      <c r="M179" s="332"/>
      <c r="N179" s="267"/>
      <c r="O179" s="267"/>
      <c r="P179" s="267"/>
      <c r="Q179" s="267"/>
      <c r="R179" s="267"/>
      <c r="S179" s="267"/>
      <c r="T179" s="267"/>
      <c r="U179" s="267"/>
      <c r="V179" s="267"/>
      <c r="W179" s="267"/>
      <c r="X179" s="267"/>
      <c r="Y179" s="267"/>
      <c r="Z179" s="267"/>
      <c r="AA179" s="267"/>
      <c r="AB179" s="267"/>
      <c r="AC179" s="267"/>
    </row>
    <row r="180" ht="13.5" customHeight="1">
      <c r="A180" s="332"/>
      <c r="B180" s="332"/>
      <c r="C180" s="359"/>
      <c r="D180" s="174"/>
      <c r="E180" s="174"/>
      <c r="F180" s="175"/>
      <c r="G180" s="332"/>
      <c r="H180" s="332"/>
      <c r="I180" s="332"/>
      <c r="J180" s="359"/>
      <c r="K180" s="175"/>
      <c r="L180" s="331"/>
      <c r="M180" s="332"/>
      <c r="N180" s="267"/>
      <c r="O180" s="267"/>
      <c r="P180" s="267"/>
      <c r="Q180" s="267"/>
      <c r="R180" s="267"/>
      <c r="S180" s="267"/>
      <c r="T180" s="267"/>
      <c r="U180" s="267"/>
      <c r="V180" s="267"/>
      <c r="W180" s="267"/>
      <c r="X180" s="267"/>
      <c r="Y180" s="267"/>
      <c r="Z180" s="267"/>
      <c r="AA180" s="267"/>
      <c r="AB180" s="267"/>
      <c r="AC180" s="267"/>
    </row>
    <row r="181" ht="13.5" customHeight="1">
      <c r="A181" s="325" t="s">
        <v>756</v>
      </c>
      <c r="M181" s="360"/>
      <c r="N181" s="279"/>
      <c r="O181" s="267"/>
      <c r="P181" s="267"/>
      <c r="Q181" s="267"/>
      <c r="R181" s="267"/>
      <c r="S181" s="267"/>
      <c r="T181" s="267"/>
      <c r="U181" s="267"/>
      <c r="V181" s="267"/>
      <c r="W181" s="267"/>
      <c r="X181" s="267"/>
      <c r="Y181" s="267"/>
      <c r="Z181" s="267"/>
      <c r="AA181" s="267"/>
      <c r="AB181" s="267"/>
      <c r="AC181" s="267"/>
    </row>
    <row r="182" ht="13.5" customHeight="1">
      <c r="A182" s="268" t="s">
        <v>28</v>
      </c>
      <c r="B182" s="269" t="s">
        <v>222</v>
      </c>
      <c r="C182" s="270" t="s">
        <v>737</v>
      </c>
      <c r="D182" s="270" t="s">
        <v>674</v>
      </c>
      <c r="E182" s="270" t="s">
        <v>757</v>
      </c>
      <c r="F182" s="270" t="s">
        <v>676</v>
      </c>
      <c r="G182" s="269" t="s">
        <v>737</v>
      </c>
      <c r="H182" s="269" t="s">
        <v>674</v>
      </c>
      <c r="I182" s="269" t="s">
        <v>676</v>
      </c>
      <c r="J182" s="361" t="s">
        <v>758</v>
      </c>
      <c r="K182" s="178"/>
      <c r="L182" s="178"/>
      <c r="M182" s="179"/>
      <c r="N182" s="362"/>
      <c r="O182" s="362"/>
      <c r="P182" s="362"/>
      <c r="Q182" s="362"/>
      <c r="R182" s="362"/>
      <c r="S182" s="362"/>
      <c r="T182" s="362"/>
      <c r="U182" s="362"/>
      <c r="V182" s="362"/>
      <c r="W182" s="362"/>
      <c r="X182" s="362"/>
      <c r="Y182" s="362"/>
      <c r="Z182" s="362"/>
      <c r="AA182" s="362"/>
      <c r="AB182" s="362"/>
      <c r="AC182" s="362"/>
      <c r="AD182" s="363"/>
      <c r="AE182" s="363"/>
      <c r="AF182" s="363"/>
      <c r="AG182" s="363"/>
      <c r="AH182" s="363"/>
      <c r="AI182" s="363"/>
      <c r="AJ182" s="363"/>
      <c r="AK182" s="363"/>
      <c r="AL182" s="363"/>
      <c r="AM182" s="363"/>
      <c r="AN182" s="363"/>
      <c r="AO182" s="363"/>
      <c r="AP182" s="363"/>
      <c r="AQ182" s="363"/>
    </row>
    <row r="183" ht="13.5" customHeight="1">
      <c r="A183" s="53"/>
      <c r="B183" s="54"/>
      <c r="C183" s="54"/>
      <c r="D183" s="54"/>
      <c r="E183" s="54"/>
      <c r="F183" s="54"/>
      <c r="G183" s="54"/>
      <c r="H183" s="54"/>
      <c r="I183" s="54"/>
      <c r="J183" s="364"/>
      <c r="K183" s="364" t="s">
        <v>34</v>
      </c>
      <c r="L183" s="365" t="s">
        <v>679</v>
      </c>
      <c r="M183" s="117"/>
      <c r="N183" s="267"/>
      <c r="O183" s="267"/>
      <c r="P183" s="267"/>
      <c r="Q183" s="267"/>
      <c r="R183" s="267"/>
      <c r="S183" s="267"/>
      <c r="T183" s="267"/>
      <c r="U183" s="267"/>
      <c r="V183" s="267"/>
      <c r="W183" s="267"/>
      <c r="X183" s="267"/>
      <c r="Y183" s="267"/>
      <c r="Z183" s="267"/>
      <c r="AA183" s="267"/>
      <c r="AB183" s="267"/>
      <c r="AC183" s="267"/>
    </row>
    <row r="184" ht="13.5" customHeight="1">
      <c r="A184" s="298"/>
      <c r="B184" s="274" t="s">
        <v>759</v>
      </c>
      <c r="C184" s="299"/>
      <c r="D184" s="299"/>
      <c r="E184" s="300"/>
      <c r="F184" s="299"/>
      <c r="G184" s="366"/>
      <c r="H184" s="95"/>
      <c r="I184" s="301"/>
      <c r="J184" s="302"/>
      <c r="K184" s="302"/>
      <c r="L184" s="367"/>
      <c r="M184" s="117"/>
      <c r="N184" s="368"/>
      <c r="O184" s="368"/>
      <c r="P184" s="368"/>
      <c r="Q184" s="368"/>
      <c r="R184" s="368"/>
      <c r="S184" s="368"/>
      <c r="T184" s="368"/>
      <c r="U184" s="368"/>
      <c r="V184" s="368"/>
      <c r="W184" s="368"/>
      <c r="X184" s="368"/>
      <c r="Y184" s="368"/>
      <c r="Z184" s="368"/>
      <c r="AA184" s="368"/>
      <c r="AB184" s="368"/>
      <c r="AC184" s="368"/>
      <c r="AD184" s="369"/>
      <c r="AE184" s="369"/>
      <c r="AF184" s="369"/>
      <c r="AG184" s="369"/>
      <c r="AH184" s="369"/>
      <c r="AI184" s="369"/>
      <c r="AJ184" s="369"/>
      <c r="AK184" s="369"/>
      <c r="AL184" s="369"/>
      <c r="AM184" s="369"/>
      <c r="AN184" s="369"/>
      <c r="AO184" s="369"/>
      <c r="AP184" s="369"/>
      <c r="AQ184" s="369"/>
    </row>
    <row r="185" ht="13.5" customHeight="1">
      <c r="A185" s="370"/>
      <c r="B185" s="371" t="s">
        <v>760</v>
      </c>
      <c r="C185" s="372">
        <v>1500.0</v>
      </c>
      <c r="D185" s="372"/>
      <c r="E185" s="372">
        <v>1.0</v>
      </c>
      <c r="F185" s="373" t="s">
        <v>761</v>
      </c>
      <c r="G185" s="374">
        <f>C185</f>
        <v>1500</v>
      </c>
      <c r="H185" s="191"/>
      <c r="I185" s="375" t="str">
        <f>F185</f>
        <v>sqft</v>
      </c>
      <c r="J185" s="376"/>
      <c r="K185" s="376">
        <v>18.0</v>
      </c>
      <c r="L185" s="377">
        <f>C185*E185*K185</f>
        <v>27000</v>
      </c>
      <c r="M185" s="378"/>
      <c r="N185" s="267"/>
      <c r="O185" s="267"/>
      <c r="P185" s="267"/>
      <c r="Q185" s="267"/>
      <c r="R185" s="267"/>
      <c r="S185" s="267"/>
      <c r="T185" s="267"/>
      <c r="U185" s="267"/>
      <c r="V185" s="267"/>
      <c r="W185" s="267"/>
      <c r="X185" s="267"/>
      <c r="Y185" s="267"/>
      <c r="Z185" s="267"/>
      <c r="AA185" s="267"/>
      <c r="AB185" s="267"/>
      <c r="AC185" s="267"/>
      <c r="AD185" s="347"/>
      <c r="AE185" s="347"/>
      <c r="AF185" s="347"/>
      <c r="AG185" s="347"/>
      <c r="AH185" s="347"/>
      <c r="AI185" s="347"/>
      <c r="AJ185" s="347"/>
      <c r="AK185" s="347"/>
      <c r="AL185" s="347"/>
      <c r="AM185" s="347"/>
      <c r="AN185" s="347"/>
      <c r="AO185" s="347"/>
      <c r="AP185" s="347"/>
      <c r="AQ185" s="347"/>
    </row>
    <row r="186" ht="13.5" customHeight="1">
      <c r="A186" s="298"/>
      <c r="B186" s="274" t="s">
        <v>682</v>
      </c>
      <c r="C186" s="379"/>
      <c r="D186" s="379"/>
      <c r="E186" s="379"/>
      <c r="F186" s="379"/>
      <c r="G186" s="380"/>
      <c r="H186" s="380"/>
      <c r="I186" s="381"/>
      <c r="J186" s="382"/>
      <c r="K186" s="382"/>
      <c r="L186" s="383"/>
      <c r="M186" s="117"/>
      <c r="N186" s="267"/>
      <c r="O186" s="267"/>
      <c r="P186" s="267"/>
      <c r="Q186" s="267"/>
      <c r="R186" s="267"/>
      <c r="S186" s="267"/>
      <c r="T186" s="267"/>
      <c r="U186" s="267"/>
      <c r="V186" s="267"/>
      <c r="W186" s="267"/>
      <c r="X186" s="267"/>
      <c r="Y186" s="267"/>
      <c r="Z186" s="267"/>
      <c r="AA186" s="267"/>
      <c r="AB186" s="267"/>
      <c r="AC186" s="267"/>
    </row>
    <row r="187" ht="13.5" customHeight="1">
      <c r="A187" s="306"/>
      <c r="B187" s="256" t="s">
        <v>778</v>
      </c>
      <c r="C187" s="379">
        <v>15.0</v>
      </c>
      <c r="D187" s="379"/>
      <c r="E187" s="379">
        <v>1.0</v>
      </c>
      <c r="F187" s="379" t="s">
        <v>767</v>
      </c>
      <c r="G187" s="384">
        <f>C187</f>
        <v>15</v>
      </c>
      <c r="H187" s="95"/>
      <c r="I187" s="385" t="str">
        <f t="shared" ref="I187:I190" si="52">F187</f>
        <v>rft</v>
      </c>
      <c r="J187" s="382"/>
      <c r="K187" s="382">
        <v>579.0</v>
      </c>
      <c r="L187" s="386">
        <f>C187*E187*K187</f>
        <v>8685</v>
      </c>
      <c r="M187" s="117"/>
      <c r="N187" s="279"/>
      <c r="O187" s="279"/>
      <c r="P187" s="279"/>
      <c r="Q187" s="279"/>
      <c r="R187" s="279"/>
      <c r="S187" s="279"/>
      <c r="T187" s="279"/>
      <c r="U187" s="279"/>
      <c r="V187" s="279"/>
      <c r="W187" s="279"/>
      <c r="X187" s="279"/>
      <c r="Y187" s="279"/>
      <c r="Z187" s="279"/>
      <c r="AA187" s="279"/>
      <c r="AB187" s="279"/>
      <c r="AC187" s="279"/>
      <c r="AD187" s="387"/>
      <c r="AE187" s="387"/>
    </row>
    <row r="188" ht="13.5" customHeight="1">
      <c r="A188" s="306"/>
      <c r="B188" s="256" t="s">
        <v>772</v>
      </c>
      <c r="C188" s="379">
        <v>1.0</v>
      </c>
      <c r="D188" s="379"/>
      <c r="E188" s="379">
        <v>1.0</v>
      </c>
      <c r="F188" s="388" t="s">
        <v>764</v>
      </c>
      <c r="G188" s="384">
        <v>1.0</v>
      </c>
      <c r="H188" s="95"/>
      <c r="I188" s="389" t="str">
        <f t="shared" si="52"/>
        <v>nos</v>
      </c>
      <c r="J188" s="382"/>
      <c r="K188" s="382">
        <v>2574.0</v>
      </c>
      <c r="L188" s="386">
        <f t="shared" ref="L188:L189" si="53">K188*E188*C188</f>
        <v>2574</v>
      </c>
      <c r="M188" s="117"/>
      <c r="N188" s="267"/>
      <c r="O188" s="267"/>
      <c r="P188" s="267"/>
      <c r="Q188" s="267"/>
      <c r="R188" s="267"/>
      <c r="S188" s="267"/>
      <c r="T188" s="267"/>
      <c r="U188" s="267"/>
      <c r="V188" s="267"/>
      <c r="W188" s="267"/>
      <c r="X188" s="267"/>
      <c r="Y188" s="267"/>
      <c r="Z188" s="267"/>
      <c r="AA188" s="267"/>
      <c r="AB188" s="267"/>
      <c r="AC188" s="267"/>
      <c r="AD188" s="293"/>
      <c r="AE188" s="293"/>
      <c r="AF188" s="293"/>
      <c r="AG188" s="293"/>
      <c r="AH188" s="293"/>
      <c r="AI188" s="293"/>
      <c r="AJ188" s="293"/>
      <c r="AK188" s="293"/>
      <c r="AL188" s="293"/>
      <c r="AM188" s="293"/>
      <c r="AN188" s="293"/>
      <c r="AO188" s="293"/>
      <c r="AP188" s="293"/>
      <c r="AQ188" s="293"/>
    </row>
    <row r="189" ht="13.5" customHeight="1">
      <c r="A189" s="306"/>
      <c r="B189" s="256" t="s">
        <v>792</v>
      </c>
      <c r="C189" s="379">
        <v>2.0</v>
      </c>
      <c r="D189" s="379"/>
      <c r="E189" s="379">
        <v>2.0</v>
      </c>
      <c r="F189" s="388" t="s">
        <v>764</v>
      </c>
      <c r="G189" s="384">
        <v>2.0</v>
      </c>
      <c r="H189" s="95"/>
      <c r="I189" s="389" t="str">
        <f t="shared" si="52"/>
        <v>nos</v>
      </c>
      <c r="J189" s="382"/>
      <c r="K189" s="382">
        <v>2288.0</v>
      </c>
      <c r="L189" s="386">
        <f t="shared" si="53"/>
        <v>9152</v>
      </c>
      <c r="M189" s="117"/>
      <c r="N189" s="267"/>
      <c r="O189" s="267"/>
      <c r="P189" s="267"/>
      <c r="Q189" s="267"/>
      <c r="R189" s="267"/>
      <c r="S189" s="267"/>
      <c r="T189" s="267"/>
      <c r="U189" s="267"/>
      <c r="V189" s="267"/>
      <c r="W189" s="267"/>
      <c r="X189" s="267"/>
      <c r="Y189" s="267"/>
      <c r="Z189" s="267"/>
      <c r="AA189" s="267"/>
      <c r="AB189" s="267"/>
      <c r="AC189" s="267"/>
      <c r="AD189" s="293"/>
      <c r="AE189" s="293"/>
      <c r="AF189" s="293"/>
      <c r="AG189" s="293"/>
      <c r="AH189" s="293"/>
      <c r="AI189" s="293"/>
      <c r="AJ189" s="293"/>
      <c r="AK189" s="293"/>
      <c r="AL189" s="293"/>
      <c r="AM189" s="293"/>
      <c r="AN189" s="293"/>
      <c r="AO189" s="293"/>
      <c r="AP189" s="293"/>
      <c r="AQ189" s="293"/>
    </row>
    <row r="190" ht="13.5" customHeight="1">
      <c r="A190" s="306"/>
      <c r="B190" s="256" t="s">
        <v>861</v>
      </c>
      <c r="C190" s="379">
        <v>200.0</v>
      </c>
      <c r="D190" s="379"/>
      <c r="E190" s="379">
        <v>1.0</v>
      </c>
      <c r="F190" s="388" t="s">
        <v>767</v>
      </c>
      <c r="G190" s="384">
        <f>C190</f>
        <v>200</v>
      </c>
      <c r="H190" s="95"/>
      <c r="I190" s="389" t="str">
        <f t="shared" si="52"/>
        <v>rft</v>
      </c>
      <c r="J190" s="382"/>
      <c r="K190" s="382">
        <v>121.0</v>
      </c>
      <c r="L190" s="386">
        <f>C190*E190*K190</f>
        <v>24200</v>
      </c>
      <c r="M190" s="117"/>
      <c r="N190" s="267"/>
      <c r="O190" s="267"/>
      <c r="P190" s="267"/>
      <c r="Q190" s="267"/>
      <c r="R190" s="267"/>
      <c r="S190" s="267"/>
      <c r="T190" s="267"/>
      <c r="U190" s="267"/>
      <c r="V190" s="267"/>
      <c r="W190" s="267"/>
      <c r="X190" s="267"/>
      <c r="Y190" s="267"/>
      <c r="Z190" s="267"/>
      <c r="AA190" s="267"/>
      <c r="AB190" s="267"/>
      <c r="AC190" s="267"/>
      <c r="AD190" s="293"/>
      <c r="AE190" s="293"/>
      <c r="AF190" s="293"/>
      <c r="AG190" s="293"/>
      <c r="AH190" s="293"/>
      <c r="AI190" s="293"/>
      <c r="AJ190" s="293"/>
      <c r="AK190" s="293"/>
      <c r="AL190" s="293"/>
      <c r="AM190" s="293"/>
      <c r="AN190" s="293"/>
      <c r="AO190" s="293"/>
      <c r="AP190" s="293"/>
      <c r="AQ190" s="293"/>
    </row>
    <row r="191" ht="13.5" customHeight="1">
      <c r="A191" s="298"/>
      <c r="B191" s="274" t="s">
        <v>688</v>
      </c>
      <c r="C191" s="379"/>
      <c r="D191" s="379"/>
      <c r="E191" s="379"/>
      <c r="F191" s="379"/>
      <c r="G191" s="380"/>
      <c r="H191" s="380"/>
      <c r="I191" s="381"/>
      <c r="J191" s="382"/>
      <c r="K191" s="382"/>
      <c r="L191" s="383"/>
      <c r="M191" s="117"/>
      <c r="N191" s="267"/>
      <c r="O191" s="267"/>
      <c r="P191" s="267"/>
      <c r="Q191" s="267"/>
      <c r="R191" s="267"/>
      <c r="S191" s="267"/>
      <c r="T191" s="267"/>
      <c r="U191" s="267"/>
      <c r="V191" s="267"/>
      <c r="W191" s="267"/>
      <c r="X191" s="267"/>
      <c r="Y191" s="267"/>
      <c r="Z191" s="267"/>
      <c r="AA191" s="267"/>
      <c r="AB191" s="267"/>
      <c r="AC191" s="267"/>
      <c r="AD191" s="293"/>
      <c r="AE191" s="293"/>
      <c r="AF191" s="293"/>
      <c r="AG191" s="293"/>
      <c r="AH191" s="293"/>
      <c r="AI191" s="293"/>
      <c r="AJ191" s="293"/>
      <c r="AK191" s="293"/>
      <c r="AL191" s="293"/>
      <c r="AM191" s="293"/>
      <c r="AN191" s="293"/>
      <c r="AO191" s="293"/>
      <c r="AP191" s="293"/>
      <c r="AQ191" s="293"/>
    </row>
    <row r="192" ht="13.5" customHeight="1">
      <c r="A192" s="306"/>
      <c r="B192" s="256" t="s">
        <v>778</v>
      </c>
      <c r="C192" s="379">
        <v>15.0</v>
      </c>
      <c r="D192" s="379"/>
      <c r="E192" s="379">
        <v>1.0</v>
      </c>
      <c r="F192" s="388" t="s">
        <v>767</v>
      </c>
      <c r="G192" s="384">
        <f t="shared" ref="G192:G196" si="54">C192</f>
        <v>15</v>
      </c>
      <c r="H192" s="95"/>
      <c r="I192" s="389" t="s">
        <v>767</v>
      </c>
      <c r="J192" s="382"/>
      <c r="K192" s="382">
        <v>579.0</v>
      </c>
      <c r="L192" s="386">
        <f t="shared" ref="L192:L194" si="55">C192*E192*K192</f>
        <v>8685</v>
      </c>
      <c r="M192" s="117"/>
      <c r="N192" s="267"/>
      <c r="O192" s="267"/>
      <c r="P192" s="267"/>
      <c r="Q192" s="267"/>
      <c r="R192" s="267"/>
      <c r="S192" s="267"/>
      <c r="T192" s="267"/>
      <c r="U192" s="267"/>
      <c r="V192" s="267"/>
      <c r="W192" s="267"/>
      <c r="X192" s="267"/>
      <c r="Y192" s="267"/>
      <c r="Z192" s="267"/>
      <c r="AA192" s="267"/>
      <c r="AB192" s="267"/>
      <c r="AC192" s="267"/>
      <c r="AD192" s="293"/>
      <c r="AE192" s="293"/>
      <c r="AF192" s="293"/>
      <c r="AG192" s="293"/>
      <c r="AH192" s="293"/>
      <c r="AI192" s="293"/>
      <c r="AJ192" s="293"/>
      <c r="AK192" s="293"/>
      <c r="AL192" s="293"/>
      <c r="AM192" s="293"/>
      <c r="AN192" s="293"/>
      <c r="AO192" s="293"/>
      <c r="AP192" s="293"/>
      <c r="AQ192" s="293"/>
    </row>
    <row r="193" ht="13.5" customHeight="1">
      <c r="A193" s="306"/>
      <c r="B193" s="256" t="s">
        <v>779</v>
      </c>
      <c r="C193" s="379">
        <v>50.0</v>
      </c>
      <c r="D193" s="379"/>
      <c r="E193" s="379">
        <v>1.0</v>
      </c>
      <c r="F193" s="388" t="s">
        <v>761</v>
      </c>
      <c r="G193" s="384">
        <f t="shared" si="54"/>
        <v>50</v>
      </c>
      <c r="H193" s="95"/>
      <c r="I193" s="389" t="str">
        <f t="shared" ref="I193:I198" si="56">F193</f>
        <v>sqft</v>
      </c>
      <c r="J193" s="382"/>
      <c r="K193" s="382">
        <v>168.0</v>
      </c>
      <c r="L193" s="386">
        <f t="shared" si="55"/>
        <v>8400</v>
      </c>
      <c r="M193" s="117"/>
      <c r="N193" s="267"/>
      <c r="O193" s="267"/>
      <c r="P193" s="267"/>
      <c r="Q193" s="267"/>
      <c r="R193" s="267"/>
      <c r="S193" s="267"/>
      <c r="T193" s="267"/>
      <c r="U193" s="267"/>
      <c r="V193" s="267"/>
      <c r="W193" s="267"/>
      <c r="X193" s="267"/>
      <c r="Y193" s="267"/>
      <c r="Z193" s="267"/>
      <c r="AA193" s="267"/>
      <c r="AB193" s="267"/>
      <c r="AC193" s="267"/>
      <c r="AD193" s="293"/>
      <c r="AE193" s="293"/>
      <c r="AF193" s="293"/>
      <c r="AG193" s="293"/>
      <c r="AH193" s="293"/>
      <c r="AI193" s="293"/>
      <c r="AJ193" s="293"/>
      <c r="AK193" s="293"/>
      <c r="AL193" s="293"/>
      <c r="AM193" s="293"/>
      <c r="AN193" s="293"/>
      <c r="AO193" s="293"/>
      <c r="AP193" s="293"/>
      <c r="AQ193" s="293"/>
    </row>
    <row r="194" ht="13.5" customHeight="1">
      <c r="A194" s="306"/>
      <c r="B194" s="256" t="s">
        <v>862</v>
      </c>
      <c r="C194" s="379">
        <v>50.0</v>
      </c>
      <c r="D194" s="379"/>
      <c r="E194" s="379">
        <v>1.0</v>
      </c>
      <c r="F194" s="388" t="s">
        <v>761</v>
      </c>
      <c r="G194" s="384">
        <f t="shared" si="54"/>
        <v>50</v>
      </c>
      <c r="H194" s="95"/>
      <c r="I194" s="389" t="str">
        <f t="shared" si="56"/>
        <v>sqft</v>
      </c>
      <c r="J194" s="382"/>
      <c r="K194" s="382">
        <v>358.0</v>
      </c>
      <c r="L194" s="386">
        <f t="shared" si="55"/>
        <v>17900</v>
      </c>
      <c r="M194" s="117"/>
      <c r="N194" s="267"/>
      <c r="O194" s="267"/>
      <c r="P194" s="267"/>
      <c r="Q194" s="267"/>
      <c r="R194" s="267"/>
      <c r="S194" s="267"/>
      <c r="T194" s="267"/>
      <c r="U194" s="267"/>
      <c r="V194" s="267"/>
      <c r="W194" s="267"/>
      <c r="X194" s="267"/>
      <c r="Y194" s="267"/>
      <c r="Z194" s="267"/>
      <c r="AA194" s="267"/>
      <c r="AB194" s="267"/>
      <c r="AC194" s="267"/>
      <c r="AD194" s="293"/>
      <c r="AE194" s="293"/>
      <c r="AF194" s="293"/>
      <c r="AG194" s="293"/>
      <c r="AH194" s="293"/>
      <c r="AI194" s="293"/>
      <c r="AJ194" s="293"/>
      <c r="AK194" s="293"/>
      <c r="AL194" s="293"/>
      <c r="AM194" s="293"/>
      <c r="AN194" s="293"/>
      <c r="AO194" s="293"/>
      <c r="AP194" s="293"/>
      <c r="AQ194" s="293"/>
    </row>
    <row r="195" ht="13.5" customHeight="1">
      <c r="A195" s="306"/>
      <c r="B195" s="256" t="s">
        <v>863</v>
      </c>
      <c r="C195" s="379">
        <v>20.0</v>
      </c>
      <c r="D195" s="379"/>
      <c r="E195" s="379">
        <v>1.0</v>
      </c>
      <c r="F195" s="388" t="s">
        <v>767</v>
      </c>
      <c r="G195" s="384">
        <f t="shared" si="54"/>
        <v>20</v>
      </c>
      <c r="H195" s="95"/>
      <c r="I195" s="389" t="str">
        <f t="shared" si="56"/>
        <v>rft</v>
      </c>
      <c r="J195" s="382"/>
      <c r="K195" s="382">
        <v>358.0</v>
      </c>
      <c r="L195" s="386">
        <f t="shared" ref="L195:L198" si="57">K195*E195*C195</f>
        <v>7160</v>
      </c>
      <c r="M195" s="117"/>
      <c r="N195" s="267"/>
      <c r="O195" s="267"/>
      <c r="P195" s="267"/>
      <c r="Q195" s="267"/>
      <c r="R195" s="267"/>
      <c r="S195" s="267"/>
      <c r="T195" s="267"/>
      <c r="U195" s="267"/>
      <c r="V195" s="267"/>
      <c r="W195" s="267"/>
      <c r="X195" s="267"/>
      <c r="Y195" s="267"/>
      <c r="Z195" s="267"/>
      <c r="AA195" s="267"/>
      <c r="AB195" s="267"/>
      <c r="AC195" s="267"/>
      <c r="AD195" s="293"/>
      <c r="AE195" s="293"/>
      <c r="AF195" s="293"/>
      <c r="AG195" s="293"/>
      <c r="AH195" s="293"/>
      <c r="AI195" s="293"/>
      <c r="AJ195" s="293"/>
      <c r="AK195" s="293"/>
      <c r="AL195" s="293"/>
      <c r="AM195" s="293"/>
      <c r="AN195" s="293"/>
      <c r="AO195" s="293"/>
      <c r="AP195" s="293"/>
      <c r="AQ195" s="293"/>
    </row>
    <row r="196" ht="13.5" customHeight="1">
      <c r="A196" s="306"/>
      <c r="B196" s="256" t="s">
        <v>864</v>
      </c>
      <c r="C196" s="379">
        <v>20.0</v>
      </c>
      <c r="D196" s="379"/>
      <c r="E196" s="379">
        <v>1.0</v>
      </c>
      <c r="F196" s="388" t="s">
        <v>767</v>
      </c>
      <c r="G196" s="384">
        <f t="shared" si="54"/>
        <v>20</v>
      </c>
      <c r="H196" s="95"/>
      <c r="I196" s="389" t="str">
        <f t="shared" si="56"/>
        <v>rft</v>
      </c>
      <c r="J196" s="382"/>
      <c r="K196" s="382">
        <v>358.0</v>
      </c>
      <c r="L196" s="386">
        <f t="shared" si="57"/>
        <v>7160</v>
      </c>
      <c r="M196" s="117"/>
      <c r="N196" s="267"/>
      <c r="O196" s="267"/>
      <c r="P196" s="267"/>
      <c r="Q196" s="267"/>
      <c r="R196" s="267"/>
      <c r="S196" s="267"/>
      <c r="T196" s="267"/>
      <c r="U196" s="267"/>
      <c r="V196" s="267"/>
      <c r="W196" s="267"/>
      <c r="X196" s="267"/>
      <c r="Y196" s="267"/>
      <c r="Z196" s="267"/>
      <c r="AA196" s="267"/>
      <c r="AB196" s="267"/>
      <c r="AC196" s="267"/>
      <c r="AD196" s="293"/>
      <c r="AE196" s="293"/>
      <c r="AF196" s="293"/>
      <c r="AG196" s="293"/>
      <c r="AH196" s="293"/>
      <c r="AI196" s="293"/>
      <c r="AJ196" s="293"/>
      <c r="AK196" s="293"/>
      <c r="AL196" s="293"/>
      <c r="AM196" s="293"/>
      <c r="AN196" s="293"/>
      <c r="AO196" s="293"/>
      <c r="AP196" s="293"/>
      <c r="AQ196" s="293"/>
    </row>
    <row r="197" ht="13.5" customHeight="1">
      <c r="A197" s="306"/>
      <c r="B197" s="256" t="s">
        <v>774</v>
      </c>
      <c r="C197" s="379">
        <v>2.0</v>
      </c>
      <c r="D197" s="379"/>
      <c r="E197" s="379">
        <v>1.0</v>
      </c>
      <c r="F197" s="388" t="s">
        <v>764</v>
      </c>
      <c r="G197" s="384">
        <v>2.0</v>
      </c>
      <c r="H197" s="95"/>
      <c r="I197" s="389" t="str">
        <f t="shared" si="56"/>
        <v>nos</v>
      </c>
      <c r="J197" s="382"/>
      <c r="K197" s="382">
        <v>1430.0</v>
      </c>
      <c r="L197" s="386">
        <f t="shared" si="57"/>
        <v>2860</v>
      </c>
      <c r="M197" s="117"/>
      <c r="N197" s="267"/>
      <c r="O197" s="267"/>
      <c r="P197" s="267"/>
      <c r="Q197" s="267"/>
      <c r="R197" s="267"/>
      <c r="S197" s="267"/>
      <c r="T197" s="267"/>
      <c r="U197" s="267"/>
      <c r="V197" s="267"/>
      <c r="W197" s="267"/>
      <c r="X197" s="267"/>
      <c r="Y197" s="267"/>
      <c r="Z197" s="267"/>
      <c r="AA197" s="267"/>
      <c r="AB197" s="267"/>
      <c r="AC197" s="267"/>
      <c r="AD197" s="293"/>
      <c r="AE197" s="293"/>
      <c r="AF197" s="293"/>
      <c r="AG197" s="293"/>
      <c r="AH197" s="293"/>
      <c r="AI197" s="293"/>
      <c r="AJ197" s="293"/>
      <c r="AK197" s="293"/>
      <c r="AL197" s="293"/>
      <c r="AM197" s="293"/>
      <c r="AN197" s="293"/>
      <c r="AO197" s="293"/>
      <c r="AP197" s="293"/>
      <c r="AQ197" s="293"/>
    </row>
    <row r="198" ht="13.5" customHeight="1">
      <c r="A198" s="306"/>
      <c r="B198" s="256" t="s">
        <v>784</v>
      </c>
      <c r="C198" s="379">
        <v>2.0</v>
      </c>
      <c r="D198" s="379"/>
      <c r="E198" s="379">
        <v>1.0</v>
      </c>
      <c r="F198" s="388" t="s">
        <v>764</v>
      </c>
      <c r="G198" s="384">
        <v>2.0</v>
      </c>
      <c r="H198" s="95"/>
      <c r="I198" s="389" t="str">
        <f t="shared" si="56"/>
        <v>nos</v>
      </c>
      <c r="J198" s="382"/>
      <c r="K198" s="382">
        <v>1500.0</v>
      </c>
      <c r="L198" s="386">
        <f t="shared" si="57"/>
        <v>3000</v>
      </c>
      <c r="M198" s="117"/>
      <c r="N198" s="267"/>
      <c r="O198" s="267"/>
      <c r="P198" s="267"/>
      <c r="Q198" s="267"/>
      <c r="R198" s="267"/>
      <c r="S198" s="267"/>
      <c r="T198" s="267"/>
      <c r="U198" s="267"/>
      <c r="V198" s="267"/>
      <c r="W198" s="267"/>
      <c r="X198" s="267"/>
      <c r="Y198" s="267"/>
      <c r="Z198" s="267"/>
      <c r="AA198" s="267"/>
      <c r="AB198" s="267"/>
      <c r="AC198" s="267"/>
      <c r="AD198" s="293"/>
      <c r="AE198" s="293"/>
      <c r="AF198" s="293"/>
      <c r="AG198" s="293"/>
      <c r="AH198" s="293"/>
      <c r="AI198" s="293"/>
      <c r="AJ198" s="293"/>
      <c r="AK198" s="293"/>
      <c r="AL198" s="293"/>
      <c r="AM198" s="293"/>
      <c r="AN198" s="293"/>
      <c r="AO198" s="293"/>
      <c r="AP198" s="293"/>
      <c r="AQ198" s="293"/>
    </row>
    <row r="199" ht="13.5" customHeight="1">
      <c r="A199" s="298"/>
      <c r="B199" s="274" t="s">
        <v>692</v>
      </c>
      <c r="C199" s="379"/>
      <c r="D199" s="379"/>
      <c r="E199" s="379"/>
      <c r="F199" s="379"/>
      <c r="G199" s="380"/>
      <c r="H199" s="380"/>
      <c r="I199" s="381"/>
      <c r="J199" s="382"/>
      <c r="K199" s="382"/>
      <c r="L199" s="383"/>
      <c r="M199" s="117"/>
      <c r="N199" s="267"/>
      <c r="O199" s="267"/>
      <c r="P199" s="267"/>
      <c r="Q199" s="267"/>
      <c r="R199" s="267"/>
      <c r="S199" s="267"/>
      <c r="T199" s="267"/>
      <c r="U199" s="267"/>
      <c r="V199" s="267"/>
      <c r="W199" s="267"/>
      <c r="X199" s="267"/>
      <c r="Y199" s="267"/>
      <c r="Z199" s="267"/>
      <c r="AA199" s="267"/>
      <c r="AB199" s="267"/>
      <c r="AC199" s="267"/>
      <c r="AD199" s="293"/>
      <c r="AE199" s="293"/>
      <c r="AF199" s="293"/>
      <c r="AG199" s="293"/>
      <c r="AH199" s="293"/>
      <c r="AI199" s="293"/>
      <c r="AJ199" s="293"/>
      <c r="AK199" s="293"/>
      <c r="AL199" s="293"/>
      <c r="AM199" s="293"/>
      <c r="AN199" s="293"/>
      <c r="AO199" s="293"/>
      <c r="AP199" s="293"/>
      <c r="AQ199" s="293"/>
    </row>
    <row r="200" ht="13.5" customHeight="1">
      <c r="A200" s="306"/>
      <c r="B200" s="256" t="s">
        <v>865</v>
      </c>
      <c r="C200" s="379">
        <v>50.0</v>
      </c>
      <c r="D200" s="379"/>
      <c r="E200" s="379">
        <v>1.0</v>
      </c>
      <c r="F200" s="379" t="s">
        <v>767</v>
      </c>
      <c r="G200" s="384">
        <f t="shared" ref="G200:G206" si="58">C200</f>
        <v>50</v>
      </c>
      <c r="H200" s="95"/>
      <c r="I200" s="389" t="str">
        <f t="shared" ref="I200:I206" si="59">F200</f>
        <v>rft</v>
      </c>
      <c r="J200" s="382"/>
      <c r="K200" s="382">
        <v>136.0</v>
      </c>
      <c r="L200" s="386">
        <f t="shared" ref="L200:L206" si="60">C200*E200*K200</f>
        <v>6800</v>
      </c>
      <c r="M200" s="117"/>
      <c r="N200" s="279"/>
      <c r="O200" s="279"/>
      <c r="P200" s="279"/>
      <c r="Q200" s="279"/>
      <c r="R200" s="279"/>
      <c r="S200" s="279"/>
      <c r="T200" s="279"/>
      <c r="U200" s="279"/>
      <c r="V200" s="279"/>
      <c r="W200" s="279"/>
      <c r="X200" s="279"/>
      <c r="Y200" s="279"/>
      <c r="Z200" s="279"/>
      <c r="AA200" s="279"/>
      <c r="AB200" s="279"/>
      <c r="AC200" s="279"/>
      <c r="AD200" s="387"/>
      <c r="AE200" s="387"/>
      <c r="AF200" s="293"/>
      <c r="AG200" s="293"/>
      <c r="AH200" s="293"/>
      <c r="AI200" s="293"/>
      <c r="AJ200" s="293"/>
      <c r="AK200" s="293"/>
      <c r="AL200" s="293"/>
      <c r="AM200" s="293"/>
      <c r="AN200" s="293"/>
      <c r="AO200" s="293"/>
      <c r="AP200" s="293"/>
      <c r="AQ200" s="293"/>
    </row>
    <row r="201" ht="13.5" customHeight="1">
      <c r="A201" s="306"/>
      <c r="B201" s="256" t="s">
        <v>866</v>
      </c>
      <c r="C201" s="379">
        <v>4.0</v>
      </c>
      <c r="D201" s="379"/>
      <c r="E201" s="379">
        <v>1.0</v>
      </c>
      <c r="F201" s="379" t="s">
        <v>764</v>
      </c>
      <c r="G201" s="384">
        <f t="shared" si="58"/>
        <v>4</v>
      </c>
      <c r="H201" s="95"/>
      <c r="I201" s="389" t="str">
        <f t="shared" si="59"/>
        <v>nos</v>
      </c>
      <c r="J201" s="382"/>
      <c r="K201" s="382">
        <v>1700.0</v>
      </c>
      <c r="L201" s="386">
        <f t="shared" si="60"/>
        <v>6800</v>
      </c>
      <c r="M201" s="117"/>
      <c r="N201" s="279"/>
      <c r="O201" s="279"/>
      <c r="P201" s="279"/>
      <c r="Q201" s="279"/>
      <c r="R201" s="279"/>
      <c r="S201" s="279"/>
      <c r="T201" s="279"/>
      <c r="U201" s="279"/>
      <c r="V201" s="279"/>
      <c r="W201" s="279"/>
      <c r="X201" s="279"/>
      <c r="Y201" s="279"/>
      <c r="Z201" s="279"/>
      <c r="AA201" s="279"/>
      <c r="AB201" s="279"/>
      <c r="AC201" s="279"/>
      <c r="AD201" s="387"/>
      <c r="AE201" s="387"/>
      <c r="AF201" s="293"/>
      <c r="AG201" s="293"/>
      <c r="AH201" s="293"/>
      <c r="AI201" s="293"/>
      <c r="AJ201" s="293"/>
      <c r="AK201" s="293"/>
      <c r="AL201" s="293"/>
      <c r="AM201" s="293"/>
      <c r="AN201" s="293"/>
      <c r="AO201" s="293"/>
      <c r="AP201" s="293"/>
      <c r="AQ201" s="293"/>
    </row>
    <row r="202" ht="13.5" customHeight="1">
      <c r="A202" s="306"/>
      <c r="B202" s="256" t="s">
        <v>867</v>
      </c>
      <c r="C202" s="379">
        <v>100.0</v>
      </c>
      <c r="D202" s="379"/>
      <c r="E202" s="379">
        <v>1.0</v>
      </c>
      <c r="F202" s="379" t="s">
        <v>767</v>
      </c>
      <c r="G202" s="384">
        <f t="shared" si="58"/>
        <v>100</v>
      </c>
      <c r="H202" s="95"/>
      <c r="I202" s="389" t="str">
        <f t="shared" si="59"/>
        <v>rft</v>
      </c>
      <c r="J202" s="382"/>
      <c r="K202" s="382">
        <v>170.0</v>
      </c>
      <c r="L202" s="386">
        <f t="shared" si="60"/>
        <v>17000</v>
      </c>
      <c r="M202" s="117"/>
      <c r="N202" s="279"/>
      <c r="O202" s="279"/>
      <c r="P202" s="279"/>
      <c r="Q202" s="279"/>
      <c r="R202" s="279"/>
      <c r="S202" s="279"/>
      <c r="T202" s="279"/>
      <c r="U202" s="279"/>
      <c r="V202" s="279"/>
      <c r="W202" s="279"/>
      <c r="X202" s="279"/>
      <c r="Y202" s="279"/>
      <c r="Z202" s="279"/>
      <c r="AA202" s="279"/>
      <c r="AB202" s="279"/>
      <c r="AC202" s="279"/>
      <c r="AD202" s="387"/>
      <c r="AE202" s="387"/>
      <c r="AF202" s="293"/>
      <c r="AG202" s="293"/>
      <c r="AH202" s="293"/>
      <c r="AI202" s="293"/>
      <c r="AJ202" s="293"/>
      <c r="AK202" s="293"/>
      <c r="AL202" s="293"/>
      <c r="AM202" s="293"/>
      <c r="AN202" s="293"/>
      <c r="AO202" s="293"/>
      <c r="AP202" s="293"/>
      <c r="AQ202" s="293"/>
    </row>
    <row r="203" ht="13.5" customHeight="1">
      <c r="A203" s="306"/>
      <c r="B203" s="256" t="s">
        <v>868</v>
      </c>
      <c r="C203" s="379">
        <v>21.0</v>
      </c>
      <c r="D203" s="379"/>
      <c r="E203" s="379">
        <v>1.0</v>
      </c>
      <c r="F203" s="379" t="s">
        <v>761</v>
      </c>
      <c r="G203" s="384">
        <f t="shared" si="58"/>
        <v>21</v>
      </c>
      <c r="H203" s="95"/>
      <c r="I203" s="389" t="str">
        <f t="shared" si="59"/>
        <v>sqft</v>
      </c>
      <c r="J203" s="382"/>
      <c r="K203" s="382">
        <v>2310.0</v>
      </c>
      <c r="L203" s="386">
        <f t="shared" si="60"/>
        <v>48510</v>
      </c>
      <c r="M203" s="117"/>
      <c r="N203" s="279"/>
      <c r="O203" s="279"/>
      <c r="P203" s="279"/>
      <c r="Q203" s="279"/>
      <c r="R203" s="279"/>
      <c r="S203" s="279"/>
      <c r="T203" s="279"/>
      <c r="U203" s="279"/>
      <c r="V203" s="279"/>
      <c r="W203" s="279"/>
      <c r="X203" s="279"/>
      <c r="Y203" s="279"/>
      <c r="Z203" s="279"/>
      <c r="AA203" s="279"/>
      <c r="AB203" s="279"/>
      <c r="AC203" s="279"/>
      <c r="AD203" s="387"/>
      <c r="AE203" s="387"/>
      <c r="AF203" s="293"/>
      <c r="AG203" s="293"/>
      <c r="AH203" s="293"/>
      <c r="AI203" s="293"/>
      <c r="AJ203" s="293"/>
      <c r="AK203" s="293"/>
      <c r="AL203" s="293"/>
      <c r="AM203" s="293"/>
      <c r="AN203" s="293"/>
      <c r="AO203" s="293"/>
      <c r="AP203" s="293"/>
      <c r="AQ203" s="293"/>
    </row>
    <row r="204" ht="13.5" customHeight="1">
      <c r="A204" s="306"/>
      <c r="B204" s="256" t="s">
        <v>869</v>
      </c>
      <c r="C204" s="379">
        <v>60.0</v>
      </c>
      <c r="D204" s="379"/>
      <c r="E204" s="379">
        <v>1.0</v>
      </c>
      <c r="F204" s="379" t="s">
        <v>761</v>
      </c>
      <c r="G204" s="384">
        <f t="shared" si="58"/>
        <v>60</v>
      </c>
      <c r="H204" s="95"/>
      <c r="I204" s="389" t="str">
        <f t="shared" si="59"/>
        <v>sqft</v>
      </c>
      <c r="J204" s="382"/>
      <c r="K204" s="382">
        <v>2661.0</v>
      </c>
      <c r="L204" s="386">
        <f t="shared" si="60"/>
        <v>159660</v>
      </c>
      <c r="M204" s="117"/>
      <c r="N204" s="279"/>
      <c r="O204" s="279"/>
      <c r="P204" s="279"/>
      <c r="Q204" s="279"/>
      <c r="R204" s="279"/>
      <c r="S204" s="279"/>
      <c r="T204" s="279"/>
      <c r="U204" s="279"/>
      <c r="V204" s="279"/>
      <c r="W204" s="279"/>
      <c r="X204" s="279"/>
      <c r="Y204" s="279"/>
      <c r="Z204" s="279"/>
      <c r="AA204" s="279"/>
      <c r="AB204" s="279"/>
      <c r="AC204" s="279"/>
      <c r="AD204" s="387"/>
      <c r="AE204" s="387"/>
      <c r="AF204" s="293"/>
      <c r="AG204" s="293"/>
      <c r="AH204" s="293"/>
      <c r="AI204" s="293"/>
      <c r="AJ204" s="293"/>
      <c r="AK204" s="293"/>
      <c r="AL204" s="293"/>
      <c r="AM204" s="293"/>
      <c r="AN204" s="293"/>
      <c r="AO204" s="293"/>
      <c r="AP204" s="293"/>
      <c r="AQ204" s="293"/>
    </row>
    <row r="205" ht="13.5" customHeight="1">
      <c r="A205" s="306"/>
      <c r="B205" s="256" t="s">
        <v>870</v>
      </c>
      <c r="C205" s="379">
        <v>2.0</v>
      </c>
      <c r="D205" s="379"/>
      <c r="E205" s="379">
        <v>1.0</v>
      </c>
      <c r="F205" s="379" t="s">
        <v>761</v>
      </c>
      <c r="G205" s="384">
        <f t="shared" si="58"/>
        <v>2</v>
      </c>
      <c r="H205" s="95"/>
      <c r="I205" s="389" t="str">
        <f t="shared" si="59"/>
        <v>sqft</v>
      </c>
      <c r="J205" s="382"/>
      <c r="K205" s="382">
        <v>4303.0</v>
      </c>
      <c r="L205" s="386">
        <f t="shared" si="60"/>
        <v>8606</v>
      </c>
      <c r="M205" s="117"/>
      <c r="N205" s="279"/>
      <c r="O205" s="279"/>
      <c r="P205" s="279"/>
      <c r="Q205" s="279"/>
      <c r="R205" s="279"/>
      <c r="S205" s="279"/>
      <c r="T205" s="279"/>
      <c r="U205" s="279"/>
      <c r="V205" s="279"/>
      <c r="W205" s="279"/>
      <c r="X205" s="279"/>
      <c r="Y205" s="279"/>
      <c r="Z205" s="279"/>
      <c r="AA205" s="279"/>
      <c r="AB205" s="279"/>
      <c r="AC205" s="279"/>
      <c r="AD205" s="387"/>
      <c r="AE205" s="387"/>
      <c r="AF205" s="293"/>
      <c r="AG205" s="293"/>
      <c r="AH205" s="293"/>
      <c r="AI205" s="293"/>
      <c r="AJ205" s="293"/>
      <c r="AK205" s="293"/>
      <c r="AL205" s="293"/>
      <c r="AM205" s="293"/>
      <c r="AN205" s="293"/>
      <c r="AO205" s="293"/>
      <c r="AP205" s="293"/>
      <c r="AQ205" s="293"/>
    </row>
    <row r="206" ht="13.5" customHeight="1">
      <c r="A206" s="306"/>
      <c r="B206" s="256" t="s">
        <v>871</v>
      </c>
      <c r="C206" s="379">
        <v>4.0</v>
      </c>
      <c r="D206" s="379"/>
      <c r="E206" s="379">
        <v>1.0</v>
      </c>
      <c r="F206" s="379" t="s">
        <v>761</v>
      </c>
      <c r="G206" s="384">
        <f t="shared" si="58"/>
        <v>4</v>
      </c>
      <c r="H206" s="95"/>
      <c r="I206" s="389" t="str">
        <f t="shared" si="59"/>
        <v>sqft</v>
      </c>
      <c r="J206" s="382"/>
      <c r="K206" s="382">
        <v>4303.0</v>
      </c>
      <c r="L206" s="386">
        <f t="shared" si="60"/>
        <v>17212</v>
      </c>
      <c r="M206" s="117"/>
      <c r="N206" s="279"/>
      <c r="O206" s="279"/>
      <c r="P206" s="279"/>
      <c r="Q206" s="279"/>
      <c r="R206" s="279"/>
      <c r="S206" s="279"/>
      <c r="T206" s="279"/>
      <c r="U206" s="279"/>
      <c r="V206" s="279"/>
      <c r="W206" s="279"/>
      <c r="X206" s="279"/>
      <c r="Y206" s="279"/>
      <c r="Z206" s="279"/>
      <c r="AA206" s="279"/>
      <c r="AB206" s="279"/>
      <c r="AC206" s="279"/>
      <c r="AD206" s="387"/>
      <c r="AE206" s="387"/>
      <c r="AF206" s="293"/>
      <c r="AG206" s="293"/>
      <c r="AH206" s="293"/>
      <c r="AI206" s="293"/>
      <c r="AJ206" s="293"/>
      <c r="AK206" s="293"/>
      <c r="AL206" s="293"/>
      <c r="AM206" s="293"/>
      <c r="AN206" s="293"/>
      <c r="AO206" s="293"/>
      <c r="AP206" s="293"/>
      <c r="AQ206" s="293"/>
    </row>
    <row r="207" ht="13.5" customHeight="1">
      <c r="A207" s="298"/>
      <c r="B207" s="274" t="s">
        <v>853</v>
      </c>
      <c r="C207" s="379"/>
      <c r="D207" s="379"/>
      <c r="E207" s="379"/>
      <c r="F207" s="379"/>
      <c r="G207" s="380"/>
      <c r="H207" s="380"/>
      <c r="I207" s="381"/>
      <c r="J207" s="382"/>
      <c r="K207" s="382"/>
      <c r="L207" s="383"/>
      <c r="M207" s="117"/>
      <c r="N207" s="267"/>
      <c r="O207" s="267"/>
      <c r="P207" s="267"/>
      <c r="Q207" s="267"/>
      <c r="R207" s="267"/>
      <c r="S207" s="267"/>
      <c r="T207" s="267"/>
      <c r="U207" s="267"/>
      <c r="V207" s="267"/>
      <c r="W207" s="267"/>
      <c r="X207" s="267"/>
      <c r="Y207" s="267"/>
      <c r="Z207" s="267"/>
      <c r="AA207" s="267"/>
      <c r="AB207" s="267"/>
      <c r="AC207" s="267"/>
      <c r="AD207" s="293"/>
      <c r="AE207" s="293"/>
      <c r="AF207" s="293"/>
      <c r="AG207" s="293"/>
      <c r="AH207" s="293"/>
      <c r="AI207" s="293"/>
      <c r="AJ207" s="293"/>
      <c r="AK207" s="293"/>
      <c r="AL207" s="293"/>
      <c r="AM207" s="293"/>
      <c r="AN207" s="293"/>
      <c r="AO207" s="293"/>
      <c r="AP207" s="293"/>
      <c r="AQ207" s="293"/>
    </row>
    <row r="208" ht="13.5" customHeight="1">
      <c r="A208" s="306"/>
      <c r="B208" s="256" t="s">
        <v>765</v>
      </c>
      <c r="C208" s="379">
        <v>1.0</v>
      </c>
      <c r="D208" s="379"/>
      <c r="E208" s="379">
        <v>1.0</v>
      </c>
      <c r="F208" s="388" t="s">
        <v>764</v>
      </c>
      <c r="G208" s="384">
        <v>1.0</v>
      </c>
      <c r="H208" s="95"/>
      <c r="I208" s="389" t="str">
        <f t="shared" ref="I208:I211" si="61">F208</f>
        <v>nos</v>
      </c>
      <c r="J208" s="382"/>
      <c r="K208" s="382">
        <v>2574.0</v>
      </c>
      <c r="L208" s="386">
        <f>K208*E208*C208</f>
        <v>2574</v>
      </c>
      <c r="M208" s="117"/>
      <c r="N208" s="267"/>
      <c r="O208" s="267"/>
      <c r="P208" s="267"/>
      <c r="Q208" s="267"/>
      <c r="R208" s="267"/>
      <c r="S208" s="267"/>
      <c r="T208" s="267"/>
      <c r="U208" s="267"/>
      <c r="V208" s="267"/>
      <c r="W208" s="267"/>
      <c r="X208" s="267"/>
      <c r="Y208" s="267"/>
      <c r="Z208" s="267"/>
      <c r="AA208" s="267"/>
      <c r="AB208" s="267"/>
      <c r="AC208" s="267"/>
      <c r="AD208" s="293"/>
      <c r="AE208" s="293"/>
      <c r="AF208" s="293"/>
      <c r="AG208" s="293"/>
      <c r="AH208" s="293"/>
      <c r="AI208" s="293"/>
      <c r="AJ208" s="293"/>
      <c r="AK208" s="293"/>
      <c r="AL208" s="293"/>
      <c r="AM208" s="293"/>
      <c r="AN208" s="293"/>
      <c r="AO208" s="293"/>
      <c r="AP208" s="293"/>
      <c r="AQ208" s="293"/>
    </row>
    <row r="209" ht="13.5" customHeight="1">
      <c r="A209" s="306"/>
      <c r="B209" s="256" t="s">
        <v>872</v>
      </c>
      <c r="C209" s="379">
        <v>60.0</v>
      </c>
      <c r="D209" s="379"/>
      <c r="E209" s="379">
        <v>1.0</v>
      </c>
      <c r="F209" s="379" t="s">
        <v>761</v>
      </c>
      <c r="G209" s="384">
        <f t="shared" ref="G209:G210" si="62">C209</f>
        <v>60</v>
      </c>
      <c r="H209" s="95"/>
      <c r="I209" s="389" t="str">
        <f t="shared" si="61"/>
        <v>sqft</v>
      </c>
      <c r="J209" s="382"/>
      <c r="K209" s="382">
        <v>2310.0</v>
      </c>
      <c r="L209" s="386">
        <f t="shared" ref="L209:L210" si="63">C209*E209*K209</f>
        <v>138600</v>
      </c>
      <c r="M209" s="117"/>
      <c r="N209" s="279"/>
      <c r="O209" s="279"/>
      <c r="P209" s="279"/>
      <c r="Q209" s="279"/>
      <c r="R209" s="279"/>
      <c r="S209" s="279"/>
      <c r="T209" s="279"/>
      <c r="U209" s="279"/>
      <c r="V209" s="279"/>
      <c r="W209" s="279"/>
      <c r="X209" s="279"/>
      <c r="Y209" s="279"/>
      <c r="Z209" s="279"/>
      <c r="AA209" s="279"/>
      <c r="AB209" s="279"/>
      <c r="AC209" s="279"/>
      <c r="AD209" s="387"/>
      <c r="AE209" s="387"/>
      <c r="AF209" s="293"/>
      <c r="AG209" s="293"/>
      <c r="AH209" s="293"/>
      <c r="AI209" s="293"/>
      <c r="AJ209" s="293"/>
      <c r="AK209" s="293"/>
      <c r="AL209" s="293"/>
      <c r="AM209" s="293"/>
      <c r="AN209" s="293"/>
      <c r="AO209" s="293"/>
      <c r="AP209" s="293"/>
      <c r="AQ209" s="293"/>
    </row>
    <row r="210" ht="13.5" customHeight="1">
      <c r="A210" s="306"/>
      <c r="B210" s="256" t="s">
        <v>778</v>
      </c>
      <c r="C210" s="379">
        <v>15.0</v>
      </c>
      <c r="D210" s="379"/>
      <c r="E210" s="379">
        <v>1.0</v>
      </c>
      <c r="F210" s="379" t="s">
        <v>767</v>
      </c>
      <c r="G210" s="384">
        <f t="shared" si="62"/>
        <v>15</v>
      </c>
      <c r="H210" s="95"/>
      <c r="I210" s="385" t="str">
        <f t="shared" si="61"/>
        <v>rft</v>
      </c>
      <c r="J210" s="382"/>
      <c r="K210" s="382">
        <v>579.0</v>
      </c>
      <c r="L210" s="386">
        <f t="shared" si="63"/>
        <v>8685</v>
      </c>
      <c r="M210" s="117"/>
      <c r="N210" s="279"/>
      <c r="O210" s="279"/>
      <c r="P210" s="279"/>
      <c r="Q210" s="279"/>
      <c r="R210" s="279"/>
      <c r="S210" s="279"/>
      <c r="T210" s="279"/>
      <c r="U210" s="279"/>
      <c r="V210" s="279"/>
      <c r="W210" s="279"/>
      <c r="X210" s="279"/>
      <c r="Y210" s="279"/>
      <c r="Z210" s="279"/>
      <c r="AA210" s="279"/>
      <c r="AB210" s="279"/>
      <c r="AC210" s="279"/>
      <c r="AD210" s="387"/>
      <c r="AE210" s="387"/>
      <c r="AF210" s="293"/>
      <c r="AG210" s="293"/>
      <c r="AH210" s="293"/>
      <c r="AI210" s="293"/>
      <c r="AJ210" s="293"/>
      <c r="AK210" s="293"/>
      <c r="AL210" s="293"/>
      <c r="AM210" s="293"/>
      <c r="AN210" s="293"/>
      <c r="AO210" s="293"/>
      <c r="AP210" s="293"/>
      <c r="AQ210" s="293"/>
    </row>
    <row r="211" ht="13.5" customHeight="1">
      <c r="A211" s="306"/>
      <c r="B211" s="256" t="s">
        <v>772</v>
      </c>
      <c r="C211" s="379">
        <v>1.0</v>
      </c>
      <c r="D211" s="379"/>
      <c r="E211" s="379">
        <v>1.0</v>
      </c>
      <c r="F211" s="388" t="s">
        <v>764</v>
      </c>
      <c r="G211" s="384">
        <v>1.0</v>
      </c>
      <c r="H211" s="95"/>
      <c r="I211" s="389" t="str">
        <f t="shared" si="61"/>
        <v>nos</v>
      </c>
      <c r="J211" s="382"/>
      <c r="K211" s="382">
        <v>2574.0</v>
      </c>
      <c r="L211" s="386">
        <f>K211*E211*C211</f>
        <v>2574</v>
      </c>
      <c r="M211" s="117"/>
      <c r="N211" s="267"/>
      <c r="O211" s="267"/>
      <c r="P211" s="267"/>
      <c r="Q211" s="267"/>
      <c r="R211" s="267"/>
      <c r="S211" s="267"/>
      <c r="T211" s="267"/>
      <c r="U211" s="267"/>
      <c r="V211" s="267"/>
      <c r="W211" s="267"/>
      <c r="X211" s="267"/>
      <c r="Y211" s="267"/>
      <c r="Z211" s="267"/>
      <c r="AA211" s="267"/>
      <c r="AB211" s="267"/>
      <c r="AC211" s="267"/>
      <c r="AD211" s="293"/>
      <c r="AE211" s="293"/>
      <c r="AF211" s="293"/>
      <c r="AG211" s="293"/>
      <c r="AH211" s="293"/>
      <c r="AI211" s="293"/>
      <c r="AJ211" s="293"/>
      <c r="AK211" s="293"/>
      <c r="AL211" s="293"/>
      <c r="AM211" s="293"/>
      <c r="AN211" s="293"/>
      <c r="AO211" s="293"/>
      <c r="AP211" s="293"/>
      <c r="AQ211" s="293"/>
    </row>
    <row r="212" ht="13.5" customHeight="1">
      <c r="A212" s="298"/>
      <c r="B212" s="274" t="s">
        <v>735</v>
      </c>
      <c r="C212" s="379"/>
      <c r="D212" s="379"/>
      <c r="E212" s="379"/>
      <c r="F212" s="379"/>
      <c r="G212" s="380"/>
      <c r="H212" s="380"/>
      <c r="I212" s="381"/>
      <c r="J212" s="382"/>
      <c r="K212" s="382"/>
      <c r="L212" s="383"/>
      <c r="M212" s="117"/>
      <c r="N212" s="267"/>
      <c r="O212" s="267"/>
      <c r="P212" s="267"/>
      <c r="Q212" s="267"/>
      <c r="R212" s="267"/>
      <c r="S212" s="267"/>
      <c r="T212" s="267"/>
      <c r="U212" s="267"/>
      <c r="V212" s="267"/>
      <c r="W212" s="267"/>
      <c r="X212" s="267"/>
      <c r="Y212" s="267"/>
      <c r="Z212" s="267"/>
      <c r="AA212" s="267"/>
      <c r="AB212" s="267"/>
      <c r="AC212" s="267"/>
      <c r="AD212" s="293"/>
      <c r="AE212" s="293"/>
      <c r="AF212" s="293"/>
      <c r="AG212" s="293"/>
      <c r="AH212" s="293"/>
      <c r="AI212" s="293"/>
      <c r="AJ212" s="293"/>
      <c r="AK212" s="293"/>
      <c r="AL212" s="293"/>
      <c r="AM212" s="293"/>
      <c r="AN212" s="293"/>
      <c r="AO212" s="293"/>
      <c r="AP212" s="293"/>
      <c r="AQ212" s="293"/>
    </row>
    <row r="213" ht="13.5" customHeight="1">
      <c r="A213" s="306"/>
      <c r="B213" s="256" t="s">
        <v>873</v>
      </c>
      <c r="C213" s="379">
        <v>7.0</v>
      </c>
      <c r="D213" s="379"/>
      <c r="E213" s="379">
        <v>1.0</v>
      </c>
      <c r="F213" s="388" t="s">
        <v>761</v>
      </c>
      <c r="G213" s="384">
        <f t="shared" ref="G213:G214" si="64">C213</f>
        <v>7</v>
      </c>
      <c r="H213" s="95"/>
      <c r="I213" s="389" t="str">
        <f t="shared" ref="I213:I214" si="65">F213</f>
        <v>sqft</v>
      </c>
      <c r="J213" s="382"/>
      <c r="K213" s="382">
        <v>620.0</v>
      </c>
      <c r="L213" s="386">
        <f t="shared" ref="L213:L214" si="66">C213*E213*K213</f>
        <v>4340</v>
      </c>
      <c r="M213" s="117"/>
      <c r="N213" s="267"/>
      <c r="O213" s="267"/>
      <c r="P213" s="267"/>
      <c r="Q213" s="267"/>
      <c r="R213" s="267"/>
      <c r="S213" s="267"/>
      <c r="T213" s="267"/>
      <c r="U213" s="267"/>
      <c r="V213" s="267"/>
      <c r="W213" s="267"/>
      <c r="X213" s="267"/>
      <c r="Y213" s="267"/>
      <c r="Z213" s="267"/>
      <c r="AA213" s="267"/>
      <c r="AB213" s="267"/>
      <c r="AC213" s="267"/>
      <c r="AD213" s="293"/>
      <c r="AE213" s="293"/>
      <c r="AF213" s="293"/>
      <c r="AG213" s="293"/>
      <c r="AH213" s="293"/>
      <c r="AI213" s="293"/>
      <c r="AJ213" s="293"/>
      <c r="AK213" s="293"/>
      <c r="AL213" s="293"/>
      <c r="AM213" s="293"/>
      <c r="AN213" s="293"/>
      <c r="AO213" s="293"/>
      <c r="AP213" s="293"/>
      <c r="AQ213" s="293"/>
    </row>
    <row r="214" ht="13.5" customHeight="1">
      <c r="A214" s="306"/>
      <c r="B214" s="256" t="s">
        <v>874</v>
      </c>
      <c r="C214" s="379">
        <v>2.0</v>
      </c>
      <c r="D214" s="379"/>
      <c r="E214" s="379">
        <v>1.0</v>
      </c>
      <c r="F214" s="388" t="s">
        <v>761</v>
      </c>
      <c r="G214" s="384">
        <f t="shared" si="64"/>
        <v>2</v>
      </c>
      <c r="H214" s="95"/>
      <c r="I214" s="389" t="str">
        <f t="shared" si="65"/>
        <v>sqft</v>
      </c>
      <c r="J214" s="382"/>
      <c r="K214" s="390">
        <v>3500.0</v>
      </c>
      <c r="L214" s="386">
        <f t="shared" si="66"/>
        <v>7000</v>
      </c>
      <c r="M214" s="117"/>
      <c r="N214" s="267"/>
      <c r="O214" s="267"/>
      <c r="P214" s="267"/>
      <c r="Q214" s="267"/>
      <c r="R214" s="267"/>
      <c r="S214" s="267"/>
      <c r="T214" s="267"/>
      <c r="U214" s="267"/>
      <c r="V214" s="267"/>
      <c r="W214" s="267"/>
      <c r="X214" s="267"/>
      <c r="Y214" s="267"/>
      <c r="Z214" s="267"/>
      <c r="AA214" s="267"/>
      <c r="AB214" s="267"/>
      <c r="AC214" s="267"/>
      <c r="AD214" s="293"/>
      <c r="AE214" s="293"/>
      <c r="AF214" s="293"/>
      <c r="AG214" s="293"/>
      <c r="AH214" s="293"/>
      <c r="AI214" s="293"/>
      <c r="AJ214" s="293"/>
      <c r="AK214" s="293"/>
      <c r="AL214" s="293"/>
      <c r="AM214" s="293"/>
      <c r="AN214" s="293"/>
      <c r="AO214" s="293"/>
      <c r="AP214" s="293"/>
      <c r="AQ214" s="293"/>
    </row>
    <row r="215" ht="13.5" customHeight="1">
      <c r="A215" s="298"/>
      <c r="B215" s="274" t="s">
        <v>797</v>
      </c>
      <c r="C215" s="379"/>
      <c r="D215" s="379"/>
      <c r="E215" s="379"/>
      <c r="F215" s="379"/>
      <c r="G215" s="380"/>
      <c r="H215" s="380"/>
      <c r="I215" s="381"/>
      <c r="J215" s="382"/>
      <c r="K215" s="382"/>
      <c r="L215" s="383"/>
      <c r="M215" s="117"/>
      <c r="N215" s="267"/>
      <c r="O215" s="267"/>
      <c r="P215" s="267"/>
      <c r="Q215" s="267" t="s">
        <v>798</v>
      </c>
      <c r="R215" s="267"/>
      <c r="S215" s="267"/>
      <c r="T215" s="267"/>
      <c r="U215" s="267"/>
      <c r="V215" s="267"/>
      <c r="W215" s="267"/>
      <c r="X215" s="267"/>
      <c r="Y215" s="267"/>
      <c r="Z215" s="267"/>
      <c r="AA215" s="267"/>
      <c r="AB215" s="267"/>
      <c r="AC215" s="267"/>
      <c r="AD215" s="293"/>
      <c r="AE215" s="293"/>
      <c r="AF215" s="293"/>
      <c r="AG215" s="293"/>
      <c r="AH215" s="293"/>
      <c r="AI215" s="293"/>
      <c r="AJ215" s="293"/>
      <c r="AK215" s="293"/>
      <c r="AL215" s="293"/>
      <c r="AM215" s="293"/>
      <c r="AN215" s="293"/>
      <c r="AO215" s="293"/>
      <c r="AP215" s="293"/>
      <c r="AQ215" s="293"/>
    </row>
    <row r="216" ht="13.5" customHeight="1">
      <c r="A216" s="306"/>
      <c r="B216" s="256" t="s">
        <v>799</v>
      </c>
      <c r="C216" s="379">
        <v>600.0</v>
      </c>
      <c r="D216" s="379"/>
      <c r="E216" s="379">
        <v>1.0</v>
      </c>
      <c r="F216" s="388" t="s">
        <v>761</v>
      </c>
      <c r="G216" s="384">
        <f t="shared" ref="G216:G223" si="67">C216</f>
        <v>600</v>
      </c>
      <c r="H216" s="95"/>
      <c r="I216" s="389" t="str">
        <f t="shared" ref="I216:I221" si="68">F216</f>
        <v>sqft</v>
      </c>
      <c r="J216" s="382"/>
      <c r="K216" s="382">
        <v>82.0</v>
      </c>
      <c r="L216" s="386">
        <f t="shared" ref="L216:L218" si="69">K216*E216*C216</f>
        <v>49200</v>
      </c>
      <c r="M216" s="117"/>
      <c r="N216" s="267"/>
      <c r="O216" s="267"/>
      <c r="P216" s="267"/>
      <c r="Q216" s="267"/>
      <c r="R216" s="267"/>
      <c r="S216" s="267"/>
      <c r="T216" s="267"/>
      <c r="U216" s="267"/>
      <c r="V216" s="267"/>
      <c r="W216" s="267"/>
      <c r="X216" s="267"/>
      <c r="Y216" s="267"/>
      <c r="Z216" s="267"/>
      <c r="AA216" s="267"/>
      <c r="AB216" s="267"/>
      <c r="AC216" s="267"/>
      <c r="AD216" s="293"/>
      <c r="AE216" s="293"/>
      <c r="AF216" s="293"/>
      <c r="AG216" s="293"/>
      <c r="AH216" s="293"/>
      <c r="AI216" s="293"/>
      <c r="AJ216" s="293"/>
      <c r="AK216" s="293"/>
      <c r="AL216" s="293"/>
      <c r="AM216" s="293"/>
      <c r="AN216" s="293"/>
      <c r="AO216" s="293"/>
      <c r="AP216" s="293"/>
      <c r="AQ216" s="293"/>
    </row>
    <row r="217" ht="13.5" customHeight="1">
      <c r="A217" s="306"/>
      <c r="B217" s="256" t="s">
        <v>800</v>
      </c>
      <c r="C217" s="379">
        <v>600.0</v>
      </c>
      <c r="D217" s="379"/>
      <c r="E217" s="379">
        <v>1.0</v>
      </c>
      <c r="F217" s="388" t="s">
        <v>761</v>
      </c>
      <c r="G217" s="384">
        <f t="shared" si="67"/>
        <v>600</v>
      </c>
      <c r="H217" s="95"/>
      <c r="I217" s="389" t="str">
        <f t="shared" si="68"/>
        <v>sqft</v>
      </c>
      <c r="J217" s="382"/>
      <c r="K217" s="382">
        <v>82.0</v>
      </c>
      <c r="L217" s="386">
        <f t="shared" si="69"/>
        <v>49200</v>
      </c>
      <c r="M217" s="117"/>
      <c r="N217" s="267"/>
      <c r="O217" s="267"/>
      <c r="P217" s="267"/>
      <c r="Q217" s="267"/>
      <c r="R217" s="267"/>
      <c r="S217" s="267"/>
      <c r="T217" s="267"/>
      <c r="U217" s="267"/>
      <c r="V217" s="267"/>
      <c r="W217" s="267"/>
      <c r="X217" s="267"/>
      <c r="Y217" s="267"/>
      <c r="Z217" s="267"/>
      <c r="AA217" s="267"/>
      <c r="AB217" s="267"/>
      <c r="AC217" s="267"/>
      <c r="AD217" s="293"/>
      <c r="AE217" s="293"/>
      <c r="AF217" s="293"/>
      <c r="AG217" s="293"/>
      <c r="AH217" s="293"/>
      <c r="AI217" s="293"/>
      <c r="AJ217" s="293"/>
      <c r="AK217" s="293"/>
      <c r="AL217" s="293"/>
      <c r="AM217" s="293"/>
      <c r="AN217" s="293"/>
      <c r="AO217" s="293"/>
      <c r="AP217" s="293"/>
      <c r="AQ217" s="293"/>
    </row>
    <row r="218" ht="13.5" customHeight="1">
      <c r="A218" s="306"/>
      <c r="B218" s="256" t="s">
        <v>801</v>
      </c>
      <c r="C218" s="379">
        <v>600.0</v>
      </c>
      <c r="D218" s="379"/>
      <c r="E218" s="379">
        <v>1.0</v>
      </c>
      <c r="F218" s="388" t="s">
        <v>761</v>
      </c>
      <c r="G218" s="384">
        <f t="shared" si="67"/>
        <v>600</v>
      </c>
      <c r="H218" s="95"/>
      <c r="I218" s="389" t="str">
        <f t="shared" si="68"/>
        <v>sqft</v>
      </c>
      <c r="J218" s="382"/>
      <c r="K218" s="382">
        <v>29.0</v>
      </c>
      <c r="L218" s="386">
        <f t="shared" si="69"/>
        <v>17400</v>
      </c>
      <c r="M218" s="117"/>
      <c r="N218" s="267"/>
      <c r="O218" s="267"/>
      <c r="P218" s="267"/>
      <c r="Q218" s="267"/>
      <c r="R218" s="267"/>
      <c r="S218" s="267"/>
      <c r="T218" s="267"/>
      <c r="U218" s="267"/>
      <c r="V218" s="267"/>
      <c r="W218" s="267"/>
      <c r="X218" s="267"/>
      <c r="Y218" s="267"/>
      <c r="Z218" s="267"/>
      <c r="AA218" s="267"/>
      <c r="AB218" s="267"/>
      <c r="AC218" s="267"/>
      <c r="AD218" s="293"/>
      <c r="AE218" s="293"/>
      <c r="AF218" s="293"/>
      <c r="AG218" s="293"/>
      <c r="AH218" s="293"/>
      <c r="AI218" s="293"/>
      <c r="AJ218" s="293"/>
      <c r="AK218" s="293"/>
      <c r="AL218" s="293"/>
      <c r="AM218" s="293"/>
      <c r="AN218" s="293"/>
      <c r="AO218" s="293"/>
      <c r="AP218" s="293"/>
      <c r="AQ218" s="293"/>
    </row>
    <row r="219" ht="13.5" customHeight="1">
      <c r="A219" s="306"/>
      <c r="B219" s="256" t="s">
        <v>802</v>
      </c>
      <c r="C219" s="379">
        <v>75.0</v>
      </c>
      <c r="D219" s="379"/>
      <c r="E219" s="379">
        <v>1.0</v>
      </c>
      <c r="F219" s="379" t="s">
        <v>767</v>
      </c>
      <c r="G219" s="384">
        <f t="shared" si="67"/>
        <v>75</v>
      </c>
      <c r="H219" s="95"/>
      <c r="I219" s="389" t="str">
        <f t="shared" si="68"/>
        <v>rft</v>
      </c>
      <c r="J219" s="382"/>
      <c r="K219" s="382">
        <v>479.0</v>
      </c>
      <c r="L219" s="386">
        <f t="shared" ref="L219:L222" si="70">C219*E219*K219</f>
        <v>35925</v>
      </c>
      <c r="M219" s="117"/>
      <c r="N219" s="279"/>
      <c r="O219" s="279"/>
      <c r="P219" s="279"/>
      <c r="Q219" s="279"/>
      <c r="R219" s="279"/>
      <c r="S219" s="279"/>
      <c r="T219" s="279"/>
      <c r="U219" s="279"/>
      <c r="V219" s="279"/>
      <c r="W219" s="279"/>
      <c r="X219" s="279"/>
      <c r="Y219" s="279"/>
      <c r="Z219" s="279"/>
      <c r="AA219" s="279"/>
      <c r="AB219" s="279"/>
      <c r="AC219" s="279"/>
      <c r="AD219" s="387"/>
      <c r="AE219" s="387"/>
      <c r="AF219" s="293"/>
      <c r="AG219" s="293"/>
      <c r="AH219" s="293"/>
      <c r="AI219" s="293"/>
      <c r="AJ219" s="293"/>
      <c r="AK219" s="293"/>
      <c r="AL219" s="293"/>
      <c r="AM219" s="293"/>
      <c r="AN219" s="293"/>
      <c r="AO219" s="293"/>
      <c r="AP219" s="293"/>
      <c r="AQ219" s="293"/>
    </row>
    <row r="220" ht="13.5" customHeight="1">
      <c r="A220" s="306"/>
      <c r="B220" s="256" t="s">
        <v>803</v>
      </c>
      <c r="C220" s="379">
        <v>12.0</v>
      </c>
      <c r="D220" s="379"/>
      <c r="E220" s="379">
        <v>1.0</v>
      </c>
      <c r="F220" s="379" t="s">
        <v>764</v>
      </c>
      <c r="G220" s="384">
        <f t="shared" si="67"/>
        <v>12</v>
      </c>
      <c r="H220" s="95"/>
      <c r="I220" s="389" t="str">
        <f t="shared" si="68"/>
        <v>nos</v>
      </c>
      <c r="J220" s="382"/>
      <c r="K220" s="382">
        <v>1595.0</v>
      </c>
      <c r="L220" s="386">
        <f t="shared" si="70"/>
        <v>19140</v>
      </c>
      <c r="M220" s="117"/>
      <c r="N220" s="279"/>
      <c r="O220" s="279"/>
      <c r="P220" s="279"/>
      <c r="Q220" s="279"/>
      <c r="R220" s="279"/>
      <c r="S220" s="279"/>
      <c r="T220" s="279"/>
      <c r="U220" s="279"/>
      <c r="V220" s="279"/>
      <c r="W220" s="279"/>
      <c r="X220" s="279"/>
      <c r="Y220" s="279"/>
      <c r="Z220" s="279"/>
      <c r="AA220" s="279"/>
      <c r="AB220" s="279"/>
      <c r="AC220" s="279"/>
      <c r="AD220" s="387"/>
      <c r="AE220" s="387"/>
      <c r="AF220" s="293"/>
      <c r="AG220" s="293"/>
      <c r="AH220" s="293"/>
      <c r="AI220" s="293"/>
      <c r="AJ220" s="293"/>
      <c r="AK220" s="293"/>
      <c r="AL220" s="293"/>
      <c r="AM220" s="293"/>
      <c r="AN220" s="293"/>
      <c r="AO220" s="293"/>
      <c r="AP220" s="293"/>
      <c r="AQ220" s="293"/>
    </row>
    <row r="221" ht="13.5" customHeight="1">
      <c r="A221" s="306"/>
      <c r="B221" s="256" t="s">
        <v>804</v>
      </c>
      <c r="C221" s="379">
        <v>3.0</v>
      </c>
      <c r="D221" s="379"/>
      <c r="E221" s="379">
        <v>1.0</v>
      </c>
      <c r="F221" s="379" t="s">
        <v>764</v>
      </c>
      <c r="G221" s="384">
        <f t="shared" si="67"/>
        <v>3</v>
      </c>
      <c r="H221" s="95"/>
      <c r="I221" s="389" t="str">
        <f t="shared" si="68"/>
        <v>nos</v>
      </c>
      <c r="J221" s="382"/>
      <c r="K221" s="382">
        <v>1672.0</v>
      </c>
      <c r="L221" s="386">
        <f t="shared" si="70"/>
        <v>5016</v>
      </c>
      <c r="M221" s="117"/>
      <c r="N221" s="279"/>
      <c r="O221" s="279"/>
      <c r="P221" s="279"/>
      <c r="Q221" s="279"/>
      <c r="R221" s="279"/>
      <c r="S221" s="279"/>
      <c r="T221" s="279"/>
      <c r="U221" s="279"/>
      <c r="V221" s="279"/>
      <c r="W221" s="279"/>
      <c r="X221" s="279"/>
      <c r="Y221" s="279"/>
      <c r="Z221" s="279"/>
      <c r="AA221" s="279"/>
      <c r="AB221" s="279"/>
      <c r="AC221" s="279"/>
      <c r="AD221" s="387"/>
      <c r="AE221" s="387"/>
      <c r="AF221" s="293"/>
      <c r="AG221" s="293"/>
      <c r="AH221" s="293"/>
      <c r="AI221" s="293"/>
      <c r="AJ221" s="293"/>
      <c r="AK221" s="293"/>
      <c r="AL221" s="293"/>
      <c r="AM221" s="293"/>
      <c r="AN221" s="293"/>
      <c r="AO221" s="293"/>
      <c r="AP221" s="293"/>
      <c r="AQ221" s="293"/>
    </row>
    <row r="222" ht="13.5" customHeight="1">
      <c r="A222" s="306"/>
      <c r="B222" s="256" t="s">
        <v>875</v>
      </c>
      <c r="C222" s="379">
        <v>100.0</v>
      </c>
      <c r="D222" s="379"/>
      <c r="E222" s="379">
        <v>1.0</v>
      </c>
      <c r="F222" s="379" t="s">
        <v>764</v>
      </c>
      <c r="G222" s="384">
        <f t="shared" si="67"/>
        <v>100</v>
      </c>
      <c r="H222" s="95"/>
      <c r="I222" s="389" t="s">
        <v>761</v>
      </c>
      <c r="J222" s="382"/>
      <c r="K222" s="382">
        <v>515.0</v>
      </c>
      <c r="L222" s="386">
        <f t="shared" si="70"/>
        <v>51500</v>
      </c>
      <c r="M222" s="117"/>
      <c r="N222" s="279"/>
      <c r="O222" s="279"/>
      <c r="P222" s="279"/>
      <c r="Q222" s="279"/>
      <c r="R222" s="279"/>
      <c r="S222" s="279"/>
      <c r="T222" s="279"/>
      <c r="U222" s="279"/>
      <c r="V222" s="279"/>
      <c r="W222" s="279"/>
      <c r="X222" s="279"/>
      <c r="Y222" s="279"/>
      <c r="Z222" s="279"/>
      <c r="AA222" s="279"/>
      <c r="AB222" s="279"/>
      <c r="AC222" s="279"/>
      <c r="AD222" s="387"/>
      <c r="AE222" s="387"/>
      <c r="AF222" s="293"/>
      <c r="AG222" s="293"/>
      <c r="AH222" s="293"/>
      <c r="AI222" s="293"/>
      <c r="AJ222" s="293"/>
      <c r="AK222" s="293"/>
      <c r="AL222" s="293"/>
      <c r="AM222" s="293"/>
      <c r="AN222" s="293"/>
      <c r="AO222" s="293"/>
      <c r="AP222" s="293"/>
      <c r="AQ222" s="293"/>
    </row>
    <row r="223" ht="13.5" customHeight="1">
      <c r="A223" s="391"/>
      <c r="B223" s="309" t="s">
        <v>806</v>
      </c>
      <c r="C223" s="392"/>
      <c r="D223" s="392"/>
      <c r="E223" s="393"/>
      <c r="F223" s="394"/>
      <c r="G223" s="384" t="str">
        <f t="shared" si="67"/>
        <v/>
      </c>
      <c r="H223" s="95"/>
      <c r="I223" s="389" t="str">
        <f>F223</f>
        <v/>
      </c>
      <c r="J223" s="395"/>
      <c r="K223" s="395"/>
      <c r="L223" s="396">
        <f>SUM(L185:M222)</f>
        <v>782518</v>
      </c>
      <c r="M223" s="117"/>
      <c r="N223" s="250"/>
      <c r="O223" s="250"/>
      <c r="P223" s="250"/>
      <c r="Q223" s="250"/>
      <c r="R223" s="250"/>
      <c r="S223" s="250"/>
      <c r="T223" s="250"/>
      <c r="U223" s="250"/>
      <c r="V223" s="250"/>
      <c r="W223" s="250"/>
      <c r="X223" s="250"/>
      <c r="Y223" s="250"/>
      <c r="Z223" s="250"/>
      <c r="AA223" s="250"/>
      <c r="AB223" s="250"/>
      <c r="AC223" s="250"/>
      <c r="AD223" s="397"/>
      <c r="AE223" s="397"/>
      <c r="AF223" s="397"/>
      <c r="AG223" s="397"/>
      <c r="AH223" s="397"/>
      <c r="AI223" s="397"/>
      <c r="AJ223" s="397"/>
      <c r="AK223" s="397"/>
      <c r="AL223" s="397"/>
      <c r="AM223" s="397"/>
      <c r="AN223" s="397"/>
      <c r="AO223" s="397"/>
      <c r="AP223" s="397"/>
      <c r="AQ223" s="397"/>
    </row>
    <row r="224" ht="13.5" customHeight="1">
      <c r="A224" s="398"/>
      <c r="B224" s="274" t="s">
        <v>705</v>
      </c>
      <c r="C224" s="299"/>
      <c r="D224" s="299"/>
      <c r="E224" s="299"/>
      <c r="F224" s="299"/>
      <c r="G224" s="366"/>
      <c r="H224" s="94"/>
      <c r="I224" s="95"/>
      <c r="J224" s="299"/>
      <c r="K224" s="299"/>
      <c r="L224" s="399">
        <f>L223*18%</f>
        <v>140853.24</v>
      </c>
      <c r="M224" s="117"/>
      <c r="N224" s="267"/>
      <c r="O224" s="267"/>
      <c r="P224" s="267"/>
      <c r="Q224" s="267"/>
      <c r="R224" s="267"/>
      <c r="S224" s="267"/>
      <c r="T224" s="267"/>
      <c r="U224" s="267"/>
      <c r="V224" s="267"/>
      <c r="W224" s="267"/>
      <c r="X224" s="267"/>
      <c r="Y224" s="267"/>
      <c r="Z224" s="267"/>
      <c r="AA224" s="267"/>
      <c r="AB224" s="267"/>
      <c r="AC224" s="267"/>
    </row>
    <row r="225" ht="13.5" customHeight="1">
      <c r="A225" s="400"/>
      <c r="B225" s="401" t="s">
        <v>706</v>
      </c>
      <c r="C225" s="402"/>
      <c r="D225" s="402"/>
      <c r="E225" s="402"/>
      <c r="F225" s="402"/>
      <c r="G225" s="403"/>
      <c r="H225" s="130"/>
      <c r="I225" s="136"/>
      <c r="J225" s="402"/>
      <c r="K225" s="402"/>
      <c r="L225" s="404">
        <f>L223+L224</f>
        <v>923371.24</v>
      </c>
      <c r="M225" s="131"/>
      <c r="N225" s="267"/>
      <c r="O225" s="267"/>
      <c r="P225" s="267"/>
      <c r="Q225" s="267"/>
      <c r="R225" s="267"/>
      <c r="S225" s="267"/>
      <c r="T225" s="267"/>
      <c r="U225" s="267"/>
      <c r="V225" s="267"/>
      <c r="W225" s="267"/>
      <c r="X225" s="267"/>
      <c r="Y225" s="267"/>
      <c r="Z225" s="267"/>
      <c r="AA225" s="267"/>
      <c r="AB225" s="267"/>
      <c r="AC225" s="267"/>
    </row>
    <row r="226" ht="13.5" customHeight="1">
      <c r="A226" s="332"/>
      <c r="B226" s="346"/>
      <c r="C226" s="405"/>
      <c r="D226" s="405"/>
      <c r="E226" s="405"/>
      <c r="F226" s="405"/>
      <c r="G226" s="346"/>
      <c r="H226" s="346"/>
      <c r="I226" s="346"/>
      <c r="J226" s="405"/>
      <c r="K226" s="405"/>
      <c r="L226" s="406"/>
      <c r="M226" s="332"/>
      <c r="N226" s="267"/>
      <c r="O226" s="267"/>
      <c r="P226" s="267"/>
      <c r="Q226" s="267"/>
      <c r="R226" s="267"/>
      <c r="S226" s="267"/>
      <c r="T226" s="267"/>
      <c r="U226" s="267"/>
      <c r="V226" s="267"/>
      <c r="W226" s="267"/>
      <c r="X226" s="267"/>
      <c r="Y226" s="267"/>
      <c r="Z226" s="267"/>
      <c r="AA226" s="267"/>
      <c r="AB226" s="267"/>
      <c r="AC226" s="267"/>
    </row>
    <row r="227" ht="13.5" customHeight="1">
      <c r="A227" s="325"/>
      <c r="B227" s="407" t="s">
        <v>807</v>
      </c>
      <c r="C227" s="408"/>
      <c r="D227" s="408"/>
      <c r="E227" s="409"/>
      <c r="F227" s="409"/>
      <c r="G227" s="410"/>
      <c r="H227" s="411"/>
      <c r="I227" s="412"/>
      <c r="J227" s="409"/>
      <c r="K227" s="409"/>
      <c r="L227" s="413" t="s">
        <v>808</v>
      </c>
      <c r="M227" s="332"/>
    </row>
    <row r="228" ht="13.5" customHeight="1">
      <c r="A228" s="325"/>
      <c r="B228" s="414" t="s">
        <v>809</v>
      </c>
      <c r="C228" s="275"/>
      <c r="D228" s="275"/>
      <c r="E228" s="275"/>
      <c r="F228" s="275"/>
      <c r="G228" s="295"/>
      <c r="H228" s="415"/>
      <c r="I228" s="416"/>
      <c r="J228" s="275"/>
      <c r="K228" s="275"/>
      <c r="L228" s="417">
        <f>M166</f>
        <v>2006895.812</v>
      </c>
      <c r="M228" s="332"/>
    </row>
    <row r="229" ht="13.5" customHeight="1">
      <c r="A229" s="325"/>
      <c r="B229" s="414" t="s">
        <v>810</v>
      </c>
      <c r="C229" s="275"/>
      <c r="D229" s="275"/>
      <c r="E229" s="275"/>
      <c r="F229" s="275"/>
      <c r="G229" s="295"/>
      <c r="H229" s="415"/>
      <c r="I229" s="416"/>
      <c r="J229" s="275"/>
      <c r="K229" s="275"/>
      <c r="L229" s="417">
        <f>I178</f>
        <v>117377</v>
      </c>
      <c r="M229" s="332"/>
    </row>
    <row r="230" ht="13.5" customHeight="1">
      <c r="A230" s="325"/>
      <c r="B230" s="414" t="s">
        <v>811</v>
      </c>
      <c r="C230" s="275"/>
      <c r="D230" s="275"/>
      <c r="E230" s="275"/>
      <c r="F230" s="275"/>
      <c r="G230" s="295"/>
      <c r="H230" s="415"/>
      <c r="I230" s="416"/>
      <c r="J230" s="275"/>
      <c r="K230" s="275"/>
      <c r="L230" s="417">
        <f>L225</f>
        <v>923371.24</v>
      </c>
      <c r="M230" s="332"/>
    </row>
    <row r="231" ht="13.5" customHeight="1">
      <c r="A231" s="325"/>
      <c r="B231" s="414" t="s">
        <v>812</v>
      </c>
      <c r="C231" s="275"/>
      <c r="D231" s="275"/>
      <c r="E231" s="275"/>
      <c r="F231" s="275"/>
      <c r="G231" s="295"/>
      <c r="H231" s="415"/>
      <c r="I231" s="416"/>
      <c r="J231" s="275"/>
      <c r="K231" s="275"/>
      <c r="L231" s="417">
        <v>50000.0</v>
      </c>
      <c r="M231" s="332"/>
    </row>
    <row r="232" ht="13.5" customHeight="1">
      <c r="A232" s="325"/>
      <c r="B232" s="418" t="s">
        <v>704</v>
      </c>
      <c r="C232" s="419"/>
      <c r="D232" s="419"/>
      <c r="E232" s="420"/>
      <c r="F232" s="420"/>
      <c r="G232" s="421"/>
      <c r="H232" s="422"/>
      <c r="I232" s="423"/>
      <c r="J232" s="420"/>
      <c r="K232" s="420"/>
      <c r="L232" s="424">
        <f>SUM(L228:L230)-L231</f>
        <v>2997644.052</v>
      </c>
      <c r="M232" s="332"/>
      <c r="N232" s="293"/>
    </row>
    <row r="233" ht="13.5" customHeight="1">
      <c r="A233" s="332"/>
      <c r="B233" s="346"/>
      <c r="C233" s="405"/>
      <c r="D233" s="405"/>
      <c r="E233" s="405"/>
      <c r="F233" s="405"/>
      <c r="G233" s="346"/>
      <c r="H233" s="346"/>
      <c r="I233" s="346"/>
      <c r="J233" s="405"/>
      <c r="K233" s="405"/>
      <c r="L233" s="406"/>
      <c r="M233" s="332"/>
      <c r="N233" s="267"/>
      <c r="O233" s="267"/>
      <c r="P233" s="267"/>
      <c r="Q233" s="267"/>
      <c r="R233" s="267"/>
      <c r="S233" s="267"/>
      <c r="T233" s="267"/>
      <c r="U233" s="267"/>
      <c r="V233" s="267"/>
      <c r="W233" s="267"/>
      <c r="X233" s="267"/>
      <c r="Y233" s="267"/>
      <c r="Z233" s="267"/>
      <c r="AA233" s="267"/>
      <c r="AB233" s="267"/>
      <c r="AC233" s="267"/>
    </row>
    <row r="234" ht="13.5" customHeight="1">
      <c r="A234" s="332"/>
      <c r="B234" s="407" t="s">
        <v>813</v>
      </c>
      <c r="C234" s="408"/>
      <c r="D234" s="408"/>
      <c r="E234" s="409"/>
      <c r="F234" s="409"/>
      <c r="G234" s="410"/>
      <c r="H234" s="411"/>
      <c r="I234" s="412"/>
      <c r="J234" s="409"/>
      <c r="K234" s="409"/>
      <c r="L234" s="413" t="s">
        <v>808</v>
      </c>
      <c r="M234" s="332"/>
      <c r="N234" s="267"/>
      <c r="O234" s="267"/>
      <c r="P234" s="267"/>
      <c r="Q234" s="267"/>
      <c r="R234" s="267"/>
      <c r="S234" s="267"/>
      <c r="T234" s="267"/>
      <c r="U234" s="267"/>
      <c r="V234" s="267"/>
      <c r="W234" s="267"/>
      <c r="X234" s="267"/>
      <c r="Y234" s="267"/>
      <c r="Z234" s="267"/>
      <c r="AA234" s="267"/>
      <c r="AB234" s="267"/>
      <c r="AC234" s="267"/>
    </row>
    <row r="235" ht="13.5" customHeight="1">
      <c r="A235" s="332"/>
      <c r="B235" s="414" t="s">
        <v>814</v>
      </c>
      <c r="C235" s="275"/>
      <c r="D235" s="275"/>
      <c r="E235" s="275"/>
      <c r="F235" s="275"/>
      <c r="G235" s="295"/>
      <c r="H235" s="415"/>
      <c r="I235" s="416"/>
      <c r="J235" s="275"/>
      <c r="K235" s="275"/>
      <c r="L235" s="417">
        <f>L232*10%</f>
        <v>299764.4052</v>
      </c>
      <c r="M235" s="332"/>
      <c r="N235" s="267"/>
      <c r="O235" s="267"/>
      <c r="P235" s="267"/>
      <c r="Q235" s="267"/>
      <c r="R235" s="267"/>
      <c r="S235" s="267"/>
      <c r="T235" s="267"/>
      <c r="U235" s="267"/>
      <c r="V235" s="267"/>
      <c r="W235" s="267"/>
      <c r="X235" s="267"/>
      <c r="Y235" s="267"/>
      <c r="Z235" s="267"/>
      <c r="AA235" s="267"/>
      <c r="AB235" s="267"/>
      <c r="AC235" s="267"/>
    </row>
    <row r="236" ht="13.5" customHeight="1">
      <c r="A236" s="332"/>
      <c r="B236" s="414" t="s">
        <v>815</v>
      </c>
      <c r="C236" s="425"/>
      <c r="D236" s="425"/>
      <c r="E236" s="275"/>
      <c r="F236" s="275"/>
      <c r="G236" s="426"/>
      <c r="H236" s="415"/>
      <c r="I236" s="416"/>
      <c r="J236" s="275"/>
      <c r="K236" s="275"/>
      <c r="L236" s="417">
        <f>L232*25%</f>
        <v>749411.0129</v>
      </c>
      <c r="M236" s="332"/>
      <c r="N236" s="267"/>
      <c r="O236" s="267"/>
      <c r="P236" s="267"/>
      <c r="Q236" s="267"/>
      <c r="R236" s="267"/>
      <c r="S236" s="267"/>
      <c r="T236" s="267"/>
      <c r="U236" s="267"/>
      <c r="V236" s="267"/>
      <c r="W236" s="267"/>
      <c r="X236" s="267"/>
      <c r="Y236" s="267"/>
      <c r="Z236" s="267"/>
      <c r="AA236" s="267"/>
      <c r="AB236" s="267"/>
      <c r="AC236" s="267"/>
    </row>
    <row r="237" ht="13.5" customHeight="1">
      <c r="A237" s="332"/>
      <c r="B237" s="414" t="s">
        <v>816</v>
      </c>
      <c r="C237" s="425"/>
      <c r="D237" s="425"/>
      <c r="E237" s="275"/>
      <c r="F237" s="275"/>
      <c r="G237" s="426"/>
      <c r="H237" s="415"/>
      <c r="I237" s="416"/>
      <c r="J237" s="275"/>
      <c r="K237" s="275"/>
      <c r="L237" s="417">
        <f>L232*25%</f>
        <v>749411.0129</v>
      </c>
      <c r="M237" s="332"/>
      <c r="N237" s="267"/>
      <c r="O237" s="267"/>
      <c r="P237" s="267"/>
      <c r="Q237" s="267"/>
      <c r="R237" s="267"/>
      <c r="S237" s="267"/>
      <c r="T237" s="267"/>
      <c r="U237" s="267"/>
      <c r="V237" s="267"/>
      <c r="W237" s="267"/>
      <c r="X237" s="267"/>
      <c r="Y237" s="267"/>
      <c r="Z237" s="267"/>
      <c r="AA237" s="267"/>
      <c r="AB237" s="267"/>
      <c r="AC237" s="267"/>
    </row>
    <row r="238" ht="13.5" customHeight="1">
      <c r="A238" s="332"/>
      <c r="B238" s="414" t="s">
        <v>817</v>
      </c>
      <c r="C238" s="425"/>
      <c r="D238" s="425"/>
      <c r="E238" s="275"/>
      <c r="F238" s="275"/>
      <c r="G238" s="426"/>
      <c r="H238" s="415"/>
      <c r="I238" s="416"/>
      <c r="J238" s="275"/>
      <c r="K238" s="275"/>
      <c r="L238" s="417">
        <f>L232*40%</f>
        <v>1199057.621</v>
      </c>
      <c r="M238" s="332"/>
      <c r="N238" s="267"/>
      <c r="O238" s="267"/>
      <c r="P238" s="267"/>
      <c r="Q238" s="267"/>
      <c r="R238" s="267"/>
      <c r="S238" s="267"/>
      <c r="T238" s="267"/>
      <c r="U238" s="267"/>
      <c r="V238" s="267"/>
      <c r="W238" s="267"/>
      <c r="X238" s="267"/>
      <c r="Y238" s="267"/>
      <c r="Z238" s="267"/>
      <c r="AA238" s="267"/>
      <c r="AB238" s="267"/>
      <c r="AC238" s="267"/>
    </row>
    <row r="239" ht="13.5" customHeight="1">
      <c r="A239" s="332"/>
      <c r="B239" s="418" t="s">
        <v>704</v>
      </c>
      <c r="C239" s="419"/>
      <c r="D239" s="419"/>
      <c r="E239" s="420"/>
      <c r="F239" s="420"/>
      <c r="G239" s="421"/>
      <c r="H239" s="422"/>
      <c r="I239" s="423"/>
      <c r="J239" s="420"/>
      <c r="K239" s="420"/>
      <c r="L239" s="424">
        <f>SUM(L235:L238)</f>
        <v>2997644.052</v>
      </c>
      <c r="M239" s="332"/>
      <c r="N239" s="267"/>
      <c r="O239" s="267"/>
      <c r="P239" s="267"/>
      <c r="Q239" s="267"/>
      <c r="R239" s="267"/>
      <c r="S239" s="267"/>
      <c r="T239" s="267"/>
      <c r="U239" s="267"/>
      <c r="V239" s="267"/>
      <c r="W239" s="267"/>
      <c r="X239" s="267"/>
      <c r="Y239" s="267"/>
      <c r="Z239" s="267"/>
      <c r="AA239" s="267"/>
      <c r="AB239" s="267"/>
      <c r="AC239" s="267"/>
    </row>
    <row r="240" ht="13.5" customHeight="1">
      <c r="A240" s="332"/>
      <c r="B240" s="427"/>
      <c r="C240" s="428"/>
      <c r="D240" s="428"/>
      <c r="E240" s="428"/>
      <c r="F240" s="428"/>
      <c r="G240" s="427"/>
      <c r="H240" s="427"/>
      <c r="I240" s="427"/>
      <c r="J240" s="428"/>
      <c r="K240" s="428"/>
      <c r="L240" s="429"/>
      <c r="M240" s="332"/>
      <c r="N240" s="267"/>
      <c r="O240" s="267"/>
      <c r="P240" s="267"/>
      <c r="Q240" s="267"/>
      <c r="R240" s="267"/>
      <c r="S240" s="267"/>
      <c r="T240" s="267"/>
      <c r="U240" s="267"/>
      <c r="V240" s="267"/>
      <c r="W240" s="267"/>
      <c r="X240" s="267"/>
      <c r="Y240" s="267"/>
      <c r="Z240" s="267"/>
      <c r="AA240" s="267"/>
      <c r="AB240" s="267"/>
      <c r="AC240" s="267"/>
    </row>
    <row r="241" ht="13.5" customHeight="1">
      <c r="A241" s="332"/>
      <c r="B241" s="427"/>
      <c r="C241" s="428"/>
      <c r="D241" s="428"/>
      <c r="E241" s="428"/>
      <c r="F241" s="428"/>
      <c r="G241" s="427"/>
      <c r="H241" s="427"/>
      <c r="I241" s="427"/>
      <c r="J241" s="428"/>
      <c r="K241" s="428"/>
      <c r="L241" s="429"/>
      <c r="M241" s="332"/>
      <c r="N241" s="267"/>
      <c r="O241" s="267"/>
      <c r="P241" s="267"/>
      <c r="Q241" s="267"/>
      <c r="R241" s="267"/>
      <c r="S241" s="267"/>
      <c r="T241" s="267"/>
      <c r="U241" s="267"/>
      <c r="V241" s="267"/>
      <c r="W241" s="267"/>
      <c r="X241" s="267"/>
      <c r="Y241" s="267"/>
      <c r="Z241" s="267"/>
      <c r="AA241" s="267"/>
      <c r="AB241" s="267"/>
      <c r="AC241" s="267"/>
    </row>
    <row r="242" ht="13.5" customHeight="1">
      <c r="A242" s="332"/>
      <c r="B242" s="427"/>
      <c r="C242" s="428"/>
      <c r="D242" s="428"/>
      <c r="E242" s="428"/>
      <c r="F242" s="428"/>
      <c r="G242" s="427"/>
      <c r="H242" s="427"/>
      <c r="I242" s="427"/>
      <c r="J242" s="428"/>
      <c r="K242" s="428"/>
      <c r="L242" s="429"/>
      <c r="M242" s="332"/>
      <c r="N242" s="267"/>
      <c r="O242" s="267"/>
      <c r="P242" s="267"/>
      <c r="Q242" s="267"/>
      <c r="R242" s="267"/>
      <c r="S242" s="267"/>
      <c r="T242" s="267"/>
      <c r="U242" s="267"/>
      <c r="V242" s="267"/>
      <c r="W242" s="267"/>
      <c r="X242" s="267"/>
      <c r="Y242" s="267"/>
      <c r="Z242" s="267"/>
      <c r="AA242" s="267"/>
      <c r="AB242" s="267"/>
      <c r="AC242" s="267"/>
    </row>
    <row r="243" ht="13.5" customHeight="1">
      <c r="A243" s="332"/>
      <c r="B243" s="427"/>
      <c r="C243" s="428"/>
      <c r="D243" s="428"/>
      <c r="E243" s="428"/>
      <c r="F243" s="428"/>
      <c r="G243" s="427"/>
      <c r="H243" s="427"/>
      <c r="I243" s="427"/>
      <c r="J243" s="428"/>
      <c r="K243" s="428"/>
      <c r="L243" s="429"/>
      <c r="M243" s="332"/>
      <c r="N243" s="267"/>
      <c r="O243" s="267"/>
      <c r="P243" s="267"/>
      <c r="Q243" s="267"/>
      <c r="R243" s="267"/>
      <c r="S243" s="267"/>
      <c r="T243" s="267"/>
      <c r="U243" s="267"/>
      <c r="V243" s="267"/>
      <c r="W243" s="267"/>
      <c r="X243" s="267"/>
      <c r="Y243" s="267"/>
      <c r="Z243" s="267"/>
      <c r="AA243" s="267"/>
      <c r="AB243" s="267"/>
      <c r="AC243" s="267"/>
    </row>
    <row r="244" ht="13.5" customHeight="1">
      <c r="A244" s="430" t="s">
        <v>876</v>
      </c>
      <c r="N244" s="267"/>
      <c r="O244" s="267"/>
      <c r="P244" s="267"/>
      <c r="Q244" s="267"/>
      <c r="R244" s="267"/>
      <c r="S244" s="267"/>
      <c r="T244" s="267"/>
      <c r="U244" s="267"/>
      <c r="V244" s="267"/>
      <c r="W244" s="267"/>
      <c r="X244" s="267"/>
      <c r="Y244" s="267"/>
      <c r="Z244" s="267"/>
      <c r="AA244" s="267"/>
      <c r="AB244" s="267"/>
      <c r="AC244" s="267"/>
    </row>
    <row r="245" ht="13.5" customHeight="1">
      <c r="N245" s="267"/>
      <c r="O245" s="267"/>
      <c r="P245" s="267"/>
      <c r="Q245" s="267"/>
      <c r="R245" s="267"/>
      <c r="S245" s="267"/>
      <c r="T245" s="267"/>
      <c r="U245" s="267"/>
      <c r="V245" s="267"/>
      <c r="W245" s="267"/>
      <c r="X245" s="267"/>
      <c r="Y245" s="267"/>
      <c r="Z245" s="267"/>
      <c r="AA245" s="267"/>
      <c r="AB245" s="267"/>
      <c r="AC245" s="267"/>
    </row>
    <row r="246" ht="13.5" customHeight="1">
      <c r="N246" s="267"/>
      <c r="O246" s="267"/>
      <c r="P246" s="267"/>
      <c r="Q246" s="267"/>
      <c r="R246" s="267"/>
      <c r="S246" s="267"/>
      <c r="T246" s="267"/>
      <c r="U246" s="267"/>
      <c r="V246" s="267"/>
      <c r="W246" s="267"/>
      <c r="X246" s="267"/>
      <c r="Y246" s="267"/>
      <c r="Z246" s="267"/>
      <c r="AA246" s="267"/>
      <c r="AB246" s="267"/>
      <c r="AC246" s="267"/>
    </row>
    <row r="247" ht="13.5" customHeight="1">
      <c r="N247" s="267"/>
      <c r="O247" s="267"/>
      <c r="P247" s="267"/>
      <c r="Q247" s="267"/>
      <c r="R247" s="267"/>
      <c r="S247" s="267"/>
      <c r="T247" s="267"/>
      <c r="U247" s="267"/>
      <c r="V247" s="267"/>
      <c r="W247" s="267"/>
      <c r="X247" s="267"/>
      <c r="Y247" s="267"/>
      <c r="Z247" s="267"/>
      <c r="AA247" s="267"/>
      <c r="AB247" s="267"/>
      <c r="AC247" s="267"/>
    </row>
    <row r="248" ht="13.5" customHeight="1">
      <c r="N248" s="267"/>
      <c r="O248" s="267"/>
      <c r="P248" s="267"/>
      <c r="Q248" s="267"/>
      <c r="R248" s="267"/>
      <c r="S248" s="267"/>
      <c r="T248" s="267"/>
      <c r="U248" s="267"/>
      <c r="V248" s="267"/>
      <c r="W248" s="267"/>
      <c r="X248" s="267"/>
      <c r="Y248" s="267"/>
      <c r="Z248" s="267"/>
      <c r="AA248" s="267"/>
      <c r="AB248" s="267"/>
      <c r="AC248" s="267"/>
    </row>
    <row r="249" ht="13.5" customHeight="1">
      <c r="N249" s="267"/>
      <c r="O249" s="267"/>
      <c r="P249" s="267"/>
      <c r="Q249" s="267"/>
      <c r="R249" s="267"/>
      <c r="S249" s="267"/>
      <c r="T249" s="267"/>
      <c r="U249" s="267"/>
      <c r="V249" s="267"/>
      <c r="W249" s="267"/>
      <c r="X249" s="267"/>
      <c r="Y249" s="267"/>
      <c r="Z249" s="267"/>
      <c r="AA249" s="267"/>
      <c r="AB249" s="267"/>
      <c r="AC249" s="267"/>
    </row>
    <row r="250" ht="13.5" customHeight="1">
      <c r="N250" s="267"/>
      <c r="O250" s="267"/>
      <c r="P250" s="267"/>
      <c r="Q250" s="267"/>
      <c r="R250" s="267"/>
      <c r="S250" s="267"/>
      <c r="T250" s="267"/>
      <c r="U250" s="267"/>
      <c r="V250" s="267"/>
      <c r="W250" s="267"/>
      <c r="X250" s="267"/>
      <c r="Y250" s="267"/>
      <c r="Z250" s="267"/>
      <c r="AA250" s="267"/>
      <c r="AB250" s="267"/>
      <c r="AC250" s="267"/>
    </row>
    <row r="251" ht="13.5" customHeight="1">
      <c r="N251" s="267"/>
      <c r="O251" s="267"/>
      <c r="P251" s="267"/>
      <c r="Q251" s="267"/>
      <c r="R251" s="267"/>
      <c r="S251" s="267"/>
      <c r="T251" s="267"/>
      <c r="U251" s="267"/>
      <c r="V251" s="267"/>
      <c r="W251" s="267"/>
      <c r="X251" s="267"/>
      <c r="Y251" s="267"/>
      <c r="Z251" s="267"/>
      <c r="AA251" s="267"/>
      <c r="AB251" s="267"/>
      <c r="AC251" s="267"/>
    </row>
    <row r="252" ht="13.5" customHeight="1">
      <c r="N252" s="267"/>
      <c r="O252" s="267"/>
      <c r="P252" s="267"/>
      <c r="Q252" s="267"/>
      <c r="R252" s="267"/>
      <c r="S252" s="267"/>
      <c r="T252" s="267"/>
      <c r="U252" s="267"/>
      <c r="V252" s="267"/>
      <c r="W252" s="267"/>
      <c r="X252" s="267"/>
      <c r="Y252" s="267"/>
      <c r="Z252" s="267"/>
      <c r="AA252" s="267"/>
      <c r="AB252" s="267"/>
      <c r="AC252" s="267"/>
    </row>
    <row r="253" ht="13.5" customHeight="1">
      <c r="N253" s="267"/>
      <c r="O253" s="267"/>
      <c r="P253" s="267"/>
      <c r="Q253" s="267"/>
      <c r="R253" s="267"/>
      <c r="S253" s="267"/>
      <c r="T253" s="267"/>
      <c r="U253" s="267"/>
      <c r="V253" s="267"/>
      <c r="W253" s="267"/>
      <c r="X253" s="267"/>
      <c r="Y253" s="267"/>
      <c r="Z253" s="267"/>
      <c r="AA253" s="267"/>
      <c r="AB253" s="267"/>
      <c r="AC253" s="267"/>
    </row>
    <row r="254" ht="13.5" customHeight="1">
      <c r="N254" s="267"/>
      <c r="O254" s="267"/>
      <c r="P254" s="267"/>
      <c r="Q254" s="267"/>
      <c r="R254" s="267"/>
      <c r="S254" s="267"/>
      <c r="T254" s="267"/>
      <c r="U254" s="267"/>
      <c r="V254" s="267"/>
      <c r="W254" s="267"/>
      <c r="X254" s="267"/>
      <c r="Y254" s="267"/>
      <c r="Z254" s="267"/>
      <c r="AA254" s="267"/>
      <c r="AB254" s="267"/>
      <c r="AC254" s="267"/>
    </row>
    <row r="255" ht="13.5" customHeight="1">
      <c r="N255" s="267"/>
      <c r="O255" s="267"/>
      <c r="P255" s="267"/>
      <c r="Q255" s="267"/>
      <c r="R255" s="267"/>
      <c r="S255" s="267"/>
      <c r="T255" s="267"/>
      <c r="U255" s="267"/>
      <c r="V255" s="267"/>
      <c r="W255" s="267"/>
      <c r="X255" s="267"/>
      <c r="Y255" s="267"/>
      <c r="Z255" s="267"/>
      <c r="AA255" s="267"/>
      <c r="AB255" s="267"/>
      <c r="AC255" s="267"/>
    </row>
    <row r="256" ht="13.5" customHeight="1">
      <c r="A256" s="430" t="s">
        <v>877</v>
      </c>
      <c r="N256" s="267"/>
      <c r="O256" s="267"/>
      <c r="P256" s="267"/>
      <c r="Q256" s="267"/>
      <c r="R256" s="267"/>
      <c r="S256" s="267"/>
      <c r="T256" s="267"/>
      <c r="U256" s="267"/>
      <c r="V256" s="267"/>
      <c r="W256" s="267"/>
      <c r="X256" s="267"/>
      <c r="Y256" s="267"/>
      <c r="Z256" s="267"/>
      <c r="AA256" s="267"/>
      <c r="AB256" s="267"/>
      <c r="AC256" s="267"/>
    </row>
    <row r="257" ht="13.5" customHeight="1">
      <c r="N257" s="267"/>
      <c r="O257" s="267"/>
      <c r="P257" s="267"/>
      <c r="Q257" s="267"/>
      <c r="R257" s="267"/>
      <c r="S257" s="267"/>
      <c r="T257" s="267"/>
      <c r="U257" s="267"/>
      <c r="V257" s="267"/>
      <c r="W257" s="267"/>
      <c r="X257" s="267"/>
      <c r="Y257" s="267"/>
      <c r="Z257" s="267"/>
      <c r="AA257" s="267"/>
      <c r="AB257" s="267"/>
      <c r="AC257" s="267"/>
    </row>
    <row r="258" ht="13.5" customHeight="1">
      <c r="N258" s="267"/>
      <c r="O258" s="267"/>
      <c r="P258" s="267"/>
      <c r="Q258" s="267"/>
      <c r="R258" s="267"/>
      <c r="S258" s="267"/>
      <c r="T258" s="267"/>
      <c r="U258" s="267"/>
      <c r="V258" s="267"/>
      <c r="W258" s="267"/>
      <c r="X258" s="267"/>
      <c r="Y258" s="267"/>
      <c r="Z258" s="267"/>
      <c r="AA258" s="267"/>
      <c r="AB258" s="267"/>
      <c r="AC258" s="267"/>
    </row>
    <row r="259" ht="13.5" customHeight="1">
      <c r="N259" s="267"/>
      <c r="O259" s="267"/>
      <c r="P259" s="267"/>
      <c r="Q259" s="267"/>
      <c r="R259" s="267"/>
      <c r="S259" s="267"/>
      <c r="T259" s="267"/>
      <c r="U259" s="267"/>
      <c r="V259" s="267"/>
      <c r="W259" s="267"/>
      <c r="X259" s="267"/>
      <c r="Y259" s="267"/>
      <c r="Z259" s="267"/>
      <c r="AA259" s="267"/>
      <c r="AB259" s="267"/>
      <c r="AC259" s="267"/>
    </row>
    <row r="260" ht="13.5" customHeight="1">
      <c r="N260" s="267"/>
      <c r="O260" s="267"/>
      <c r="P260" s="267"/>
      <c r="Q260" s="267"/>
      <c r="R260" s="267"/>
      <c r="S260" s="267"/>
      <c r="T260" s="267"/>
      <c r="U260" s="267"/>
      <c r="V260" s="267"/>
      <c r="W260" s="267"/>
      <c r="X260" s="267"/>
      <c r="Y260" s="267"/>
      <c r="Z260" s="267"/>
      <c r="AA260" s="267"/>
      <c r="AB260" s="267"/>
      <c r="AC260" s="267"/>
    </row>
    <row r="261" ht="13.5" customHeight="1">
      <c r="N261" s="267"/>
      <c r="O261" s="267"/>
      <c r="P261" s="267"/>
      <c r="Q261" s="267"/>
      <c r="R261" s="267"/>
      <c r="S261" s="267"/>
      <c r="T261" s="267"/>
      <c r="U261" s="267"/>
      <c r="V261" s="267"/>
      <c r="W261" s="267"/>
      <c r="X261" s="267"/>
      <c r="Y261" s="267"/>
      <c r="Z261" s="267"/>
      <c r="AA261" s="267"/>
      <c r="AB261" s="267"/>
      <c r="AC261" s="267"/>
    </row>
    <row r="262" ht="13.5" customHeight="1">
      <c r="N262" s="267"/>
      <c r="O262" s="267"/>
      <c r="P262" s="267"/>
      <c r="Q262" s="267"/>
      <c r="R262" s="267"/>
      <c r="S262" s="267"/>
      <c r="T262" s="267"/>
      <c r="U262" s="267"/>
      <c r="V262" s="267"/>
      <c r="W262" s="267"/>
      <c r="X262" s="267"/>
      <c r="Y262" s="267"/>
      <c r="Z262" s="267"/>
      <c r="AA262" s="267"/>
      <c r="AB262" s="267"/>
      <c r="AC262" s="267"/>
    </row>
    <row r="263" ht="13.5" customHeight="1">
      <c r="N263" s="267"/>
      <c r="O263" s="267"/>
      <c r="P263" s="267"/>
      <c r="Q263" s="267"/>
      <c r="R263" s="267"/>
      <c r="S263" s="267"/>
      <c r="T263" s="267"/>
      <c r="U263" s="267"/>
      <c r="V263" s="267"/>
      <c r="W263" s="267"/>
      <c r="X263" s="267"/>
      <c r="Y263" s="267"/>
      <c r="Z263" s="267"/>
      <c r="AA263" s="267"/>
      <c r="AB263" s="267"/>
      <c r="AC263" s="267"/>
    </row>
    <row r="264" ht="13.5" customHeight="1">
      <c r="N264" s="267"/>
      <c r="O264" s="267"/>
      <c r="P264" s="267"/>
      <c r="Q264" s="267"/>
      <c r="R264" s="267"/>
      <c r="S264" s="267"/>
      <c r="T264" s="267"/>
      <c r="U264" s="267"/>
      <c r="V264" s="267"/>
      <c r="W264" s="267"/>
      <c r="X264" s="267"/>
      <c r="Y264" s="267"/>
      <c r="Z264" s="267"/>
      <c r="AA264" s="267"/>
      <c r="AB264" s="267"/>
      <c r="AC264" s="267"/>
    </row>
    <row r="265" ht="13.5" customHeight="1">
      <c r="N265" s="267"/>
      <c r="O265" s="267"/>
      <c r="P265" s="267"/>
      <c r="Q265" s="267"/>
      <c r="R265" s="267"/>
      <c r="S265" s="267"/>
      <c r="T265" s="267"/>
      <c r="U265" s="267"/>
      <c r="V265" s="267"/>
      <c r="W265" s="267"/>
      <c r="X265" s="267"/>
      <c r="Y265" s="267"/>
      <c r="Z265" s="267"/>
      <c r="AA265" s="267"/>
      <c r="AB265" s="267"/>
      <c r="AC265" s="267"/>
    </row>
    <row r="266" ht="13.5" customHeight="1">
      <c r="N266" s="267"/>
      <c r="O266" s="267"/>
      <c r="P266" s="267"/>
      <c r="Q266" s="267"/>
      <c r="R266" s="267"/>
      <c r="S266" s="267"/>
      <c r="T266" s="267"/>
      <c r="U266" s="267"/>
      <c r="V266" s="267"/>
      <c r="W266" s="267"/>
      <c r="X266" s="267"/>
      <c r="Y266" s="267"/>
      <c r="Z266" s="267"/>
      <c r="AA266" s="267"/>
      <c r="AB266" s="267"/>
      <c r="AC266" s="267"/>
    </row>
    <row r="267" ht="13.5" customHeight="1">
      <c r="A267" s="430" t="s">
        <v>878</v>
      </c>
      <c r="N267" s="267"/>
      <c r="O267" s="267"/>
      <c r="P267" s="267"/>
      <c r="Q267" s="267"/>
      <c r="R267" s="267"/>
      <c r="S267" s="267"/>
      <c r="T267" s="267"/>
      <c r="U267" s="267"/>
      <c r="V267" s="267"/>
      <c r="W267" s="267"/>
      <c r="X267" s="267"/>
      <c r="Y267" s="267"/>
      <c r="Z267" s="267"/>
      <c r="AA267" s="267"/>
      <c r="AB267" s="267"/>
      <c r="AC267" s="267"/>
    </row>
    <row r="268" ht="13.5" customHeight="1">
      <c r="N268" s="267"/>
      <c r="O268" s="267"/>
      <c r="P268" s="267"/>
      <c r="Q268" s="267"/>
      <c r="R268" s="267"/>
      <c r="S268" s="267"/>
      <c r="T268" s="267"/>
      <c r="U268" s="267"/>
      <c r="V268" s="267"/>
      <c r="W268" s="267"/>
      <c r="X268" s="267"/>
      <c r="Y268" s="267"/>
      <c r="Z268" s="267"/>
      <c r="AA268" s="267"/>
      <c r="AB268" s="267"/>
      <c r="AC268" s="267"/>
    </row>
    <row r="269" ht="13.5" customHeight="1">
      <c r="A269" s="430" t="s">
        <v>879</v>
      </c>
      <c r="N269" s="267"/>
      <c r="O269" s="267"/>
      <c r="P269" s="267"/>
      <c r="Q269" s="267"/>
      <c r="R269" s="267"/>
      <c r="S269" s="267"/>
      <c r="T269" s="267"/>
      <c r="U269" s="267"/>
      <c r="V269" s="267"/>
      <c r="W269" s="267"/>
      <c r="X269" s="267"/>
      <c r="Y269" s="267"/>
      <c r="Z269" s="267"/>
      <c r="AA269" s="267"/>
      <c r="AB269" s="267"/>
      <c r="AC269" s="267"/>
    </row>
    <row r="270" ht="13.5" customHeight="1">
      <c r="N270" s="267"/>
      <c r="O270" s="267"/>
      <c r="P270" s="267"/>
      <c r="Q270" s="267"/>
      <c r="R270" s="267"/>
      <c r="S270" s="267"/>
      <c r="T270" s="267"/>
      <c r="U270" s="267"/>
      <c r="V270" s="267"/>
      <c r="W270" s="267"/>
      <c r="X270" s="267"/>
      <c r="Y270" s="267"/>
      <c r="Z270" s="267"/>
      <c r="AA270" s="267"/>
      <c r="AB270" s="267"/>
      <c r="AC270" s="267"/>
    </row>
    <row r="271" ht="13.5" customHeight="1">
      <c r="N271" s="267"/>
      <c r="O271" s="267"/>
      <c r="P271" s="267"/>
      <c r="Q271" s="267"/>
      <c r="R271" s="267"/>
      <c r="S271" s="267"/>
      <c r="T271" s="267"/>
      <c r="U271" s="267"/>
      <c r="V271" s="267"/>
      <c r="W271" s="267"/>
      <c r="X271" s="267"/>
      <c r="Y271" s="267"/>
      <c r="Z271" s="267"/>
      <c r="AA271" s="267"/>
      <c r="AB271" s="267"/>
      <c r="AC271" s="267"/>
    </row>
    <row r="272" ht="13.5" customHeight="1">
      <c r="N272" s="267"/>
      <c r="O272" s="267"/>
      <c r="P272" s="267"/>
      <c r="Q272" s="267"/>
      <c r="R272" s="267"/>
      <c r="S272" s="267"/>
      <c r="T272" s="267"/>
      <c r="U272" s="267"/>
      <c r="V272" s="267"/>
      <c r="W272" s="267"/>
      <c r="X272" s="267"/>
      <c r="Y272" s="267"/>
      <c r="Z272" s="267"/>
      <c r="AA272" s="267"/>
      <c r="AB272" s="267"/>
      <c r="AC272" s="267"/>
    </row>
    <row r="273" ht="13.5" customHeight="1">
      <c r="N273" s="267"/>
      <c r="O273" s="267"/>
      <c r="P273" s="267"/>
      <c r="Q273" s="267"/>
      <c r="R273" s="267"/>
      <c r="S273" s="267"/>
      <c r="T273" s="267"/>
      <c r="U273" s="267"/>
      <c r="V273" s="267"/>
      <c r="W273" s="267"/>
      <c r="X273" s="267"/>
      <c r="Y273" s="267"/>
      <c r="Z273" s="267"/>
      <c r="AA273" s="267"/>
      <c r="AB273" s="267"/>
      <c r="AC273" s="267"/>
    </row>
    <row r="274" ht="13.5" customHeight="1">
      <c r="N274" s="267"/>
      <c r="O274" s="267"/>
      <c r="P274" s="267"/>
      <c r="Q274" s="267"/>
      <c r="R274" s="267"/>
      <c r="S274" s="267"/>
      <c r="T274" s="267"/>
      <c r="U274" s="267"/>
      <c r="V274" s="267"/>
      <c r="W274" s="267"/>
      <c r="X274" s="267"/>
      <c r="Y274" s="267"/>
      <c r="Z274" s="267"/>
      <c r="AA274" s="267"/>
      <c r="AB274" s="267"/>
      <c r="AC274" s="267"/>
    </row>
    <row r="275" ht="13.5" customHeight="1">
      <c r="N275" s="267"/>
      <c r="O275" s="267"/>
      <c r="P275" s="267"/>
      <c r="Q275" s="267"/>
      <c r="R275" s="267"/>
      <c r="S275" s="267"/>
      <c r="T275" s="267"/>
      <c r="U275" s="267"/>
      <c r="V275" s="267"/>
      <c r="W275" s="267"/>
      <c r="X275" s="267"/>
      <c r="Y275" s="267"/>
      <c r="Z275" s="267"/>
      <c r="AA275" s="267"/>
      <c r="AB275" s="267"/>
      <c r="AC275" s="267"/>
    </row>
    <row r="276" ht="13.5" customHeight="1">
      <c r="N276" s="267"/>
      <c r="O276" s="267"/>
      <c r="P276" s="267"/>
      <c r="Q276" s="267"/>
      <c r="R276" s="267"/>
      <c r="S276" s="267"/>
      <c r="T276" s="267"/>
      <c r="U276" s="267"/>
      <c r="V276" s="267"/>
      <c r="W276" s="267"/>
      <c r="X276" s="267"/>
      <c r="Y276" s="267"/>
      <c r="Z276" s="267"/>
      <c r="AA276" s="267"/>
      <c r="AB276" s="267"/>
      <c r="AC276" s="267"/>
    </row>
    <row r="277" ht="13.5" customHeight="1">
      <c r="N277" s="267"/>
      <c r="O277" s="267"/>
      <c r="P277" s="267"/>
      <c r="Q277" s="267"/>
      <c r="R277" s="267"/>
      <c r="S277" s="267"/>
      <c r="T277" s="267"/>
      <c r="U277" s="267"/>
      <c r="V277" s="267"/>
      <c r="W277" s="267"/>
      <c r="X277" s="267"/>
      <c r="Y277" s="267"/>
      <c r="Z277" s="267"/>
      <c r="AA277" s="267"/>
      <c r="AB277" s="267"/>
      <c r="AC277" s="267"/>
    </row>
    <row r="278" ht="13.5" customHeight="1">
      <c r="N278" s="267"/>
      <c r="O278" s="267"/>
      <c r="P278" s="267"/>
      <c r="Q278" s="267"/>
      <c r="R278" s="267"/>
      <c r="S278" s="267"/>
      <c r="T278" s="267"/>
      <c r="U278" s="267"/>
      <c r="V278" s="267"/>
      <c r="W278" s="267"/>
      <c r="X278" s="267"/>
      <c r="Y278" s="267"/>
      <c r="Z278" s="267"/>
      <c r="AA278" s="267"/>
      <c r="AB278" s="267"/>
      <c r="AC278" s="267"/>
    </row>
    <row r="279" ht="13.5" customHeight="1">
      <c r="N279" s="267"/>
      <c r="O279" s="267"/>
      <c r="P279" s="267"/>
      <c r="Q279" s="267"/>
      <c r="R279" s="267"/>
      <c r="S279" s="267"/>
      <c r="T279" s="267"/>
      <c r="U279" s="267"/>
      <c r="V279" s="267"/>
      <c r="W279" s="267"/>
      <c r="X279" s="267"/>
      <c r="Y279" s="267"/>
      <c r="Z279" s="267"/>
      <c r="AA279" s="267"/>
      <c r="AB279" s="267"/>
      <c r="AC279" s="267"/>
    </row>
    <row r="280" ht="13.5" customHeight="1">
      <c r="N280" s="267"/>
      <c r="O280" s="267"/>
      <c r="P280" s="267"/>
      <c r="Q280" s="267"/>
      <c r="R280" s="267"/>
      <c r="S280" s="267"/>
      <c r="T280" s="267"/>
      <c r="U280" s="267"/>
      <c r="V280" s="267"/>
      <c r="W280" s="267"/>
      <c r="X280" s="267"/>
      <c r="Y280" s="267"/>
      <c r="Z280" s="267"/>
      <c r="AA280" s="267"/>
      <c r="AB280" s="267"/>
      <c r="AC280" s="267"/>
    </row>
    <row r="281" ht="13.5" customHeight="1">
      <c r="N281" s="267"/>
      <c r="O281" s="267"/>
      <c r="P281" s="267"/>
      <c r="Q281" s="267"/>
      <c r="R281" s="267"/>
      <c r="S281" s="267"/>
      <c r="T281" s="267"/>
      <c r="U281" s="267"/>
      <c r="V281" s="267"/>
      <c r="W281" s="267"/>
      <c r="X281" s="267"/>
      <c r="Y281" s="267"/>
      <c r="Z281" s="267"/>
      <c r="AA281" s="267"/>
      <c r="AB281" s="267"/>
      <c r="AC281" s="267"/>
    </row>
    <row r="282" ht="13.5" customHeight="1">
      <c r="N282" s="267"/>
      <c r="O282" s="267"/>
      <c r="P282" s="267"/>
      <c r="Q282" s="267"/>
      <c r="R282" s="267"/>
      <c r="S282" s="267"/>
      <c r="T282" s="267"/>
      <c r="U282" s="267"/>
      <c r="V282" s="267"/>
      <c r="W282" s="267"/>
      <c r="X282" s="267"/>
      <c r="Y282" s="267"/>
      <c r="Z282" s="267"/>
      <c r="AA282" s="267"/>
      <c r="AB282" s="267"/>
      <c r="AC282" s="267"/>
    </row>
    <row r="283" ht="13.5" customHeight="1">
      <c r="N283" s="267"/>
      <c r="O283" s="267"/>
      <c r="P283" s="267"/>
      <c r="Q283" s="267"/>
      <c r="R283" s="267"/>
      <c r="S283" s="267"/>
      <c r="T283" s="267"/>
      <c r="U283" s="267"/>
      <c r="V283" s="267"/>
      <c r="W283" s="267"/>
      <c r="X283" s="267"/>
      <c r="Y283" s="267"/>
      <c r="Z283" s="267"/>
      <c r="AA283" s="267"/>
      <c r="AB283" s="267"/>
      <c r="AC283" s="267"/>
    </row>
    <row r="284" ht="13.5" customHeight="1">
      <c r="N284" s="267"/>
      <c r="O284" s="267"/>
      <c r="P284" s="267"/>
      <c r="Q284" s="267"/>
      <c r="R284" s="267"/>
      <c r="S284" s="267"/>
      <c r="T284" s="267"/>
      <c r="U284" s="267"/>
      <c r="V284" s="267"/>
      <c r="W284" s="267"/>
      <c r="X284" s="267"/>
      <c r="Y284" s="267"/>
      <c r="Z284" s="267"/>
      <c r="AA284" s="267"/>
      <c r="AB284" s="267"/>
      <c r="AC284" s="267"/>
    </row>
    <row r="285" ht="13.5" customHeight="1">
      <c r="N285" s="267"/>
      <c r="O285" s="267"/>
      <c r="P285" s="267"/>
      <c r="Q285" s="267"/>
      <c r="R285" s="267"/>
      <c r="S285" s="267"/>
      <c r="T285" s="267"/>
      <c r="U285" s="267"/>
      <c r="V285" s="267"/>
      <c r="W285" s="267"/>
      <c r="X285" s="267"/>
      <c r="Y285" s="267"/>
      <c r="Z285" s="267"/>
      <c r="AA285" s="267"/>
      <c r="AB285" s="267"/>
      <c r="AC285" s="267"/>
    </row>
    <row r="286" ht="13.5" customHeight="1">
      <c r="N286" s="267"/>
      <c r="O286" s="267"/>
      <c r="P286" s="267"/>
      <c r="Q286" s="267"/>
      <c r="R286" s="267"/>
      <c r="S286" s="267"/>
      <c r="T286" s="267"/>
      <c r="U286" s="267"/>
      <c r="V286" s="267"/>
      <c r="W286" s="267"/>
      <c r="X286" s="267"/>
      <c r="Y286" s="267"/>
      <c r="Z286" s="267"/>
      <c r="AA286" s="267"/>
      <c r="AB286" s="267"/>
      <c r="AC286" s="267"/>
    </row>
    <row r="287" ht="13.5" customHeight="1">
      <c r="A287" s="319" t="s">
        <v>880</v>
      </c>
      <c r="N287" s="267"/>
      <c r="O287" s="267"/>
      <c r="P287" s="267"/>
      <c r="Q287" s="267"/>
      <c r="R287" s="267"/>
      <c r="S287" s="267"/>
      <c r="T287" s="267"/>
      <c r="U287" s="267"/>
      <c r="V287" s="267"/>
      <c r="W287" s="267"/>
      <c r="X287" s="267"/>
      <c r="Y287" s="267"/>
      <c r="Z287" s="267"/>
      <c r="AA287" s="267"/>
      <c r="AB287" s="267"/>
      <c r="AC287" s="267"/>
    </row>
    <row r="288" ht="13.5" customHeight="1">
      <c r="N288" s="267"/>
      <c r="O288" s="267"/>
      <c r="P288" s="267"/>
      <c r="Q288" s="267"/>
      <c r="R288" s="267"/>
      <c r="S288" s="267"/>
      <c r="T288" s="267"/>
      <c r="U288" s="267"/>
      <c r="V288" s="267"/>
      <c r="W288" s="267"/>
      <c r="X288" s="267"/>
      <c r="Y288" s="267"/>
      <c r="Z288" s="267"/>
      <c r="AA288" s="267"/>
      <c r="AB288" s="267"/>
      <c r="AC288" s="267"/>
    </row>
    <row r="289" ht="13.5" customHeight="1">
      <c r="N289" s="267"/>
      <c r="O289" s="267"/>
      <c r="P289" s="267"/>
      <c r="Q289" s="267"/>
      <c r="R289" s="267"/>
      <c r="S289" s="267"/>
      <c r="T289" s="267"/>
      <c r="U289" s="267"/>
      <c r="V289" s="267"/>
      <c r="W289" s="267"/>
      <c r="X289" s="267"/>
      <c r="Y289" s="267"/>
      <c r="Z289" s="267"/>
      <c r="AA289" s="267"/>
      <c r="AB289" s="267"/>
      <c r="AC289" s="267"/>
    </row>
    <row r="290" ht="13.5" customHeight="1">
      <c r="N290" s="267"/>
      <c r="O290" s="267"/>
      <c r="P290" s="267"/>
      <c r="Q290" s="267"/>
      <c r="R290" s="267"/>
      <c r="S290" s="267"/>
      <c r="T290" s="267"/>
      <c r="U290" s="267"/>
      <c r="V290" s="267"/>
      <c r="W290" s="267"/>
      <c r="X290" s="267"/>
      <c r="Y290" s="267"/>
      <c r="Z290" s="267"/>
      <c r="AA290" s="267"/>
      <c r="AB290" s="267"/>
      <c r="AC290" s="267"/>
    </row>
    <row r="291" ht="13.5" customHeight="1">
      <c r="N291" s="267"/>
      <c r="O291" s="267"/>
      <c r="P291" s="267"/>
      <c r="Q291" s="267"/>
      <c r="R291" s="267"/>
      <c r="S291" s="267"/>
      <c r="T291" s="267"/>
      <c r="U291" s="267"/>
      <c r="V291" s="267"/>
      <c r="W291" s="267"/>
      <c r="X291" s="267"/>
      <c r="Y291" s="267"/>
      <c r="Z291" s="267"/>
      <c r="AA291" s="267"/>
      <c r="AB291" s="267"/>
      <c r="AC291" s="267"/>
    </row>
    <row r="292" ht="13.5" customHeight="1">
      <c r="N292" s="267"/>
      <c r="O292" s="267"/>
      <c r="P292" s="267"/>
      <c r="Q292" s="267"/>
      <c r="R292" s="267"/>
      <c r="S292" s="267"/>
      <c r="T292" s="267"/>
      <c r="U292" s="267"/>
      <c r="V292" s="267"/>
      <c r="W292" s="267"/>
      <c r="X292" s="267"/>
      <c r="Y292" s="267"/>
      <c r="Z292" s="267"/>
      <c r="AA292" s="267"/>
      <c r="AB292" s="267"/>
      <c r="AC292" s="267"/>
    </row>
    <row r="293" ht="13.5" customHeight="1">
      <c r="N293" s="267"/>
      <c r="O293" s="267"/>
      <c r="P293" s="267"/>
      <c r="Q293" s="267"/>
      <c r="R293" s="267"/>
      <c r="S293" s="267"/>
      <c r="T293" s="267"/>
      <c r="U293" s="267"/>
      <c r="V293" s="267"/>
      <c r="W293" s="267"/>
      <c r="X293" s="267"/>
      <c r="Y293" s="267"/>
      <c r="Z293" s="267"/>
      <c r="AA293" s="267"/>
      <c r="AB293" s="267"/>
      <c r="AC293" s="267"/>
    </row>
    <row r="294" ht="13.5" customHeight="1">
      <c r="N294" s="267"/>
      <c r="O294" s="267"/>
      <c r="P294" s="267"/>
      <c r="Q294" s="267"/>
      <c r="R294" s="267"/>
      <c r="S294" s="267"/>
      <c r="T294" s="267"/>
      <c r="U294" s="267"/>
      <c r="V294" s="267"/>
      <c r="W294" s="267"/>
      <c r="X294" s="267"/>
      <c r="Y294" s="267"/>
      <c r="Z294" s="267"/>
      <c r="AA294" s="267"/>
      <c r="AB294" s="267"/>
      <c r="AC294" s="267"/>
    </row>
    <row r="295" ht="13.5" customHeight="1">
      <c r="N295" s="267"/>
      <c r="O295" s="267"/>
      <c r="P295" s="267"/>
      <c r="Q295" s="267"/>
      <c r="R295" s="267"/>
      <c r="S295" s="267"/>
      <c r="T295" s="267"/>
      <c r="U295" s="267"/>
      <c r="V295" s="267"/>
      <c r="W295" s="267"/>
      <c r="X295" s="267"/>
      <c r="Y295" s="267"/>
      <c r="Z295" s="267"/>
      <c r="AA295" s="267"/>
      <c r="AB295" s="267"/>
      <c r="AC295" s="267"/>
    </row>
    <row r="296" ht="13.5" customHeight="1">
      <c r="N296" s="267"/>
      <c r="O296" s="267"/>
      <c r="P296" s="267"/>
      <c r="Q296" s="267"/>
      <c r="R296" s="267"/>
      <c r="S296" s="267"/>
      <c r="T296" s="267"/>
      <c r="U296" s="267"/>
      <c r="V296" s="267"/>
      <c r="W296" s="267"/>
      <c r="X296" s="267"/>
      <c r="Y296" s="267"/>
      <c r="Z296" s="267"/>
      <c r="AA296" s="267"/>
      <c r="AB296" s="267"/>
      <c r="AC296" s="267"/>
    </row>
    <row r="297" ht="13.5" customHeight="1">
      <c r="N297" s="267"/>
      <c r="O297" s="267"/>
      <c r="P297" s="267"/>
      <c r="Q297" s="267"/>
      <c r="R297" s="267"/>
      <c r="S297" s="267"/>
      <c r="T297" s="267"/>
      <c r="U297" s="267"/>
      <c r="V297" s="267"/>
      <c r="W297" s="267"/>
      <c r="X297" s="267"/>
      <c r="Y297" s="267"/>
      <c r="Z297" s="267"/>
      <c r="AA297" s="267"/>
      <c r="AB297" s="267"/>
      <c r="AC297" s="267"/>
    </row>
    <row r="298" ht="13.5" customHeight="1">
      <c r="N298" s="267"/>
      <c r="O298" s="267"/>
      <c r="P298" s="267"/>
      <c r="Q298" s="267"/>
      <c r="R298" s="267"/>
      <c r="S298" s="267"/>
      <c r="T298" s="267"/>
      <c r="U298" s="267"/>
      <c r="V298" s="267"/>
      <c r="W298" s="267"/>
      <c r="X298" s="267"/>
      <c r="Y298" s="267"/>
      <c r="Z298" s="267"/>
      <c r="AA298" s="267"/>
      <c r="AB298" s="267"/>
      <c r="AC298" s="267"/>
    </row>
    <row r="299" ht="13.5" customHeight="1">
      <c r="N299" s="267"/>
      <c r="O299" s="267"/>
      <c r="P299" s="267"/>
      <c r="Q299" s="267"/>
      <c r="R299" s="267"/>
      <c r="S299" s="267"/>
      <c r="T299" s="267"/>
      <c r="U299" s="267"/>
      <c r="V299" s="267"/>
      <c r="W299" s="267"/>
      <c r="X299" s="267"/>
      <c r="Y299" s="267"/>
      <c r="Z299" s="267"/>
      <c r="AA299" s="267"/>
      <c r="AB299" s="267"/>
      <c r="AC299" s="267"/>
    </row>
    <row r="300" ht="13.5" customHeight="1">
      <c r="N300" s="267"/>
      <c r="O300" s="267"/>
      <c r="P300" s="267"/>
      <c r="Q300" s="267"/>
      <c r="R300" s="267"/>
      <c r="S300" s="267"/>
      <c r="T300" s="267"/>
      <c r="U300" s="267"/>
      <c r="V300" s="267"/>
      <c r="W300" s="267"/>
      <c r="X300" s="267"/>
      <c r="Y300" s="267"/>
      <c r="Z300" s="267"/>
      <c r="AA300" s="267"/>
      <c r="AB300" s="267"/>
      <c r="AC300" s="267"/>
    </row>
    <row r="301" ht="13.5" customHeight="1">
      <c r="N301" s="267"/>
      <c r="O301" s="267"/>
      <c r="P301" s="267"/>
      <c r="Q301" s="267"/>
      <c r="R301" s="267"/>
      <c r="S301" s="267"/>
      <c r="T301" s="267"/>
      <c r="U301" s="267"/>
      <c r="V301" s="267"/>
      <c r="W301" s="267"/>
      <c r="X301" s="267"/>
      <c r="Y301" s="267"/>
      <c r="Z301" s="267"/>
      <c r="AA301" s="267"/>
      <c r="AB301" s="267"/>
      <c r="AC301" s="267"/>
    </row>
    <row r="302" ht="13.5" customHeight="1">
      <c r="N302" s="267"/>
      <c r="O302" s="267"/>
      <c r="P302" s="267"/>
      <c r="Q302" s="267"/>
      <c r="R302" s="267"/>
      <c r="S302" s="267"/>
      <c r="T302" s="267"/>
      <c r="U302" s="267"/>
      <c r="V302" s="267"/>
      <c r="W302" s="267"/>
      <c r="X302" s="267"/>
      <c r="Y302" s="267"/>
      <c r="Z302" s="267"/>
      <c r="AA302" s="267"/>
      <c r="AB302" s="267"/>
      <c r="AC302" s="267"/>
    </row>
    <row r="303" ht="13.5" customHeight="1">
      <c r="N303" s="267"/>
      <c r="O303" s="267"/>
      <c r="P303" s="267"/>
      <c r="Q303" s="267"/>
      <c r="R303" s="267"/>
      <c r="S303" s="267"/>
      <c r="T303" s="267"/>
      <c r="U303" s="267"/>
      <c r="V303" s="267"/>
      <c r="W303" s="267"/>
      <c r="X303" s="267"/>
      <c r="Y303" s="267"/>
      <c r="Z303" s="267"/>
      <c r="AA303" s="267"/>
      <c r="AB303" s="267"/>
      <c r="AC303" s="267"/>
    </row>
    <row r="304" ht="13.5" customHeight="1">
      <c r="N304" s="267"/>
      <c r="O304" s="267"/>
      <c r="P304" s="267"/>
      <c r="Q304" s="267"/>
      <c r="R304" s="267"/>
      <c r="S304" s="267"/>
      <c r="T304" s="267"/>
      <c r="U304" s="267"/>
      <c r="V304" s="267"/>
      <c r="W304" s="267"/>
      <c r="X304" s="267"/>
      <c r="Y304" s="267"/>
      <c r="Z304" s="267"/>
      <c r="AA304" s="267"/>
      <c r="AB304" s="267"/>
      <c r="AC304" s="267"/>
    </row>
    <row r="305" ht="13.5" customHeight="1">
      <c r="N305" s="267"/>
      <c r="O305" s="267"/>
      <c r="P305" s="267"/>
      <c r="Q305" s="267"/>
      <c r="R305" s="267"/>
      <c r="S305" s="267"/>
      <c r="T305" s="267"/>
      <c r="U305" s="267"/>
      <c r="V305" s="267"/>
      <c r="W305" s="267"/>
      <c r="X305" s="267"/>
      <c r="Y305" s="267"/>
      <c r="Z305" s="267"/>
      <c r="AA305" s="267"/>
      <c r="AB305" s="267"/>
      <c r="AC305" s="267"/>
    </row>
    <row r="306" ht="13.5" customHeight="1">
      <c r="N306" s="267"/>
      <c r="O306" s="267"/>
      <c r="P306" s="267"/>
      <c r="Q306" s="267"/>
      <c r="R306" s="267"/>
      <c r="S306" s="267"/>
      <c r="T306" s="267"/>
      <c r="U306" s="267"/>
      <c r="V306" s="267"/>
      <c r="W306" s="267"/>
      <c r="X306" s="267"/>
      <c r="Y306" s="267"/>
      <c r="Z306" s="267"/>
      <c r="AA306" s="267"/>
      <c r="AB306" s="267"/>
      <c r="AC306" s="267"/>
    </row>
    <row r="307" ht="13.5" customHeight="1">
      <c r="N307" s="267"/>
      <c r="O307" s="267"/>
      <c r="P307" s="267"/>
      <c r="Q307" s="267"/>
      <c r="R307" s="267"/>
      <c r="S307" s="267"/>
      <c r="T307" s="267"/>
      <c r="U307" s="267"/>
      <c r="V307" s="267"/>
      <c r="W307" s="267"/>
      <c r="X307" s="267"/>
      <c r="Y307" s="267"/>
      <c r="Z307" s="267"/>
      <c r="AA307" s="267"/>
      <c r="AB307" s="267"/>
      <c r="AC307" s="267"/>
    </row>
    <row r="308" ht="13.5" customHeight="1">
      <c r="N308" s="267"/>
      <c r="O308" s="267"/>
      <c r="P308" s="267"/>
      <c r="Q308" s="267"/>
      <c r="R308" s="267"/>
      <c r="S308" s="267"/>
      <c r="T308" s="267"/>
      <c r="U308" s="267"/>
      <c r="V308" s="267"/>
      <c r="W308" s="267"/>
      <c r="X308" s="267"/>
      <c r="Y308" s="267"/>
      <c r="Z308" s="267"/>
      <c r="AA308" s="267"/>
      <c r="AB308" s="267"/>
      <c r="AC308" s="267"/>
    </row>
    <row r="309" ht="13.5" customHeight="1">
      <c r="N309" s="267"/>
      <c r="O309" s="267"/>
      <c r="P309" s="267"/>
      <c r="Q309" s="267"/>
      <c r="R309" s="267"/>
      <c r="S309" s="267"/>
      <c r="T309" s="267"/>
      <c r="U309" s="267"/>
      <c r="V309" s="267"/>
      <c r="W309" s="267"/>
      <c r="X309" s="267"/>
      <c r="Y309" s="267"/>
      <c r="Z309" s="267"/>
      <c r="AA309" s="267"/>
      <c r="AB309" s="267"/>
      <c r="AC309" s="267"/>
    </row>
    <row r="310" ht="13.5" customHeight="1">
      <c r="N310" s="267"/>
      <c r="O310" s="267"/>
      <c r="P310" s="267"/>
      <c r="Q310" s="267"/>
      <c r="R310" s="267"/>
      <c r="S310" s="267"/>
      <c r="T310" s="267"/>
      <c r="U310" s="267"/>
      <c r="V310" s="267"/>
      <c r="W310" s="267"/>
      <c r="X310" s="267"/>
      <c r="Y310" s="267"/>
      <c r="Z310" s="267"/>
      <c r="AA310" s="267"/>
      <c r="AB310" s="267"/>
      <c r="AC310" s="267"/>
    </row>
    <row r="311" ht="13.5" customHeight="1">
      <c r="N311" s="267"/>
      <c r="O311" s="267"/>
      <c r="P311" s="267"/>
      <c r="Q311" s="267"/>
      <c r="R311" s="267"/>
      <c r="S311" s="267"/>
      <c r="T311" s="267"/>
      <c r="U311" s="267"/>
      <c r="V311" s="267"/>
      <c r="W311" s="267"/>
      <c r="X311" s="267"/>
      <c r="Y311" s="267"/>
      <c r="Z311" s="267"/>
      <c r="AA311" s="267"/>
      <c r="AB311" s="267"/>
      <c r="AC311" s="267"/>
    </row>
    <row r="312" ht="13.5" customHeight="1">
      <c r="N312" s="267"/>
      <c r="O312" s="267"/>
      <c r="P312" s="267"/>
      <c r="Q312" s="267"/>
      <c r="R312" s="267"/>
      <c r="S312" s="267"/>
      <c r="T312" s="267"/>
      <c r="U312" s="267"/>
      <c r="V312" s="267"/>
      <c r="W312" s="267"/>
      <c r="X312" s="267"/>
      <c r="Y312" s="267"/>
      <c r="Z312" s="267"/>
      <c r="AA312" s="267"/>
      <c r="AB312" s="267"/>
      <c r="AC312" s="267"/>
    </row>
    <row r="313" ht="13.5" customHeight="1">
      <c r="N313" s="267"/>
      <c r="O313" s="267"/>
      <c r="P313" s="267"/>
      <c r="Q313" s="267"/>
      <c r="R313" s="267"/>
      <c r="S313" s="267"/>
      <c r="T313" s="267"/>
      <c r="U313" s="267"/>
      <c r="V313" s="267"/>
      <c r="W313" s="267"/>
      <c r="X313" s="267"/>
      <c r="Y313" s="267"/>
      <c r="Z313" s="267"/>
      <c r="AA313" s="267"/>
      <c r="AB313" s="267"/>
      <c r="AC313" s="267"/>
    </row>
    <row r="314" ht="13.5" customHeight="1">
      <c r="A314" s="431" t="s">
        <v>818</v>
      </c>
      <c r="N314" s="432"/>
      <c r="O314" s="267"/>
      <c r="P314" s="267"/>
      <c r="Q314" s="267"/>
      <c r="R314" s="267"/>
      <c r="S314" s="267"/>
      <c r="T314" s="267"/>
      <c r="U314" s="267"/>
      <c r="V314" s="267"/>
      <c r="W314" s="267"/>
      <c r="X314" s="267"/>
      <c r="Y314" s="267"/>
      <c r="Z314" s="267"/>
      <c r="AA314" s="267"/>
      <c r="AB314" s="267"/>
      <c r="AC314" s="267"/>
    </row>
    <row r="315" ht="13.5" customHeight="1">
      <c r="N315" s="432"/>
      <c r="O315" s="267"/>
      <c r="P315" s="267"/>
      <c r="Q315" s="267"/>
      <c r="R315" s="267"/>
      <c r="S315" s="267"/>
      <c r="T315" s="267"/>
      <c r="U315" s="267"/>
      <c r="V315" s="267"/>
      <c r="W315" s="267"/>
      <c r="X315" s="267"/>
      <c r="Y315" s="267"/>
      <c r="Z315" s="267"/>
      <c r="AA315" s="267"/>
      <c r="AB315" s="267"/>
      <c r="AC315" s="267"/>
    </row>
    <row r="316" ht="13.5" customHeight="1">
      <c r="N316" s="432"/>
      <c r="O316" s="267"/>
      <c r="P316" s="267"/>
      <c r="Q316" s="267"/>
      <c r="R316" s="267"/>
      <c r="S316" s="267"/>
      <c r="T316" s="267"/>
      <c r="U316" s="267"/>
      <c r="V316" s="267"/>
      <c r="W316" s="267"/>
      <c r="X316" s="267"/>
      <c r="Y316" s="267"/>
      <c r="Z316" s="267"/>
      <c r="AA316" s="267"/>
      <c r="AB316" s="267"/>
      <c r="AC316" s="267"/>
    </row>
    <row r="317" ht="13.5" customHeight="1">
      <c r="A317" s="267"/>
      <c r="B317" s="267"/>
      <c r="C317" s="433"/>
      <c r="D317" s="433"/>
      <c r="E317" s="433"/>
      <c r="F317" s="433"/>
      <c r="G317" s="267"/>
      <c r="H317" s="267"/>
      <c r="I317" s="267"/>
      <c r="J317" s="433"/>
      <c r="K317" s="433"/>
      <c r="L317" s="434"/>
      <c r="M317" s="267"/>
      <c r="N317" s="267"/>
      <c r="O317" s="267"/>
      <c r="P317" s="267"/>
      <c r="Q317" s="267"/>
      <c r="R317" s="267"/>
      <c r="S317" s="267"/>
      <c r="T317" s="267"/>
      <c r="U317" s="267"/>
      <c r="V317" s="267"/>
      <c r="W317" s="267"/>
      <c r="X317" s="267"/>
      <c r="Y317" s="267"/>
      <c r="Z317" s="267"/>
      <c r="AA317" s="267"/>
      <c r="AB317" s="267"/>
      <c r="AC317" s="267"/>
    </row>
    <row r="318" ht="13.5" customHeight="1">
      <c r="A318" s="267"/>
      <c r="B318" s="267"/>
      <c r="C318" s="433"/>
      <c r="D318" s="433"/>
      <c r="E318" s="433"/>
      <c r="F318" s="433"/>
      <c r="G318" s="267"/>
      <c r="H318" s="267"/>
      <c r="I318" s="267"/>
      <c r="J318" s="433"/>
      <c r="K318" s="433"/>
      <c r="L318" s="434"/>
      <c r="M318" s="267"/>
      <c r="N318" s="267"/>
      <c r="O318" s="267"/>
      <c r="P318" s="267"/>
      <c r="Q318" s="267"/>
      <c r="R318" s="267"/>
      <c r="S318" s="267"/>
      <c r="T318" s="267"/>
      <c r="U318" s="267"/>
      <c r="V318" s="267"/>
      <c r="W318" s="267"/>
      <c r="X318" s="267"/>
      <c r="Y318" s="267"/>
      <c r="Z318" s="267"/>
      <c r="AA318" s="267"/>
      <c r="AB318" s="267"/>
      <c r="AC318" s="267"/>
    </row>
    <row r="319" ht="13.5" customHeight="1">
      <c r="A319" s="267"/>
      <c r="B319" s="267"/>
      <c r="C319" s="433"/>
      <c r="D319" s="433"/>
      <c r="E319" s="433"/>
      <c r="F319" s="433"/>
      <c r="G319" s="267"/>
      <c r="H319" s="267"/>
      <c r="I319" s="267"/>
      <c r="J319" s="433"/>
      <c r="K319" s="433"/>
      <c r="L319" s="434"/>
      <c r="M319" s="267"/>
      <c r="N319" s="267"/>
      <c r="O319" s="267"/>
      <c r="P319" s="267"/>
      <c r="Q319" s="267"/>
      <c r="R319" s="267"/>
      <c r="S319" s="267"/>
      <c r="T319" s="267"/>
      <c r="U319" s="267"/>
      <c r="V319" s="267"/>
      <c r="W319" s="267"/>
      <c r="X319" s="267"/>
      <c r="Y319" s="267"/>
      <c r="Z319" s="267"/>
      <c r="AA319" s="267"/>
      <c r="AB319" s="267"/>
      <c r="AC319" s="267"/>
    </row>
    <row r="320" ht="13.5" customHeight="1">
      <c r="A320" s="267"/>
      <c r="B320" s="267"/>
      <c r="C320" s="433"/>
      <c r="D320" s="433"/>
      <c r="E320" s="433"/>
      <c r="F320" s="433"/>
      <c r="G320" s="267"/>
      <c r="H320" s="267"/>
      <c r="I320" s="267"/>
      <c r="J320" s="433"/>
      <c r="K320" s="433"/>
      <c r="L320" s="434"/>
      <c r="M320" s="267"/>
      <c r="N320" s="267"/>
      <c r="O320" s="267"/>
      <c r="P320" s="267"/>
      <c r="Q320" s="267"/>
      <c r="R320" s="267"/>
      <c r="S320" s="267"/>
      <c r="T320" s="267"/>
      <c r="U320" s="267"/>
      <c r="V320" s="267"/>
      <c r="W320" s="267"/>
      <c r="X320" s="267"/>
      <c r="Y320" s="267"/>
      <c r="Z320" s="267"/>
      <c r="AA320" s="267"/>
      <c r="AB320" s="267"/>
      <c r="AC320" s="267"/>
    </row>
    <row r="321" ht="13.5" customHeight="1">
      <c r="A321" s="267"/>
      <c r="B321" s="267"/>
      <c r="C321" s="433"/>
      <c r="D321" s="433"/>
      <c r="E321" s="433"/>
      <c r="F321" s="433"/>
      <c r="G321" s="267"/>
      <c r="H321" s="267"/>
      <c r="I321" s="267"/>
      <c r="J321" s="433"/>
      <c r="K321" s="433"/>
      <c r="L321" s="434"/>
      <c r="M321" s="267"/>
      <c r="N321" s="267"/>
      <c r="O321" s="267"/>
      <c r="P321" s="267"/>
      <c r="Q321" s="267"/>
      <c r="R321" s="267"/>
      <c r="S321" s="267"/>
      <c r="T321" s="267"/>
      <c r="U321" s="267"/>
      <c r="V321" s="267"/>
      <c r="W321" s="267"/>
      <c r="X321" s="267"/>
      <c r="Y321" s="267"/>
      <c r="Z321" s="267"/>
      <c r="AA321" s="267"/>
      <c r="AB321" s="267"/>
      <c r="AC321" s="267"/>
    </row>
    <row r="322" ht="13.5" customHeight="1">
      <c r="A322" s="267"/>
      <c r="B322" s="267"/>
      <c r="C322" s="433"/>
      <c r="D322" s="433"/>
      <c r="E322" s="433"/>
      <c r="F322" s="433"/>
      <c r="G322" s="267"/>
      <c r="H322" s="267"/>
      <c r="I322" s="267"/>
      <c r="J322" s="433"/>
      <c r="K322" s="433"/>
      <c r="L322" s="434"/>
      <c r="M322" s="267"/>
      <c r="N322" s="267"/>
      <c r="O322" s="267"/>
      <c r="P322" s="267"/>
      <c r="Q322" s="267"/>
      <c r="R322" s="267"/>
      <c r="S322" s="267"/>
      <c r="T322" s="267"/>
      <c r="U322" s="267"/>
      <c r="V322" s="267"/>
      <c r="W322" s="267"/>
      <c r="X322" s="267"/>
      <c r="Y322" s="267"/>
      <c r="Z322" s="267"/>
      <c r="AA322" s="267"/>
      <c r="AB322" s="267"/>
      <c r="AC322" s="267"/>
    </row>
    <row r="323" ht="13.5" customHeight="1">
      <c r="A323" s="267"/>
      <c r="B323" s="267"/>
      <c r="C323" s="433"/>
      <c r="D323" s="433"/>
      <c r="E323" s="433"/>
      <c r="F323" s="433"/>
      <c r="G323" s="267"/>
      <c r="H323" s="267"/>
      <c r="I323" s="267"/>
      <c r="J323" s="433"/>
      <c r="K323" s="433"/>
      <c r="L323" s="434"/>
      <c r="M323" s="267"/>
      <c r="N323" s="267"/>
      <c r="O323" s="267"/>
      <c r="P323" s="267"/>
      <c r="Q323" s="267"/>
      <c r="R323" s="267"/>
      <c r="S323" s="267"/>
      <c r="T323" s="267"/>
      <c r="U323" s="267"/>
      <c r="V323" s="267"/>
      <c r="W323" s="267"/>
      <c r="X323" s="267"/>
      <c r="Y323" s="267"/>
      <c r="Z323" s="267"/>
      <c r="AA323" s="267"/>
      <c r="AB323" s="267"/>
      <c r="AC323" s="267"/>
    </row>
    <row r="324" ht="13.5" customHeight="1">
      <c r="A324" s="267"/>
      <c r="B324" s="267"/>
      <c r="C324" s="433"/>
      <c r="D324" s="433"/>
      <c r="E324" s="433"/>
      <c r="F324" s="433"/>
      <c r="G324" s="267"/>
      <c r="H324" s="267"/>
      <c r="I324" s="267"/>
      <c r="J324" s="433"/>
      <c r="K324" s="433"/>
      <c r="L324" s="434"/>
      <c r="M324" s="267"/>
      <c r="N324" s="267"/>
      <c r="O324" s="267"/>
      <c r="P324" s="267"/>
      <c r="Q324" s="267"/>
      <c r="R324" s="267"/>
      <c r="S324" s="267"/>
      <c r="T324" s="267"/>
      <c r="U324" s="267"/>
      <c r="V324" s="267"/>
      <c r="W324" s="267"/>
      <c r="X324" s="267"/>
      <c r="Y324" s="267"/>
      <c r="Z324" s="267"/>
      <c r="AA324" s="267"/>
      <c r="AB324" s="267"/>
      <c r="AC324" s="267"/>
    </row>
    <row r="325" ht="13.5" customHeight="1">
      <c r="A325" s="267"/>
      <c r="B325" s="267"/>
      <c r="C325" s="433"/>
      <c r="D325" s="433"/>
      <c r="E325" s="433"/>
      <c r="F325" s="433"/>
      <c r="G325" s="267"/>
      <c r="H325" s="267"/>
      <c r="I325" s="267"/>
      <c r="J325" s="433"/>
      <c r="K325" s="433"/>
      <c r="L325" s="434"/>
      <c r="M325" s="267"/>
      <c r="N325" s="267"/>
      <c r="O325" s="267"/>
      <c r="P325" s="267"/>
      <c r="Q325" s="267"/>
      <c r="R325" s="267"/>
      <c r="S325" s="267"/>
      <c r="T325" s="267"/>
      <c r="U325" s="267"/>
      <c r="V325" s="267"/>
      <c r="W325" s="267"/>
      <c r="X325" s="267"/>
      <c r="Y325" s="267"/>
      <c r="Z325" s="267"/>
      <c r="AA325" s="267"/>
      <c r="AB325" s="267"/>
      <c r="AC325" s="267"/>
    </row>
    <row r="326" ht="13.5" customHeight="1">
      <c r="A326" s="267"/>
      <c r="B326" s="267"/>
      <c r="C326" s="433"/>
      <c r="D326" s="433"/>
      <c r="E326" s="433"/>
      <c r="F326" s="433"/>
      <c r="G326" s="267"/>
      <c r="H326" s="267"/>
      <c r="I326" s="267"/>
      <c r="J326" s="433"/>
      <c r="K326" s="433"/>
      <c r="L326" s="434"/>
      <c r="M326" s="267"/>
      <c r="N326" s="267"/>
      <c r="O326" s="267"/>
      <c r="P326" s="267"/>
      <c r="Q326" s="267"/>
      <c r="R326" s="267"/>
      <c r="S326" s="267"/>
      <c r="T326" s="267"/>
      <c r="U326" s="267"/>
      <c r="V326" s="267"/>
      <c r="W326" s="267"/>
      <c r="X326" s="267"/>
      <c r="Y326" s="267"/>
      <c r="Z326" s="267"/>
      <c r="AA326" s="267"/>
      <c r="AB326" s="267"/>
      <c r="AC326" s="267"/>
    </row>
    <row r="327" ht="13.5" customHeight="1">
      <c r="A327" s="267"/>
      <c r="B327" s="267"/>
      <c r="C327" s="433"/>
      <c r="D327" s="433"/>
      <c r="E327" s="433"/>
      <c r="F327" s="433"/>
      <c r="G327" s="267"/>
      <c r="H327" s="267"/>
      <c r="I327" s="267"/>
      <c r="J327" s="433"/>
      <c r="K327" s="433"/>
      <c r="L327" s="434"/>
      <c r="M327" s="267"/>
      <c r="N327" s="267"/>
      <c r="O327" s="267"/>
      <c r="P327" s="267"/>
      <c r="Q327" s="267"/>
      <c r="R327" s="267"/>
      <c r="S327" s="267"/>
      <c r="T327" s="267"/>
      <c r="U327" s="267"/>
      <c r="V327" s="267"/>
      <c r="W327" s="267"/>
      <c r="X327" s="267"/>
      <c r="Y327" s="267"/>
      <c r="Z327" s="267"/>
      <c r="AA327" s="267"/>
      <c r="AB327" s="267"/>
      <c r="AC327" s="267"/>
    </row>
    <row r="328" ht="13.5" customHeight="1">
      <c r="A328" s="267"/>
      <c r="B328" s="267"/>
      <c r="C328" s="433"/>
      <c r="D328" s="433"/>
      <c r="E328" s="433"/>
      <c r="F328" s="433"/>
      <c r="G328" s="267"/>
      <c r="H328" s="267"/>
      <c r="I328" s="267"/>
      <c r="J328" s="433"/>
      <c r="K328" s="433"/>
      <c r="L328" s="434"/>
      <c r="M328" s="267"/>
      <c r="N328" s="267"/>
      <c r="O328" s="267"/>
      <c r="P328" s="267"/>
      <c r="Q328" s="267"/>
      <c r="R328" s="267"/>
      <c r="S328" s="267"/>
      <c r="T328" s="267"/>
      <c r="U328" s="267"/>
      <c r="V328" s="267"/>
      <c r="W328" s="267"/>
      <c r="X328" s="267"/>
      <c r="Y328" s="267"/>
      <c r="Z328" s="267"/>
      <c r="AA328" s="267"/>
      <c r="AB328" s="267"/>
      <c r="AC328" s="267"/>
    </row>
    <row r="329" ht="13.5" customHeight="1">
      <c r="A329" s="267"/>
      <c r="B329" s="267"/>
      <c r="C329" s="433"/>
      <c r="D329" s="433"/>
      <c r="E329" s="433"/>
      <c r="F329" s="433"/>
      <c r="G329" s="267"/>
      <c r="H329" s="267"/>
      <c r="I329" s="267"/>
      <c r="J329" s="433"/>
      <c r="K329" s="433"/>
      <c r="L329" s="434"/>
      <c r="M329" s="267"/>
      <c r="N329" s="267"/>
      <c r="O329" s="267"/>
      <c r="P329" s="267"/>
      <c r="Q329" s="267"/>
      <c r="R329" s="267"/>
      <c r="S329" s="267"/>
      <c r="T329" s="267"/>
      <c r="U329" s="267"/>
      <c r="V329" s="267"/>
      <c r="W329" s="267"/>
      <c r="X329" s="267"/>
      <c r="Y329" s="267"/>
      <c r="Z329" s="267"/>
      <c r="AA329" s="267"/>
      <c r="AB329" s="267"/>
      <c r="AC329" s="267"/>
    </row>
    <row r="330" ht="13.5" customHeight="1">
      <c r="A330" s="267"/>
      <c r="B330" s="267"/>
      <c r="C330" s="433"/>
      <c r="D330" s="433"/>
      <c r="E330" s="433"/>
      <c r="F330" s="433"/>
      <c r="G330" s="267"/>
      <c r="H330" s="267"/>
      <c r="I330" s="267"/>
      <c r="J330" s="433"/>
      <c r="K330" s="433"/>
      <c r="L330" s="434"/>
      <c r="M330" s="267"/>
      <c r="N330" s="267"/>
      <c r="O330" s="267"/>
      <c r="P330" s="267"/>
      <c r="Q330" s="267"/>
      <c r="R330" s="267"/>
      <c r="S330" s="267"/>
      <c r="T330" s="267"/>
      <c r="U330" s="267"/>
      <c r="V330" s="267"/>
      <c r="W330" s="267"/>
      <c r="X330" s="267"/>
      <c r="Y330" s="267"/>
      <c r="Z330" s="267"/>
      <c r="AA330" s="267"/>
      <c r="AB330" s="267"/>
      <c r="AC330" s="267"/>
    </row>
    <row r="331" ht="13.5" customHeight="1">
      <c r="A331" s="267"/>
      <c r="B331" s="267"/>
      <c r="C331" s="433"/>
      <c r="D331" s="433"/>
      <c r="E331" s="433"/>
      <c r="F331" s="433"/>
      <c r="G331" s="267"/>
      <c r="H331" s="267"/>
      <c r="I331" s="267"/>
      <c r="J331" s="433"/>
      <c r="K331" s="433"/>
      <c r="L331" s="434"/>
      <c r="M331" s="267"/>
      <c r="N331" s="267"/>
      <c r="O331" s="267"/>
      <c r="P331" s="267"/>
      <c r="Q331" s="267"/>
      <c r="R331" s="267"/>
      <c r="S331" s="267"/>
      <c r="T331" s="267"/>
      <c r="U331" s="267"/>
      <c r="V331" s="267"/>
      <c r="W331" s="267"/>
      <c r="X331" s="267"/>
      <c r="Y331" s="267"/>
      <c r="Z331" s="267"/>
      <c r="AA331" s="267"/>
      <c r="AB331" s="267"/>
      <c r="AC331" s="267"/>
    </row>
    <row r="332" ht="13.5" customHeight="1">
      <c r="A332" s="267"/>
      <c r="B332" s="267"/>
      <c r="C332" s="433"/>
      <c r="D332" s="433"/>
      <c r="E332" s="433"/>
      <c r="F332" s="433"/>
      <c r="G332" s="267"/>
      <c r="H332" s="267"/>
      <c r="I332" s="267"/>
      <c r="J332" s="433"/>
      <c r="K332" s="433"/>
      <c r="L332" s="434"/>
      <c r="M332" s="267"/>
      <c r="N332" s="267"/>
      <c r="O332" s="267"/>
      <c r="P332" s="267"/>
      <c r="Q332" s="267"/>
      <c r="R332" s="267"/>
      <c r="S332" s="267"/>
      <c r="T332" s="267"/>
      <c r="U332" s="267"/>
      <c r="V332" s="267"/>
      <c r="W332" s="267"/>
      <c r="X332" s="267"/>
      <c r="Y332" s="267"/>
      <c r="Z332" s="267"/>
      <c r="AA332" s="267"/>
      <c r="AB332" s="267"/>
      <c r="AC332" s="267"/>
    </row>
    <row r="333" ht="13.5" customHeight="1">
      <c r="A333" s="267"/>
      <c r="B333" s="267"/>
      <c r="C333" s="433"/>
      <c r="D333" s="433"/>
      <c r="E333" s="433"/>
      <c r="F333" s="433"/>
      <c r="G333" s="267"/>
      <c r="H333" s="267"/>
      <c r="I333" s="267"/>
      <c r="J333" s="433"/>
      <c r="K333" s="433"/>
      <c r="L333" s="434"/>
      <c r="M333" s="267"/>
      <c r="N333" s="267"/>
      <c r="O333" s="267"/>
      <c r="P333" s="267"/>
      <c r="Q333" s="267"/>
      <c r="R333" s="267"/>
      <c r="S333" s="267"/>
      <c r="T333" s="267"/>
      <c r="U333" s="267"/>
      <c r="V333" s="267"/>
      <c r="W333" s="267"/>
      <c r="X333" s="267"/>
      <c r="Y333" s="267"/>
      <c r="Z333" s="267"/>
      <c r="AA333" s="267"/>
      <c r="AB333" s="267"/>
      <c r="AC333" s="267"/>
    </row>
    <row r="334" ht="13.5" customHeight="1">
      <c r="A334" s="267"/>
      <c r="B334" s="267"/>
      <c r="C334" s="433"/>
      <c r="D334" s="433"/>
      <c r="E334" s="433"/>
      <c r="F334" s="433"/>
      <c r="G334" s="267"/>
      <c r="H334" s="267"/>
      <c r="I334" s="267"/>
      <c r="J334" s="433"/>
      <c r="K334" s="433"/>
      <c r="L334" s="434"/>
      <c r="M334" s="267"/>
      <c r="N334" s="267"/>
      <c r="O334" s="267"/>
      <c r="P334" s="267"/>
      <c r="Q334" s="267"/>
      <c r="R334" s="267"/>
      <c r="S334" s="267"/>
      <c r="T334" s="267"/>
      <c r="U334" s="267"/>
      <c r="V334" s="267"/>
      <c r="W334" s="267"/>
      <c r="X334" s="267"/>
      <c r="Y334" s="267"/>
      <c r="Z334" s="267"/>
      <c r="AA334" s="267"/>
      <c r="AB334" s="267"/>
      <c r="AC334" s="267"/>
    </row>
    <row r="335" ht="13.5" customHeight="1">
      <c r="A335" s="267"/>
      <c r="B335" s="267"/>
      <c r="C335" s="433"/>
      <c r="D335" s="433"/>
      <c r="E335" s="433"/>
      <c r="F335" s="433"/>
      <c r="G335" s="267"/>
      <c r="H335" s="267"/>
      <c r="I335" s="267"/>
      <c r="J335" s="433"/>
      <c r="K335" s="433"/>
      <c r="L335" s="434"/>
      <c r="M335" s="267"/>
      <c r="N335" s="267"/>
      <c r="O335" s="267"/>
      <c r="P335" s="267"/>
      <c r="Q335" s="267"/>
      <c r="R335" s="267"/>
      <c r="S335" s="267"/>
      <c r="T335" s="267"/>
      <c r="U335" s="267"/>
      <c r="V335" s="267"/>
      <c r="W335" s="267"/>
      <c r="X335" s="267"/>
      <c r="Y335" s="267"/>
      <c r="Z335" s="267"/>
      <c r="AA335" s="267"/>
      <c r="AB335" s="267"/>
      <c r="AC335" s="267"/>
    </row>
    <row r="336" ht="13.5" customHeight="1">
      <c r="A336" s="267"/>
      <c r="B336" s="267"/>
      <c r="C336" s="433"/>
      <c r="D336" s="433"/>
      <c r="E336" s="433"/>
      <c r="F336" s="433"/>
      <c r="G336" s="267"/>
      <c r="H336" s="267"/>
      <c r="I336" s="267"/>
      <c r="J336" s="433"/>
      <c r="K336" s="433"/>
      <c r="L336" s="434"/>
      <c r="M336" s="267"/>
      <c r="N336" s="267"/>
      <c r="O336" s="267"/>
      <c r="P336" s="267"/>
      <c r="Q336" s="267"/>
      <c r="R336" s="267"/>
      <c r="S336" s="267"/>
      <c r="T336" s="267"/>
      <c r="U336" s="267"/>
      <c r="V336" s="267"/>
      <c r="W336" s="267"/>
      <c r="X336" s="267"/>
      <c r="Y336" s="267"/>
      <c r="Z336" s="267"/>
      <c r="AA336" s="267"/>
      <c r="AB336" s="267"/>
      <c r="AC336" s="267"/>
    </row>
    <row r="337" ht="13.5" customHeight="1">
      <c r="A337" s="267"/>
      <c r="B337" s="267"/>
      <c r="C337" s="433"/>
      <c r="D337" s="433"/>
      <c r="E337" s="433"/>
      <c r="F337" s="433"/>
      <c r="G337" s="267"/>
      <c r="H337" s="267"/>
      <c r="I337" s="267"/>
      <c r="J337" s="433"/>
      <c r="K337" s="433"/>
      <c r="L337" s="434"/>
      <c r="M337" s="267"/>
      <c r="N337" s="267"/>
      <c r="O337" s="267"/>
      <c r="P337" s="267"/>
      <c r="Q337" s="267"/>
      <c r="R337" s="267"/>
      <c r="S337" s="267"/>
      <c r="T337" s="267"/>
      <c r="U337" s="267"/>
      <c r="V337" s="267"/>
      <c r="W337" s="267"/>
      <c r="X337" s="267"/>
      <c r="Y337" s="267"/>
      <c r="Z337" s="267"/>
      <c r="AA337" s="267"/>
      <c r="AB337" s="267"/>
      <c r="AC337" s="267"/>
    </row>
    <row r="338" ht="13.5" customHeight="1">
      <c r="A338" s="267"/>
      <c r="B338" s="267"/>
      <c r="C338" s="433"/>
      <c r="D338" s="433"/>
      <c r="E338" s="433"/>
      <c r="F338" s="433"/>
      <c r="G338" s="267"/>
      <c r="H338" s="267"/>
      <c r="I338" s="267"/>
      <c r="J338" s="433"/>
      <c r="K338" s="433"/>
      <c r="L338" s="434"/>
      <c r="M338" s="267"/>
      <c r="N338" s="267"/>
      <c r="O338" s="267"/>
      <c r="P338" s="267"/>
      <c r="Q338" s="267"/>
      <c r="R338" s="267"/>
      <c r="S338" s="267"/>
      <c r="T338" s="267"/>
      <c r="U338" s="267"/>
      <c r="V338" s="267"/>
      <c r="W338" s="267"/>
      <c r="X338" s="267"/>
      <c r="Y338" s="267"/>
      <c r="Z338" s="267"/>
      <c r="AA338" s="267"/>
      <c r="AB338" s="267"/>
      <c r="AC338" s="267"/>
    </row>
    <row r="339" ht="13.5" customHeight="1">
      <c r="A339" s="267"/>
      <c r="B339" s="267"/>
      <c r="C339" s="433"/>
      <c r="D339" s="433"/>
      <c r="E339" s="433"/>
      <c r="F339" s="433"/>
      <c r="G339" s="267"/>
      <c r="H339" s="267"/>
      <c r="I339" s="267"/>
      <c r="J339" s="433"/>
      <c r="K339" s="433"/>
      <c r="L339" s="434"/>
      <c r="M339" s="267"/>
      <c r="N339" s="267"/>
      <c r="O339" s="267"/>
      <c r="P339" s="267"/>
      <c r="Q339" s="267"/>
      <c r="R339" s="267"/>
      <c r="S339" s="267"/>
      <c r="T339" s="267"/>
      <c r="U339" s="267"/>
      <c r="V339" s="267"/>
      <c r="W339" s="267"/>
      <c r="X339" s="267"/>
      <c r="Y339" s="267"/>
      <c r="Z339" s="267"/>
      <c r="AA339" s="267"/>
      <c r="AB339" s="267"/>
      <c r="AC339" s="267"/>
    </row>
    <row r="340" ht="13.5" customHeight="1">
      <c r="A340" s="267"/>
      <c r="B340" s="267"/>
      <c r="C340" s="433"/>
      <c r="D340" s="433"/>
      <c r="E340" s="433"/>
      <c r="F340" s="433"/>
      <c r="G340" s="267"/>
      <c r="H340" s="267"/>
      <c r="I340" s="267"/>
      <c r="J340" s="433"/>
      <c r="K340" s="433"/>
      <c r="L340" s="434"/>
      <c r="M340" s="267"/>
      <c r="N340" s="267"/>
      <c r="O340" s="267"/>
      <c r="P340" s="267"/>
      <c r="Q340" s="267"/>
      <c r="R340" s="267"/>
      <c r="S340" s="267"/>
      <c r="T340" s="267"/>
      <c r="U340" s="267"/>
      <c r="V340" s="267"/>
      <c r="W340" s="267"/>
      <c r="X340" s="267"/>
      <c r="Y340" s="267"/>
      <c r="Z340" s="267"/>
      <c r="AA340" s="267"/>
      <c r="AB340" s="267"/>
      <c r="AC340" s="267"/>
    </row>
    <row r="341" ht="13.5" customHeight="1">
      <c r="A341" s="267"/>
      <c r="B341" s="267"/>
      <c r="C341" s="433"/>
      <c r="D341" s="433"/>
      <c r="E341" s="433"/>
      <c r="F341" s="433"/>
      <c r="G341" s="267"/>
      <c r="H341" s="267"/>
      <c r="I341" s="267"/>
      <c r="J341" s="433"/>
      <c r="K341" s="433"/>
      <c r="L341" s="434"/>
      <c r="M341" s="267"/>
      <c r="N341" s="267"/>
      <c r="O341" s="267"/>
      <c r="P341" s="267"/>
      <c r="Q341" s="267"/>
      <c r="R341" s="267"/>
      <c r="S341" s="267"/>
      <c r="T341" s="267"/>
      <c r="U341" s="267"/>
      <c r="V341" s="267"/>
      <c r="W341" s="267"/>
      <c r="X341" s="267"/>
      <c r="Y341" s="267"/>
      <c r="Z341" s="267"/>
      <c r="AA341" s="267"/>
      <c r="AB341" s="267"/>
      <c r="AC341" s="267"/>
    </row>
    <row r="342" ht="13.5" customHeight="1">
      <c r="A342" s="267"/>
      <c r="B342" s="267"/>
      <c r="C342" s="433"/>
      <c r="D342" s="433"/>
      <c r="E342" s="433"/>
      <c r="F342" s="433"/>
      <c r="G342" s="267"/>
      <c r="H342" s="267"/>
      <c r="I342" s="267"/>
      <c r="J342" s="433"/>
      <c r="K342" s="433"/>
      <c r="L342" s="434"/>
      <c r="M342" s="267"/>
      <c r="N342" s="267"/>
      <c r="O342" s="267"/>
      <c r="P342" s="267"/>
      <c r="Q342" s="267"/>
      <c r="R342" s="267"/>
      <c r="S342" s="267"/>
      <c r="T342" s="267"/>
      <c r="U342" s="267"/>
      <c r="V342" s="267"/>
      <c r="W342" s="267"/>
      <c r="X342" s="267"/>
      <c r="Y342" s="267"/>
      <c r="Z342" s="267"/>
      <c r="AA342" s="267"/>
      <c r="AB342" s="267"/>
      <c r="AC342" s="267"/>
    </row>
    <row r="343" ht="13.5" customHeight="1">
      <c r="A343" s="267"/>
      <c r="B343" s="267"/>
      <c r="C343" s="433"/>
      <c r="D343" s="433"/>
      <c r="E343" s="433"/>
      <c r="F343" s="433"/>
      <c r="G343" s="267"/>
      <c r="H343" s="267"/>
      <c r="I343" s="267"/>
      <c r="J343" s="433"/>
      <c r="K343" s="433"/>
      <c r="L343" s="434"/>
      <c r="M343" s="267"/>
      <c r="N343" s="267"/>
      <c r="O343" s="267"/>
      <c r="P343" s="267"/>
      <c r="Q343" s="267"/>
      <c r="R343" s="267"/>
      <c r="S343" s="267"/>
      <c r="T343" s="267"/>
      <c r="U343" s="267"/>
      <c r="V343" s="267"/>
      <c r="W343" s="267"/>
      <c r="X343" s="267"/>
      <c r="Y343" s="267"/>
      <c r="Z343" s="267"/>
      <c r="AA343" s="267"/>
      <c r="AB343" s="267"/>
      <c r="AC343" s="267"/>
    </row>
    <row r="344" ht="13.5" customHeight="1">
      <c r="A344" s="267"/>
      <c r="B344" s="267"/>
      <c r="C344" s="433"/>
      <c r="D344" s="433"/>
      <c r="E344" s="433"/>
      <c r="F344" s="433"/>
      <c r="G344" s="267"/>
      <c r="H344" s="267"/>
      <c r="I344" s="267"/>
      <c r="J344" s="433"/>
      <c r="K344" s="433"/>
      <c r="L344" s="434"/>
      <c r="M344" s="267"/>
      <c r="N344" s="267"/>
      <c r="O344" s="267"/>
      <c r="P344" s="267"/>
      <c r="Q344" s="267"/>
      <c r="R344" s="267"/>
      <c r="S344" s="267"/>
      <c r="T344" s="267"/>
      <c r="U344" s="267"/>
      <c r="V344" s="267"/>
      <c r="W344" s="267"/>
      <c r="X344" s="267"/>
      <c r="Y344" s="267"/>
      <c r="Z344" s="267"/>
      <c r="AA344" s="267"/>
      <c r="AB344" s="267"/>
      <c r="AC344" s="267"/>
    </row>
    <row r="345" ht="13.5" customHeight="1">
      <c r="A345" s="267"/>
      <c r="B345" s="267"/>
      <c r="C345" s="433"/>
      <c r="D345" s="433"/>
      <c r="E345" s="433"/>
      <c r="F345" s="433"/>
      <c r="G345" s="267"/>
      <c r="H345" s="267"/>
      <c r="I345" s="267"/>
      <c r="J345" s="433"/>
      <c r="K345" s="433"/>
      <c r="L345" s="434"/>
      <c r="M345" s="267"/>
      <c r="N345" s="267"/>
      <c r="O345" s="267"/>
      <c r="P345" s="267"/>
      <c r="Q345" s="267"/>
      <c r="R345" s="267"/>
      <c r="S345" s="267"/>
      <c r="T345" s="267"/>
      <c r="U345" s="267"/>
      <c r="V345" s="267"/>
      <c r="W345" s="267"/>
      <c r="X345" s="267"/>
      <c r="Y345" s="267"/>
      <c r="Z345" s="267"/>
      <c r="AA345" s="267"/>
      <c r="AB345" s="267"/>
      <c r="AC345" s="267"/>
    </row>
    <row r="346" ht="13.5" customHeight="1">
      <c r="A346" s="267"/>
      <c r="B346" s="267"/>
      <c r="C346" s="433"/>
      <c r="D346" s="433"/>
      <c r="E346" s="433"/>
      <c r="F346" s="433"/>
      <c r="G346" s="267"/>
      <c r="H346" s="267"/>
      <c r="I346" s="267"/>
      <c r="J346" s="433"/>
      <c r="K346" s="433"/>
      <c r="L346" s="434"/>
      <c r="M346" s="267"/>
      <c r="N346" s="267"/>
      <c r="O346" s="267"/>
      <c r="P346" s="267"/>
      <c r="Q346" s="267"/>
      <c r="R346" s="267"/>
      <c r="S346" s="267"/>
      <c r="T346" s="267"/>
      <c r="U346" s="267"/>
      <c r="V346" s="267"/>
      <c r="W346" s="267"/>
      <c r="X346" s="267"/>
      <c r="Y346" s="267"/>
      <c r="Z346" s="267"/>
      <c r="AA346" s="267"/>
      <c r="AB346" s="267"/>
      <c r="AC346" s="267"/>
    </row>
    <row r="347" ht="13.5" customHeight="1">
      <c r="A347" s="267"/>
      <c r="B347" s="267"/>
      <c r="C347" s="433"/>
      <c r="D347" s="433"/>
      <c r="E347" s="433"/>
      <c r="F347" s="433"/>
      <c r="G347" s="267"/>
      <c r="H347" s="267"/>
      <c r="I347" s="267"/>
      <c r="J347" s="433"/>
      <c r="K347" s="433"/>
      <c r="L347" s="434"/>
      <c r="M347" s="267"/>
      <c r="N347" s="267"/>
      <c r="O347" s="267"/>
      <c r="P347" s="267"/>
      <c r="Q347" s="267"/>
      <c r="R347" s="267"/>
      <c r="S347" s="267"/>
      <c r="T347" s="267"/>
      <c r="U347" s="267"/>
      <c r="V347" s="267"/>
      <c r="W347" s="267"/>
      <c r="X347" s="267"/>
      <c r="Y347" s="267"/>
      <c r="Z347" s="267"/>
      <c r="AA347" s="267"/>
      <c r="AB347" s="267"/>
      <c r="AC347" s="267"/>
    </row>
    <row r="348" ht="13.5" customHeight="1">
      <c r="A348" s="267"/>
      <c r="B348" s="267"/>
      <c r="C348" s="433"/>
      <c r="D348" s="433"/>
      <c r="E348" s="433"/>
      <c r="F348" s="433"/>
      <c r="G348" s="267"/>
      <c r="H348" s="267"/>
      <c r="I348" s="267"/>
      <c r="J348" s="433"/>
      <c r="K348" s="433"/>
      <c r="L348" s="434"/>
      <c r="M348" s="267"/>
      <c r="N348" s="267"/>
      <c r="O348" s="267"/>
      <c r="P348" s="267"/>
      <c r="Q348" s="267"/>
      <c r="R348" s="267"/>
      <c r="S348" s="267"/>
      <c r="T348" s="267"/>
      <c r="U348" s="267"/>
      <c r="V348" s="267"/>
      <c r="W348" s="267"/>
      <c r="X348" s="267"/>
      <c r="Y348" s="267"/>
      <c r="Z348" s="267"/>
      <c r="AA348" s="267"/>
      <c r="AB348" s="267"/>
      <c r="AC348" s="267"/>
    </row>
    <row r="349" ht="13.5" customHeight="1">
      <c r="A349" s="267"/>
      <c r="B349" s="267"/>
      <c r="C349" s="433"/>
      <c r="D349" s="433"/>
      <c r="E349" s="433"/>
      <c r="F349" s="433"/>
      <c r="G349" s="267"/>
      <c r="H349" s="267"/>
      <c r="I349" s="267"/>
      <c r="J349" s="433"/>
      <c r="K349" s="433"/>
      <c r="L349" s="434"/>
      <c r="M349" s="267"/>
      <c r="N349" s="267"/>
      <c r="O349" s="267"/>
      <c r="P349" s="267"/>
      <c r="Q349" s="267"/>
      <c r="R349" s="267"/>
      <c r="S349" s="267"/>
      <c r="T349" s="267"/>
      <c r="U349" s="267"/>
      <c r="V349" s="267"/>
      <c r="W349" s="267"/>
      <c r="X349" s="267"/>
      <c r="Y349" s="267"/>
      <c r="Z349" s="267"/>
      <c r="AA349" s="267"/>
      <c r="AB349" s="267"/>
      <c r="AC349" s="267"/>
    </row>
    <row r="350" ht="13.5" customHeight="1">
      <c r="A350" s="267"/>
      <c r="B350" s="267"/>
      <c r="C350" s="433"/>
      <c r="D350" s="433"/>
      <c r="E350" s="433"/>
      <c r="F350" s="433"/>
      <c r="G350" s="267"/>
      <c r="H350" s="267"/>
      <c r="I350" s="267"/>
      <c r="J350" s="433"/>
      <c r="K350" s="433"/>
      <c r="L350" s="434"/>
      <c r="M350" s="267"/>
      <c r="N350" s="267"/>
      <c r="O350" s="267"/>
      <c r="P350" s="267"/>
      <c r="Q350" s="267"/>
      <c r="R350" s="267"/>
      <c r="S350" s="267"/>
      <c r="T350" s="267"/>
      <c r="U350" s="267"/>
      <c r="V350" s="267"/>
      <c r="W350" s="267"/>
      <c r="X350" s="267"/>
      <c r="Y350" s="267"/>
      <c r="Z350" s="267"/>
      <c r="AA350" s="267"/>
      <c r="AB350" s="267"/>
      <c r="AC350" s="267"/>
    </row>
    <row r="351" ht="13.5" customHeight="1">
      <c r="A351" s="267"/>
      <c r="B351" s="267"/>
      <c r="C351" s="433"/>
      <c r="D351" s="433"/>
      <c r="E351" s="433"/>
      <c r="F351" s="433"/>
      <c r="G351" s="267"/>
      <c r="H351" s="267"/>
      <c r="I351" s="267"/>
      <c r="J351" s="433"/>
      <c r="K351" s="433"/>
      <c r="L351" s="434"/>
      <c r="M351" s="267"/>
      <c r="N351" s="267"/>
      <c r="O351" s="267"/>
      <c r="P351" s="267"/>
      <c r="Q351" s="267"/>
      <c r="R351" s="267"/>
      <c r="S351" s="267"/>
      <c r="T351" s="267"/>
      <c r="U351" s="267"/>
      <c r="V351" s="267"/>
      <c r="W351" s="267"/>
      <c r="X351" s="267"/>
      <c r="Y351" s="267"/>
      <c r="Z351" s="267"/>
      <c r="AA351" s="267"/>
      <c r="AB351" s="267"/>
      <c r="AC351" s="267"/>
    </row>
    <row r="352" ht="13.5" customHeight="1">
      <c r="A352" s="267"/>
      <c r="B352" s="267"/>
      <c r="C352" s="433"/>
      <c r="D352" s="433"/>
      <c r="E352" s="433"/>
      <c r="F352" s="433"/>
      <c r="G352" s="267"/>
      <c r="H352" s="267"/>
      <c r="I352" s="267"/>
      <c r="J352" s="433"/>
      <c r="K352" s="433"/>
      <c r="L352" s="434"/>
      <c r="M352" s="267"/>
      <c r="N352" s="267"/>
      <c r="O352" s="267"/>
      <c r="P352" s="267"/>
      <c r="Q352" s="267"/>
      <c r="R352" s="267"/>
      <c r="S352" s="267"/>
      <c r="T352" s="267"/>
      <c r="U352" s="267"/>
      <c r="V352" s="267"/>
      <c r="W352" s="267"/>
      <c r="X352" s="267"/>
      <c r="Y352" s="267"/>
      <c r="Z352" s="267"/>
      <c r="AA352" s="267"/>
      <c r="AB352" s="267"/>
      <c r="AC352" s="267"/>
    </row>
    <row r="353" ht="13.5" customHeight="1">
      <c r="A353" s="267"/>
      <c r="B353" s="267"/>
      <c r="C353" s="433"/>
      <c r="D353" s="433"/>
      <c r="E353" s="433"/>
      <c r="F353" s="433"/>
      <c r="G353" s="267"/>
      <c r="H353" s="267"/>
      <c r="I353" s="267"/>
      <c r="J353" s="433"/>
      <c r="K353" s="433"/>
      <c r="L353" s="434"/>
      <c r="M353" s="267"/>
      <c r="N353" s="267"/>
      <c r="O353" s="267"/>
      <c r="P353" s="267"/>
      <c r="Q353" s="267"/>
      <c r="R353" s="267"/>
      <c r="S353" s="267"/>
      <c r="T353" s="267"/>
      <c r="U353" s="267"/>
      <c r="V353" s="267"/>
      <c r="W353" s="267"/>
      <c r="X353" s="267"/>
      <c r="Y353" s="267"/>
      <c r="Z353" s="267"/>
      <c r="AA353" s="267"/>
      <c r="AB353" s="267"/>
      <c r="AC353" s="267"/>
    </row>
    <row r="354" ht="13.5" customHeight="1">
      <c r="A354" s="267"/>
      <c r="B354" s="267"/>
      <c r="C354" s="433"/>
      <c r="D354" s="433"/>
      <c r="E354" s="433"/>
      <c r="F354" s="433"/>
      <c r="G354" s="267"/>
      <c r="H354" s="267"/>
      <c r="I354" s="267"/>
      <c r="J354" s="433"/>
      <c r="K354" s="433"/>
      <c r="L354" s="434"/>
      <c r="M354" s="267"/>
      <c r="N354" s="267"/>
      <c r="O354" s="267"/>
      <c r="P354" s="267"/>
      <c r="Q354" s="267"/>
      <c r="R354" s="267"/>
      <c r="S354" s="267"/>
      <c r="T354" s="267"/>
      <c r="U354" s="267"/>
      <c r="V354" s="267"/>
      <c r="W354" s="267"/>
      <c r="X354" s="267"/>
      <c r="Y354" s="267"/>
      <c r="Z354" s="267"/>
      <c r="AA354" s="267"/>
      <c r="AB354" s="267"/>
      <c r="AC354" s="267"/>
    </row>
    <row r="355" ht="13.5" customHeight="1">
      <c r="A355" s="267"/>
      <c r="B355" s="267"/>
      <c r="C355" s="433"/>
      <c r="D355" s="433"/>
      <c r="E355" s="433"/>
      <c r="F355" s="433"/>
      <c r="G355" s="267"/>
      <c r="H355" s="267"/>
      <c r="I355" s="267"/>
      <c r="J355" s="433"/>
      <c r="K355" s="433"/>
      <c r="L355" s="434"/>
      <c r="M355" s="267"/>
      <c r="N355" s="267"/>
      <c r="O355" s="267"/>
      <c r="P355" s="267"/>
      <c r="Q355" s="267"/>
      <c r="R355" s="267"/>
      <c r="S355" s="267"/>
      <c r="T355" s="267"/>
      <c r="U355" s="267"/>
      <c r="V355" s="267"/>
      <c r="W355" s="267"/>
      <c r="X355" s="267"/>
      <c r="Y355" s="267"/>
      <c r="Z355" s="267"/>
      <c r="AA355" s="267"/>
      <c r="AB355" s="267"/>
      <c r="AC355" s="267"/>
    </row>
    <row r="356" ht="13.5" customHeight="1">
      <c r="A356" s="267"/>
      <c r="B356" s="267"/>
      <c r="C356" s="433"/>
      <c r="D356" s="433"/>
      <c r="E356" s="433"/>
      <c r="F356" s="433"/>
      <c r="G356" s="267"/>
      <c r="H356" s="267"/>
      <c r="I356" s="267"/>
      <c r="J356" s="433"/>
      <c r="K356" s="433"/>
      <c r="L356" s="434"/>
      <c r="M356" s="267"/>
      <c r="N356" s="267"/>
      <c r="O356" s="267"/>
      <c r="P356" s="267"/>
      <c r="Q356" s="267"/>
      <c r="R356" s="267"/>
      <c r="S356" s="267"/>
      <c r="T356" s="267"/>
      <c r="U356" s="267"/>
      <c r="V356" s="267"/>
      <c r="W356" s="267"/>
      <c r="X356" s="267"/>
      <c r="Y356" s="267"/>
      <c r="Z356" s="267"/>
      <c r="AA356" s="267"/>
      <c r="AB356" s="267"/>
      <c r="AC356" s="267"/>
    </row>
    <row r="357" ht="13.5" customHeight="1">
      <c r="A357" s="267"/>
      <c r="B357" s="267"/>
      <c r="C357" s="433"/>
      <c r="D357" s="433"/>
      <c r="E357" s="433"/>
      <c r="F357" s="433"/>
      <c r="G357" s="267"/>
      <c r="H357" s="267"/>
      <c r="I357" s="267"/>
      <c r="J357" s="433"/>
      <c r="K357" s="433"/>
      <c r="L357" s="434"/>
      <c r="M357" s="267"/>
      <c r="N357" s="267"/>
      <c r="O357" s="267"/>
      <c r="P357" s="267"/>
      <c r="Q357" s="267"/>
      <c r="R357" s="267"/>
      <c r="S357" s="267"/>
      <c r="T357" s="267"/>
      <c r="U357" s="267"/>
      <c r="V357" s="267"/>
      <c r="W357" s="267"/>
      <c r="X357" s="267"/>
      <c r="Y357" s="267"/>
      <c r="Z357" s="267"/>
      <c r="AA357" s="267"/>
      <c r="AB357" s="267"/>
      <c r="AC357" s="267"/>
    </row>
    <row r="358" ht="13.5" customHeight="1">
      <c r="A358" s="267"/>
      <c r="B358" s="267"/>
      <c r="C358" s="433"/>
      <c r="D358" s="433"/>
      <c r="E358" s="433"/>
      <c r="F358" s="433"/>
      <c r="G358" s="267"/>
      <c r="H358" s="267"/>
      <c r="I358" s="267"/>
      <c r="J358" s="433"/>
      <c r="K358" s="433"/>
      <c r="L358" s="434"/>
      <c r="M358" s="267"/>
      <c r="N358" s="267"/>
      <c r="O358" s="267"/>
      <c r="P358" s="267"/>
      <c r="Q358" s="267"/>
      <c r="R358" s="267"/>
      <c r="S358" s="267"/>
      <c r="T358" s="267"/>
      <c r="U358" s="267"/>
      <c r="V358" s="267"/>
      <c r="W358" s="267"/>
      <c r="X358" s="267"/>
      <c r="Y358" s="267"/>
      <c r="Z358" s="267"/>
      <c r="AA358" s="267"/>
      <c r="AB358" s="267"/>
      <c r="AC358" s="267"/>
    </row>
    <row r="359" ht="13.5" customHeight="1">
      <c r="A359" s="267"/>
      <c r="B359" s="267"/>
      <c r="C359" s="433"/>
      <c r="D359" s="433"/>
      <c r="E359" s="433"/>
      <c r="F359" s="433"/>
      <c r="G359" s="267"/>
      <c r="H359" s="267"/>
      <c r="I359" s="267"/>
      <c r="J359" s="433"/>
      <c r="K359" s="433"/>
      <c r="L359" s="434"/>
      <c r="M359" s="267"/>
      <c r="N359" s="267"/>
      <c r="O359" s="267"/>
      <c r="P359" s="267"/>
      <c r="Q359" s="267"/>
      <c r="R359" s="267"/>
      <c r="S359" s="267"/>
      <c r="T359" s="267"/>
      <c r="U359" s="267"/>
      <c r="V359" s="267"/>
      <c r="W359" s="267"/>
      <c r="X359" s="267"/>
      <c r="Y359" s="267"/>
      <c r="Z359" s="267"/>
      <c r="AA359" s="267"/>
      <c r="AB359" s="267"/>
      <c r="AC359" s="267"/>
    </row>
    <row r="360" ht="13.5" customHeight="1">
      <c r="A360" s="267"/>
      <c r="B360" s="267"/>
      <c r="C360" s="433"/>
      <c r="D360" s="433"/>
      <c r="E360" s="433"/>
      <c r="F360" s="433"/>
      <c r="G360" s="267"/>
      <c r="H360" s="267"/>
      <c r="I360" s="267"/>
      <c r="J360" s="433"/>
      <c r="K360" s="433"/>
      <c r="L360" s="434"/>
      <c r="M360" s="267"/>
      <c r="N360" s="267"/>
      <c r="O360" s="267"/>
      <c r="P360" s="267"/>
      <c r="Q360" s="267"/>
      <c r="R360" s="267"/>
      <c r="S360" s="267"/>
      <c r="T360" s="267"/>
      <c r="U360" s="267"/>
      <c r="V360" s="267"/>
      <c r="W360" s="267"/>
      <c r="X360" s="267"/>
      <c r="Y360" s="267"/>
      <c r="Z360" s="267"/>
      <c r="AA360" s="267"/>
      <c r="AB360" s="267"/>
      <c r="AC360" s="267"/>
    </row>
    <row r="361" ht="13.5" customHeight="1">
      <c r="A361" s="267"/>
      <c r="B361" s="267"/>
      <c r="C361" s="433"/>
      <c r="D361" s="433"/>
      <c r="E361" s="433"/>
      <c r="F361" s="433"/>
      <c r="G361" s="267"/>
      <c r="H361" s="267"/>
      <c r="I361" s="267"/>
      <c r="J361" s="433"/>
      <c r="K361" s="433"/>
      <c r="L361" s="434"/>
      <c r="M361" s="267"/>
      <c r="N361" s="267"/>
      <c r="O361" s="267"/>
      <c r="P361" s="267"/>
      <c r="Q361" s="267"/>
      <c r="R361" s="267"/>
      <c r="S361" s="267"/>
      <c r="T361" s="267"/>
      <c r="U361" s="267"/>
      <c r="V361" s="267"/>
      <c r="W361" s="267"/>
      <c r="X361" s="267"/>
      <c r="Y361" s="267"/>
      <c r="Z361" s="267"/>
      <c r="AA361" s="267"/>
      <c r="AB361" s="267"/>
      <c r="AC361" s="267"/>
    </row>
    <row r="362" ht="13.5" customHeight="1">
      <c r="A362" s="267"/>
      <c r="B362" s="267"/>
      <c r="C362" s="433"/>
      <c r="D362" s="433"/>
      <c r="E362" s="433"/>
      <c r="F362" s="433"/>
      <c r="G362" s="267"/>
      <c r="H362" s="267"/>
      <c r="I362" s="267"/>
      <c r="J362" s="433"/>
      <c r="K362" s="433"/>
      <c r="L362" s="434"/>
      <c r="M362" s="267"/>
      <c r="N362" s="267"/>
      <c r="O362" s="267"/>
      <c r="P362" s="267"/>
      <c r="Q362" s="267"/>
      <c r="R362" s="267"/>
      <c r="S362" s="267"/>
      <c r="T362" s="267"/>
      <c r="U362" s="267"/>
      <c r="V362" s="267"/>
      <c r="W362" s="267"/>
      <c r="X362" s="267"/>
      <c r="Y362" s="267"/>
      <c r="Z362" s="267"/>
      <c r="AA362" s="267"/>
      <c r="AB362" s="267"/>
      <c r="AC362" s="267"/>
    </row>
    <row r="363" ht="13.5" customHeight="1">
      <c r="A363" s="267"/>
      <c r="B363" s="267"/>
      <c r="C363" s="433"/>
      <c r="D363" s="433"/>
      <c r="E363" s="433"/>
      <c r="F363" s="433"/>
      <c r="G363" s="267"/>
      <c r="H363" s="267"/>
      <c r="I363" s="267"/>
      <c r="J363" s="433"/>
      <c r="K363" s="433"/>
      <c r="L363" s="434"/>
      <c r="M363" s="267"/>
      <c r="N363" s="267"/>
      <c r="O363" s="267"/>
      <c r="P363" s="267"/>
      <c r="Q363" s="267"/>
      <c r="R363" s="267"/>
      <c r="S363" s="267"/>
      <c r="T363" s="267"/>
      <c r="U363" s="267"/>
      <c r="V363" s="267"/>
      <c r="W363" s="267"/>
      <c r="X363" s="267"/>
      <c r="Y363" s="267"/>
      <c r="Z363" s="267"/>
      <c r="AA363" s="267"/>
      <c r="AB363" s="267"/>
      <c r="AC363" s="267"/>
    </row>
    <row r="364" ht="13.5" customHeight="1">
      <c r="A364" s="267"/>
      <c r="B364" s="267"/>
      <c r="C364" s="433"/>
      <c r="D364" s="433"/>
      <c r="E364" s="433"/>
      <c r="F364" s="433"/>
      <c r="G364" s="267"/>
      <c r="H364" s="267"/>
      <c r="I364" s="267"/>
      <c r="J364" s="433"/>
      <c r="K364" s="433"/>
      <c r="L364" s="434"/>
      <c r="M364" s="267"/>
      <c r="N364" s="267"/>
      <c r="O364" s="267"/>
      <c r="P364" s="267"/>
      <c r="Q364" s="267"/>
      <c r="R364" s="267"/>
      <c r="S364" s="267"/>
      <c r="T364" s="267"/>
      <c r="U364" s="267"/>
      <c r="V364" s="267"/>
      <c r="W364" s="267"/>
      <c r="X364" s="267"/>
      <c r="Y364" s="267"/>
      <c r="Z364" s="267"/>
      <c r="AA364" s="267"/>
      <c r="AB364" s="267"/>
      <c r="AC364" s="267"/>
    </row>
    <row r="365" ht="13.5" customHeight="1">
      <c r="A365" s="267"/>
      <c r="B365" s="267"/>
      <c r="C365" s="433"/>
      <c r="D365" s="433"/>
      <c r="E365" s="433"/>
      <c r="F365" s="433"/>
      <c r="G365" s="267"/>
      <c r="H365" s="267"/>
      <c r="I365" s="267"/>
      <c r="J365" s="433"/>
      <c r="K365" s="433"/>
      <c r="L365" s="434"/>
      <c r="M365" s="267"/>
      <c r="N365" s="267"/>
      <c r="O365" s="267"/>
      <c r="P365" s="267"/>
      <c r="Q365" s="267"/>
      <c r="R365" s="267"/>
      <c r="S365" s="267"/>
      <c r="T365" s="267"/>
      <c r="U365" s="267"/>
      <c r="V365" s="267"/>
      <c r="W365" s="267"/>
      <c r="X365" s="267"/>
      <c r="Y365" s="267"/>
      <c r="Z365" s="267"/>
      <c r="AA365" s="267"/>
      <c r="AB365" s="267"/>
      <c r="AC365" s="267"/>
    </row>
    <row r="366" ht="13.5" customHeight="1">
      <c r="A366" s="267"/>
      <c r="B366" s="267"/>
      <c r="C366" s="433"/>
      <c r="D366" s="433"/>
      <c r="E366" s="433"/>
      <c r="F366" s="433"/>
      <c r="G366" s="267"/>
      <c r="H366" s="267"/>
      <c r="I366" s="267"/>
      <c r="J366" s="433"/>
      <c r="K366" s="433"/>
      <c r="L366" s="434"/>
      <c r="M366" s="267"/>
      <c r="N366" s="267"/>
      <c r="O366" s="267"/>
      <c r="P366" s="267"/>
      <c r="Q366" s="267"/>
      <c r="R366" s="267"/>
      <c r="S366" s="267"/>
      <c r="T366" s="267"/>
      <c r="U366" s="267"/>
      <c r="V366" s="267"/>
      <c r="W366" s="267"/>
      <c r="X366" s="267"/>
      <c r="Y366" s="267"/>
      <c r="Z366" s="267"/>
      <c r="AA366" s="267"/>
      <c r="AB366" s="267"/>
      <c r="AC366" s="267"/>
    </row>
    <row r="367" ht="13.5" customHeight="1">
      <c r="A367" s="267"/>
      <c r="B367" s="267"/>
      <c r="C367" s="433"/>
      <c r="D367" s="433"/>
      <c r="E367" s="433"/>
      <c r="F367" s="433"/>
      <c r="G367" s="267"/>
      <c r="H367" s="267"/>
      <c r="I367" s="267"/>
      <c r="J367" s="433"/>
      <c r="K367" s="433"/>
      <c r="L367" s="434"/>
      <c r="M367" s="267"/>
      <c r="N367" s="267"/>
      <c r="O367" s="267"/>
      <c r="P367" s="267"/>
      <c r="Q367" s="267"/>
      <c r="R367" s="267"/>
      <c r="S367" s="267"/>
      <c r="T367" s="267"/>
      <c r="U367" s="267"/>
      <c r="V367" s="267"/>
      <c r="W367" s="267"/>
      <c r="X367" s="267"/>
      <c r="Y367" s="267"/>
      <c r="Z367" s="267"/>
      <c r="AA367" s="267"/>
      <c r="AB367" s="267"/>
      <c r="AC367" s="267"/>
    </row>
    <row r="368" ht="13.5" customHeight="1">
      <c r="A368" s="267"/>
      <c r="B368" s="267"/>
      <c r="C368" s="433"/>
      <c r="D368" s="433"/>
      <c r="E368" s="433"/>
      <c r="F368" s="433"/>
      <c r="G368" s="267"/>
      <c r="H368" s="267"/>
      <c r="I368" s="267"/>
      <c r="J368" s="433"/>
      <c r="K368" s="433"/>
      <c r="L368" s="434"/>
      <c r="M368" s="267"/>
      <c r="N368" s="267"/>
      <c r="O368" s="267"/>
      <c r="P368" s="267"/>
      <c r="Q368" s="267"/>
      <c r="R368" s="267"/>
      <c r="S368" s="267"/>
      <c r="T368" s="267"/>
      <c r="U368" s="267"/>
      <c r="V368" s="267"/>
      <c r="W368" s="267"/>
      <c r="X368" s="267"/>
      <c r="Y368" s="267"/>
      <c r="Z368" s="267"/>
      <c r="AA368" s="267"/>
      <c r="AB368" s="267"/>
      <c r="AC368" s="267"/>
    </row>
    <row r="369" ht="13.5" customHeight="1">
      <c r="A369" s="267"/>
      <c r="B369" s="267"/>
      <c r="C369" s="433"/>
      <c r="D369" s="433"/>
      <c r="E369" s="433"/>
      <c r="F369" s="433"/>
      <c r="G369" s="267"/>
      <c r="H369" s="267"/>
      <c r="I369" s="267"/>
      <c r="J369" s="433"/>
      <c r="K369" s="433"/>
      <c r="L369" s="434"/>
      <c r="M369" s="267"/>
      <c r="N369" s="267"/>
      <c r="O369" s="267"/>
      <c r="P369" s="267"/>
      <c r="Q369" s="267"/>
      <c r="R369" s="267"/>
      <c r="S369" s="267"/>
      <c r="T369" s="267"/>
      <c r="U369" s="267"/>
      <c r="V369" s="267"/>
      <c r="W369" s="267"/>
      <c r="X369" s="267"/>
      <c r="Y369" s="267"/>
      <c r="Z369" s="267"/>
      <c r="AA369" s="267"/>
      <c r="AB369" s="267"/>
      <c r="AC369" s="267"/>
    </row>
    <row r="370" ht="13.5" customHeight="1">
      <c r="A370" s="267"/>
      <c r="B370" s="267"/>
      <c r="C370" s="433"/>
      <c r="D370" s="433"/>
      <c r="E370" s="433"/>
      <c r="F370" s="433"/>
      <c r="G370" s="267"/>
      <c r="H370" s="267"/>
      <c r="I370" s="267"/>
      <c r="J370" s="433"/>
      <c r="K370" s="433"/>
      <c r="L370" s="434"/>
      <c r="M370" s="267"/>
      <c r="N370" s="267"/>
      <c r="O370" s="267"/>
      <c r="P370" s="267"/>
      <c r="Q370" s="267"/>
      <c r="R370" s="267"/>
      <c r="S370" s="267"/>
      <c r="T370" s="267"/>
      <c r="U370" s="267"/>
      <c r="V370" s="267"/>
      <c r="W370" s="267"/>
      <c r="X370" s="267"/>
      <c r="Y370" s="267"/>
      <c r="Z370" s="267"/>
      <c r="AA370" s="267"/>
      <c r="AB370" s="267"/>
      <c r="AC370" s="267"/>
    </row>
    <row r="371" ht="13.5" customHeight="1">
      <c r="A371" s="267"/>
      <c r="B371" s="267"/>
      <c r="C371" s="433"/>
      <c r="D371" s="433"/>
      <c r="E371" s="433"/>
      <c r="F371" s="433"/>
      <c r="G371" s="267"/>
      <c r="H371" s="267"/>
      <c r="I371" s="267"/>
      <c r="J371" s="433"/>
      <c r="K371" s="433"/>
      <c r="L371" s="434"/>
      <c r="M371" s="267"/>
      <c r="N371" s="267"/>
      <c r="O371" s="267"/>
      <c r="P371" s="267"/>
      <c r="Q371" s="267"/>
      <c r="R371" s="267"/>
      <c r="S371" s="267"/>
      <c r="T371" s="267"/>
      <c r="U371" s="267"/>
      <c r="V371" s="267"/>
      <c r="W371" s="267"/>
      <c r="X371" s="267"/>
      <c r="Y371" s="267"/>
      <c r="Z371" s="267"/>
      <c r="AA371" s="267"/>
      <c r="AB371" s="267"/>
      <c r="AC371" s="267"/>
    </row>
    <row r="372" ht="13.5" customHeight="1">
      <c r="A372" s="267"/>
      <c r="B372" s="267"/>
      <c r="C372" s="433"/>
      <c r="D372" s="433"/>
      <c r="E372" s="433"/>
      <c r="F372" s="433"/>
      <c r="G372" s="267"/>
      <c r="H372" s="267"/>
      <c r="I372" s="267"/>
      <c r="J372" s="433"/>
      <c r="K372" s="433"/>
      <c r="L372" s="434"/>
      <c r="M372" s="267"/>
      <c r="N372" s="267"/>
      <c r="O372" s="267"/>
      <c r="P372" s="267"/>
      <c r="Q372" s="267"/>
      <c r="R372" s="267"/>
      <c r="S372" s="267"/>
      <c r="T372" s="267"/>
      <c r="U372" s="267"/>
      <c r="V372" s="267"/>
      <c r="W372" s="267"/>
      <c r="X372" s="267"/>
      <c r="Y372" s="267"/>
      <c r="Z372" s="267"/>
      <c r="AA372" s="267"/>
      <c r="AB372" s="267"/>
      <c r="AC372" s="267"/>
    </row>
    <row r="373" ht="13.5" customHeight="1">
      <c r="A373" s="267"/>
      <c r="B373" s="267"/>
      <c r="C373" s="433"/>
      <c r="D373" s="433"/>
      <c r="E373" s="433"/>
      <c r="F373" s="433"/>
      <c r="G373" s="267"/>
      <c r="H373" s="267"/>
      <c r="I373" s="267"/>
      <c r="J373" s="433"/>
      <c r="K373" s="433"/>
      <c r="L373" s="434"/>
      <c r="M373" s="267"/>
      <c r="N373" s="267"/>
      <c r="O373" s="267"/>
      <c r="P373" s="267"/>
      <c r="Q373" s="267"/>
      <c r="R373" s="267"/>
      <c r="S373" s="267"/>
      <c r="T373" s="267"/>
      <c r="U373" s="267"/>
      <c r="V373" s="267"/>
      <c r="W373" s="267"/>
      <c r="X373" s="267"/>
      <c r="Y373" s="267"/>
      <c r="Z373" s="267"/>
      <c r="AA373" s="267"/>
      <c r="AB373" s="267"/>
      <c r="AC373" s="267"/>
    </row>
    <row r="374" ht="13.5" customHeight="1">
      <c r="A374" s="267"/>
      <c r="B374" s="267"/>
      <c r="C374" s="433"/>
      <c r="D374" s="433"/>
      <c r="E374" s="433"/>
      <c r="F374" s="433"/>
      <c r="G374" s="267"/>
      <c r="H374" s="267"/>
      <c r="I374" s="267"/>
      <c r="J374" s="433"/>
      <c r="K374" s="433"/>
      <c r="L374" s="434"/>
      <c r="M374" s="267"/>
      <c r="N374" s="267"/>
      <c r="O374" s="267"/>
      <c r="P374" s="267"/>
      <c r="Q374" s="267"/>
      <c r="R374" s="267"/>
      <c r="S374" s="267"/>
      <c r="T374" s="267"/>
      <c r="U374" s="267"/>
      <c r="V374" s="267"/>
      <c r="W374" s="267"/>
      <c r="X374" s="267"/>
      <c r="Y374" s="267"/>
      <c r="Z374" s="267"/>
      <c r="AA374" s="267"/>
      <c r="AB374" s="267"/>
      <c r="AC374" s="267"/>
    </row>
    <row r="375" ht="13.5" customHeight="1">
      <c r="A375" s="267"/>
      <c r="B375" s="267"/>
      <c r="C375" s="433"/>
      <c r="D375" s="433"/>
      <c r="E375" s="433"/>
      <c r="F375" s="433"/>
      <c r="G375" s="267"/>
      <c r="H375" s="267"/>
      <c r="I375" s="267"/>
      <c r="J375" s="433"/>
      <c r="K375" s="433"/>
      <c r="L375" s="434"/>
      <c r="M375" s="267"/>
      <c r="N375" s="267"/>
      <c r="O375" s="267"/>
      <c r="P375" s="267"/>
      <c r="Q375" s="267"/>
      <c r="R375" s="267"/>
      <c r="S375" s="267"/>
      <c r="T375" s="267"/>
      <c r="U375" s="267"/>
      <c r="V375" s="267"/>
      <c r="W375" s="267"/>
      <c r="X375" s="267"/>
      <c r="Y375" s="267"/>
      <c r="Z375" s="267"/>
      <c r="AA375" s="267"/>
      <c r="AB375" s="267"/>
      <c r="AC375" s="267"/>
    </row>
    <row r="376" ht="13.5" customHeight="1">
      <c r="A376" s="267"/>
      <c r="B376" s="267"/>
      <c r="C376" s="433"/>
      <c r="D376" s="433"/>
      <c r="E376" s="433"/>
      <c r="F376" s="433"/>
      <c r="G376" s="267"/>
      <c r="H376" s="267"/>
      <c r="I376" s="267"/>
      <c r="J376" s="433"/>
      <c r="K376" s="433"/>
      <c r="L376" s="434"/>
      <c r="M376" s="267"/>
      <c r="N376" s="267"/>
      <c r="O376" s="267"/>
      <c r="P376" s="267"/>
      <c r="Q376" s="267"/>
      <c r="R376" s="267"/>
      <c r="S376" s="267"/>
      <c r="T376" s="267"/>
      <c r="U376" s="267"/>
      <c r="V376" s="267"/>
      <c r="W376" s="267"/>
      <c r="X376" s="267"/>
      <c r="Y376" s="267"/>
      <c r="Z376" s="267"/>
      <c r="AA376" s="267"/>
      <c r="AB376" s="267"/>
      <c r="AC376" s="267"/>
    </row>
    <row r="377" ht="13.5" customHeight="1">
      <c r="A377" s="267"/>
      <c r="B377" s="267"/>
      <c r="C377" s="433"/>
      <c r="D377" s="433"/>
      <c r="E377" s="433"/>
      <c r="F377" s="433"/>
      <c r="G377" s="267"/>
      <c r="H377" s="267"/>
      <c r="I377" s="267"/>
      <c r="J377" s="433"/>
      <c r="K377" s="433"/>
      <c r="L377" s="434"/>
      <c r="M377" s="267"/>
      <c r="N377" s="267"/>
      <c r="O377" s="267"/>
      <c r="P377" s="267"/>
      <c r="Q377" s="267"/>
      <c r="R377" s="267"/>
      <c r="S377" s="267"/>
      <c r="T377" s="267"/>
      <c r="U377" s="267"/>
      <c r="V377" s="267"/>
      <c r="W377" s="267"/>
      <c r="X377" s="267"/>
      <c r="Y377" s="267"/>
      <c r="Z377" s="267"/>
      <c r="AA377" s="267"/>
      <c r="AB377" s="267"/>
      <c r="AC377" s="267"/>
    </row>
    <row r="378" ht="13.5" customHeight="1">
      <c r="A378" s="267"/>
      <c r="B378" s="267"/>
      <c r="C378" s="433"/>
      <c r="D378" s="433"/>
      <c r="E378" s="433"/>
      <c r="F378" s="433"/>
      <c r="G378" s="267"/>
      <c r="H378" s="267"/>
      <c r="I378" s="267"/>
      <c r="J378" s="433"/>
      <c r="K378" s="433"/>
      <c r="L378" s="434"/>
      <c r="M378" s="267"/>
      <c r="N378" s="267"/>
      <c r="O378" s="267"/>
      <c r="P378" s="267"/>
      <c r="Q378" s="267"/>
      <c r="R378" s="267"/>
      <c r="S378" s="267"/>
      <c r="T378" s="267"/>
      <c r="U378" s="267"/>
      <c r="V378" s="267"/>
      <c r="W378" s="267"/>
      <c r="X378" s="267"/>
      <c r="Y378" s="267"/>
      <c r="Z378" s="267"/>
      <c r="AA378" s="267"/>
      <c r="AB378" s="267"/>
      <c r="AC378" s="267"/>
    </row>
    <row r="379" ht="13.5" customHeight="1">
      <c r="A379" s="267"/>
      <c r="B379" s="267"/>
      <c r="C379" s="433"/>
      <c r="D379" s="433"/>
      <c r="E379" s="433"/>
      <c r="F379" s="433"/>
      <c r="G379" s="267"/>
      <c r="H379" s="267"/>
      <c r="I379" s="267"/>
      <c r="J379" s="433"/>
      <c r="K379" s="433"/>
      <c r="L379" s="434"/>
      <c r="M379" s="267"/>
      <c r="N379" s="267"/>
      <c r="O379" s="267"/>
      <c r="P379" s="267"/>
      <c r="Q379" s="267"/>
      <c r="R379" s="267"/>
      <c r="S379" s="267"/>
      <c r="T379" s="267"/>
      <c r="U379" s="267"/>
      <c r="V379" s="267"/>
      <c r="W379" s="267"/>
      <c r="X379" s="267"/>
      <c r="Y379" s="267"/>
      <c r="Z379" s="267"/>
      <c r="AA379" s="267"/>
      <c r="AB379" s="267"/>
      <c r="AC379" s="267"/>
    </row>
    <row r="380" ht="13.5" customHeight="1">
      <c r="A380" s="267"/>
      <c r="B380" s="267"/>
      <c r="C380" s="433"/>
      <c r="D380" s="433"/>
      <c r="E380" s="433"/>
      <c r="F380" s="433"/>
      <c r="G380" s="267"/>
      <c r="H380" s="267"/>
      <c r="I380" s="267"/>
      <c r="J380" s="433"/>
      <c r="K380" s="433"/>
      <c r="L380" s="434"/>
      <c r="M380" s="267"/>
      <c r="N380" s="267"/>
      <c r="O380" s="267"/>
      <c r="P380" s="267"/>
      <c r="Q380" s="267"/>
      <c r="R380" s="267"/>
      <c r="S380" s="267"/>
      <c r="T380" s="267"/>
      <c r="U380" s="267"/>
      <c r="V380" s="267"/>
      <c r="W380" s="267"/>
      <c r="X380" s="267"/>
      <c r="Y380" s="267"/>
      <c r="Z380" s="267"/>
      <c r="AA380" s="267"/>
      <c r="AB380" s="267"/>
      <c r="AC380" s="267"/>
    </row>
    <row r="381" ht="13.5" customHeight="1">
      <c r="A381" s="267"/>
      <c r="B381" s="267"/>
      <c r="C381" s="433"/>
      <c r="D381" s="433"/>
      <c r="E381" s="433"/>
      <c r="F381" s="433"/>
      <c r="G381" s="267"/>
      <c r="H381" s="267"/>
      <c r="I381" s="267"/>
      <c r="J381" s="433"/>
      <c r="K381" s="433"/>
      <c r="L381" s="434"/>
      <c r="M381" s="267"/>
      <c r="N381" s="267"/>
      <c r="O381" s="267"/>
      <c r="P381" s="267"/>
      <c r="Q381" s="267"/>
      <c r="R381" s="267"/>
      <c r="S381" s="267"/>
      <c r="T381" s="267"/>
      <c r="U381" s="267"/>
      <c r="V381" s="267"/>
      <c r="W381" s="267"/>
      <c r="X381" s="267"/>
      <c r="Y381" s="267"/>
      <c r="Z381" s="267"/>
      <c r="AA381" s="267"/>
      <c r="AB381" s="267"/>
      <c r="AC381" s="267"/>
    </row>
    <row r="382" ht="13.5" customHeight="1">
      <c r="A382" s="267"/>
      <c r="B382" s="267"/>
      <c r="C382" s="433"/>
      <c r="D382" s="433"/>
      <c r="E382" s="433"/>
      <c r="F382" s="433"/>
      <c r="G382" s="267"/>
      <c r="H382" s="267"/>
      <c r="I382" s="267"/>
      <c r="J382" s="433"/>
      <c r="K382" s="433"/>
      <c r="L382" s="434"/>
      <c r="M382" s="267"/>
      <c r="N382" s="267"/>
      <c r="O382" s="267"/>
      <c r="P382" s="267"/>
      <c r="Q382" s="267"/>
      <c r="R382" s="267"/>
      <c r="S382" s="267"/>
      <c r="T382" s="267"/>
      <c r="U382" s="267"/>
      <c r="V382" s="267"/>
      <c r="W382" s="267"/>
      <c r="X382" s="267"/>
      <c r="Y382" s="267"/>
      <c r="Z382" s="267"/>
      <c r="AA382" s="267"/>
      <c r="AB382" s="267"/>
      <c r="AC382" s="267"/>
    </row>
    <row r="383" ht="13.5" customHeight="1">
      <c r="A383" s="267"/>
      <c r="B383" s="267"/>
      <c r="C383" s="433"/>
      <c r="D383" s="433"/>
      <c r="E383" s="433"/>
      <c r="F383" s="433"/>
      <c r="G383" s="267"/>
      <c r="H383" s="267"/>
      <c r="I383" s="267"/>
      <c r="J383" s="433"/>
      <c r="K383" s="433"/>
      <c r="L383" s="434"/>
      <c r="M383" s="267"/>
      <c r="N383" s="267"/>
      <c r="O383" s="267"/>
      <c r="P383" s="267"/>
      <c r="Q383" s="267"/>
      <c r="R383" s="267"/>
      <c r="S383" s="267"/>
      <c r="T383" s="267"/>
      <c r="U383" s="267"/>
      <c r="V383" s="267"/>
      <c r="W383" s="267"/>
      <c r="X383" s="267"/>
      <c r="Y383" s="267"/>
      <c r="Z383" s="267"/>
      <c r="AA383" s="267"/>
      <c r="AB383" s="267"/>
      <c r="AC383" s="267"/>
    </row>
    <row r="384" ht="13.5" customHeight="1">
      <c r="A384" s="267"/>
      <c r="B384" s="267"/>
      <c r="C384" s="433"/>
      <c r="D384" s="433"/>
      <c r="E384" s="433"/>
      <c r="F384" s="433"/>
      <c r="G384" s="267"/>
      <c r="H384" s="267"/>
      <c r="I384" s="267"/>
      <c r="J384" s="433"/>
      <c r="K384" s="433"/>
      <c r="L384" s="434"/>
      <c r="M384" s="267"/>
      <c r="N384" s="267"/>
      <c r="O384" s="267"/>
      <c r="P384" s="267"/>
      <c r="Q384" s="267"/>
      <c r="R384" s="267"/>
      <c r="S384" s="267"/>
      <c r="T384" s="267"/>
      <c r="U384" s="267"/>
      <c r="V384" s="267"/>
      <c r="W384" s="267"/>
      <c r="X384" s="267"/>
      <c r="Y384" s="267"/>
      <c r="Z384" s="267"/>
      <c r="AA384" s="267"/>
      <c r="AB384" s="267"/>
      <c r="AC384" s="267"/>
    </row>
    <row r="385" ht="13.5" customHeight="1">
      <c r="A385" s="267"/>
      <c r="B385" s="267"/>
      <c r="C385" s="433"/>
      <c r="D385" s="433"/>
      <c r="E385" s="433"/>
      <c r="F385" s="433"/>
      <c r="G385" s="267"/>
      <c r="H385" s="267"/>
      <c r="I385" s="267"/>
      <c r="J385" s="433"/>
      <c r="K385" s="433"/>
      <c r="L385" s="434"/>
      <c r="M385" s="267"/>
      <c r="N385" s="267"/>
      <c r="O385" s="267"/>
      <c r="P385" s="267"/>
      <c r="Q385" s="267"/>
      <c r="R385" s="267"/>
      <c r="S385" s="267"/>
      <c r="T385" s="267"/>
      <c r="U385" s="267"/>
      <c r="V385" s="267"/>
      <c r="W385" s="267"/>
      <c r="X385" s="267"/>
      <c r="Y385" s="267"/>
      <c r="Z385" s="267"/>
      <c r="AA385" s="267"/>
      <c r="AB385" s="267"/>
      <c r="AC385" s="267"/>
    </row>
    <row r="386" ht="13.5" customHeight="1">
      <c r="A386" s="267"/>
      <c r="B386" s="267"/>
      <c r="C386" s="433"/>
      <c r="D386" s="433"/>
      <c r="E386" s="433"/>
      <c r="F386" s="433"/>
      <c r="G386" s="267"/>
      <c r="H386" s="267"/>
      <c r="I386" s="267"/>
      <c r="J386" s="433"/>
      <c r="K386" s="433"/>
      <c r="L386" s="434"/>
      <c r="M386" s="267"/>
      <c r="N386" s="267"/>
      <c r="O386" s="267"/>
      <c r="P386" s="267"/>
      <c r="Q386" s="267"/>
      <c r="R386" s="267"/>
      <c r="S386" s="267"/>
      <c r="T386" s="267"/>
      <c r="U386" s="267"/>
      <c r="V386" s="267"/>
      <c r="W386" s="267"/>
      <c r="X386" s="267"/>
      <c r="Y386" s="267"/>
      <c r="Z386" s="267"/>
      <c r="AA386" s="267"/>
      <c r="AB386" s="267"/>
      <c r="AC386" s="267"/>
    </row>
    <row r="387" ht="13.5" customHeight="1">
      <c r="A387" s="267"/>
      <c r="B387" s="267"/>
      <c r="C387" s="433"/>
      <c r="D387" s="433"/>
      <c r="E387" s="433"/>
      <c r="F387" s="433"/>
      <c r="G387" s="267"/>
      <c r="H387" s="267"/>
      <c r="I387" s="267"/>
      <c r="J387" s="433"/>
      <c r="K387" s="433"/>
      <c r="L387" s="434"/>
      <c r="M387" s="267"/>
      <c r="N387" s="267"/>
      <c r="O387" s="267"/>
      <c r="P387" s="267"/>
      <c r="Q387" s="267"/>
      <c r="R387" s="267"/>
      <c r="S387" s="267"/>
      <c r="T387" s="267"/>
      <c r="U387" s="267"/>
      <c r="V387" s="267"/>
      <c r="W387" s="267"/>
      <c r="X387" s="267"/>
      <c r="Y387" s="267"/>
      <c r="Z387" s="267"/>
      <c r="AA387" s="267"/>
      <c r="AB387" s="267"/>
      <c r="AC387" s="267"/>
    </row>
    <row r="388" ht="13.5" customHeight="1">
      <c r="A388" s="267"/>
      <c r="B388" s="267"/>
      <c r="C388" s="433"/>
      <c r="D388" s="433"/>
      <c r="E388" s="433"/>
      <c r="F388" s="433"/>
      <c r="G388" s="267"/>
      <c r="H388" s="267"/>
      <c r="I388" s="267"/>
      <c r="J388" s="433"/>
      <c r="K388" s="433"/>
      <c r="L388" s="434"/>
      <c r="M388" s="267"/>
      <c r="N388" s="267"/>
      <c r="O388" s="267"/>
      <c r="P388" s="267"/>
      <c r="Q388" s="267"/>
      <c r="R388" s="267"/>
      <c r="S388" s="267"/>
      <c r="T388" s="267"/>
      <c r="U388" s="267"/>
      <c r="V388" s="267"/>
      <c r="W388" s="267"/>
      <c r="X388" s="267"/>
      <c r="Y388" s="267"/>
      <c r="Z388" s="267"/>
      <c r="AA388" s="267"/>
      <c r="AB388" s="267"/>
      <c r="AC388" s="267"/>
    </row>
    <row r="389" ht="13.5" customHeight="1">
      <c r="A389" s="267"/>
      <c r="B389" s="267"/>
      <c r="C389" s="433"/>
      <c r="D389" s="433"/>
      <c r="E389" s="433"/>
      <c r="F389" s="433"/>
      <c r="G389" s="267"/>
      <c r="H389" s="267"/>
      <c r="I389" s="267"/>
      <c r="J389" s="433"/>
      <c r="K389" s="433"/>
      <c r="L389" s="434"/>
      <c r="M389" s="267"/>
      <c r="N389" s="267"/>
      <c r="O389" s="267"/>
      <c r="P389" s="267"/>
      <c r="Q389" s="267"/>
      <c r="R389" s="267"/>
      <c r="S389" s="267"/>
      <c r="T389" s="267"/>
      <c r="U389" s="267"/>
      <c r="V389" s="267"/>
      <c r="W389" s="267"/>
      <c r="X389" s="267"/>
      <c r="Y389" s="267"/>
      <c r="Z389" s="267"/>
      <c r="AA389" s="267"/>
      <c r="AB389" s="267"/>
      <c r="AC389" s="267"/>
    </row>
    <row r="390" ht="13.5" customHeight="1">
      <c r="A390" s="267"/>
      <c r="B390" s="267"/>
      <c r="C390" s="433"/>
      <c r="D390" s="433"/>
      <c r="E390" s="433"/>
      <c r="F390" s="433"/>
      <c r="G390" s="267"/>
      <c r="H390" s="267"/>
      <c r="I390" s="267"/>
      <c r="J390" s="433"/>
      <c r="K390" s="433"/>
      <c r="L390" s="434"/>
      <c r="M390" s="267"/>
      <c r="N390" s="267"/>
      <c r="O390" s="267"/>
      <c r="P390" s="267"/>
      <c r="Q390" s="267"/>
      <c r="R390" s="267"/>
      <c r="S390" s="267"/>
      <c r="T390" s="267"/>
      <c r="U390" s="267"/>
      <c r="V390" s="267"/>
      <c r="W390" s="267"/>
      <c r="X390" s="267"/>
      <c r="Y390" s="267"/>
      <c r="Z390" s="267"/>
      <c r="AA390" s="267"/>
      <c r="AB390" s="267"/>
      <c r="AC390" s="267"/>
    </row>
    <row r="391" ht="13.5" customHeight="1">
      <c r="A391" s="267"/>
      <c r="B391" s="267"/>
      <c r="C391" s="433"/>
      <c r="D391" s="433"/>
      <c r="E391" s="433"/>
      <c r="F391" s="433"/>
      <c r="G391" s="267"/>
      <c r="H391" s="267"/>
      <c r="I391" s="267"/>
      <c r="J391" s="433"/>
      <c r="K391" s="433"/>
      <c r="L391" s="434"/>
      <c r="M391" s="267"/>
      <c r="N391" s="267"/>
      <c r="O391" s="267"/>
      <c r="P391" s="267"/>
      <c r="Q391" s="267"/>
      <c r="R391" s="267"/>
      <c r="S391" s="267"/>
      <c r="T391" s="267"/>
      <c r="U391" s="267"/>
      <c r="V391" s="267"/>
      <c r="W391" s="267"/>
      <c r="X391" s="267"/>
      <c r="Y391" s="267"/>
      <c r="Z391" s="267"/>
      <c r="AA391" s="267"/>
      <c r="AB391" s="267"/>
      <c r="AC391" s="267"/>
    </row>
    <row r="392" ht="13.5" customHeight="1">
      <c r="A392" s="267"/>
      <c r="B392" s="267"/>
      <c r="C392" s="433"/>
      <c r="D392" s="433"/>
      <c r="E392" s="433"/>
      <c r="F392" s="433"/>
      <c r="G392" s="267"/>
      <c r="H392" s="267"/>
      <c r="I392" s="267"/>
      <c r="J392" s="433"/>
      <c r="K392" s="433"/>
      <c r="L392" s="434"/>
      <c r="M392" s="267"/>
      <c r="N392" s="267"/>
      <c r="O392" s="267"/>
      <c r="P392" s="267"/>
      <c r="Q392" s="267"/>
      <c r="R392" s="267"/>
      <c r="S392" s="267"/>
      <c r="T392" s="267"/>
      <c r="U392" s="267"/>
      <c r="V392" s="267"/>
      <c r="W392" s="267"/>
      <c r="X392" s="267"/>
      <c r="Y392" s="267"/>
      <c r="Z392" s="267"/>
      <c r="AA392" s="267"/>
      <c r="AB392" s="267"/>
      <c r="AC392" s="267"/>
    </row>
    <row r="393" ht="13.5" customHeight="1">
      <c r="A393" s="267"/>
      <c r="B393" s="267"/>
      <c r="C393" s="433"/>
      <c r="D393" s="433"/>
      <c r="E393" s="433"/>
      <c r="F393" s="433"/>
      <c r="G393" s="267"/>
      <c r="H393" s="267"/>
      <c r="I393" s="267"/>
      <c r="J393" s="433"/>
      <c r="K393" s="433"/>
      <c r="L393" s="434"/>
      <c r="M393" s="267"/>
      <c r="N393" s="267"/>
      <c r="O393" s="267"/>
      <c r="P393" s="267"/>
      <c r="Q393" s="267"/>
      <c r="R393" s="267"/>
      <c r="S393" s="267"/>
      <c r="T393" s="267"/>
      <c r="U393" s="267"/>
      <c r="V393" s="267"/>
      <c r="W393" s="267"/>
      <c r="X393" s="267"/>
      <c r="Y393" s="267"/>
      <c r="Z393" s="267"/>
      <c r="AA393" s="267"/>
      <c r="AB393" s="267"/>
      <c r="AC393" s="267"/>
    </row>
    <row r="394" ht="13.5" customHeight="1">
      <c r="A394" s="267"/>
      <c r="B394" s="267"/>
      <c r="C394" s="433"/>
      <c r="D394" s="433"/>
      <c r="E394" s="433"/>
      <c r="F394" s="433"/>
      <c r="G394" s="267"/>
      <c r="H394" s="267"/>
      <c r="I394" s="267"/>
      <c r="J394" s="433"/>
      <c r="K394" s="433"/>
      <c r="L394" s="434"/>
      <c r="M394" s="267"/>
      <c r="N394" s="267"/>
      <c r="O394" s="267"/>
      <c r="P394" s="267"/>
      <c r="Q394" s="267"/>
      <c r="R394" s="267"/>
      <c r="S394" s="267"/>
      <c r="T394" s="267"/>
      <c r="U394" s="267"/>
      <c r="V394" s="267"/>
      <c r="W394" s="267"/>
      <c r="X394" s="267"/>
      <c r="Y394" s="267"/>
      <c r="Z394" s="267"/>
      <c r="AA394" s="267"/>
      <c r="AB394" s="267"/>
      <c r="AC394" s="267"/>
    </row>
    <row r="395" ht="13.5" customHeight="1">
      <c r="A395" s="267"/>
      <c r="B395" s="267"/>
      <c r="C395" s="433"/>
      <c r="D395" s="433"/>
      <c r="E395" s="433"/>
      <c r="F395" s="433"/>
      <c r="G395" s="267"/>
      <c r="H395" s="267"/>
      <c r="I395" s="267"/>
      <c r="J395" s="433"/>
      <c r="K395" s="433"/>
      <c r="L395" s="434"/>
      <c r="M395" s="267"/>
      <c r="N395" s="267"/>
      <c r="O395" s="267"/>
      <c r="P395" s="267"/>
      <c r="Q395" s="267"/>
      <c r="R395" s="267"/>
      <c r="S395" s="267"/>
      <c r="T395" s="267"/>
      <c r="U395" s="267"/>
      <c r="V395" s="267"/>
      <c r="W395" s="267"/>
      <c r="X395" s="267"/>
      <c r="Y395" s="267"/>
      <c r="Z395" s="267"/>
      <c r="AA395" s="267"/>
      <c r="AB395" s="267"/>
      <c r="AC395" s="267"/>
    </row>
    <row r="396" ht="13.5" customHeight="1">
      <c r="A396" s="267"/>
      <c r="B396" s="267"/>
      <c r="C396" s="433"/>
      <c r="D396" s="433"/>
      <c r="E396" s="433"/>
      <c r="F396" s="433"/>
      <c r="G396" s="267"/>
      <c r="H396" s="267"/>
      <c r="I396" s="267"/>
      <c r="J396" s="433"/>
      <c r="K396" s="433"/>
      <c r="L396" s="434"/>
      <c r="M396" s="267"/>
      <c r="N396" s="267"/>
      <c r="O396" s="267"/>
      <c r="P396" s="267"/>
      <c r="Q396" s="267"/>
      <c r="R396" s="267"/>
      <c r="S396" s="267"/>
      <c r="T396" s="267"/>
      <c r="U396" s="267"/>
      <c r="V396" s="267"/>
      <c r="W396" s="267"/>
      <c r="X396" s="267"/>
      <c r="Y396" s="267"/>
      <c r="Z396" s="267"/>
      <c r="AA396" s="267"/>
      <c r="AB396" s="267"/>
      <c r="AC396" s="267"/>
    </row>
    <row r="397" ht="13.5" customHeight="1">
      <c r="A397" s="267"/>
      <c r="B397" s="267"/>
      <c r="C397" s="433"/>
      <c r="D397" s="433"/>
      <c r="E397" s="433"/>
      <c r="F397" s="433"/>
      <c r="G397" s="267"/>
      <c r="H397" s="267"/>
      <c r="I397" s="267"/>
      <c r="J397" s="433"/>
      <c r="K397" s="433"/>
      <c r="L397" s="434"/>
      <c r="M397" s="267"/>
      <c r="N397" s="267"/>
      <c r="O397" s="267"/>
      <c r="P397" s="267"/>
      <c r="Q397" s="267"/>
      <c r="R397" s="267"/>
      <c r="S397" s="267"/>
      <c r="T397" s="267"/>
      <c r="U397" s="267"/>
      <c r="V397" s="267"/>
      <c r="W397" s="267"/>
      <c r="X397" s="267"/>
      <c r="Y397" s="267"/>
      <c r="Z397" s="267"/>
      <c r="AA397" s="267"/>
      <c r="AB397" s="267"/>
      <c r="AC397" s="267"/>
    </row>
    <row r="398" ht="13.5" customHeight="1">
      <c r="A398" s="267"/>
      <c r="B398" s="267"/>
      <c r="C398" s="433"/>
      <c r="D398" s="433"/>
      <c r="E398" s="433"/>
      <c r="F398" s="433"/>
      <c r="G398" s="267"/>
      <c r="H398" s="267"/>
      <c r="I398" s="267"/>
      <c r="J398" s="433"/>
      <c r="K398" s="433"/>
      <c r="L398" s="434"/>
      <c r="M398" s="267"/>
      <c r="N398" s="267"/>
      <c r="O398" s="267"/>
      <c r="P398" s="267"/>
      <c r="Q398" s="267"/>
      <c r="R398" s="267"/>
      <c r="S398" s="267"/>
      <c r="T398" s="267"/>
      <c r="U398" s="267"/>
      <c r="V398" s="267"/>
      <c r="W398" s="267"/>
      <c r="X398" s="267"/>
      <c r="Y398" s="267"/>
      <c r="Z398" s="267"/>
      <c r="AA398" s="267"/>
      <c r="AB398" s="267"/>
      <c r="AC398" s="267"/>
    </row>
    <row r="399" ht="13.5" customHeight="1">
      <c r="A399" s="267"/>
      <c r="B399" s="267"/>
      <c r="C399" s="433"/>
      <c r="D399" s="433"/>
      <c r="E399" s="433"/>
      <c r="F399" s="433"/>
      <c r="G399" s="267"/>
      <c r="H399" s="267"/>
      <c r="I399" s="267"/>
      <c r="J399" s="433"/>
      <c r="K399" s="433"/>
      <c r="L399" s="434"/>
      <c r="M399" s="267"/>
      <c r="N399" s="267"/>
      <c r="O399" s="267"/>
      <c r="P399" s="267"/>
      <c r="Q399" s="267"/>
      <c r="R399" s="267"/>
      <c r="S399" s="267"/>
      <c r="T399" s="267"/>
      <c r="U399" s="267"/>
      <c r="V399" s="267"/>
      <c r="W399" s="267"/>
      <c r="X399" s="267"/>
      <c r="Y399" s="267"/>
      <c r="Z399" s="267"/>
      <c r="AA399" s="267"/>
      <c r="AB399" s="267"/>
      <c r="AC399" s="267"/>
    </row>
    <row r="400" ht="13.5" customHeight="1">
      <c r="A400" s="267"/>
      <c r="B400" s="267"/>
      <c r="C400" s="433"/>
      <c r="D400" s="433"/>
      <c r="E400" s="433"/>
      <c r="F400" s="433"/>
      <c r="G400" s="267"/>
      <c r="H400" s="267"/>
      <c r="I400" s="267"/>
      <c r="J400" s="433"/>
      <c r="K400" s="433"/>
      <c r="L400" s="434"/>
      <c r="M400" s="267"/>
      <c r="N400" s="267"/>
      <c r="O400" s="267"/>
      <c r="P400" s="267"/>
      <c r="Q400" s="267"/>
      <c r="R400" s="267"/>
      <c r="S400" s="267"/>
      <c r="T400" s="267"/>
      <c r="U400" s="267"/>
      <c r="V400" s="267"/>
      <c r="W400" s="267"/>
      <c r="X400" s="267"/>
      <c r="Y400" s="267"/>
      <c r="Z400" s="267"/>
      <c r="AA400" s="267"/>
      <c r="AB400" s="267"/>
      <c r="AC400" s="267"/>
    </row>
    <row r="401" ht="13.5" customHeight="1">
      <c r="A401" s="267"/>
      <c r="B401" s="267"/>
      <c r="C401" s="433"/>
      <c r="D401" s="433"/>
      <c r="E401" s="433"/>
      <c r="F401" s="433"/>
      <c r="G401" s="267"/>
      <c r="H401" s="267"/>
      <c r="I401" s="267"/>
      <c r="J401" s="433"/>
      <c r="K401" s="433"/>
      <c r="L401" s="434"/>
      <c r="M401" s="267"/>
      <c r="N401" s="267"/>
      <c r="O401" s="267"/>
      <c r="P401" s="267"/>
      <c r="Q401" s="267"/>
      <c r="R401" s="267"/>
      <c r="S401" s="267"/>
      <c r="T401" s="267"/>
      <c r="U401" s="267"/>
      <c r="V401" s="267"/>
      <c r="W401" s="267"/>
      <c r="X401" s="267"/>
      <c r="Y401" s="267"/>
      <c r="Z401" s="267"/>
      <c r="AA401" s="267"/>
      <c r="AB401" s="267"/>
      <c r="AC401" s="267"/>
    </row>
    <row r="402" ht="13.5" customHeight="1">
      <c r="A402" s="267"/>
      <c r="B402" s="267"/>
      <c r="C402" s="433"/>
      <c r="D402" s="433"/>
      <c r="E402" s="433"/>
      <c r="F402" s="433"/>
      <c r="G402" s="267"/>
      <c r="H402" s="267"/>
      <c r="I402" s="267"/>
      <c r="J402" s="433"/>
      <c r="K402" s="433"/>
      <c r="L402" s="434"/>
      <c r="M402" s="267"/>
      <c r="N402" s="267"/>
      <c r="O402" s="267"/>
      <c r="P402" s="267"/>
      <c r="Q402" s="267"/>
      <c r="R402" s="267"/>
      <c r="S402" s="267"/>
      <c r="T402" s="267"/>
      <c r="U402" s="267"/>
      <c r="V402" s="267"/>
      <c r="W402" s="267"/>
      <c r="X402" s="267"/>
      <c r="Y402" s="267"/>
      <c r="Z402" s="267"/>
      <c r="AA402" s="267"/>
      <c r="AB402" s="267"/>
      <c r="AC402" s="267"/>
    </row>
    <row r="403" ht="13.5" customHeight="1">
      <c r="A403" s="267"/>
      <c r="B403" s="267"/>
      <c r="C403" s="433"/>
      <c r="D403" s="433"/>
      <c r="E403" s="433"/>
      <c r="F403" s="433"/>
      <c r="G403" s="267"/>
      <c r="H403" s="267"/>
      <c r="I403" s="267"/>
      <c r="J403" s="433"/>
      <c r="K403" s="433"/>
      <c r="L403" s="434"/>
      <c r="M403" s="267"/>
      <c r="N403" s="267"/>
      <c r="O403" s="267"/>
      <c r="P403" s="267"/>
      <c r="Q403" s="267"/>
      <c r="R403" s="267"/>
      <c r="S403" s="267"/>
      <c r="T403" s="267"/>
      <c r="U403" s="267"/>
      <c r="V403" s="267"/>
      <c r="W403" s="267"/>
      <c r="X403" s="267"/>
      <c r="Y403" s="267"/>
      <c r="Z403" s="267"/>
      <c r="AA403" s="267"/>
      <c r="AB403" s="267"/>
      <c r="AC403" s="267"/>
    </row>
    <row r="404" ht="13.5" customHeight="1">
      <c r="A404" s="267"/>
      <c r="B404" s="267"/>
      <c r="C404" s="433"/>
      <c r="D404" s="433"/>
      <c r="E404" s="433"/>
      <c r="F404" s="433"/>
      <c r="G404" s="267"/>
      <c r="H404" s="267"/>
      <c r="I404" s="267"/>
      <c r="J404" s="433"/>
      <c r="K404" s="433"/>
      <c r="L404" s="434"/>
      <c r="M404" s="267"/>
      <c r="N404" s="267"/>
      <c r="O404" s="267"/>
      <c r="P404" s="267"/>
      <c r="Q404" s="267"/>
      <c r="R404" s="267"/>
      <c r="S404" s="267"/>
      <c r="T404" s="267"/>
      <c r="U404" s="267"/>
      <c r="V404" s="267"/>
      <c r="W404" s="267"/>
      <c r="X404" s="267"/>
      <c r="Y404" s="267"/>
      <c r="Z404" s="267"/>
      <c r="AA404" s="267"/>
      <c r="AB404" s="267"/>
      <c r="AC404" s="267"/>
    </row>
    <row r="405" ht="13.5" customHeight="1">
      <c r="A405" s="267"/>
      <c r="B405" s="267"/>
      <c r="C405" s="433"/>
      <c r="D405" s="433"/>
      <c r="E405" s="433"/>
      <c r="F405" s="433"/>
      <c r="G405" s="267"/>
      <c r="H405" s="267"/>
      <c r="I405" s="267"/>
      <c r="J405" s="433"/>
      <c r="K405" s="433"/>
      <c r="L405" s="434"/>
      <c r="M405" s="267"/>
      <c r="N405" s="267"/>
      <c r="O405" s="267"/>
      <c r="P405" s="267"/>
      <c r="Q405" s="267"/>
      <c r="R405" s="267"/>
      <c r="S405" s="267"/>
      <c r="T405" s="267"/>
      <c r="U405" s="267"/>
      <c r="V405" s="267"/>
      <c r="W405" s="267"/>
      <c r="X405" s="267"/>
      <c r="Y405" s="267"/>
      <c r="Z405" s="267"/>
      <c r="AA405" s="267"/>
      <c r="AB405" s="267"/>
      <c r="AC405" s="267"/>
    </row>
    <row r="406" ht="13.5" customHeight="1">
      <c r="A406" s="267"/>
      <c r="B406" s="267"/>
      <c r="C406" s="433"/>
      <c r="D406" s="433"/>
      <c r="E406" s="433"/>
      <c r="F406" s="433"/>
      <c r="G406" s="267"/>
      <c r="H406" s="267"/>
      <c r="I406" s="267"/>
      <c r="J406" s="433"/>
      <c r="K406" s="433"/>
      <c r="L406" s="434"/>
      <c r="M406" s="267"/>
      <c r="N406" s="267"/>
      <c r="O406" s="267"/>
      <c r="P406" s="267"/>
      <c r="Q406" s="267"/>
      <c r="R406" s="267"/>
      <c r="S406" s="267"/>
      <c r="T406" s="267"/>
      <c r="U406" s="267"/>
      <c r="V406" s="267"/>
      <c r="W406" s="267"/>
      <c r="X406" s="267"/>
      <c r="Y406" s="267"/>
      <c r="Z406" s="267"/>
      <c r="AA406" s="267"/>
      <c r="AB406" s="267"/>
      <c r="AC406" s="267"/>
    </row>
    <row r="407" ht="13.5" customHeight="1">
      <c r="A407" s="267"/>
      <c r="B407" s="267"/>
      <c r="C407" s="433"/>
      <c r="D407" s="433"/>
      <c r="E407" s="433"/>
      <c r="F407" s="433"/>
      <c r="G407" s="267"/>
      <c r="H407" s="267"/>
      <c r="I407" s="267"/>
      <c r="J407" s="433"/>
      <c r="K407" s="433"/>
      <c r="L407" s="434"/>
      <c r="M407" s="267"/>
      <c r="N407" s="267"/>
      <c r="O407" s="267"/>
      <c r="P407" s="267"/>
      <c r="Q407" s="267"/>
      <c r="R407" s="267"/>
      <c r="S407" s="267"/>
      <c r="T407" s="267"/>
      <c r="U407" s="267"/>
      <c r="V407" s="267"/>
      <c r="W407" s="267"/>
      <c r="X407" s="267"/>
      <c r="Y407" s="267"/>
      <c r="Z407" s="267"/>
      <c r="AA407" s="267"/>
      <c r="AB407" s="267"/>
      <c r="AC407" s="267"/>
    </row>
    <row r="408" ht="13.5" customHeight="1">
      <c r="A408" s="267"/>
      <c r="B408" s="267"/>
      <c r="C408" s="433"/>
      <c r="D408" s="433"/>
      <c r="E408" s="433"/>
      <c r="F408" s="433"/>
      <c r="G408" s="267"/>
      <c r="H408" s="267"/>
      <c r="I408" s="267"/>
      <c r="J408" s="433"/>
      <c r="K408" s="433"/>
      <c r="L408" s="434"/>
      <c r="M408" s="267"/>
      <c r="N408" s="267"/>
      <c r="O408" s="267"/>
      <c r="P408" s="267"/>
      <c r="Q408" s="267"/>
      <c r="R408" s="267"/>
      <c r="S408" s="267"/>
      <c r="T408" s="267"/>
      <c r="U408" s="267"/>
      <c r="V408" s="267"/>
      <c r="W408" s="267"/>
      <c r="X408" s="267"/>
      <c r="Y408" s="267"/>
      <c r="Z408" s="267"/>
      <c r="AA408" s="267"/>
      <c r="AB408" s="267"/>
      <c r="AC408" s="267"/>
    </row>
    <row r="409" ht="13.5" customHeight="1">
      <c r="A409" s="267"/>
      <c r="B409" s="267"/>
      <c r="C409" s="433"/>
      <c r="D409" s="433"/>
      <c r="E409" s="433"/>
      <c r="F409" s="433"/>
      <c r="G409" s="267"/>
      <c r="H409" s="267"/>
      <c r="I409" s="267"/>
      <c r="J409" s="433"/>
      <c r="K409" s="433"/>
      <c r="L409" s="434"/>
      <c r="M409" s="267"/>
      <c r="N409" s="267"/>
      <c r="O409" s="267"/>
      <c r="P409" s="267"/>
      <c r="Q409" s="267"/>
      <c r="R409" s="267"/>
      <c r="S409" s="267"/>
      <c r="T409" s="267"/>
      <c r="U409" s="267"/>
      <c r="V409" s="267"/>
      <c r="W409" s="267"/>
      <c r="X409" s="267"/>
      <c r="Y409" s="267"/>
      <c r="Z409" s="267"/>
      <c r="AA409" s="267"/>
      <c r="AB409" s="267"/>
      <c r="AC409" s="267"/>
    </row>
    <row r="410" ht="13.5" customHeight="1">
      <c r="A410" s="267"/>
      <c r="B410" s="267"/>
      <c r="C410" s="433"/>
      <c r="D410" s="433"/>
      <c r="E410" s="433"/>
      <c r="F410" s="433"/>
      <c r="G410" s="267"/>
      <c r="H410" s="267"/>
      <c r="I410" s="267"/>
      <c r="J410" s="433"/>
      <c r="K410" s="433"/>
      <c r="L410" s="434"/>
      <c r="M410" s="267"/>
      <c r="N410" s="267"/>
      <c r="O410" s="267"/>
      <c r="P410" s="267"/>
      <c r="Q410" s="267"/>
      <c r="R410" s="267"/>
      <c r="S410" s="267"/>
      <c r="T410" s="267"/>
      <c r="U410" s="267"/>
      <c r="V410" s="267"/>
      <c r="W410" s="267"/>
      <c r="X410" s="267"/>
      <c r="Y410" s="267"/>
      <c r="Z410" s="267"/>
      <c r="AA410" s="267"/>
      <c r="AB410" s="267"/>
      <c r="AC410" s="267"/>
    </row>
    <row r="411" ht="13.5" customHeight="1">
      <c r="A411" s="267"/>
      <c r="B411" s="267"/>
      <c r="C411" s="433"/>
      <c r="D411" s="433"/>
      <c r="E411" s="433"/>
      <c r="F411" s="433"/>
      <c r="G411" s="267"/>
      <c r="H411" s="267"/>
      <c r="I411" s="267"/>
      <c r="J411" s="433"/>
      <c r="K411" s="433"/>
      <c r="L411" s="434"/>
      <c r="M411" s="267"/>
      <c r="N411" s="267"/>
      <c r="O411" s="267"/>
      <c r="P411" s="267"/>
      <c r="Q411" s="267"/>
      <c r="R411" s="267"/>
      <c r="S411" s="267"/>
      <c r="T411" s="267"/>
      <c r="U411" s="267"/>
      <c r="V411" s="267"/>
      <c r="W411" s="267"/>
      <c r="X411" s="267"/>
      <c r="Y411" s="267"/>
      <c r="Z411" s="267"/>
      <c r="AA411" s="267"/>
      <c r="AB411" s="267"/>
      <c r="AC411" s="267"/>
    </row>
    <row r="412" ht="13.5" customHeight="1">
      <c r="A412" s="267"/>
      <c r="B412" s="267"/>
      <c r="C412" s="433"/>
      <c r="D412" s="433"/>
      <c r="E412" s="433"/>
      <c r="F412" s="433"/>
      <c r="G412" s="267"/>
      <c r="H412" s="267"/>
      <c r="I412" s="267"/>
      <c r="J412" s="433"/>
      <c r="K412" s="433"/>
      <c r="L412" s="434"/>
      <c r="M412" s="267"/>
      <c r="N412" s="267"/>
      <c r="O412" s="267"/>
      <c r="P412" s="267"/>
      <c r="Q412" s="267"/>
      <c r="R412" s="267"/>
      <c r="S412" s="267"/>
      <c r="T412" s="267"/>
      <c r="U412" s="267"/>
      <c r="V412" s="267"/>
      <c r="W412" s="267"/>
      <c r="X412" s="267"/>
      <c r="Y412" s="267"/>
      <c r="Z412" s="267"/>
      <c r="AA412" s="267"/>
      <c r="AB412" s="267"/>
      <c r="AC412" s="267"/>
    </row>
    <row r="413" ht="13.5" customHeight="1">
      <c r="A413" s="267"/>
      <c r="B413" s="267"/>
      <c r="C413" s="433"/>
      <c r="D413" s="433"/>
      <c r="E413" s="433"/>
      <c r="F413" s="433"/>
      <c r="G413" s="267"/>
      <c r="H413" s="267"/>
      <c r="I413" s="267"/>
      <c r="J413" s="433"/>
      <c r="K413" s="433"/>
      <c r="L413" s="434"/>
      <c r="M413" s="267"/>
      <c r="N413" s="267"/>
      <c r="O413" s="267"/>
      <c r="P413" s="267"/>
      <c r="Q413" s="267"/>
      <c r="R413" s="267"/>
      <c r="S413" s="267"/>
      <c r="T413" s="267"/>
      <c r="U413" s="267"/>
      <c r="V413" s="267"/>
      <c r="W413" s="267"/>
      <c r="X413" s="267"/>
      <c r="Y413" s="267"/>
      <c r="Z413" s="267"/>
      <c r="AA413" s="267"/>
      <c r="AB413" s="267"/>
      <c r="AC413" s="267"/>
    </row>
    <row r="414" ht="13.5" customHeight="1">
      <c r="A414" s="267"/>
      <c r="B414" s="267"/>
      <c r="C414" s="433"/>
      <c r="D414" s="433"/>
      <c r="E414" s="433"/>
      <c r="F414" s="433"/>
      <c r="G414" s="267"/>
      <c r="H414" s="267"/>
      <c r="I414" s="267"/>
      <c r="J414" s="433"/>
      <c r="K414" s="433"/>
      <c r="L414" s="434"/>
      <c r="M414" s="267"/>
      <c r="N414" s="267"/>
      <c r="O414" s="267"/>
      <c r="P414" s="267"/>
      <c r="Q414" s="267"/>
      <c r="R414" s="267"/>
      <c r="S414" s="267"/>
      <c r="T414" s="267"/>
      <c r="U414" s="267"/>
      <c r="V414" s="267"/>
      <c r="W414" s="267"/>
      <c r="X414" s="267"/>
      <c r="Y414" s="267"/>
      <c r="Z414" s="267"/>
      <c r="AA414" s="267"/>
      <c r="AB414" s="267"/>
      <c r="AC414" s="267"/>
    </row>
    <row r="415" ht="13.5" customHeight="1">
      <c r="A415" s="267"/>
      <c r="B415" s="267"/>
      <c r="C415" s="433"/>
      <c r="D415" s="433"/>
      <c r="E415" s="433"/>
      <c r="F415" s="433"/>
      <c r="G415" s="267"/>
      <c r="H415" s="267"/>
      <c r="I415" s="267"/>
      <c r="J415" s="433"/>
      <c r="K415" s="433"/>
      <c r="L415" s="434"/>
      <c r="M415" s="267"/>
      <c r="N415" s="267"/>
      <c r="O415" s="267"/>
      <c r="P415" s="267"/>
      <c r="Q415" s="267"/>
      <c r="R415" s="267"/>
      <c r="S415" s="267"/>
      <c r="T415" s="267"/>
      <c r="U415" s="267"/>
      <c r="V415" s="267"/>
      <c r="W415" s="267"/>
      <c r="X415" s="267"/>
      <c r="Y415" s="267"/>
      <c r="Z415" s="267"/>
      <c r="AA415" s="267"/>
      <c r="AB415" s="267"/>
      <c r="AC415" s="267"/>
    </row>
    <row r="416" ht="13.5" customHeight="1">
      <c r="A416" s="267"/>
      <c r="B416" s="267"/>
      <c r="C416" s="433"/>
      <c r="D416" s="433"/>
      <c r="E416" s="433"/>
      <c r="F416" s="433"/>
      <c r="G416" s="267"/>
      <c r="H416" s="267"/>
      <c r="I416" s="267"/>
      <c r="J416" s="433"/>
      <c r="K416" s="433"/>
      <c r="L416" s="434"/>
      <c r="M416" s="267"/>
      <c r="N416" s="267"/>
      <c r="O416" s="267"/>
      <c r="P416" s="267"/>
      <c r="Q416" s="267"/>
      <c r="R416" s="267"/>
      <c r="S416" s="267"/>
      <c r="T416" s="267"/>
      <c r="U416" s="267"/>
      <c r="V416" s="267"/>
      <c r="W416" s="267"/>
      <c r="X416" s="267"/>
      <c r="Y416" s="267"/>
      <c r="Z416" s="267"/>
      <c r="AA416" s="267"/>
      <c r="AB416" s="267"/>
      <c r="AC416" s="267"/>
    </row>
    <row r="417" ht="13.5" customHeight="1">
      <c r="A417" s="267"/>
      <c r="B417" s="267"/>
      <c r="C417" s="433"/>
      <c r="D417" s="433"/>
      <c r="E417" s="433"/>
      <c r="F417" s="433"/>
      <c r="G417" s="267"/>
      <c r="H417" s="267"/>
      <c r="I417" s="267"/>
      <c r="J417" s="433"/>
      <c r="K417" s="433"/>
      <c r="L417" s="434"/>
      <c r="M417" s="267"/>
      <c r="N417" s="267"/>
      <c r="O417" s="267"/>
      <c r="P417" s="267"/>
      <c r="Q417" s="267"/>
      <c r="R417" s="267"/>
      <c r="S417" s="267"/>
      <c r="T417" s="267"/>
      <c r="U417" s="267"/>
      <c r="V417" s="267"/>
      <c r="W417" s="267"/>
      <c r="X417" s="267"/>
      <c r="Y417" s="267"/>
      <c r="Z417" s="267"/>
      <c r="AA417" s="267"/>
      <c r="AB417" s="267"/>
      <c r="AC417" s="267"/>
    </row>
    <row r="418" ht="13.5" customHeight="1">
      <c r="A418" s="267"/>
      <c r="B418" s="267"/>
      <c r="C418" s="433"/>
      <c r="D418" s="433"/>
      <c r="E418" s="433"/>
      <c r="F418" s="433"/>
      <c r="G418" s="267"/>
      <c r="H418" s="267"/>
      <c r="I418" s="267"/>
      <c r="J418" s="433"/>
      <c r="K418" s="433"/>
      <c r="L418" s="434"/>
      <c r="M418" s="267"/>
      <c r="N418" s="267"/>
      <c r="O418" s="267"/>
      <c r="P418" s="267"/>
      <c r="Q418" s="267"/>
      <c r="R418" s="267"/>
      <c r="S418" s="267"/>
      <c r="T418" s="267"/>
      <c r="U418" s="267"/>
      <c r="V418" s="267"/>
      <c r="W418" s="267"/>
      <c r="X418" s="267"/>
      <c r="Y418" s="267"/>
      <c r="Z418" s="267"/>
      <c r="AA418" s="267"/>
      <c r="AB418" s="267"/>
      <c r="AC418" s="267"/>
    </row>
    <row r="419" ht="13.5" customHeight="1">
      <c r="A419" s="267"/>
      <c r="B419" s="267"/>
      <c r="C419" s="433"/>
      <c r="D419" s="433"/>
      <c r="E419" s="433"/>
      <c r="F419" s="433"/>
      <c r="G419" s="267"/>
      <c r="H419" s="267"/>
      <c r="I419" s="267"/>
      <c r="J419" s="433"/>
      <c r="K419" s="433"/>
      <c r="L419" s="434"/>
      <c r="M419" s="267"/>
      <c r="N419" s="267"/>
      <c r="O419" s="267"/>
      <c r="P419" s="267"/>
      <c r="Q419" s="267"/>
      <c r="R419" s="267"/>
      <c r="S419" s="267"/>
      <c r="T419" s="267"/>
      <c r="U419" s="267"/>
      <c r="V419" s="267"/>
      <c r="W419" s="267"/>
      <c r="X419" s="267"/>
      <c r="Y419" s="267"/>
      <c r="Z419" s="267"/>
      <c r="AA419" s="267"/>
      <c r="AB419" s="267"/>
      <c r="AC419" s="267"/>
    </row>
    <row r="420" ht="13.5" customHeight="1">
      <c r="A420" s="267"/>
      <c r="B420" s="267"/>
      <c r="C420" s="433"/>
      <c r="D420" s="433"/>
      <c r="E420" s="433"/>
      <c r="F420" s="433"/>
      <c r="G420" s="267"/>
      <c r="H420" s="267"/>
      <c r="I420" s="267"/>
      <c r="J420" s="433"/>
      <c r="K420" s="433"/>
      <c r="L420" s="434"/>
      <c r="M420" s="267"/>
      <c r="N420" s="267"/>
      <c r="O420" s="267"/>
      <c r="P420" s="267"/>
      <c r="Q420" s="267"/>
      <c r="R420" s="267"/>
      <c r="S420" s="267"/>
      <c r="T420" s="267"/>
      <c r="U420" s="267"/>
      <c r="V420" s="267"/>
      <c r="W420" s="267"/>
      <c r="X420" s="267"/>
      <c r="Y420" s="267"/>
      <c r="Z420" s="267"/>
      <c r="AA420" s="267"/>
      <c r="AB420" s="267"/>
      <c r="AC420" s="267"/>
    </row>
    <row r="421" ht="13.5" customHeight="1">
      <c r="A421" s="267"/>
      <c r="B421" s="267"/>
      <c r="C421" s="433"/>
      <c r="D421" s="433"/>
      <c r="E421" s="433"/>
      <c r="F421" s="433"/>
      <c r="G421" s="267"/>
      <c r="H421" s="267"/>
      <c r="I421" s="267"/>
      <c r="J421" s="433"/>
      <c r="K421" s="433"/>
      <c r="L421" s="434"/>
      <c r="M421" s="267"/>
      <c r="N421" s="267"/>
      <c r="O421" s="267"/>
      <c r="P421" s="267"/>
      <c r="Q421" s="267"/>
      <c r="R421" s="267"/>
      <c r="S421" s="267"/>
      <c r="T421" s="267"/>
      <c r="U421" s="267"/>
      <c r="V421" s="267"/>
      <c r="W421" s="267"/>
      <c r="X421" s="267"/>
      <c r="Y421" s="267"/>
      <c r="Z421" s="267"/>
      <c r="AA421" s="267"/>
      <c r="AB421" s="267"/>
      <c r="AC421" s="267"/>
    </row>
    <row r="422" ht="13.5" customHeight="1">
      <c r="A422" s="267"/>
      <c r="B422" s="267"/>
      <c r="C422" s="433"/>
      <c r="D422" s="433"/>
      <c r="E422" s="433"/>
      <c r="F422" s="433"/>
      <c r="G422" s="267"/>
      <c r="H422" s="267"/>
      <c r="I422" s="267"/>
      <c r="J422" s="433"/>
      <c r="K422" s="433"/>
      <c r="L422" s="434"/>
      <c r="M422" s="267"/>
      <c r="N422" s="267"/>
      <c r="O422" s="267"/>
      <c r="P422" s="267"/>
      <c r="Q422" s="267"/>
      <c r="R422" s="267"/>
      <c r="S422" s="267"/>
      <c r="T422" s="267"/>
      <c r="U422" s="267"/>
      <c r="V422" s="267"/>
      <c r="W422" s="267"/>
      <c r="X422" s="267"/>
      <c r="Y422" s="267"/>
      <c r="Z422" s="267"/>
      <c r="AA422" s="267"/>
      <c r="AB422" s="267"/>
      <c r="AC422" s="267"/>
    </row>
    <row r="423" ht="13.5" customHeight="1">
      <c r="A423" s="267"/>
      <c r="B423" s="267"/>
      <c r="C423" s="433"/>
      <c r="D423" s="433"/>
      <c r="E423" s="433"/>
      <c r="F423" s="433"/>
      <c r="G423" s="267"/>
      <c r="H423" s="267"/>
      <c r="I423" s="267"/>
      <c r="J423" s="433"/>
      <c r="K423" s="433"/>
      <c r="L423" s="434"/>
      <c r="M423" s="267"/>
      <c r="N423" s="267"/>
      <c r="O423" s="267"/>
      <c r="P423" s="267"/>
      <c r="Q423" s="267"/>
      <c r="R423" s="267"/>
      <c r="S423" s="267"/>
      <c r="T423" s="267"/>
      <c r="U423" s="267"/>
      <c r="V423" s="267"/>
      <c r="W423" s="267"/>
      <c r="X423" s="267"/>
      <c r="Y423" s="267"/>
      <c r="Z423" s="267"/>
      <c r="AA423" s="267"/>
      <c r="AB423" s="267"/>
      <c r="AC423" s="267"/>
    </row>
    <row r="424" ht="13.5" customHeight="1">
      <c r="A424" s="267"/>
      <c r="B424" s="267"/>
      <c r="C424" s="433"/>
      <c r="D424" s="433"/>
      <c r="E424" s="433"/>
      <c r="F424" s="433"/>
      <c r="G424" s="267"/>
      <c r="H424" s="267"/>
      <c r="I424" s="267"/>
      <c r="J424" s="433"/>
      <c r="K424" s="433"/>
      <c r="L424" s="434"/>
      <c r="M424" s="267"/>
      <c r="N424" s="267"/>
      <c r="O424" s="267"/>
      <c r="P424" s="267"/>
      <c r="Q424" s="267"/>
      <c r="R424" s="267"/>
      <c r="S424" s="267"/>
      <c r="T424" s="267"/>
      <c r="U424" s="267"/>
      <c r="V424" s="267"/>
      <c r="W424" s="267"/>
      <c r="X424" s="267"/>
      <c r="Y424" s="267"/>
      <c r="Z424" s="267"/>
      <c r="AA424" s="267"/>
      <c r="AB424" s="267"/>
      <c r="AC424" s="267"/>
    </row>
    <row r="425" ht="13.5" customHeight="1">
      <c r="A425" s="267"/>
      <c r="B425" s="267"/>
      <c r="C425" s="433"/>
      <c r="D425" s="433"/>
      <c r="E425" s="433"/>
      <c r="F425" s="433"/>
      <c r="G425" s="267"/>
      <c r="H425" s="267"/>
      <c r="I425" s="267"/>
      <c r="J425" s="433"/>
      <c r="K425" s="433"/>
      <c r="L425" s="434"/>
      <c r="M425" s="267"/>
      <c r="N425" s="267"/>
      <c r="O425" s="267"/>
      <c r="P425" s="267"/>
      <c r="Q425" s="267"/>
      <c r="R425" s="267"/>
      <c r="S425" s="267"/>
      <c r="T425" s="267"/>
      <c r="U425" s="267"/>
      <c r="V425" s="267"/>
      <c r="W425" s="267"/>
      <c r="X425" s="267"/>
      <c r="Y425" s="267"/>
      <c r="Z425" s="267"/>
      <c r="AA425" s="267"/>
      <c r="AB425" s="267"/>
      <c r="AC425" s="267"/>
    </row>
    <row r="426" ht="13.5" customHeight="1">
      <c r="A426" s="267"/>
      <c r="B426" s="267"/>
      <c r="C426" s="433"/>
      <c r="D426" s="433"/>
      <c r="E426" s="433"/>
      <c r="F426" s="433"/>
      <c r="G426" s="267"/>
      <c r="H426" s="267"/>
      <c r="I426" s="267"/>
      <c r="J426" s="433"/>
      <c r="K426" s="433"/>
      <c r="L426" s="434"/>
      <c r="M426" s="267"/>
      <c r="N426" s="267"/>
      <c r="O426" s="267"/>
      <c r="P426" s="267"/>
      <c r="Q426" s="267"/>
      <c r="R426" s="267"/>
      <c r="S426" s="267"/>
      <c r="T426" s="267"/>
      <c r="U426" s="267"/>
      <c r="V426" s="267"/>
      <c r="W426" s="267"/>
      <c r="X426" s="267"/>
      <c r="Y426" s="267"/>
      <c r="Z426" s="267"/>
      <c r="AA426" s="267"/>
      <c r="AB426" s="267"/>
      <c r="AC426" s="267"/>
    </row>
    <row r="427" ht="13.5" customHeight="1">
      <c r="A427" s="267"/>
      <c r="B427" s="267"/>
      <c r="C427" s="433"/>
      <c r="D427" s="433"/>
      <c r="E427" s="433"/>
      <c r="F427" s="433"/>
      <c r="G427" s="267"/>
      <c r="H427" s="267"/>
      <c r="I427" s="267"/>
      <c r="J427" s="433"/>
      <c r="K427" s="433"/>
      <c r="L427" s="434"/>
      <c r="M427" s="267"/>
      <c r="N427" s="267"/>
      <c r="O427" s="267"/>
      <c r="P427" s="267"/>
      <c r="Q427" s="267"/>
      <c r="R427" s="267"/>
      <c r="S427" s="267"/>
      <c r="T427" s="267"/>
      <c r="U427" s="267"/>
      <c r="V427" s="267"/>
      <c r="W427" s="267"/>
      <c r="X427" s="267"/>
      <c r="Y427" s="267"/>
      <c r="Z427" s="267"/>
      <c r="AA427" s="267"/>
      <c r="AB427" s="267"/>
      <c r="AC427" s="267"/>
    </row>
    <row r="428" ht="13.5" customHeight="1">
      <c r="A428" s="267"/>
      <c r="B428" s="267"/>
      <c r="C428" s="433"/>
      <c r="D428" s="433"/>
      <c r="E428" s="433"/>
      <c r="F428" s="433"/>
      <c r="G428" s="267"/>
      <c r="H428" s="267"/>
      <c r="I428" s="267"/>
      <c r="J428" s="433"/>
      <c r="K428" s="433"/>
      <c r="L428" s="434"/>
      <c r="M428" s="267"/>
      <c r="N428" s="267"/>
      <c r="O428" s="267"/>
      <c r="P428" s="267"/>
      <c r="Q428" s="267"/>
      <c r="R428" s="267"/>
      <c r="S428" s="267"/>
      <c r="T428" s="267"/>
      <c r="U428" s="267"/>
      <c r="V428" s="267"/>
      <c r="W428" s="267"/>
      <c r="X428" s="267"/>
      <c r="Y428" s="267"/>
      <c r="Z428" s="267"/>
      <c r="AA428" s="267"/>
      <c r="AB428" s="267"/>
      <c r="AC428" s="267"/>
    </row>
    <row r="429" ht="13.5" customHeight="1">
      <c r="A429" s="267"/>
      <c r="B429" s="267"/>
      <c r="C429" s="433"/>
      <c r="D429" s="433"/>
      <c r="E429" s="433"/>
      <c r="F429" s="433"/>
      <c r="G429" s="267"/>
      <c r="H429" s="267"/>
      <c r="I429" s="267"/>
      <c r="J429" s="433"/>
      <c r="K429" s="433"/>
      <c r="L429" s="434"/>
      <c r="M429" s="267"/>
      <c r="N429" s="267"/>
      <c r="O429" s="267"/>
      <c r="P429" s="267"/>
      <c r="Q429" s="267"/>
      <c r="R429" s="267"/>
      <c r="S429" s="267"/>
      <c r="T429" s="267"/>
      <c r="U429" s="267"/>
      <c r="V429" s="267"/>
      <c r="W429" s="267"/>
      <c r="X429" s="267"/>
      <c r="Y429" s="267"/>
      <c r="Z429" s="267"/>
      <c r="AA429" s="267"/>
      <c r="AB429" s="267"/>
      <c r="AC429" s="267"/>
    </row>
    <row r="430" ht="13.5" customHeight="1">
      <c r="A430" s="267"/>
      <c r="B430" s="267"/>
      <c r="C430" s="433"/>
      <c r="D430" s="433"/>
      <c r="E430" s="433"/>
      <c r="F430" s="433"/>
      <c r="G430" s="267"/>
      <c r="H430" s="267"/>
      <c r="I430" s="267"/>
      <c r="J430" s="433"/>
      <c r="K430" s="433"/>
      <c r="L430" s="434"/>
      <c r="M430" s="267"/>
      <c r="N430" s="267"/>
      <c r="O430" s="267"/>
      <c r="P430" s="267"/>
      <c r="Q430" s="267"/>
      <c r="R430" s="267"/>
      <c r="S430" s="267"/>
      <c r="T430" s="267"/>
      <c r="U430" s="267"/>
      <c r="V430" s="267"/>
      <c r="W430" s="267"/>
      <c r="X430" s="267"/>
      <c r="Y430" s="267"/>
      <c r="Z430" s="267"/>
      <c r="AA430" s="267"/>
      <c r="AB430" s="267"/>
      <c r="AC430" s="267"/>
    </row>
    <row r="431" ht="13.5" customHeight="1">
      <c r="A431" s="267"/>
      <c r="B431" s="267"/>
      <c r="C431" s="433"/>
      <c r="D431" s="433"/>
      <c r="E431" s="433"/>
      <c r="F431" s="433"/>
      <c r="G431" s="267"/>
      <c r="H431" s="267"/>
      <c r="I431" s="267"/>
      <c r="J431" s="433"/>
      <c r="K431" s="433"/>
      <c r="L431" s="434"/>
      <c r="M431" s="267"/>
      <c r="N431" s="267"/>
      <c r="O431" s="267"/>
      <c r="P431" s="267"/>
      <c r="Q431" s="267"/>
      <c r="R431" s="267"/>
      <c r="S431" s="267"/>
      <c r="T431" s="267"/>
      <c r="U431" s="267"/>
      <c r="V431" s="267"/>
      <c r="W431" s="267"/>
      <c r="X431" s="267"/>
      <c r="Y431" s="267"/>
      <c r="Z431" s="267"/>
      <c r="AA431" s="267"/>
      <c r="AB431" s="267"/>
      <c r="AC431" s="267"/>
    </row>
    <row r="432" ht="13.5" customHeight="1">
      <c r="A432" s="267"/>
      <c r="B432" s="267"/>
      <c r="C432" s="433"/>
      <c r="D432" s="433"/>
      <c r="E432" s="433"/>
      <c r="F432" s="433"/>
      <c r="G432" s="267"/>
      <c r="H432" s="267"/>
      <c r="I432" s="267"/>
      <c r="J432" s="433"/>
      <c r="K432" s="433"/>
      <c r="L432" s="434"/>
      <c r="M432" s="267"/>
      <c r="N432" s="267"/>
      <c r="O432" s="267"/>
      <c r="P432" s="267"/>
      <c r="Q432" s="267"/>
      <c r="R432" s="267"/>
      <c r="S432" s="267"/>
      <c r="T432" s="267"/>
      <c r="U432" s="267"/>
      <c r="V432" s="267"/>
      <c r="W432" s="267"/>
      <c r="X432" s="267"/>
      <c r="Y432" s="267"/>
      <c r="Z432" s="267"/>
      <c r="AA432" s="267"/>
      <c r="AB432" s="267"/>
      <c r="AC432" s="267"/>
    </row>
    <row r="433" ht="13.5" customHeight="1">
      <c r="A433" s="267"/>
      <c r="B433" s="267"/>
      <c r="C433" s="433"/>
      <c r="D433" s="433"/>
      <c r="E433" s="433"/>
      <c r="F433" s="433"/>
      <c r="G433" s="267"/>
      <c r="H433" s="267"/>
      <c r="I433" s="267"/>
      <c r="J433" s="433"/>
      <c r="K433" s="433"/>
      <c r="L433" s="434"/>
      <c r="M433" s="267"/>
      <c r="N433" s="267"/>
      <c r="O433" s="267"/>
      <c r="P433" s="267"/>
      <c r="Q433" s="267"/>
      <c r="R433" s="267"/>
      <c r="S433" s="267"/>
      <c r="T433" s="267"/>
      <c r="U433" s="267"/>
      <c r="V433" s="267"/>
      <c r="W433" s="267"/>
      <c r="X433" s="267"/>
      <c r="Y433" s="267"/>
      <c r="Z433" s="267"/>
      <c r="AA433" s="267"/>
      <c r="AB433" s="267"/>
      <c r="AC433" s="267"/>
    </row>
    <row r="434" ht="13.5" customHeight="1">
      <c r="A434" s="267"/>
      <c r="B434" s="267"/>
      <c r="C434" s="433"/>
      <c r="D434" s="433"/>
      <c r="E434" s="433"/>
      <c r="F434" s="433"/>
      <c r="G434" s="267"/>
      <c r="H434" s="267"/>
      <c r="I434" s="267"/>
      <c r="J434" s="433"/>
      <c r="K434" s="433"/>
      <c r="L434" s="434"/>
      <c r="M434" s="267"/>
      <c r="N434" s="267"/>
      <c r="O434" s="267"/>
      <c r="P434" s="267"/>
      <c r="Q434" s="267"/>
      <c r="R434" s="267"/>
      <c r="S434" s="267"/>
      <c r="T434" s="267"/>
      <c r="U434" s="267"/>
      <c r="V434" s="267"/>
      <c r="W434" s="267"/>
      <c r="X434" s="267"/>
      <c r="Y434" s="267"/>
      <c r="Z434" s="267"/>
      <c r="AA434" s="267"/>
      <c r="AB434" s="267"/>
      <c r="AC434" s="267"/>
    </row>
    <row r="435" ht="13.5" customHeight="1">
      <c r="A435" s="267"/>
      <c r="B435" s="267"/>
      <c r="C435" s="433"/>
      <c r="D435" s="433"/>
      <c r="E435" s="433"/>
      <c r="F435" s="433"/>
      <c r="G435" s="267"/>
      <c r="H435" s="267"/>
      <c r="I435" s="267"/>
      <c r="J435" s="433"/>
      <c r="K435" s="433"/>
      <c r="L435" s="434"/>
      <c r="M435" s="267"/>
      <c r="N435" s="267"/>
      <c r="O435" s="267"/>
      <c r="P435" s="267"/>
      <c r="Q435" s="267"/>
      <c r="R435" s="267"/>
      <c r="S435" s="267"/>
      <c r="T435" s="267"/>
      <c r="U435" s="267"/>
      <c r="V435" s="267"/>
      <c r="W435" s="267"/>
      <c r="X435" s="267"/>
      <c r="Y435" s="267"/>
      <c r="Z435" s="267"/>
      <c r="AA435" s="267"/>
      <c r="AB435" s="267"/>
      <c r="AC435" s="267"/>
    </row>
    <row r="436" ht="13.5" customHeight="1">
      <c r="A436" s="267"/>
      <c r="B436" s="267"/>
      <c r="C436" s="433"/>
      <c r="D436" s="433"/>
      <c r="E436" s="433"/>
      <c r="F436" s="433"/>
      <c r="G436" s="267"/>
      <c r="H436" s="267"/>
      <c r="I436" s="267"/>
      <c r="J436" s="433"/>
      <c r="K436" s="433"/>
      <c r="L436" s="434"/>
      <c r="M436" s="267"/>
      <c r="N436" s="267"/>
      <c r="O436" s="267"/>
      <c r="P436" s="267"/>
      <c r="Q436" s="267"/>
      <c r="R436" s="267"/>
      <c r="S436" s="267"/>
      <c r="T436" s="267"/>
      <c r="U436" s="267"/>
      <c r="V436" s="267"/>
      <c r="W436" s="267"/>
      <c r="X436" s="267"/>
      <c r="Y436" s="267"/>
      <c r="Z436" s="267"/>
      <c r="AA436" s="267"/>
      <c r="AB436" s="267"/>
      <c r="AC436" s="267"/>
    </row>
    <row r="437" ht="13.5" customHeight="1">
      <c r="A437" s="267"/>
      <c r="B437" s="267"/>
      <c r="C437" s="433"/>
      <c r="D437" s="433"/>
      <c r="E437" s="433"/>
      <c r="F437" s="433"/>
      <c r="G437" s="267"/>
      <c r="H437" s="267"/>
      <c r="I437" s="267"/>
      <c r="J437" s="433"/>
      <c r="K437" s="433"/>
      <c r="L437" s="434"/>
      <c r="M437" s="267"/>
      <c r="N437" s="267"/>
      <c r="O437" s="267"/>
      <c r="P437" s="267"/>
      <c r="Q437" s="267"/>
      <c r="R437" s="267"/>
      <c r="S437" s="267"/>
      <c r="T437" s="267"/>
      <c r="U437" s="267"/>
      <c r="V437" s="267"/>
      <c r="W437" s="267"/>
      <c r="X437" s="267"/>
      <c r="Y437" s="267"/>
      <c r="Z437" s="267"/>
      <c r="AA437" s="267"/>
      <c r="AB437" s="267"/>
      <c r="AC437" s="267"/>
    </row>
    <row r="438" ht="13.5" customHeight="1">
      <c r="A438" s="267"/>
      <c r="B438" s="267"/>
      <c r="C438" s="433"/>
      <c r="D438" s="433"/>
      <c r="E438" s="433"/>
      <c r="F438" s="433"/>
      <c r="G438" s="267"/>
      <c r="H438" s="267"/>
      <c r="I438" s="267"/>
      <c r="J438" s="433"/>
      <c r="K438" s="433"/>
      <c r="L438" s="434"/>
      <c r="M438" s="267"/>
      <c r="N438" s="267"/>
      <c r="O438" s="267"/>
      <c r="P438" s="267"/>
      <c r="Q438" s="267"/>
      <c r="R438" s="267"/>
      <c r="S438" s="267"/>
      <c r="T438" s="267"/>
      <c r="U438" s="267"/>
      <c r="V438" s="267"/>
      <c r="W438" s="267"/>
      <c r="X438" s="267"/>
      <c r="Y438" s="267"/>
      <c r="Z438" s="267"/>
      <c r="AA438" s="267"/>
      <c r="AB438" s="267"/>
      <c r="AC438" s="267"/>
    </row>
    <row r="439" ht="13.5" customHeight="1">
      <c r="A439" s="267"/>
      <c r="B439" s="267"/>
      <c r="C439" s="433"/>
      <c r="D439" s="433"/>
      <c r="E439" s="433"/>
      <c r="F439" s="433"/>
      <c r="G439" s="267"/>
      <c r="H439" s="267"/>
      <c r="I439" s="267"/>
      <c r="J439" s="433"/>
      <c r="K439" s="433"/>
      <c r="L439" s="434"/>
      <c r="M439" s="267"/>
      <c r="N439" s="267"/>
      <c r="O439" s="267"/>
      <c r="P439" s="267"/>
      <c r="Q439" s="267"/>
      <c r="R439" s="267"/>
      <c r="S439" s="267"/>
      <c r="T439" s="267"/>
      <c r="U439" s="267"/>
      <c r="V439" s="267"/>
      <c r="W439" s="267"/>
      <c r="X439" s="267"/>
      <c r="Y439" s="267"/>
      <c r="Z439" s="267"/>
      <c r="AA439" s="267"/>
      <c r="AB439" s="267"/>
      <c r="AC439" s="267"/>
    </row>
    <row r="440" ht="13.5" customHeight="1">
      <c r="A440" s="267"/>
      <c r="B440" s="267"/>
      <c r="C440" s="433"/>
      <c r="D440" s="433"/>
      <c r="E440" s="433"/>
      <c r="F440" s="433"/>
      <c r="G440" s="267"/>
      <c r="H440" s="267"/>
      <c r="I440" s="267"/>
      <c r="J440" s="433"/>
      <c r="K440" s="433"/>
      <c r="L440" s="434"/>
      <c r="M440" s="267"/>
      <c r="N440" s="267"/>
      <c r="O440" s="267"/>
      <c r="P440" s="267"/>
      <c r="Q440" s="267"/>
      <c r="R440" s="267"/>
      <c r="S440" s="267"/>
      <c r="T440" s="267"/>
      <c r="U440" s="267"/>
      <c r="V440" s="267"/>
      <c r="W440" s="267"/>
      <c r="X440" s="267"/>
      <c r="Y440" s="267"/>
      <c r="Z440" s="267"/>
      <c r="AA440" s="267"/>
      <c r="AB440" s="267"/>
      <c r="AC440" s="267"/>
    </row>
    <row r="441" ht="13.5" customHeight="1">
      <c r="A441" s="267"/>
      <c r="B441" s="267"/>
      <c r="C441" s="433"/>
      <c r="D441" s="433"/>
      <c r="E441" s="433"/>
      <c r="F441" s="433"/>
      <c r="G441" s="267"/>
      <c r="H441" s="267"/>
      <c r="I441" s="267"/>
      <c r="J441" s="433"/>
      <c r="K441" s="433"/>
      <c r="L441" s="434"/>
      <c r="M441" s="267"/>
      <c r="N441" s="267"/>
      <c r="O441" s="267"/>
      <c r="P441" s="267"/>
      <c r="Q441" s="267"/>
      <c r="R441" s="267"/>
      <c r="S441" s="267"/>
      <c r="T441" s="267"/>
      <c r="U441" s="267"/>
      <c r="V441" s="267"/>
      <c r="W441" s="267"/>
      <c r="X441" s="267"/>
      <c r="Y441" s="267"/>
      <c r="Z441" s="267"/>
      <c r="AA441" s="267"/>
      <c r="AB441" s="267"/>
      <c r="AC441" s="267"/>
    </row>
    <row r="442" ht="13.5" customHeight="1">
      <c r="A442" s="267"/>
      <c r="B442" s="267"/>
      <c r="C442" s="433"/>
      <c r="D442" s="433"/>
      <c r="E442" s="433"/>
      <c r="F442" s="433"/>
      <c r="G442" s="267"/>
      <c r="H442" s="267"/>
      <c r="I442" s="267"/>
      <c r="J442" s="433"/>
      <c r="K442" s="433"/>
      <c r="L442" s="434"/>
      <c r="M442" s="267"/>
      <c r="N442" s="267"/>
      <c r="O442" s="267"/>
      <c r="P442" s="267"/>
      <c r="Q442" s="267"/>
      <c r="R442" s="267"/>
      <c r="S442" s="267"/>
      <c r="T442" s="267"/>
      <c r="U442" s="267"/>
      <c r="V442" s="267"/>
      <c r="W442" s="267"/>
      <c r="X442" s="267"/>
      <c r="Y442" s="267"/>
      <c r="Z442" s="267"/>
      <c r="AA442" s="267"/>
      <c r="AB442" s="267"/>
      <c r="AC442" s="267"/>
    </row>
    <row r="443" ht="13.5" customHeight="1">
      <c r="A443" s="267"/>
      <c r="B443" s="267"/>
      <c r="C443" s="433"/>
      <c r="D443" s="433"/>
      <c r="E443" s="433"/>
      <c r="F443" s="433"/>
      <c r="G443" s="267"/>
      <c r="H443" s="267"/>
      <c r="I443" s="267"/>
      <c r="J443" s="433"/>
      <c r="K443" s="433"/>
      <c r="L443" s="434"/>
      <c r="M443" s="267"/>
      <c r="N443" s="267"/>
      <c r="O443" s="267"/>
      <c r="P443" s="267"/>
      <c r="Q443" s="267"/>
      <c r="R443" s="267"/>
      <c r="S443" s="267"/>
      <c r="T443" s="267"/>
      <c r="U443" s="267"/>
      <c r="V443" s="267"/>
      <c r="W443" s="267"/>
      <c r="X443" s="267"/>
      <c r="Y443" s="267"/>
      <c r="Z443" s="267"/>
      <c r="AA443" s="267"/>
      <c r="AB443" s="267"/>
      <c r="AC443" s="267"/>
    </row>
    <row r="444" ht="13.5" customHeight="1">
      <c r="A444" s="267"/>
      <c r="B444" s="267"/>
      <c r="C444" s="433"/>
      <c r="D444" s="433"/>
      <c r="E444" s="433"/>
      <c r="F444" s="433"/>
      <c r="G444" s="267"/>
      <c r="H444" s="267"/>
      <c r="I444" s="267"/>
      <c r="J444" s="433"/>
      <c r="K444" s="433"/>
      <c r="L444" s="434"/>
      <c r="M444" s="267"/>
      <c r="N444" s="267"/>
      <c r="O444" s="267"/>
      <c r="P444" s="267"/>
      <c r="Q444" s="267"/>
      <c r="R444" s="267"/>
      <c r="S444" s="267"/>
      <c r="T444" s="267"/>
      <c r="U444" s="267"/>
      <c r="V444" s="267"/>
      <c r="W444" s="267"/>
      <c r="X444" s="267"/>
      <c r="Y444" s="267"/>
      <c r="Z444" s="267"/>
      <c r="AA444" s="267"/>
      <c r="AB444" s="267"/>
      <c r="AC444" s="267"/>
    </row>
    <row r="445" ht="13.5" customHeight="1">
      <c r="A445" s="267"/>
      <c r="B445" s="267"/>
      <c r="C445" s="433"/>
      <c r="D445" s="433"/>
      <c r="E445" s="433"/>
      <c r="F445" s="433"/>
      <c r="G445" s="267"/>
      <c r="H445" s="267"/>
      <c r="I445" s="267"/>
      <c r="J445" s="433"/>
      <c r="K445" s="433"/>
      <c r="L445" s="434"/>
      <c r="M445" s="267"/>
      <c r="N445" s="267"/>
      <c r="O445" s="267"/>
      <c r="P445" s="267"/>
      <c r="Q445" s="267"/>
      <c r="R445" s="267"/>
      <c r="S445" s="267"/>
      <c r="T445" s="267"/>
      <c r="U445" s="267"/>
      <c r="V445" s="267"/>
      <c r="W445" s="267"/>
      <c r="X445" s="267"/>
      <c r="Y445" s="267"/>
      <c r="Z445" s="267"/>
      <c r="AA445" s="267"/>
      <c r="AB445" s="267"/>
      <c r="AC445" s="267"/>
    </row>
    <row r="446" ht="13.5" customHeight="1">
      <c r="A446" s="267"/>
      <c r="B446" s="267"/>
      <c r="C446" s="433"/>
      <c r="D446" s="433"/>
      <c r="E446" s="433"/>
      <c r="F446" s="433"/>
      <c r="G446" s="267"/>
      <c r="H446" s="267"/>
      <c r="I446" s="267"/>
      <c r="J446" s="433"/>
      <c r="K446" s="433"/>
      <c r="L446" s="434"/>
      <c r="M446" s="267"/>
      <c r="N446" s="267"/>
      <c r="O446" s="267"/>
      <c r="P446" s="267"/>
      <c r="Q446" s="267"/>
      <c r="R446" s="267"/>
      <c r="S446" s="267"/>
      <c r="T446" s="267"/>
      <c r="U446" s="267"/>
      <c r="V446" s="267"/>
      <c r="W446" s="267"/>
      <c r="X446" s="267"/>
      <c r="Y446" s="267"/>
      <c r="Z446" s="267"/>
      <c r="AA446" s="267"/>
      <c r="AB446" s="267"/>
      <c r="AC446" s="267"/>
    </row>
    <row r="447" ht="13.5" customHeight="1">
      <c r="A447" s="267"/>
      <c r="B447" s="267"/>
      <c r="C447" s="433"/>
      <c r="D447" s="433"/>
      <c r="E447" s="433"/>
      <c r="F447" s="433"/>
      <c r="G447" s="267"/>
      <c r="H447" s="267"/>
      <c r="I447" s="267"/>
      <c r="J447" s="433"/>
      <c r="K447" s="433"/>
      <c r="L447" s="434"/>
      <c r="M447" s="267"/>
      <c r="N447" s="267"/>
      <c r="O447" s="267"/>
      <c r="P447" s="267"/>
      <c r="Q447" s="267"/>
      <c r="R447" s="267"/>
      <c r="S447" s="267"/>
      <c r="T447" s="267"/>
      <c r="U447" s="267"/>
      <c r="V447" s="267"/>
      <c r="W447" s="267"/>
      <c r="X447" s="267"/>
      <c r="Y447" s="267"/>
      <c r="Z447" s="267"/>
      <c r="AA447" s="267"/>
      <c r="AB447" s="267"/>
      <c r="AC447" s="267"/>
    </row>
    <row r="448" ht="13.5" customHeight="1">
      <c r="A448" s="267"/>
      <c r="B448" s="267"/>
      <c r="C448" s="433"/>
      <c r="D448" s="433"/>
      <c r="E448" s="433"/>
      <c r="F448" s="433"/>
      <c r="G448" s="267"/>
      <c r="H448" s="267"/>
      <c r="I448" s="267"/>
      <c r="J448" s="433"/>
      <c r="K448" s="433"/>
      <c r="L448" s="434"/>
      <c r="M448" s="267"/>
      <c r="N448" s="267"/>
      <c r="O448" s="267"/>
      <c r="P448" s="267"/>
      <c r="Q448" s="267"/>
      <c r="R448" s="267"/>
      <c r="S448" s="267"/>
      <c r="T448" s="267"/>
      <c r="U448" s="267"/>
      <c r="V448" s="267"/>
      <c r="W448" s="267"/>
      <c r="X448" s="267"/>
      <c r="Y448" s="267"/>
      <c r="Z448" s="267"/>
      <c r="AA448" s="267"/>
      <c r="AB448" s="267"/>
      <c r="AC448" s="267"/>
    </row>
    <row r="449" ht="13.5" customHeight="1">
      <c r="A449" s="267"/>
      <c r="B449" s="267"/>
      <c r="C449" s="433"/>
      <c r="D449" s="433"/>
      <c r="E449" s="433"/>
      <c r="F449" s="433"/>
      <c r="G449" s="267"/>
      <c r="H449" s="267"/>
      <c r="I449" s="267"/>
      <c r="J449" s="433"/>
      <c r="K449" s="433"/>
      <c r="L449" s="434"/>
      <c r="M449" s="267"/>
      <c r="N449" s="267"/>
      <c r="O449" s="267"/>
      <c r="P449" s="267"/>
      <c r="Q449" s="267"/>
      <c r="R449" s="267"/>
      <c r="S449" s="267"/>
      <c r="T449" s="267"/>
      <c r="U449" s="267"/>
      <c r="V449" s="267"/>
      <c r="W449" s="267"/>
      <c r="X449" s="267"/>
      <c r="Y449" s="267"/>
      <c r="Z449" s="267"/>
      <c r="AA449" s="267"/>
      <c r="AB449" s="267"/>
      <c r="AC449" s="267"/>
    </row>
    <row r="450" ht="13.5" customHeight="1">
      <c r="A450" s="267"/>
      <c r="B450" s="267"/>
      <c r="C450" s="433"/>
      <c r="D450" s="433"/>
      <c r="E450" s="433"/>
      <c r="F450" s="433"/>
      <c r="G450" s="267"/>
      <c r="H450" s="267"/>
      <c r="I450" s="267"/>
      <c r="J450" s="433"/>
      <c r="K450" s="433"/>
      <c r="L450" s="434"/>
      <c r="M450" s="267"/>
      <c r="N450" s="267"/>
      <c r="O450" s="267"/>
      <c r="P450" s="267"/>
      <c r="Q450" s="267"/>
      <c r="R450" s="267"/>
      <c r="S450" s="267"/>
      <c r="T450" s="267"/>
      <c r="U450" s="267"/>
      <c r="V450" s="267"/>
      <c r="W450" s="267"/>
      <c r="X450" s="267"/>
      <c r="Y450" s="267"/>
      <c r="Z450" s="267"/>
      <c r="AA450" s="267"/>
      <c r="AB450" s="267"/>
      <c r="AC450" s="267"/>
    </row>
    <row r="451" ht="13.5" customHeight="1">
      <c r="A451" s="267"/>
      <c r="B451" s="267"/>
      <c r="C451" s="433"/>
      <c r="D451" s="433"/>
      <c r="E451" s="433"/>
      <c r="F451" s="433"/>
      <c r="G451" s="267"/>
      <c r="H451" s="267"/>
      <c r="I451" s="267"/>
      <c r="J451" s="433"/>
      <c r="K451" s="433"/>
      <c r="L451" s="434"/>
      <c r="M451" s="267"/>
      <c r="N451" s="267"/>
      <c r="O451" s="267"/>
      <c r="P451" s="267"/>
      <c r="Q451" s="267"/>
      <c r="R451" s="267"/>
      <c r="S451" s="267"/>
      <c r="T451" s="267"/>
      <c r="U451" s="267"/>
      <c r="V451" s="267"/>
      <c r="W451" s="267"/>
      <c r="X451" s="267"/>
      <c r="Y451" s="267"/>
      <c r="Z451" s="267"/>
      <c r="AA451" s="267"/>
      <c r="AB451" s="267"/>
      <c r="AC451" s="267"/>
    </row>
    <row r="452" ht="13.5" customHeight="1">
      <c r="A452" s="267"/>
      <c r="B452" s="267"/>
      <c r="C452" s="433"/>
      <c r="D452" s="433"/>
      <c r="E452" s="433"/>
      <c r="F452" s="433"/>
      <c r="G452" s="267"/>
      <c r="H452" s="267"/>
      <c r="I452" s="267"/>
      <c r="J452" s="433"/>
      <c r="K452" s="433"/>
      <c r="L452" s="434"/>
      <c r="M452" s="267"/>
      <c r="N452" s="267"/>
      <c r="O452" s="267"/>
      <c r="P452" s="267"/>
      <c r="Q452" s="267"/>
      <c r="R452" s="267"/>
      <c r="S452" s="267"/>
      <c r="T452" s="267"/>
      <c r="U452" s="267"/>
      <c r="V452" s="267"/>
      <c r="W452" s="267"/>
      <c r="X452" s="267"/>
      <c r="Y452" s="267"/>
      <c r="Z452" s="267"/>
      <c r="AA452" s="267"/>
      <c r="AB452" s="267"/>
      <c r="AC452" s="267"/>
    </row>
    <row r="453" ht="13.5" customHeight="1">
      <c r="A453" s="267"/>
      <c r="B453" s="267"/>
      <c r="C453" s="433"/>
      <c r="D453" s="433"/>
      <c r="E453" s="433"/>
      <c r="F453" s="433"/>
      <c r="G453" s="267"/>
      <c r="H453" s="267"/>
      <c r="I453" s="267"/>
      <c r="J453" s="433"/>
      <c r="K453" s="433"/>
      <c r="L453" s="434"/>
      <c r="M453" s="267"/>
      <c r="N453" s="267"/>
      <c r="O453" s="267"/>
      <c r="P453" s="267"/>
      <c r="Q453" s="267"/>
      <c r="R453" s="267"/>
      <c r="S453" s="267"/>
      <c r="T453" s="267"/>
      <c r="U453" s="267"/>
      <c r="V453" s="267"/>
      <c r="W453" s="267"/>
      <c r="X453" s="267"/>
      <c r="Y453" s="267"/>
      <c r="Z453" s="267"/>
      <c r="AA453" s="267"/>
      <c r="AB453" s="267"/>
      <c r="AC453" s="267"/>
    </row>
    <row r="454" ht="13.5" customHeight="1">
      <c r="A454" s="267"/>
      <c r="B454" s="267"/>
      <c r="C454" s="433"/>
      <c r="D454" s="433"/>
      <c r="E454" s="433"/>
      <c r="F454" s="433"/>
      <c r="G454" s="267"/>
      <c r="H454" s="267"/>
      <c r="I454" s="267"/>
      <c r="J454" s="433"/>
      <c r="K454" s="433"/>
      <c r="L454" s="434"/>
      <c r="M454" s="267"/>
      <c r="N454" s="267"/>
      <c r="O454" s="267"/>
      <c r="P454" s="267"/>
      <c r="Q454" s="267"/>
      <c r="R454" s="267"/>
      <c r="S454" s="267"/>
      <c r="T454" s="267"/>
      <c r="U454" s="267"/>
      <c r="V454" s="267"/>
      <c r="W454" s="267"/>
      <c r="X454" s="267"/>
      <c r="Y454" s="267"/>
      <c r="Z454" s="267"/>
      <c r="AA454" s="267"/>
      <c r="AB454" s="267"/>
      <c r="AC454" s="267"/>
    </row>
    <row r="455" ht="13.5" customHeight="1">
      <c r="A455" s="267"/>
      <c r="B455" s="267"/>
      <c r="C455" s="433"/>
      <c r="D455" s="433"/>
      <c r="E455" s="433"/>
      <c r="F455" s="433"/>
      <c r="G455" s="267"/>
      <c r="H455" s="267"/>
      <c r="I455" s="267"/>
      <c r="J455" s="433"/>
      <c r="K455" s="433"/>
      <c r="L455" s="434"/>
      <c r="M455" s="267"/>
      <c r="N455" s="267"/>
      <c r="O455" s="267"/>
      <c r="P455" s="267"/>
      <c r="Q455" s="267"/>
      <c r="R455" s="267"/>
      <c r="S455" s="267"/>
      <c r="T455" s="267"/>
      <c r="U455" s="267"/>
      <c r="V455" s="267"/>
      <c r="W455" s="267"/>
      <c r="X455" s="267"/>
      <c r="Y455" s="267"/>
      <c r="Z455" s="267"/>
      <c r="AA455" s="267"/>
      <c r="AB455" s="267"/>
      <c r="AC455" s="267"/>
    </row>
    <row r="456" ht="13.5" customHeight="1">
      <c r="A456" s="267"/>
      <c r="B456" s="267"/>
      <c r="C456" s="433"/>
      <c r="D456" s="433"/>
      <c r="E456" s="433"/>
      <c r="F456" s="433"/>
      <c r="G456" s="267"/>
      <c r="H456" s="267"/>
      <c r="I456" s="267"/>
      <c r="J456" s="433"/>
      <c r="K456" s="433"/>
      <c r="L456" s="434"/>
      <c r="M456" s="267"/>
      <c r="N456" s="267"/>
      <c r="O456" s="267"/>
      <c r="P456" s="267"/>
      <c r="Q456" s="267"/>
      <c r="R456" s="267"/>
      <c r="S456" s="267"/>
      <c r="T456" s="267"/>
      <c r="U456" s="267"/>
      <c r="V456" s="267"/>
      <c r="W456" s="267"/>
      <c r="X456" s="267"/>
      <c r="Y456" s="267"/>
      <c r="Z456" s="267"/>
      <c r="AA456" s="267"/>
      <c r="AB456" s="267"/>
      <c r="AC456" s="267"/>
    </row>
    <row r="457" ht="13.5" customHeight="1">
      <c r="A457" s="267"/>
      <c r="B457" s="267"/>
      <c r="C457" s="433"/>
      <c r="D457" s="433"/>
      <c r="E457" s="433"/>
      <c r="F457" s="433"/>
      <c r="G457" s="267"/>
      <c r="H457" s="267"/>
      <c r="I457" s="267"/>
      <c r="J457" s="433"/>
      <c r="K457" s="433"/>
      <c r="L457" s="434"/>
      <c r="M457" s="267"/>
      <c r="N457" s="267"/>
      <c r="O457" s="267"/>
      <c r="P457" s="267"/>
      <c r="Q457" s="267"/>
      <c r="R457" s="267"/>
      <c r="S457" s="267"/>
      <c r="T457" s="267"/>
      <c r="U457" s="267"/>
      <c r="V457" s="267"/>
      <c r="W457" s="267"/>
      <c r="X457" s="267"/>
      <c r="Y457" s="267"/>
      <c r="Z457" s="267"/>
      <c r="AA457" s="267"/>
      <c r="AB457" s="267"/>
      <c r="AC457" s="267"/>
    </row>
    <row r="458" ht="13.5" customHeight="1">
      <c r="A458" s="267"/>
      <c r="B458" s="267"/>
      <c r="C458" s="433"/>
      <c r="D458" s="433"/>
      <c r="E458" s="433"/>
      <c r="F458" s="433"/>
      <c r="G458" s="267"/>
      <c r="H458" s="267"/>
      <c r="I458" s="267"/>
      <c r="J458" s="433"/>
      <c r="K458" s="433"/>
      <c r="L458" s="434"/>
      <c r="M458" s="267"/>
      <c r="N458" s="267"/>
      <c r="O458" s="267"/>
      <c r="P458" s="267"/>
      <c r="Q458" s="267"/>
      <c r="R458" s="267"/>
      <c r="S458" s="267"/>
      <c r="T458" s="267"/>
      <c r="U458" s="267"/>
      <c r="V458" s="267"/>
      <c r="W458" s="267"/>
      <c r="X458" s="267"/>
      <c r="Y458" s="267"/>
      <c r="Z458" s="267"/>
      <c r="AA458" s="267"/>
      <c r="AB458" s="267"/>
      <c r="AC458" s="267"/>
    </row>
    <row r="459" ht="13.5" customHeight="1">
      <c r="A459" s="267"/>
      <c r="B459" s="267"/>
      <c r="C459" s="433"/>
      <c r="D459" s="433"/>
      <c r="E459" s="433"/>
      <c r="F459" s="433"/>
      <c r="G459" s="267"/>
      <c r="H459" s="267"/>
      <c r="I459" s="267"/>
      <c r="J459" s="433"/>
      <c r="K459" s="433"/>
      <c r="L459" s="434"/>
      <c r="M459" s="267"/>
      <c r="N459" s="267"/>
      <c r="O459" s="267"/>
      <c r="P459" s="267"/>
      <c r="Q459" s="267"/>
      <c r="R459" s="267"/>
      <c r="S459" s="267"/>
      <c r="T459" s="267"/>
      <c r="U459" s="267"/>
      <c r="V459" s="267"/>
      <c r="W459" s="267"/>
      <c r="X459" s="267"/>
      <c r="Y459" s="267"/>
      <c r="Z459" s="267"/>
      <c r="AA459" s="267"/>
      <c r="AB459" s="267"/>
      <c r="AC459" s="267"/>
    </row>
    <row r="460" ht="13.5" customHeight="1">
      <c r="A460" s="267"/>
      <c r="B460" s="267"/>
      <c r="C460" s="433"/>
      <c r="D460" s="433"/>
      <c r="E460" s="433"/>
      <c r="F460" s="433"/>
      <c r="G460" s="267"/>
      <c r="H460" s="267"/>
      <c r="I460" s="267"/>
      <c r="J460" s="433"/>
      <c r="K460" s="433"/>
      <c r="L460" s="434"/>
      <c r="M460" s="267"/>
      <c r="N460" s="267"/>
      <c r="O460" s="267"/>
      <c r="P460" s="267"/>
      <c r="Q460" s="267"/>
      <c r="R460" s="267"/>
      <c r="S460" s="267"/>
      <c r="T460" s="267"/>
      <c r="U460" s="267"/>
      <c r="V460" s="267"/>
      <c r="W460" s="267"/>
      <c r="X460" s="267"/>
      <c r="Y460" s="267"/>
      <c r="Z460" s="267"/>
      <c r="AA460" s="267"/>
      <c r="AB460" s="267"/>
      <c r="AC460" s="267"/>
    </row>
    <row r="461" ht="13.5" customHeight="1">
      <c r="A461" s="267"/>
      <c r="B461" s="267"/>
      <c r="C461" s="433"/>
      <c r="D461" s="433"/>
      <c r="E461" s="433"/>
      <c r="F461" s="433"/>
      <c r="G461" s="267"/>
      <c r="H461" s="267"/>
      <c r="I461" s="267"/>
      <c r="J461" s="433"/>
      <c r="K461" s="433"/>
      <c r="L461" s="434"/>
      <c r="M461" s="267"/>
      <c r="N461" s="267"/>
      <c r="O461" s="267"/>
      <c r="P461" s="267"/>
      <c r="Q461" s="267"/>
      <c r="R461" s="267"/>
      <c r="S461" s="267"/>
      <c r="T461" s="267"/>
      <c r="U461" s="267"/>
      <c r="V461" s="267"/>
      <c r="W461" s="267"/>
      <c r="X461" s="267"/>
      <c r="Y461" s="267"/>
      <c r="Z461" s="267"/>
      <c r="AA461" s="267"/>
      <c r="AB461" s="267"/>
      <c r="AC461" s="267"/>
    </row>
    <row r="462" ht="13.5" customHeight="1">
      <c r="A462" s="267"/>
      <c r="B462" s="267"/>
      <c r="C462" s="433"/>
      <c r="D462" s="433"/>
      <c r="E462" s="433"/>
      <c r="F462" s="433"/>
      <c r="G462" s="267"/>
      <c r="H462" s="267"/>
      <c r="I462" s="267"/>
      <c r="J462" s="433"/>
      <c r="K462" s="433"/>
      <c r="L462" s="434"/>
      <c r="M462" s="267"/>
      <c r="N462" s="267"/>
      <c r="O462" s="267"/>
      <c r="P462" s="267"/>
      <c r="Q462" s="267"/>
      <c r="R462" s="267"/>
      <c r="S462" s="267"/>
      <c r="T462" s="267"/>
      <c r="U462" s="267"/>
      <c r="V462" s="267"/>
      <c r="W462" s="267"/>
      <c r="X462" s="267"/>
      <c r="Y462" s="267"/>
      <c r="Z462" s="267"/>
      <c r="AA462" s="267"/>
      <c r="AB462" s="267"/>
      <c r="AC462" s="267"/>
    </row>
    <row r="463" ht="13.5" customHeight="1">
      <c r="A463" s="267"/>
      <c r="B463" s="267"/>
      <c r="C463" s="433"/>
      <c r="D463" s="433"/>
      <c r="E463" s="433"/>
      <c r="F463" s="433"/>
      <c r="G463" s="267"/>
      <c r="H463" s="267"/>
      <c r="I463" s="267"/>
      <c r="J463" s="433"/>
      <c r="K463" s="433"/>
      <c r="L463" s="434"/>
      <c r="M463" s="267"/>
      <c r="N463" s="267"/>
      <c r="O463" s="267"/>
      <c r="P463" s="267"/>
      <c r="Q463" s="267"/>
      <c r="R463" s="267"/>
      <c r="S463" s="267"/>
      <c r="T463" s="267"/>
      <c r="U463" s="267"/>
      <c r="V463" s="267"/>
      <c r="W463" s="267"/>
      <c r="X463" s="267"/>
      <c r="Y463" s="267"/>
      <c r="Z463" s="267"/>
      <c r="AA463" s="267"/>
      <c r="AB463" s="267"/>
      <c r="AC463" s="267"/>
    </row>
    <row r="464" ht="13.5" customHeight="1">
      <c r="A464" s="267"/>
      <c r="B464" s="267"/>
      <c r="C464" s="433"/>
      <c r="D464" s="433"/>
      <c r="E464" s="433"/>
      <c r="F464" s="433"/>
      <c r="G464" s="267"/>
      <c r="H464" s="267"/>
      <c r="I464" s="267"/>
      <c r="J464" s="433"/>
      <c r="K464" s="433"/>
      <c r="L464" s="434"/>
      <c r="M464" s="267"/>
      <c r="N464" s="267"/>
      <c r="O464" s="267"/>
      <c r="P464" s="267"/>
      <c r="Q464" s="267"/>
      <c r="R464" s="267"/>
      <c r="S464" s="267"/>
      <c r="T464" s="267"/>
      <c r="U464" s="267"/>
      <c r="V464" s="267"/>
      <c r="W464" s="267"/>
      <c r="X464" s="267"/>
      <c r="Y464" s="267"/>
      <c r="Z464" s="267"/>
      <c r="AA464" s="267"/>
      <c r="AB464" s="267"/>
      <c r="AC464" s="267"/>
    </row>
    <row r="465" ht="13.5" customHeight="1">
      <c r="A465" s="267"/>
      <c r="B465" s="267"/>
      <c r="C465" s="433"/>
      <c r="D465" s="433"/>
      <c r="E465" s="433"/>
      <c r="F465" s="433"/>
      <c r="G465" s="267"/>
      <c r="H465" s="267"/>
      <c r="I465" s="267"/>
      <c r="J465" s="433"/>
      <c r="K465" s="433"/>
      <c r="L465" s="434"/>
      <c r="M465" s="267"/>
      <c r="N465" s="267"/>
      <c r="O465" s="267"/>
      <c r="P465" s="267"/>
      <c r="Q465" s="267"/>
      <c r="R465" s="267"/>
      <c r="S465" s="267"/>
      <c r="T465" s="267"/>
      <c r="U465" s="267"/>
      <c r="V465" s="267"/>
      <c r="W465" s="267"/>
      <c r="X465" s="267"/>
      <c r="Y465" s="267"/>
      <c r="Z465" s="267"/>
      <c r="AA465" s="267"/>
      <c r="AB465" s="267"/>
      <c r="AC465" s="267"/>
    </row>
    <row r="466" ht="13.5" customHeight="1">
      <c r="A466" s="267"/>
      <c r="B466" s="267"/>
      <c r="C466" s="433"/>
      <c r="D466" s="433"/>
      <c r="E466" s="433"/>
      <c r="F466" s="433"/>
      <c r="G466" s="267"/>
      <c r="H466" s="267"/>
      <c r="I466" s="267"/>
      <c r="J466" s="433"/>
      <c r="K466" s="433"/>
      <c r="L466" s="434"/>
      <c r="M466" s="267"/>
      <c r="N466" s="267"/>
      <c r="O466" s="267"/>
      <c r="P466" s="267"/>
      <c r="Q466" s="267"/>
      <c r="R466" s="267"/>
      <c r="S466" s="267"/>
      <c r="T466" s="267"/>
      <c r="U466" s="267"/>
      <c r="V466" s="267"/>
      <c r="W466" s="267"/>
      <c r="X466" s="267"/>
      <c r="Y466" s="267"/>
      <c r="Z466" s="267"/>
      <c r="AA466" s="267"/>
      <c r="AB466" s="267"/>
      <c r="AC466" s="267"/>
    </row>
    <row r="467" ht="13.5" customHeight="1">
      <c r="A467" s="267"/>
      <c r="B467" s="267"/>
      <c r="C467" s="433"/>
      <c r="D467" s="433"/>
      <c r="E467" s="433"/>
      <c r="F467" s="433"/>
      <c r="G467" s="267"/>
      <c r="H467" s="267"/>
      <c r="I467" s="267"/>
      <c r="J467" s="433"/>
      <c r="K467" s="433"/>
      <c r="L467" s="434"/>
      <c r="M467" s="267"/>
      <c r="N467" s="267"/>
      <c r="O467" s="267"/>
      <c r="P467" s="267"/>
      <c r="Q467" s="267"/>
      <c r="R467" s="267"/>
      <c r="S467" s="267"/>
      <c r="T467" s="267"/>
      <c r="U467" s="267"/>
      <c r="V467" s="267"/>
      <c r="W467" s="267"/>
      <c r="X467" s="267"/>
      <c r="Y467" s="267"/>
      <c r="Z467" s="267"/>
      <c r="AA467" s="267"/>
      <c r="AB467" s="267"/>
      <c r="AC467" s="267"/>
    </row>
    <row r="468" ht="13.5" customHeight="1">
      <c r="A468" s="267"/>
      <c r="B468" s="267"/>
      <c r="C468" s="433"/>
      <c r="D468" s="433"/>
      <c r="E468" s="433"/>
      <c r="F468" s="433"/>
      <c r="G468" s="267"/>
      <c r="H468" s="267"/>
      <c r="I468" s="267"/>
      <c r="J468" s="433"/>
      <c r="K468" s="433"/>
      <c r="L468" s="434"/>
      <c r="M468" s="267"/>
      <c r="N468" s="267"/>
      <c r="O468" s="267"/>
      <c r="P468" s="267"/>
      <c r="Q468" s="267"/>
      <c r="R468" s="267"/>
      <c r="S468" s="267"/>
      <c r="T468" s="267"/>
      <c r="U468" s="267"/>
      <c r="V468" s="267"/>
      <c r="W468" s="267"/>
      <c r="X468" s="267"/>
      <c r="Y468" s="267"/>
      <c r="Z468" s="267"/>
      <c r="AA468" s="267"/>
      <c r="AB468" s="267"/>
      <c r="AC468" s="267"/>
    </row>
    <row r="469" ht="13.5" customHeight="1">
      <c r="A469" s="267"/>
      <c r="B469" s="267"/>
      <c r="C469" s="433"/>
      <c r="D469" s="433"/>
      <c r="E469" s="433"/>
      <c r="F469" s="433"/>
      <c r="G469" s="267"/>
      <c r="H469" s="267"/>
      <c r="I469" s="267"/>
      <c r="J469" s="433"/>
      <c r="K469" s="433"/>
      <c r="L469" s="434"/>
      <c r="M469" s="267"/>
      <c r="N469" s="267"/>
      <c r="O469" s="267"/>
      <c r="P469" s="267"/>
      <c r="Q469" s="267"/>
      <c r="R469" s="267"/>
      <c r="S469" s="267"/>
      <c r="T469" s="267"/>
      <c r="U469" s="267"/>
      <c r="V469" s="267"/>
      <c r="W469" s="267"/>
      <c r="X469" s="267"/>
      <c r="Y469" s="267"/>
      <c r="Z469" s="267"/>
      <c r="AA469" s="267"/>
      <c r="AB469" s="267"/>
      <c r="AC469" s="267"/>
    </row>
    <row r="470" ht="13.5" customHeight="1">
      <c r="A470" s="267"/>
      <c r="B470" s="267"/>
      <c r="C470" s="433"/>
      <c r="D470" s="433"/>
      <c r="E470" s="433"/>
      <c r="F470" s="433"/>
      <c r="G470" s="267"/>
      <c r="H470" s="267"/>
      <c r="I470" s="267"/>
      <c r="J470" s="433"/>
      <c r="K470" s="433"/>
      <c r="L470" s="434"/>
      <c r="M470" s="267"/>
      <c r="N470" s="267"/>
      <c r="O470" s="267"/>
      <c r="P470" s="267"/>
      <c r="Q470" s="267"/>
      <c r="R470" s="267"/>
      <c r="S470" s="267"/>
      <c r="T470" s="267"/>
      <c r="U470" s="267"/>
      <c r="V470" s="267"/>
      <c r="W470" s="267"/>
      <c r="X470" s="267"/>
      <c r="Y470" s="267"/>
      <c r="Z470" s="267"/>
      <c r="AA470" s="267"/>
      <c r="AB470" s="267"/>
      <c r="AC470" s="267"/>
    </row>
    <row r="471" ht="13.5" customHeight="1">
      <c r="A471" s="267"/>
      <c r="B471" s="267"/>
      <c r="C471" s="433"/>
      <c r="D471" s="433"/>
      <c r="E471" s="433"/>
      <c r="F471" s="433"/>
      <c r="G471" s="267"/>
      <c r="H471" s="267"/>
      <c r="I471" s="267"/>
      <c r="J471" s="433"/>
      <c r="K471" s="433"/>
      <c r="L471" s="434"/>
      <c r="M471" s="267"/>
      <c r="N471" s="267"/>
      <c r="O471" s="267"/>
      <c r="P471" s="267"/>
      <c r="Q471" s="267"/>
      <c r="R471" s="267"/>
      <c r="S471" s="267"/>
      <c r="T471" s="267"/>
      <c r="U471" s="267"/>
      <c r="V471" s="267"/>
      <c r="W471" s="267"/>
      <c r="X471" s="267"/>
      <c r="Y471" s="267"/>
      <c r="Z471" s="267"/>
      <c r="AA471" s="267"/>
      <c r="AB471" s="267"/>
      <c r="AC471" s="267"/>
    </row>
    <row r="472" ht="13.5" customHeight="1">
      <c r="A472" s="267"/>
      <c r="B472" s="267"/>
      <c r="C472" s="433"/>
      <c r="D472" s="433"/>
      <c r="E472" s="433"/>
      <c r="F472" s="433"/>
      <c r="G472" s="267"/>
      <c r="H472" s="267"/>
      <c r="I472" s="267"/>
      <c r="J472" s="433"/>
      <c r="K472" s="433"/>
      <c r="L472" s="434"/>
      <c r="M472" s="267"/>
      <c r="N472" s="267"/>
      <c r="O472" s="267"/>
      <c r="P472" s="267"/>
      <c r="Q472" s="267"/>
      <c r="R472" s="267"/>
      <c r="S472" s="267"/>
      <c r="T472" s="267"/>
      <c r="U472" s="267"/>
      <c r="V472" s="267"/>
      <c r="W472" s="267"/>
      <c r="X472" s="267"/>
      <c r="Y472" s="267"/>
      <c r="Z472" s="267"/>
      <c r="AA472" s="267"/>
      <c r="AB472" s="267"/>
      <c r="AC472" s="267"/>
    </row>
    <row r="473" ht="13.5" customHeight="1">
      <c r="A473" s="267"/>
      <c r="B473" s="267"/>
      <c r="C473" s="433"/>
      <c r="D473" s="433"/>
      <c r="E473" s="433"/>
      <c r="F473" s="433"/>
      <c r="G473" s="267"/>
      <c r="H473" s="267"/>
      <c r="I473" s="267"/>
      <c r="J473" s="433"/>
      <c r="K473" s="433"/>
      <c r="L473" s="434"/>
      <c r="M473" s="267"/>
      <c r="N473" s="267"/>
      <c r="O473" s="267"/>
      <c r="P473" s="267"/>
      <c r="Q473" s="267"/>
      <c r="R473" s="267"/>
      <c r="S473" s="267"/>
      <c r="T473" s="267"/>
      <c r="U473" s="267"/>
      <c r="V473" s="267"/>
      <c r="W473" s="267"/>
      <c r="X473" s="267"/>
      <c r="Y473" s="267"/>
      <c r="Z473" s="267"/>
      <c r="AA473" s="267"/>
      <c r="AB473" s="267"/>
      <c r="AC473" s="267"/>
    </row>
    <row r="474" ht="13.5" customHeight="1">
      <c r="A474" s="267"/>
      <c r="B474" s="267"/>
      <c r="C474" s="433"/>
      <c r="D474" s="433"/>
      <c r="E474" s="433"/>
      <c r="F474" s="433"/>
      <c r="G474" s="267"/>
      <c r="H474" s="267"/>
      <c r="I474" s="267"/>
      <c r="J474" s="433"/>
      <c r="K474" s="433"/>
      <c r="L474" s="434"/>
      <c r="M474" s="267"/>
      <c r="N474" s="267"/>
      <c r="O474" s="267"/>
      <c r="P474" s="267"/>
      <c r="Q474" s="267"/>
      <c r="R474" s="267"/>
      <c r="S474" s="267"/>
      <c r="T474" s="267"/>
      <c r="U474" s="267"/>
      <c r="V474" s="267"/>
      <c r="W474" s="267"/>
      <c r="X474" s="267"/>
      <c r="Y474" s="267"/>
      <c r="Z474" s="267"/>
      <c r="AA474" s="267"/>
      <c r="AB474" s="267"/>
      <c r="AC474" s="267"/>
    </row>
    <row r="475" ht="13.5" customHeight="1">
      <c r="A475" s="267"/>
      <c r="B475" s="267"/>
      <c r="C475" s="433"/>
      <c r="D475" s="433"/>
      <c r="E475" s="433"/>
      <c r="F475" s="433"/>
      <c r="G475" s="267"/>
      <c r="H475" s="267"/>
      <c r="I475" s="267"/>
      <c r="J475" s="433"/>
      <c r="K475" s="433"/>
      <c r="L475" s="434"/>
      <c r="M475" s="267"/>
      <c r="N475" s="267"/>
      <c r="O475" s="267"/>
      <c r="P475" s="267"/>
      <c r="Q475" s="267"/>
      <c r="R475" s="267"/>
      <c r="S475" s="267"/>
      <c r="T475" s="267"/>
      <c r="U475" s="267"/>
      <c r="V475" s="267"/>
      <c r="W475" s="267"/>
      <c r="X475" s="267"/>
      <c r="Y475" s="267"/>
      <c r="Z475" s="267"/>
      <c r="AA475" s="267"/>
      <c r="AB475" s="267"/>
      <c r="AC475" s="267"/>
    </row>
    <row r="476" ht="13.5" customHeight="1">
      <c r="A476" s="267"/>
      <c r="B476" s="267"/>
      <c r="C476" s="433"/>
      <c r="D476" s="433"/>
      <c r="E476" s="433"/>
      <c r="F476" s="433"/>
      <c r="G476" s="267"/>
      <c r="H476" s="267"/>
      <c r="I476" s="267"/>
      <c r="J476" s="433"/>
      <c r="K476" s="433"/>
      <c r="L476" s="434"/>
      <c r="M476" s="267"/>
      <c r="N476" s="267"/>
      <c r="O476" s="267"/>
      <c r="P476" s="267"/>
      <c r="Q476" s="267"/>
      <c r="R476" s="267"/>
      <c r="S476" s="267"/>
      <c r="T476" s="267"/>
      <c r="U476" s="267"/>
      <c r="V476" s="267"/>
      <c r="W476" s="267"/>
      <c r="X476" s="267"/>
      <c r="Y476" s="267"/>
      <c r="Z476" s="267"/>
      <c r="AA476" s="267"/>
      <c r="AB476" s="267"/>
      <c r="AC476" s="267"/>
    </row>
    <row r="477" ht="13.5" customHeight="1">
      <c r="A477" s="267"/>
      <c r="B477" s="267"/>
      <c r="C477" s="433"/>
      <c r="D477" s="433"/>
      <c r="E477" s="433"/>
      <c r="F477" s="433"/>
      <c r="G477" s="267"/>
      <c r="H477" s="267"/>
      <c r="I477" s="267"/>
      <c r="J477" s="433"/>
      <c r="K477" s="433"/>
      <c r="L477" s="434"/>
      <c r="M477" s="267"/>
      <c r="N477" s="267"/>
      <c r="O477" s="267"/>
      <c r="P477" s="267"/>
      <c r="Q477" s="267"/>
      <c r="R477" s="267"/>
      <c r="S477" s="267"/>
      <c r="T477" s="267"/>
      <c r="U477" s="267"/>
      <c r="V477" s="267"/>
      <c r="W477" s="267"/>
      <c r="X477" s="267"/>
      <c r="Y477" s="267"/>
      <c r="Z477" s="267"/>
      <c r="AA477" s="267"/>
      <c r="AB477" s="267"/>
      <c r="AC477" s="267"/>
    </row>
    <row r="478" ht="13.5" customHeight="1">
      <c r="A478" s="267"/>
      <c r="B478" s="267"/>
      <c r="C478" s="433"/>
      <c r="D478" s="433"/>
      <c r="E478" s="433"/>
      <c r="F478" s="433"/>
      <c r="G478" s="267"/>
      <c r="H478" s="267"/>
      <c r="I478" s="267"/>
      <c r="J478" s="433"/>
      <c r="K478" s="433"/>
      <c r="L478" s="434"/>
      <c r="M478" s="267"/>
      <c r="N478" s="267"/>
      <c r="O478" s="267"/>
      <c r="P478" s="267"/>
      <c r="Q478" s="267"/>
      <c r="R478" s="267"/>
      <c r="S478" s="267"/>
      <c r="T478" s="267"/>
      <c r="U478" s="267"/>
      <c r="V478" s="267"/>
      <c r="W478" s="267"/>
      <c r="X478" s="267"/>
      <c r="Y478" s="267"/>
      <c r="Z478" s="267"/>
      <c r="AA478" s="267"/>
      <c r="AB478" s="267"/>
      <c r="AC478" s="267"/>
    </row>
    <row r="479" ht="13.5" customHeight="1">
      <c r="A479" s="267"/>
      <c r="B479" s="267"/>
      <c r="C479" s="433"/>
      <c r="D479" s="433"/>
      <c r="E479" s="433"/>
      <c r="F479" s="433"/>
      <c r="G479" s="267"/>
      <c r="H479" s="267"/>
      <c r="I479" s="267"/>
      <c r="J479" s="433"/>
      <c r="K479" s="433"/>
      <c r="L479" s="434"/>
      <c r="M479" s="267"/>
      <c r="N479" s="267"/>
      <c r="O479" s="267"/>
      <c r="P479" s="267"/>
      <c r="Q479" s="267"/>
      <c r="R479" s="267"/>
      <c r="S479" s="267"/>
      <c r="T479" s="267"/>
      <c r="U479" s="267"/>
      <c r="V479" s="267"/>
      <c r="W479" s="267"/>
      <c r="X479" s="267"/>
      <c r="Y479" s="267"/>
      <c r="Z479" s="267"/>
      <c r="AA479" s="267"/>
      <c r="AB479" s="267"/>
      <c r="AC479" s="267"/>
    </row>
    <row r="480" ht="13.5" customHeight="1">
      <c r="A480" s="267"/>
      <c r="B480" s="267"/>
      <c r="C480" s="433"/>
      <c r="D480" s="433"/>
      <c r="E480" s="433"/>
      <c r="F480" s="433"/>
      <c r="G480" s="267"/>
      <c r="H480" s="267"/>
      <c r="I480" s="267"/>
      <c r="J480" s="433"/>
      <c r="K480" s="433"/>
      <c r="L480" s="434"/>
      <c r="M480" s="267"/>
      <c r="N480" s="267"/>
      <c r="O480" s="267"/>
      <c r="P480" s="267"/>
      <c r="Q480" s="267"/>
      <c r="R480" s="267"/>
      <c r="S480" s="267"/>
      <c r="T480" s="267"/>
      <c r="U480" s="267"/>
      <c r="V480" s="267"/>
      <c r="W480" s="267"/>
      <c r="X480" s="267"/>
      <c r="Y480" s="267"/>
      <c r="Z480" s="267"/>
      <c r="AA480" s="267"/>
      <c r="AB480" s="267"/>
      <c r="AC480" s="267"/>
    </row>
    <row r="481" ht="13.5" customHeight="1">
      <c r="A481" s="267"/>
      <c r="B481" s="267"/>
      <c r="C481" s="433"/>
      <c r="D481" s="433"/>
      <c r="E481" s="433"/>
      <c r="F481" s="433"/>
      <c r="G481" s="267"/>
      <c r="H481" s="267"/>
      <c r="I481" s="267"/>
      <c r="J481" s="433"/>
      <c r="K481" s="433"/>
      <c r="L481" s="434"/>
      <c r="M481" s="267"/>
      <c r="N481" s="267"/>
      <c r="O481" s="267"/>
      <c r="P481" s="267"/>
      <c r="Q481" s="267"/>
      <c r="R481" s="267"/>
      <c r="S481" s="267"/>
      <c r="T481" s="267"/>
      <c r="U481" s="267"/>
      <c r="V481" s="267"/>
      <c r="W481" s="267"/>
      <c r="X481" s="267"/>
      <c r="Y481" s="267"/>
      <c r="Z481" s="267"/>
      <c r="AA481" s="267"/>
      <c r="AB481" s="267"/>
      <c r="AC481" s="267"/>
    </row>
    <row r="482" ht="13.5" customHeight="1">
      <c r="A482" s="267"/>
      <c r="B482" s="267"/>
      <c r="C482" s="433"/>
      <c r="D482" s="433"/>
      <c r="E482" s="433"/>
      <c r="F482" s="433"/>
      <c r="G482" s="267"/>
      <c r="H482" s="267"/>
      <c r="I482" s="267"/>
      <c r="J482" s="433"/>
      <c r="K482" s="433"/>
      <c r="L482" s="434"/>
      <c r="M482" s="267"/>
      <c r="N482" s="267"/>
      <c r="O482" s="267"/>
      <c r="P482" s="267"/>
      <c r="Q482" s="267"/>
      <c r="R482" s="267"/>
      <c r="S482" s="267"/>
      <c r="T482" s="267"/>
      <c r="U482" s="267"/>
      <c r="V482" s="267"/>
      <c r="W482" s="267"/>
      <c r="X482" s="267"/>
      <c r="Y482" s="267"/>
      <c r="Z482" s="267"/>
      <c r="AA482" s="267"/>
      <c r="AB482" s="267"/>
      <c r="AC482" s="267"/>
    </row>
    <row r="483" ht="13.5" customHeight="1">
      <c r="A483" s="267"/>
      <c r="B483" s="267"/>
      <c r="C483" s="433"/>
      <c r="D483" s="433"/>
      <c r="E483" s="433"/>
      <c r="F483" s="433"/>
      <c r="G483" s="267"/>
      <c r="H483" s="267"/>
      <c r="I483" s="267"/>
      <c r="J483" s="433"/>
      <c r="K483" s="433"/>
      <c r="L483" s="434"/>
      <c r="M483" s="267"/>
      <c r="N483" s="267"/>
      <c r="O483" s="267"/>
      <c r="P483" s="267"/>
      <c r="Q483" s="267"/>
      <c r="R483" s="267"/>
      <c r="S483" s="267"/>
      <c r="T483" s="267"/>
      <c r="U483" s="267"/>
      <c r="V483" s="267"/>
      <c r="W483" s="267"/>
      <c r="X483" s="267"/>
      <c r="Y483" s="267"/>
      <c r="Z483" s="267"/>
      <c r="AA483" s="267"/>
      <c r="AB483" s="267"/>
      <c r="AC483" s="267"/>
    </row>
    <row r="484" ht="13.5" customHeight="1">
      <c r="A484" s="267"/>
      <c r="B484" s="267"/>
      <c r="C484" s="433"/>
      <c r="D484" s="433"/>
      <c r="E484" s="433"/>
      <c r="F484" s="433"/>
      <c r="G484" s="267"/>
      <c r="H484" s="267"/>
      <c r="I484" s="267"/>
      <c r="J484" s="433"/>
      <c r="K484" s="433"/>
      <c r="L484" s="434"/>
      <c r="M484" s="267"/>
      <c r="N484" s="267"/>
      <c r="O484" s="267"/>
      <c r="P484" s="267"/>
      <c r="Q484" s="267"/>
      <c r="R484" s="267"/>
      <c r="S484" s="267"/>
      <c r="T484" s="267"/>
      <c r="U484" s="267"/>
      <c r="V484" s="267"/>
      <c r="W484" s="267"/>
      <c r="X484" s="267"/>
      <c r="Y484" s="267"/>
      <c r="Z484" s="267"/>
      <c r="AA484" s="267"/>
      <c r="AB484" s="267"/>
      <c r="AC484" s="267"/>
    </row>
    <row r="485" ht="13.5" customHeight="1">
      <c r="A485" s="267"/>
      <c r="B485" s="267"/>
      <c r="C485" s="433"/>
      <c r="D485" s="433"/>
      <c r="E485" s="433"/>
      <c r="F485" s="433"/>
      <c r="G485" s="267"/>
      <c r="H485" s="267"/>
      <c r="I485" s="267"/>
      <c r="J485" s="433"/>
      <c r="K485" s="433"/>
      <c r="L485" s="434"/>
      <c r="M485" s="267"/>
      <c r="N485" s="267"/>
      <c r="O485" s="267"/>
      <c r="P485" s="267"/>
      <c r="Q485" s="267"/>
      <c r="R485" s="267"/>
      <c r="S485" s="267"/>
      <c r="T485" s="267"/>
      <c r="U485" s="267"/>
      <c r="V485" s="267"/>
      <c r="W485" s="267"/>
      <c r="X485" s="267"/>
      <c r="Y485" s="267"/>
      <c r="Z485" s="267"/>
      <c r="AA485" s="267"/>
      <c r="AB485" s="267"/>
      <c r="AC485" s="267"/>
    </row>
    <row r="486" ht="13.5" customHeight="1">
      <c r="A486" s="267"/>
      <c r="B486" s="267"/>
      <c r="C486" s="433"/>
      <c r="D486" s="433"/>
      <c r="E486" s="433"/>
      <c r="F486" s="433"/>
      <c r="G486" s="267"/>
      <c r="H486" s="267"/>
      <c r="I486" s="267"/>
      <c r="J486" s="433"/>
      <c r="K486" s="433"/>
      <c r="L486" s="434"/>
      <c r="M486" s="267"/>
      <c r="N486" s="267"/>
      <c r="O486" s="267"/>
      <c r="P486" s="267"/>
      <c r="Q486" s="267"/>
      <c r="R486" s="267"/>
      <c r="S486" s="267"/>
      <c r="T486" s="267"/>
      <c r="U486" s="267"/>
      <c r="V486" s="267"/>
      <c r="W486" s="267"/>
      <c r="X486" s="267"/>
      <c r="Y486" s="267"/>
      <c r="Z486" s="267"/>
      <c r="AA486" s="267"/>
      <c r="AB486" s="267"/>
      <c r="AC486" s="267"/>
    </row>
    <row r="487" ht="13.5" customHeight="1">
      <c r="A487" s="267"/>
      <c r="B487" s="267"/>
      <c r="C487" s="433"/>
      <c r="D487" s="433"/>
      <c r="E487" s="433"/>
      <c r="F487" s="433"/>
      <c r="G487" s="267"/>
      <c r="H487" s="267"/>
      <c r="I487" s="267"/>
      <c r="J487" s="433"/>
      <c r="K487" s="433"/>
      <c r="L487" s="434"/>
      <c r="M487" s="267"/>
      <c r="N487" s="267"/>
      <c r="O487" s="267"/>
      <c r="P487" s="267"/>
      <c r="Q487" s="267"/>
      <c r="R487" s="267"/>
      <c r="S487" s="267"/>
      <c r="T487" s="267"/>
      <c r="U487" s="267"/>
      <c r="V487" s="267"/>
      <c r="W487" s="267"/>
      <c r="X487" s="267"/>
      <c r="Y487" s="267"/>
      <c r="Z487" s="267"/>
      <c r="AA487" s="267"/>
      <c r="AB487" s="267"/>
      <c r="AC487" s="267"/>
    </row>
    <row r="488" ht="13.5" customHeight="1">
      <c r="A488" s="267"/>
      <c r="B488" s="267"/>
      <c r="C488" s="433"/>
      <c r="D488" s="433"/>
      <c r="E488" s="433"/>
      <c r="F488" s="433"/>
      <c r="G488" s="267"/>
      <c r="H488" s="267"/>
      <c r="I488" s="267"/>
      <c r="J488" s="433"/>
      <c r="K488" s="433"/>
      <c r="L488" s="434"/>
      <c r="M488" s="267"/>
      <c r="N488" s="267"/>
      <c r="O488" s="267"/>
      <c r="P488" s="267"/>
      <c r="Q488" s="267"/>
      <c r="R488" s="267"/>
      <c r="S488" s="267"/>
      <c r="T488" s="267"/>
      <c r="U488" s="267"/>
      <c r="V488" s="267"/>
      <c r="W488" s="267"/>
      <c r="X488" s="267"/>
      <c r="Y488" s="267"/>
      <c r="Z488" s="267"/>
      <c r="AA488" s="267"/>
      <c r="AB488" s="267"/>
      <c r="AC488" s="267"/>
    </row>
    <row r="489" ht="13.5" customHeight="1">
      <c r="A489" s="267"/>
      <c r="B489" s="267"/>
      <c r="C489" s="433"/>
      <c r="D489" s="433"/>
      <c r="E489" s="433"/>
      <c r="F489" s="433"/>
      <c r="G489" s="267"/>
      <c r="H489" s="267"/>
      <c r="I489" s="267"/>
      <c r="J489" s="433"/>
      <c r="K489" s="433"/>
      <c r="L489" s="434"/>
      <c r="M489" s="267"/>
      <c r="N489" s="267"/>
      <c r="O489" s="267"/>
      <c r="P489" s="267"/>
      <c r="Q489" s="267"/>
      <c r="R489" s="267"/>
      <c r="S489" s="267"/>
      <c r="T489" s="267"/>
      <c r="U489" s="267"/>
      <c r="V489" s="267"/>
      <c r="W489" s="267"/>
      <c r="X489" s="267"/>
      <c r="Y489" s="267"/>
      <c r="Z489" s="267"/>
      <c r="AA489" s="267"/>
      <c r="AB489" s="267"/>
      <c r="AC489" s="267"/>
    </row>
    <row r="490" ht="13.5" customHeight="1">
      <c r="A490" s="267"/>
      <c r="B490" s="267"/>
      <c r="C490" s="433"/>
      <c r="D490" s="433"/>
      <c r="E490" s="433"/>
      <c r="F490" s="433"/>
      <c r="G490" s="267"/>
      <c r="H490" s="267"/>
      <c r="I490" s="267"/>
      <c r="J490" s="433"/>
      <c r="K490" s="433"/>
      <c r="L490" s="434"/>
      <c r="M490" s="267"/>
      <c r="N490" s="267"/>
      <c r="O490" s="267"/>
      <c r="P490" s="267"/>
      <c r="Q490" s="267"/>
      <c r="R490" s="267"/>
      <c r="S490" s="267"/>
      <c r="T490" s="267"/>
      <c r="U490" s="267"/>
      <c r="V490" s="267"/>
      <c r="W490" s="267"/>
      <c r="X490" s="267"/>
      <c r="Y490" s="267"/>
      <c r="Z490" s="267"/>
      <c r="AA490" s="267"/>
      <c r="AB490" s="267"/>
      <c r="AC490" s="267"/>
    </row>
    <row r="491" ht="13.5" customHeight="1">
      <c r="A491" s="267"/>
      <c r="B491" s="267"/>
      <c r="C491" s="433"/>
      <c r="D491" s="433"/>
      <c r="E491" s="433"/>
      <c r="F491" s="433"/>
      <c r="G491" s="267"/>
      <c r="H491" s="267"/>
      <c r="I491" s="267"/>
      <c r="J491" s="433"/>
      <c r="K491" s="433"/>
      <c r="L491" s="434"/>
      <c r="M491" s="267"/>
      <c r="N491" s="267"/>
      <c r="O491" s="267"/>
      <c r="P491" s="267"/>
      <c r="Q491" s="267"/>
      <c r="R491" s="267"/>
      <c r="S491" s="267"/>
      <c r="T491" s="267"/>
      <c r="U491" s="267"/>
      <c r="V491" s="267"/>
      <c r="W491" s="267"/>
      <c r="X491" s="267"/>
      <c r="Y491" s="267"/>
      <c r="Z491" s="267"/>
      <c r="AA491" s="267"/>
      <c r="AB491" s="267"/>
      <c r="AC491" s="267"/>
    </row>
    <row r="492" ht="13.5" customHeight="1">
      <c r="A492" s="267"/>
      <c r="B492" s="267"/>
      <c r="C492" s="433"/>
      <c r="D492" s="433"/>
      <c r="E492" s="433"/>
      <c r="F492" s="433"/>
      <c r="G492" s="267"/>
      <c r="H492" s="267"/>
      <c r="I492" s="267"/>
      <c r="J492" s="433"/>
      <c r="K492" s="433"/>
      <c r="L492" s="434"/>
      <c r="M492" s="267"/>
      <c r="N492" s="267"/>
      <c r="O492" s="267"/>
      <c r="P492" s="267"/>
      <c r="Q492" s="267"/>
      <c r="R492" s="267"/>
      <c r="S492" s="267"/>
      <c r="T492" s="267"/>
      <c r="U492" s="267"/>
      <c r="V492" s="267"/>
      <c r="W492" s="267"/>
      <c r="X492" s="267"/>
      <c r="Y492" s="267"/>
      <c r="Z492" s="267"/>
      <c r="AA492" s="267"/>
      <c r="AB492" s="267"/>
      <c r="AC492" s="267"/>
    </row>
    <row r="493" ht="13.5" customHeight="1">
      <c r="A493" s="267"/>
      <c r="B493" s="267"/>
      <c r="C493" s="433"/>
      <c r="D493" s="433"/>
      <c r="E493" s="433"/>
      <c r="F493" s="433"/>
      <c r="G493" s="267"/>
      <c r="H493" s="267"/>
      <c r="I493" s="267"/>
      <c r="J493" s="433"/>
      <c r="K493" s="433"/>
      <c r="L493" s="434"/>
      <c r="M493" s="267"/>
      <c r="N493" s="267"/>
      <c r="O493" s="267"/>
      <c r="P493" s="267"/>
      <c r="Q493" s="267"/>
      <c r="R493" s="267"/>
      <c r="S493" s="267"/>
      <c r="T493" s="267"/>
      <c r="U493" s="267"/>
      <c r="V493" s="267"/>
      <c r="W493" s="267"/>
      <c r="X493" s="267"/>
      <c r="Y493" s="267"/>
      <c r="Z493" s="267"/>
      <c r="AA493" s="267"/>
      <c r="AB493" s="267"/>
      <c r="AC493" s="267"/>
    </row>
    <row r="494" ht="13.5" customHeight="1">
      <c r="A494" s="267"/>
      <c r="B494" s="267"/>
      <c r="C494" s="433"/>
      <c r="D494" s="433"/>
      <c r="E494" s="433"/>
      <c r="F494" s="433"/>
      <c r="G494" s="267"/>
      <c r="H494" s="267"/>
      <c r="I494" s="267"/>
      <c r="J494" s="433"/>
      <c r="K494" s="433"/>
      <c r="L494" s="434"/>
      <c r="M494" s="267"/>
      <c r="N494" s="267"/>
      <c r="O494" s="267"/>
      <c r="P494" s="267"/>
      <c r="Q494" s="267"/>
      <c r="R494" s="267"/>
      <c r="S494" s="267"/>
      <c r="T494" s="267"/>
      <c r="U494" s="267"/>
      <c r="V494" s="267"/>
      <c r="W494" s="267"/>
      <c r="X494" s="267"/>
      <c r="Y494" s="267"/>
      <c r="Z494" s="267"/>
      <c r="AA494" s="267"/>
      <c r="AB494" s="267"/>
      <c r="AC494" s="267"/>
    </row>
    <row r="495" ht="13.5" customHeight="1">
      <c r="A495" s="267"/>
      <c r="B495" s="267"/>
      <c r="C495" s="433"/>
      <c r="D495" s="433"/>
      <c r="E495" s="433"/>
      <c r="F495" s="433"/>
      <c r="G495" s="267"/>
      <c r="H495" s="267"/>
      <c r="I495" s="267"/>
      <c r="J495" s="433"/>
      <c r="K495" s="433"/>
      <c r="L495" s="434"/>
      <c r="M495" s="267"/>
      <c r="N495" s="267"/>
      <c r="O495" s="267"/>
      <c r="P495" s="267"/>
      <c r="Q495" s="267"/>
      <c r="R495" s="267"/>
      <c r="S495" s="267"/>
      <c r="T495" s="267"/>
      <c r="U495" s="267"/>
      <c r="V495" s="267"/>
      <c r="W495" s="267"/>
      <c r="X495" s="267"/>
      <c r="Y495" s="267"/>
      <c r="Z495" s="267"/>
      <c r="AA495" s="267"/>
      <c r="AB495" s="267"/>
      <c r="AC495" s="267"/>
    </row>
    <row r="496" ht="13.5" customHeight="1">
      <c r="A496" s="267"/>
      <c r="B496" s="267"/>
      <c r="C496" s="433"/>
      <c r="D496" s="433"/>
      <c r="E496" s="433"/>
      <c r="F496" s="433"/>
      <c r="G496" s="267"/>
      <c r="H496" s="267"/>
      <c r="I496" s="267"/>
      <c r="J496" s="433"/>
      <c r="K496" s="433"/>
      <c r="L496" s="434"/>
      <c r="M496" s="267"/>
      <c r="N496" s="267"/>
      <c r="O496" s="267"/>
      <c r="P496" s="267"/>
      <c r="Q496" s="267"/>
      <c r="R496" s="267"/>
      <c r="S496" s="267"/>
      <c r="T496" s="267"/>
      <c r="U496" s="267"/>
      <c r="V496" s="267"/>
      <c r="W496" s="267"/>
      <c r="X496" s="267"/>
      <c r="Y496" s="267"/>
      <c r="Z496" s="267"/>
      <c r="AA496" s="267"/>
      <c r="AB496" s="267"/>
      <c r="AC496" s="267"/>
    </row>
    <row r="497" ht="13.5" customHeight="1">
      <c r="A497" s="267"/>
      <c r="B497" s="267"/>
      <c r="C497" s="433"/>
      <c r="D497" s="433"/>
      <c r="E497" s="433"/>
      <c r="F497" s="433"/>
      <c r="G497" s="267"/>
      <c r="H497" s="267"/>
      <c r="I497" s="267"/>
      <c r="J497" s="433"/>
      <c r="K497" s="433"/>
      <c r="L497" s="434"/>
      <c r="M497" s="267"/>
      <c r="N497" s="267"/>
      <c r="O497" s="267"/>
      <c r="P497" s="267"/>
      <c r="Q497" s="267"/>
      <c r="R497" s="267"/>
      <c r="S497" s="267"/>
      <c r="T497" s="267"/>
      <c r="U497" s="267"/>
      <c r="V497" s="267"/>
      <c r="W497" s="267"/>
      <c r="X497" s="267"/>
      <c r="Y497" s="267"/>
      <c r="Z497" s="267"/>
      <c r="AA497" s="267"/>
      <c r="AB497" s="267"/>
      <c r="AC497" s="267"/>
    </row>
    <row r="498" ht="13.5" customHeight="1">
      <c r="A498" s="267"/>
      <c r="B498" s="267"/>
      <c r="C498" s="433"/>
      <c r="D498" s="433"/>
      <c r="E498" s="433"/>
      <c r="F498" s="433"/>
      <c r="G498" s="267"/>
      <c r="H498" s="267"/>
      <c r="I498" s="267"/>
      <c r="J498" s="433"/>
      <c r="K498" s="433"/>
      <c r="L498" s="434"/>
      <c r="M498" s="267"/>
      <c r="N498" s="267"/>
      <c r="O498" s="267"/>
      <c r="P498" s="267"/>
      <c r="Q498" s="267"/>
      <c r="R498" s="267"/>
      <c r="S498" s="267"/>
      <c r="T498" s="267"/>
      <c r="U498" s="267"/>
      <c r="V498" s="267"/>
      <c r="W498" s="267"/>
      <c r="X498" s="267"/>
      <c r="Y498" s="267"/>
      <c r="Z498" s="267"/>
      <c r="AA498" s="267"/>
      <c r="AB498" s="267"/>
      <c r="AC498" s="267"/>
    </row>
    <row r="499" ht="13.5" customHeight="1">
      <c r="A499" s="267"/>
      <c r="B499" s="267"/>
      <c r="C499" s="433"/>
      <c r="D499" s="433"/>
      <c r="E499" s="433"/>
      <c r="F499" s="433"/>
      <c r="G499" s="267"/>
      <c r="H499" s="267"/>
      <c r="I499" s="267"/>
      <c r="J499" s="433"/>
      <c r="K499" s="433"/>
      <c r="L499" s="434"/>
      <c r="M499" s="267"/>
      <c r="N499" s="267"/>
      <c r="O499" s="267"/>
      <c r="P499" s="267"/>
      <c r="Q499" s="267"/>
      <c r="R499" s="267"/>
      <c r="S499" s="267"/>
      <c r="T499" s="267"/>
      <c r="U499" s="267"/>
      <c r="V499" s="267"/>
      <c r="W499" s="267"/>
      <c r="X499" s="267"/>
      <c r="Y499" s="267"/>
      <c r="Z499" s="267"/>
      <c r="AA499" s="267"/>
      <c r="AB499" s="267"/>
      <c r="AC499" s="267"/>
    </row>
    <row r="500" ht="13.5" customHeight="1">
      <c r="A500" s="267"/>
      <c r="B500" s="267"/>
      <c r="C500" s="433"/>
      <c r="D500" s="433"/>
      <c r="E500" s="433"/>
      <c r="F500" s="433"/>
      <c r="G500" s="267"/>
      <c r="H500" s="267"/>
      <c r="I500" s="267"/>
      <c r="J500" s="433"/>
      <c r="K500" s="433"/>
      <c r="L500" s="434"/>
      <c r="M500" s="267"/>
      <c r="N500" s="267"/>
      <c r="O500" s="267"/>
      <c r="P500" s="267"/>
      <c r="Q500" s="267"/>
      <c r="R500" s="267"/>
      <c r="S500" s="267"/>
      <c r="T500" s="267"/>
      <c r="U500" s="267"/>
      <c r="V500" s="267"/>
      <c r="W500" s="267"/>
      <c r="X500" s="267"/>
      <c r="Y500" s="267"/>
      <c r="Z500" s="267"/>
      <c r="AA500" s="267"/>
      <c r="AB500" s="267"/>
      <c r="AC500" s="267"/>
    </row>
    <row r="501" ht="13.5" customHeight="1">
      <c r="A501" s="267"/>
      <c r="B501" s="267"/>
      <c r="C501" s="433"/>
      <c r="D501" s="433"/>
      <c r="E501" s="433"/>
      <c r="F501" s="433"/>
      <c r="G501" s="267"/>
      <c r="H501" s="267"/>
      <c r="I501" s="267"/>
      <c r="J501" s="433"/>
      <c r="K501" s="433"/>
      <c r="L501" s="434"/>
      <c r="M501" s="267"/>
      <c r="N501" s="267"/>
      <c r="O501" s="267"/>
      <c r="P501" s="267"/>
      <c r="Q501" s="267"/>
      <c r="R501" s="267"/>
      <c r="S501" s="267"/>
      <c r="T501" s="267"/>
      <c r="U501" s="267"/>
      <c r="V501" s="267"/>
      <c r="W501" s="267"/>
      <c r="X501" s="267"/>
      <c r="Y501" s="267"/>
      <c r="Z501" s="267"/>
      <c r="AA501" s="267"/>
      <c r="AB501" s="267"/>
      <c r="AC501" s="267"/>
    </row>
    <row r="502" ht="13.5" customHeight="1">
      <c r="A502" s="267"/>
      <c r="B502" s="267"/>
      <c r="C502" s="433"/>
      <c r="D502" s="433"/>
      <c r="E502" s="433"/>
      <c r="F502" s="433"/>
      <c r="G502" s="267"/>
      <c r="H502" s="267"/>
      <c r="I502" s="267"/>
      <c r="J502" s="433"/>
      <c r="K502" s="433"/>
      <c r="L502" s="434"/>
      <c r="M502" s="267"/>
      <c r="N502" s="267"/>
      <c r="O502" s="267"/>
      <c r="P502" s="267"/>
      <c r="Q502" s="267"/>
      <c r="R502" s="267"/>
      <c r="S502" s="267"/>
      <c r="T502" s="267"/>
      <c r="U502" s="267"/>
      <c r="V502" s="267"/>
      <c r="W502" s="267"/>
      <c r="X502" s="267"/>
      <c r="Y502" s="267"/>
      <c r="Z502" s="267"/>
      <c r="AA502" s="267"/>
      <c r="AB502" s="267"/>
      <c r="AC502" s="267"/>
    </row>
    <row r="503" ht="13.5" customHeight="1">
      <c r="A503" s="267"/>
      <c r="B503" s="267"/>
      <c r="C503" s="433"/>
      <c r="D503" s="433"/>
      <c r="E503" s="433"/>
      <c r="F503" s="433"/>
      <c r="G503" s="267"/>
      <c r="H503" s="267"/>
      <c r="I503" s="267"/>
      <c r="J503" s="433"/>
      <c r="K503" s="433"/>
      <c r="L503" s="434"/>
      <c r="M503" s="267"/>
      <c r="N503" s="267"/>
      <c r="O503" s="267"/>
      <c r="P503" s="267"/>
      <c r="Q503" s="267"/>
      <c r="R503" s="267"/>
      <c r="S503" s="267"/>
      <c r="T503" s="267"/>
      <c r="U503" s="267"/>
      <c r="V503" s="267"/>
      <c r="W503" s="267"/>
      <c r="X503" s="267"/>
      <c r="Y503" s="267"/>
      <c r="Z503" s="267"/>
      <c r="AA503" s="267"/>
      <c r="AB503" s="267"/>
      <c r="AC503" s="267"/>
    </row>
    <row r="504" ht="13.5" customHeight="1">
      <c r="A504" s="267"/>
      <c r="B504" s="267"/>
      <c r="C504" s="433"/>
      <c r="D504" s="433"/>
      <c r="E504" s="433"/>
      <c r="F504" s="433"/>
      <c r="G504" s="267"/>
      <c r="H504" s="267"/>
      <c r="I504" s="267"/>
      <c r="J504" s="433"/>
      <c r="K504" s="433"/>
      <c r="L504" s="434"/>
      <c r="M504" s="267"/>
      <c r="N504" s="267"/>
      <c r="O504" s="267"/>
      <c r="P504" s="267"/>
      <c r="Q504" s="267"/>
      <c r="R504" s="267"/>
      <c r="S504" s="267"/>
      <c r="T504" s="267"/>
      <c r="U504" s="267"/>
      <c r="V504" s="267"/>
      <c r="W504" s="267"/>
      <c r="X504" s="267"/>
      <c r="Y504" s="267"/>
      <c r="Z504" s="267"/>
      <c r="AA504" s="267"/>
      <c r="AB504" s="267"/>
      <c r="AC504" s="267"/>
    </row>
    <row r="505" ht="13.5" customHeight="1">
      <c r="A505" s="267"/>
      <c r="B505" s="267"/>
      <c r="C505" s="433"/>
      <c r="D505" s="433"/>
      <c r="E505" s="433"/>
      <c r="F505" s="433"/>
      <c r="G505" s="267"/>
      <c r="H505" s="267"/>
      <c r="I505" s="267"/>
      <c r="J505" s="433"/>
      <c r="K505" s="433"/>
      <c r="L505" s="434"/>
      <c r="M505" s="267"/>
      <c r="N505" s="267"/>
      <c r="O505" s="267"/>
      <c r="P505" s="267"/>
      <c r="Q505" s="267"/>
      <c r="R505" s="267"/>
      <c r="S505" s="267"/>
      <c r="T505" s="267"/>
      <c r="U505" s="267"/>
      <c r="V505" s="267"/>
      <c r="W505" s="267"/>
      <c r="X505" s="267"/>
      <c r="Y505" s="267"/>
      <c r="Z505" s="267"/>
      <c r="AA505" s="267"/>
      <c r="AB505" s="267"/>
      <c r="AC505" s="267"/>
    </row>
    <row r="506" ht="13.5" customHeight="1">
      <c r="A506" s="267"/>
      <c r="B506" s="267"/>
      <c r="C506" s="433"/>
      <c r="D506" s="433"/>
      <c r="E506" s="433"/>
      <c r="F506" s="433"/>
      <c r="G506" s="267"/>
      <c r="H506" s="267"/>
      <c r="I506" s="267"/>
      <c r="J506" s="433"/>
      <c r="K506" s="433"/>
      <c r="L506" s="434"/>
      <c r="M506" s="267"/>
      <c r="N506" s="267"/>
      <c r="O506" s="267"/>
      <c r="P506" s="267"/>
      <c r="Q506" s="267"/>
      <c r="R506" s="267"/>
      <c r="S506" s="267"/>
      <c r="T506" s="267"/>
      <c r="U506" s="267"/>
      <c r="V506" s="267"/>
      <c r="W506" s="267"/>
      <c r="X506" s="267"/>
      <c r="Y506" s="267"/>
      <c r="Z506" s="267"/>
      <c r="AA506" s="267"/>
      <c r="AB506" s="267"/>
      <c r="AC506" s="267"/>
    </row>
    <row r="507" ht="13.5" customHeight="1">
      <c r="A507" s="267"/>
      <c r="B507" s="267"/>
      <c r="C507" s="433"/>
      <c r="D507" s="433"/>
      <c r="E507" s="433"/>
      <c r="F507" s="433"/>
      <c r="G507" s="267"/>
      <c r="H507" s="267"/>
      <c r="I507" s="267"/>
      <c r="J507" s="433"/>
      <c r="K507" s="433"/>
      <c r="L507" s="434"/>
      <c r="M507" s="267"/>
      <c r="N507" s="267"/>
      <c r="O507" s="267"/>
      <c r="P507" s="267"/>
      <c r="Q507" s="267"/>
      <c r="R507" s="267"/>
      <c r="S507" s="267"/>
      <c r="T507" s="267"/>
      <c r="U507" s="267"/>
      <c r="V507" s="267"/>
      <c r="W507" s="267"/>
      <c r="X507" s="267"/>
      <c r="Y507" s="267"/>
      <c r="Z507" s="267"/>
      <c r="AA507" s="267"/>
      <c r="AB507" s="267"/>
      <c r="AC507" s="267"/>
    </row>
    <row r="508" ht="13.5" customHeight="1">
      <c r="A508" s="267"/>
      <c r="B508" s="267"/>
      <c r="C508" s="433"/>
      <c r="D508" s="433"/>
      <c r="E508" s="433"/>
      <c r="F508" s="433"/>
      <c r="G508" s="267"/>
      <c r="H508" s="267"/>
      <c r="I508" s="267"/>
      <c r="J508" s="433"/>
      <c r="K508" s="433"/>
      <c r="L508" s="434"/>
      <c r="M508" s="267"/>
      <c r="N508" s="267"/>
      <c r="O508" s="267"/>
      <c r="P508" s="267"/>
      <c r="Q508" s="267"/>
      <c r="R508" s="267"/>
      <c r="S508" s="267"/>
      <c r="T508" s="267"/>
      <c r="U508" s="267"/>
      <c r="V508" s="267"/>
      <c r="W508" s="267"/>
      <c r="X508" s="267"/>
      <c r="Y508" s="267"/>
      <c r="Z508" s="267"/>
      <c r="AA508" s="267"/>
      <c r="AB508" s="267"/>
      <c r="AC508" s="267"/>
    </row>
    <row r="509" ht="13.5" customHeight="1">
      <c r="A509" s="267"/>
      <c r="B509" s="267"/>
      <c r="C509" s="433"/>
      <c r="D509" s="433"/>
      <c r="E509" s="433"/>
      <c r="F509" s="433"/>
      <c r="G509" s="267"/>
      <c r="H509" s="267"/>
      <c r="I509" s="267"/>
      <c r="J509" s="433"/>
      <c r="K509" s="433"/>
      <c r="L509" s="434"/>
      <c r="M509" s="267"/>
      <c r="N509" s="267"/>
      <c r="O509" s="267"/>
      <c r="P509" s="267"/>
      <c r="Q509" s="267"/>
      <c r="R509" s="267"/>
      <c r="S509" s="267"/>
      <c r="T509" s="267"/>
      <c r="U509" s="267"/>
      <c r="V509" s="267"/>
      <c r="W509" s="267"/>
      <c r="X509" s="267"/>
      <c r="Y509" s="267"/>
      <c r="Z509" s="267"/>
      <c r="AA509" s="267"/>
      <c r="AB509" s="267"/>
      <c r="AC509" s="267"/>
    </row>
    <row r="510" ht="13.5" customHeight="1">
      <c r="A510" s="267"/>
      <c r="B510" s="267"/>
      <c r="C510" s="433"/>
      <c r="D510" s="433"/>
      <c r="E510" s="433"/>
      <c r="F510" s="433"/>
      <c r="G510" s="267"/>
      <c r="H510" s="267"/>
      <c r="I510" s="267"/>
      <c r="J510" s="433"/>
      <c r="K510" s="433"/>
      <c r="L510" s="434"/>
      <c r="M510" s="267"/>
      <c r="N510" s="267"/>
      <c r="O510" s="267"/>
      <c r="P510" s="267"/>
      <c r="Q510" s="267"/>
      <c r="R510" s="267"/>
      <c r="S510" s="267"/>
      <c r="T510" s="267"/>
      <c r="U510" s="267"/>
      <c r="V510" s="267"/>
      <c r="W510" s="267"/>
      <c r="X510" s="267"/>
      <c r="Y510" s="267"/>
      <c r="Z510" s="267"/>
      <c r="AA510" s="267"/>
      <c r="AB510" s="267"/>
      <c r="AC510" s="267"/>
    </row>
    <row r="511" ht="13.5" customHeight="1">
      <c r="A511" s="267"/>
      <c r="B511" s="267"/>
      <c r="C511" s="433"/>
      <c r="D511" s="433"/>
      <c r="E511" s="433"/>
      <c r="F511" s="433"/>
      <c r="G511" s="267"/>
      <c r="H511" s="267"/>
      <c r="I511" s="267"/>
      <c r="J511" s="433"/>
      <c r="K511" s="433"/>
      <c r="L511" s="434"/>
      <c r="M511" s="267"/>
      <c r="N511" s="267"/>
      <c r="O511" s="267"/>
      <c r="P511" s="267"/>
      <c r="Q511" s="267"/>
      <c r="R511" s="267"/>
      <c r="S511" s="267"/>
      <c r="T511" s="267"/>
      <c r="U511" s="267"/>
      <c r="V511" s="267"/>
      <c r="W511" s="267"/>
      <c r="X511" s="267"/>
      <c r="Y511" s="267"/>
      <c r="Z511" s="267"/>
      <c r="AA511" s="267"/>
      <c r="AB511" s="267"/>
      <c r="AC511" s="267"/>
    </row>
    <row r="512" ht="13.5" customHeight="1">
      <c r="A512" s="267"/>
      <c r="B512" s="267"/>
      <c r="C512" s="433"/>
      <c r="D512" s="433"/>
      <c r="E512" s="433"/>
      <c r="F512" s="433"/>
      <c r="G512" s="267"/>
      <c r="H512" s="267"/>
      <c r="I512" s="267"/>
      <c r="J512" s="433"/>
      <c r="K512" s="433"/>
      <c r="L512" s="434"/>
      <c r="M512" s="267"/>
      <c r="N512" s="267"/>
      <c r="O512" s="267"/>
      <c r="P512" s="267"/>
      <c r="Q512" s="267"/>
      <c r="R512" s="267"/>
      <c r="S512" s="267"/>
      <c r="T512" s="267"/>
      <c r="U512" s="267"/>
      <c r="V512" s="267"/>
      <c r="W512" s="267"/>
      <c r="X512" s="267"/>
      <c r="Y512" s="267"/>
      <c r="Z512" s="267"/>
      <c r="AA512" s="267"/>
      <c r="AB512" s="267"/>
      <c r="AC512" s="267"/>
    </row>
    <row r="513" ht="13.5" customHeight="1">
      <c r="A513" s="267"/>
      <c r="B513" s="267"/>
      <c r="C513" s="433"/>
      <c r="D513" s="433"/>
      <c r="E513" s="433"/>
      <c r="F513" s="433"/>
      <c r="G513" s="267"/>
      <c r="H513" s="267"/>
      <c r="I513" s="267"/>
      <c r="J513" s="433"/>
      <c r="K513" s="433"/>
      <c r="L513" s="434"/>
      <c r="M513" s="267"/>
      <c r="N513" s="267"/>
      <c r="O513" s="267"/>
      <c r="P513" s="267"/>
      <c r="Q513" s="267"/>
      <c r="R513" s="267"/>
      <c r="S513" s="267"/>
      <c r="T513" s="267"/>
      <c r="U513" s="267"/>
      <c r="V513" s="267"/>
      <c r="W513" s="267"/>
      <c r="X513" s="267"/>
      <c r="Y513" s="267"/>
      <c r="Z513" s="267"/>
      <c r="AA513" s="267"/>
      <c r="AB513" s="267"/>
      <c r="AC513" s="267"/>
    </row>
    <row r="514" ht="13.5" customHeight="1">
      <c r="A514" s="267"/>
      <c r="B514" s="267"/>
      <c r="C514" s="433"/>
      <c r="D514" s="433"/>
      <c r="E514" s="433"/>
      <c r="F514" s="433"/>
      <c r="G514" s="267"/>
      <c r="H514" s="267"/>
      <c r="I514" s="267"/>
      <c r="J514" s="433"/>
      <c r="K514" s="433"/>
      <c r="L514" s="434"/>
      <c r="M514" s="267"/>
      <c r="N514" s="267"/>
      <c r="O514" s="267"/>
      <c r="P514" s="267"/>
      <c r="Q514" s="267"/>
      <c r="R514" s="267"/>
      <c r="S514" s="267"/>
      <c r="T514" s="267"/>
      <c r="U514" s="267"/>
      <c r="V514" s="267"/>
      <c r="W514" s="267"/>
      <c r="X514" s="267"/>
      <c r="Y514" s="267"/>
      <c r="Z514" s="267"/>
      <c r="AA514" s="267"/>
      <c r="AB514" s="267"/>
      <c r="AC514" s="267"/>
    </row>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7">
    <mergeCell ref="H118:H119"/>
    <mergeCell ref="I118:I119"/>
    <mergeCell ref="J118:J119"/>
    <mergeCell ref="K118:K119"/>
    <mergeCell ref="B162:K162"/>
    <mergeCell ref="B163:L163"/>
    <mergeCell ref="B164:L164"/>
    <mergeCell ref="B165:L165"/>
    <mergeCell ref="B166:L166"/>
    <mergeCell ref="E92:M92"/>
    <mergeCell ref="W92:AE92"/>
    <mergeCell ref="A1:M5"/>
    <mergeCell ref="A6:M11"/>
    <mergeCell ref="A12:L39"/>
    <mergeCell ref="A40:B40"/>
    <mergeCell ref="A41:L88"/>
    <mergeCell ref="A90:L90"/>
    <mergeCell ref="A91:M91"/>
    <mergeCell ref="E93:M94"/>
    <mergeCell ref="E95:M95"/>
    <mergeCell ref="E96:M96"/>
    <mergeCell ref="E97:M97"/>
    <mergeCell ref="E98:M98"/>
    <mergeCell ref="E99:M99"/>
    <mergeCell ref="E100:M100"/>
    <mergeCell ref="F118:F119"/>
    <mergeCell ref="G118:G119"/>
    <mergeCell ref="L118:L119"/>
    <mergeCell ref="M118:M119"/>
    <mergeCell ref="E101:M101"/>
    <mergeCell ref="E102:M102"/>
    <mergeCell ref="A118:A119"/>
    <mergeCell ref="B118:B119"/>
    <mergeCell ref="C118:C119"/>
    <mergeCell ref="D118:D119"/>
    <mergeCell ref="E118:E119"/>
    <mergeCell ref="A179:L179"/>
    <mergeCell ref="C180:F180"/>
    <mergeCell ref="J180:K180"/>
    <mergeCell ref="A181:L181"/>
    <mergeCell ref="J174:K174"/>
    <mergeCell ref="J175:K175"/>
    <mergeCell ref="J176:K176"/>
    <mergeCell ref="J177:K177"/>
    <mergeCell ref="J178:K178"/>
    <mergeCell ref="A171:L171"/>
    <mergeCell ref="E172:F172"/>
    <mergeCell ref="J172:K172"/>
    <mergeCell ref="E173:F173"/>
    <mergeCell ref="J173:K173"/>
    <mergeCell ref="E174:F174"/>
    <mergeCell ref="E175:F175"/>
    <mergeCell ref="A182:A183"/>
    <mergeCell ref="B182:B183"/>
    <mergeCell ref="C182:C183"/>
    <mergeCell ref="D182:D183"/>
    <mergeCell ref="E182:E183"/>
    <mergeCell ref="F182:F183"/>
    <mergeCell ref="G182:G183"/>
    <mergeCell ref="L185:M185"/>
    <mergeCell ref="L186:M186"/>
    <mergeCell ref="H182:H183"/>
    <mergeCell ref="I182:I183"/>
    <mergeCell ref="J182:M182"/>
    <mergeCell ref="L183:M183"/>
    <mergeCell ref="G184:H184"/>
    <mergeCell ref="L184:M184"/>
    <mergeCell ref="G185:H185"/>
    <mergeCell ref="L190:M190"/>
    <mergeCell ref="L191:M191"/>
    <mergeCell ref="G187:H187"/>
    <mergeCell ref="L187:M187"/>
    <mergeCell ref="G188:H188"/>
    <mergeCell ref="L188:M188"/>
    <mergeCell ref="G189:H189"/>
    <mergeCell ref="L189:M189"/>
    <mergeCell ref="G190:H190"/>
    <mergeCell ref="G220:H220"/>
    <mergeCell ref="G221:H221"/>
    <mergeCell ref="G222:H222"/>
    <mergeCell ref="G223:H223"/>
    <mergeCell ref="G211:H211"/>
    <mergeCell ref="G213:H213"/>
    <mergeCell ref="G214:H214"/>
    <mergeCell ref="G216:H216"/>
    <mergeCell ref="G217:H217"/>
    <mergeCell ref="G218:H218"/>
    <mergeCell ref="G219:H219"/>
    <mergeCell ref="L223:M223"/>
    <mergeCell ref="L224:M224"/>
    <mergeCell ref="A244:M255"/>
    <mergeCell ref="A256:M266"/>
    <mergeCell ref="A267:M268"/>
    <mergeCell ref="A269:M286"/>
    <mergeCell ref="A287:M313"/>
    <mergeCell ref="A314:M316"/>
    <mergeCell ref="L217:M217"/>
    <mergeCell ref="L218:M218"/>
    <mergeCell ref="L219:M219"/>
    <mergeCell ref="L220:M220"/>
    <mergeCell ref="L221:M221"/>
    <mergeCell ref="L222:M222"/>
    <mergeCell ref="G224:I224"/>
    <mergeCell ref="G192:H192"/>
    <mergeCell ref="L192:M192"/>
    <mergeCell ref="G193:H193"/>
    <mergeCell ref="L193:M193"/>
    <mergeCell ref="G194:H194"/>
    <mergeCell ref="L194:M194"/>
    <mergeCell ref="L195:M195"/>
    <mergeCell ref="G195:H195"/>
    <mergeCell ref="G196:H196"/>
    <mergeCell ref="G197:H197"/>
    <mergeCell ref="G198:H198"/>
    <mergeCell ref="G200:H200"/>
    <mergeCell ref="G201:H201"/>
    <mergeCell ref="G202:H202"/>
    <mergeCell ref="L196:M196"/>
    <mergeCell ref="L197:M197"/>
    <mergeCell ref="L198:M198"/>
    <mergeCell ref="L199:M199"/>
    <mergeCell ref="L200:M200"/>
    <mergeCell ref="L201:M201"/>
    <mergeCell ref="L202:M202"/>
    <mergeCell ref="L203:M203"/>
    <mergeCell ref="L204:M204"/>
    <mergeCell ref="L205:M205"/>
    <mergeCell ref="L206:M206"/>
    <mergeCell ref="L207:M207"/>
    <mergeCell ref="L208:M208"/>
    <mergeCell ref="L209:M209"/>
    <mergeCell ref="G203:H203"/>
    <mergeCell ref="G204:H204"/>
    <mergeCell ref="G205:H205"/>
    <mergeCell ref="G206:H206"/>
    <mergeCell ref="G208:H208"/>
    <mergeCell ref="G209:H209"/>
    <mergeCell ref="G210:H210"/>
    <mergeCell ref="L210:M210"/>
    <mergeCell ref="L211:M211"/>
    <mergeCell ref="L212:M212"/>
    <mergeCell ref="L213:M213"/>
    <mergeCell ref="L214:M214"/>
    <mergeCell ref="L215:M215"/>
    <mergeCell ref="L216:M216"/>
    <mergeCell ref="G225:I225"/>
    <mergeCell ref="L225:M2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6" width="9.25"/>
    <col customWidth="1" min="7" max="7" width="8.0"/>
    <col customWidth="1" min="8" max="8" width="7.25"/>
    <col customWidth="1" min="9" max="9" width="7.88"/>
    <col customWidth="1" min="10" max="11" width="9.25"/>
    <col customWidth="1" min="12" max="12" width="9.75"/>
    <col customWidth="1" min="13" max="13" width="9.63"/>
    <col customWidth="1" min="14" max="14" width="9.0"/>
    <col customWidth="1" min="15" max="15" width="13.13"/>
    <col customWidth="1" min="16" max="16" width="7.63"/>
    <col customWidth="1" min="17" max="17" width="9.13"/>
    <col customWidth="1" min="18" max="19" width="7.63"/>
    <col customWidth="1" min="20" max="20" width="8.25"/>
    <col customWidth="1" min="21" max="29" width="7.63"/>
    <col customWidth="1" min="30" max="43" width="12.63"/>
  </cols>
  <sheetData>
    <row r="1" ht="13.5" customHeight="1">
      <c r="A1" s="244" t="s">
        <v>819</v>
      </c>
      <c r="N1" s="245"/>
      <c r="O1" s="245"/>
      <c r="P1" s="245"/>
      <c r="Q1" s="245"/>
      <c r="R1" s="245"/>
      <c r="S1" s="245"/>
      <c r="T1" s="245"/>
      <c r="U1" s="245"/>
      <c r="V1" s="245"/>
      <c r="W1" s="245"/>
      <c r="X1" s="245"/>
      <c r="Y1" s="245"/>
      <c r="Z1" s="245"/>
      <c r="AA1" s="245"/>
    </row>
    <row r="2" ht="13.5" customHeight="1">
      <c r="N2" s="245"/>
      <c r="O2" s="245"/>
      <c r="P2" s="245"/>
      <c r="Q2" s="245"/>
      <c r="R2" s="245"/>
      <c r="S2" s="245"/>
      <c r="T2" s="245"/>
      <c r="U2" s="245"/>
      <c r="V2" s="245"/>
      <c r="W2" s="245"/>
      <c r="X2" s="245"/>
      <c r="Y2" s="245"/>
      <c r="Z2" s="245"/>
    </row>
    <row r="3" ht="13.5" customHeight="1">
      <c r="N3" s="245"/>
      <c r="O3" s="245"/>
      <c r="P3" s="245"/>
      <c r="Q3" s="245"/>
      <c r="R3" s="245"/>
      <c r="S3" s="245"/>
      <c r="T3" s="245"/>
      <c r="U3" s="245"/>
      <c r="V3" s="245"/>
      <c r="W3" s="245"/>
      <c r="X3" s="245"/>
      <c r="Y3" s="245"/>
      <c r="Z3" s="245"/>
    </row>
    <row r="4" ht="13.5" customHeight="1">
      <c r="N4" s="245"/>
      <c r="O4" s="245"/>
      <c r="P4" s="245"/>
      <c r="Q4" s="245"/>
      <c r="R4" s="245"/>
      <c r="S4" s="245"/>
      <c r="T4" s="245"/>
      <c r="U4" s="245"/>
      <c r="V4" s="245"/>
      <c r="W4" s="245"/>
      <c r="X4" s="245"/>
      <c r="Y4" s="245"/>
      <c r="Z4" s="245"/>
    </row>
    <row r="5" ht="13.5" customHeight="1">
      <c r="N5" s="245"/>
      <c r="O5" s="245"/>
      <c r="P5" s="245"/>
      <c r="Q5" s="245"/>
      <c r="R5" s="245" t="s">
        <v>820</v>
      </c>
      <c r="S5" s="245"/>
      <c r="T5" s="245"/>
      <c r="U5" s="245"/>
      <c r="V5" s="245"/>
      <c r="W5" s="245"/>
      <c r="X5" s="245"/>
      <c r="Y5" s="245"/>
      <c r="Z5" s="245"/>
      <c r="AA5" s="245"/>
      <c r="AB5" s="245"/>
      <c r="AC5" s="245"/>
    </row>
    <row r="6" ht="13.5" customHeight="1">
      <c r="A6" s="246" t="s">
        <v>881</v>
      </c>
      <c r="N6" s="245"/>
      <c r="O6" s="245"/>
      <c r="P6" s="245"/>
      <c r="Q6" s="245"/>
      <c r="R6" s="245"/>
      <c r="S6" s="245"/>
      <c r="T6" s="245"/>
      <c r="U6" s="245"/>
      <c r="V6" s="245"/>
      <c r="W6" s="245"/>
      <c r="X6" s="245"/>
      <c r="Y6" s="245"/>
      <c r="Z6" s="245"/>
      <c r="AA6" s="245"/>
      <c r="AB6" s="245"/>
      <c r="AC6" s="245"/>
    </row>
    <row r="7" ht="13.5" customHeight="1">
      <c r="N7" s="245"/>
      <c r="O7" s="245"/>
      <c r="P7" s="245"/>
      <c r="Q7" s="245"/>
      <c r="R7" s="245"/>
      <c r="S7" s="245"/>
      <c r="T7" s="245"/>
      <c r="U7" s="245"/>
      <c r="V7" s="245"/>
      <c r="W7" s="245"/>
      <c r="X7" s="245"/>
      <c r="Y7" s="245"/>
      <c r="Z7" s="245"/>
      <c r="AA7" s="245"/>
      <c r="AB7" s="245"/>
      <c r="AC7" s="245"/>
    </row>
    <row r="8" ht="13.5" customHeight="1">
      <c r="N8" s="245"/>
      <c r="O8" s="245"/>
      <c r="P8" s="245"/>
      <c r="Q8" s="245"/>
      <c r="R8" s="245"/>
      <c r="S8" s="245"/>
      <c r="T8" s="245"/>
      <c r="U8" s="245"/>
      <c r="V8" s="245"/>
      <c r="W8" s="245"/>
      <c r="X8" s="245"/>
      <c r="Y8" s="245"/>
      <c r="Z8" s="245"/>
      <c r="AA8" s="245"/>
      <c r="AB8" s="245"/>
      <c r="AC8" s="245"/>
    </row>
    <row r="9" ht="13.5" customHeight="1">
      <c r="N9" s="245"/>
      <c r="O9" s="245"/>
      <c r="P9" s="245"/>
      <c r="Q9" s="245"/>
      <c r="R9" s="245"/>
      <c r="S9" s="245"/>
      <c r="T9" s="245"/>
      <c r="U9" s="245"/>
      <c r="V9" s="245"/>
      <c r="W9" s="245"/>
      <c r="X9" s="245"/>
      <c r="Y9" s="245"/>
      <c r="Z9" s="245"/>
      <c r="AA9" s="245"/>
      <c r="AB9" s="245"/>
      <c r="AC9" s="245"/>
    </row>
    <row r="10" ht="13.5" hidden="1" customHeight="1">
      <c r="N10" s="245"/>
      <c r="O10" s="245"/>
      <c r="P10" s="245"/>
      <c r="Q10" s="245"/>
      <c r="R10" s="245"/>
      <c r="S10" s="245"/>
      <c r="T10" s="245"/>
      <c r="U10" s="245"/>
      <c r="V10" s="245"/>
      <c r="W10" s="245"/>
      <c r="X10" s="245"/>
      <c r="Y10" s="245"/>
      <c r="Z10" s="245"/>
      <c r="AA10" s="245"/>
      <c r="AB10" s="245"/>
      <c r="AC10" s="245"/>
    </row>
    <row r="11" ht="13.5" hidden="1" customHeight="1">
      <c r="N11" s="245"/>
      <c r="O11" s="245"/>
      <c r="P11" s="245"/>
      <c r="Q11" s="245"/>
      <c r="R11" s="245"/>
      <c r="S11" s="245"/>
      <c r="T11" s="245"/>
      <c r="U11" s="245"/>
      <c r="V11" s="245"/>
      <c r="W11" s="245"/>
      <c r="X11" s="245"/>
      <c r="Y11" s="245"/>
      <c r="Z11" s="245"/>
      <c r="AA11" s="245"/>
      <c r="AB11" s="245"/>
      <c r="AC11" s="245"/>
    </row>
    <row r="12" ht="13.5" hidden="1" customHeight="1">
      <c r="A12" s="247" t="s">
        <v>822</v>
      </c>
      <c r="M12" s="248"/>
      <c r="N12" s="245"/>
      <c r="O12" s="245"/>
      <c r="P12" s="245"/>
      <c r="Q12" s="245"/>
      <c r="R12" s="245"/>
      <c r="S12" s="245"/>
      <c r="T12" s="245"/>
      <c r="U12" s="245"/>
      <c r="V12" s="245"/>
      <c r="W12" s="245"/>
      <c r="X12" s="245"/>
      <c r="Y12" s="245"/>
      <c r="Z12" s="245"/>
      <c r="AA12" s="245"/>
      <c r="AB12" s="245"/>
      <c r="AC12" s="245"/>
    </row>
    <row r="13" ht="13.5" hidden="1" customHeight="1">
      <c r="N13" s="245"/>
      <c r="O13" s="245"/>
      <c r="P13" s="245"/>
      <c r="Q13" s="245"/>
      <c r="R13" s="245"/>
      <c r="S13" s="245"/>
      <c r="T13" s="245"/>
      <c r="U13" s="245"/>
      <c r="V13" s="245"/>
      <c r="W13" s="245"/>
      <c r="X13" s="245"/>
      <c r="Y13" s="245"/>
      <c r="Z13" s="245"/>
      <c r="AA13" s="245"/>
      <c r="AB13" s="245"/>
      <c r="AC13" s="245"/>
    </row>
    <row r="14" ht="13.5" customHeight="1">
      <c r="M14" s="248"/>
      <c r="N14" s="245"/>
      <c r="O14" s="245"/>
      <c r="P14" s="245"/>
      <c r="Q14" s="245"/>
      <c r="R14" s="245"/>
      <c r="S14" s="245"/>
      <c r="T14" s="245"/>
      <c r="U14" s="245"/>
      <c r="V14" s="245"/>
      <c r="W14" s="245"/>
      <c r="X14" s="245"/>
      <c r="Y14" s="245"/>
      <c r="Z14" s="245"/>
      <c r="AA14" s="245"/>
      <c r="AB14" s="245"/>
      <c r="AC14" s="245"/>
    </row>
    <row r="15" ht="13.5" customHeight="1">
      <c r="M15" s="248"/>
      <c r="N15" s="245"/>
      <c r="O15" s="245"/>
      <c r="P15" s="245"/>
      <c r="Q15" s="245"/>
      <c r="R15" s="245"/>
      <c r="S15" s="245"/>
      <c r="T15" s="245"/>
      <c r="U15" s="245"/>
      <c r="V15" s="245"/>
      <c r="W15" s="245"/>
      <c r="X15" s="245"/>
      <c r="Y15" s="245"/>
      <c r="Z15" s="245"/>
      <c r="AA15" s="245"/>
      <c r="AB15" s="245"/>
      <c r="AC15" s="245"/>
    </row>
    <row r="16" ht="13.5" customHeight="1">
      <c r="M16" s="248"/>
      <c r="N16" s="245"/>
      <c r="O16" s="245"/>
      <c r="P16" s="245"/>
      <c r="Q16" s="245"/>
      <c r="R16" s="245"/>
      <c r="S16" s="245"/>
      <c r="T16" s="245"/>
      <c r="U16" s="245"/>
      <c r="V16" s="245"/>
      <c r="W16" s="245"/>
      <c r="X16" s="245"/>
      <c r="Y16" s="245"/>
      <c r="Z16" s="245"/>
      <c r="AA16" s="245"/>
      <c r="AB16" s="245"/>
      <c r="AC16" s="245"/>
    </row>
    <row r="17" ht="13.5" customHeight="1">
      <c r="M17" s="248"/>
      <c r="N17" s="245"/>
      <c r="O17" s="245"/>
      <c r="P17" s="245"/>
      <c r="Q17" s="245"/>
      <c r="R17" s="245"/>
      <c r="S17" s="245"/>
      <c r="T17" s="245"/>
      <c r="U17" s="245"/>
      <c r="V17" s="245"/>
      <c r="W17" s="245"/>
      <c r="X17" s="245"/>
      <c r="Y17" s="245"/>
      <c r="Z17" s="245"/>
      <c r="AA17" s="245"/>
      <c r="AB17" s="245"/>
      <c r="AC17" s="245"/>
    </row>
    <row r="18" ht="13.5" customHeight="1">
      <c r="M18" s="248"/>
      <c r="N18" s="245"/>
      <c r="O18" s="245"/>
      <c r="P18" s="245"/>
      <c r="Q18" s="245"/>
      <c r="R18" s="245"/>
      <c r="S18" s="245"/>
      <c r="T18" s="245"/>
      <c r="U18" s="245"/>
      <c r="V18" s="245"/>
      <c r="W18" s="245"/>
      <c r="X18" s="245"/>
      <c r="Y18" s="245"/>
      <c r="Z18" s="245"/>
      <c r="AA18" s="245"/>
      <c r="AB18" s="245"/>
      <c r="AC18" s="245"/>
    </row>
    <row r="19" ht="13.5" customHeight="1">
      <c r="M19" s="248"/>
      <c r="N19" s="245"/>
      <c r="O19" s="245"/>
      <c r="P19" s="245"/>
      <c r="Q19" s="245"/>
      <c r="R19" s="245"/>
      <c r="S19" s="245"/>
      <c r="T19" s="245"/>
      <c r="U19" s="245"/>
      <c r="V19" s="245"/>
      <c r="W19" s="245"/>
      <c r="X19" s="245"/>
      <c r="Y19" s="245"/>
      <c r="Z19" s="245"/>
      <c r="AA19" s="245"/>
      <c r="AB19" s="245"/>
      <c r="AC19" s="245"/>
    </row>
    <row r="20" ht="13.5" customHeight="1">
      <c r="M20" s="248"/>
      <c r="N20" s="245"/>
      <c r="O20" s="245"/>
      <c r="P20" s="245"/>
      <c r="Q20" s="245"/>
      <c r="R20" s="245"/>
      <c r="S20" s="245"/>
      <c r="T20" s="245"/>
      <c r="U20" s="245"/>
      <c r="V20" s="245"/>
      <c r="W20" s="245"/>
      <c r="X20" s="245"/>
      <c r="Y20" s="245"/>
      <c r="Z20" s="245"/>
      <c r="AA20" s="245"/>
      <c r="AB20" s="245"/>
      <c r="AC20" s="245"/>
    </row>
    <row r="21" ht="13.5" customHeight="1">
      <c r="M21" s="248"/>
      <c r="N21" s="245"/>
      <c r="O21" s="245"/>
      <c r="P21" s="245"/>
      <c r="Q21" s="245"/>
      <c r="R21" s="245"/>
      <c r="S21" s="245"/>
      <c r="T21" s="245"/>
      <c r="U21" s="245"/>
      <c r="V21" s="245"/>
      <c r="W21" s="245"/>
      <c r="X21" s="245"/>
      <c r="Y21" s="245"/>
      <c r="Z21" s="245"/>
      <c r="AA21" s="245"/>
      <c r="AB21" s="245"/>
      <c r="AC21" s="245"/>
    </row>
    <row r="22" ht="13.5" customHeight="1">
      <c r="M22" s="248"/>
      <c r="N22" s="245"/>
      <c r="O22" s="245"/>
      <c r="P22" s="245"/>
      <c r="Q22" s="245"/>
      <c r="R22" s="245"/>
      <c r="S22" s="245"/>
      <c r="T22" s="245"/>
      <c r="U22" s="245"/>
      <c r="V22" s="245"/>
      <c r="W22" s="245"/>
      <c r="X22" s="245"/>
      <c r="Y22" s="245"/>
      <c r="Z22" s="245"/>
      <c r="AA22" s="245"/>
      <c r="AB22" s="245"/>
      <c r="AC22" s="245"/>
    </row>
    <row r="23" ht="13.5" customHeight="1">
      <c r="M23" s="248"/>
      <c r="N23" s="245"/>
      <c r="O23" s="245"/>
      <c r="P23" s="245"/>
      <c r="Q23" s="245"/>
      <c r="R23" s="245"/>
      <c r="S23" s="245"/>
      <c r="T23" s="245"/>
      <c r="U23" s="245"/>
      <c r="V23" s="245"/>
      <c r="W23" s="245"/>
      <c r="X23" s="245"/>
      <c r="Y23" s="245"/>
      <c r="Z23" s="245"/>
      <c r="AA23" s="245"/>
      <c r="AB23" s="245"/>
      <c r="AC23" s="245"/>
    </row>
    <row r="24" ht="13.5" customHeight="1">
      <c r="M24" s="248"/>
      <c r="N24" s="245"/>
      <c r="O24" s="245"/>
      <c r="P24" s="245"/>
      <c r="Q24" s="245"/>
      <c r="R24" s="245"/>
      <c r="S24" s="245"/>
      <c r="T24" s="245"/>
      <c r="U24" s="245"/>
      <c r="V24" s="245"/>
      <c r="W24" s="245"/>
      <c r="X24" s="245"/>
      <c r="Y24" s="245"/>
      <c r="Z24" s="245"/>
      <c r="AA24" s="245"/>
      <c r="AB24" s="245"/>
      <c r="AC24" s="245"/>
    </row>
    <row r="25" ht="13.5" customHeight="1">
      <c r="M25" s="248"/>
      <c r="N25" s="245"/>
      <c r="O25" s="245"/>
      <c r="P25" s="245"/>
      <c r="Q25" s="245"/>
      <c r="R25" s="245"/>
      <c r="S25" s="245"/>
      <c r="T25" s="245"/>
      <c r="U25" s="245"/>
      <c r="V25" s="245"/>
      <c r="W25" s="245"/>
      <c r="X25" s="245"/>
      <c r="Y25" s="245"/>
      <c r="Z25" s="245"/>
      <c r="AA25" s="245"/>
      <c r="AB25" s="245"/>
      <c r="AC25" s="245"/>
    </row>
    <row r="26" ht="13.5" customHeight="1">
      <c r="M26" s="248"/>
      <c r="N26" s="245"/>
      <c r="O26" s="245"/>
      <c r="P26" s="245"/>
      <c r="Q26" s="245"/>
      <c r="R26" s="245"/>
      <c r="S26" s="245"/>
      <c r="T26" s="245"/>
      <c r="U26" s="245"/>
      <c r="V26" s="245"/>
      <c r="W26" s="245"/>
      <c r="X26" s="245"/>
      <c r="Y26" s="245"/>
      <c r="Z26" s="245"/>
      <c r="AA26" s="245"/>
      <c r="AB26" s="245"/>
      <c r="AC26" s="245"/>
    </row>
    <row r="27" ht="13.5" customHeight="1">
      <c r="M27" s="248"/>
      <c r="N27" s="245"/>
      <c r="O27" s="245"/>
      <c r="P27" s="245"/>
      <c r="Q27" s="245"/>
      <c r="R27" s="245"/>
      <c r="S27" s="245"/>
      <c r="T27" s="245"/>
      <c r="U27" s="245"/>
      <c r="V27" s="245"/>
      <c r="W27" s="245"/>
      <c r="X27" s="245"/>
      <c r="Y27" s="245"/>
      <c r="Z27" s="245"/>
      <c r="AA27" s="245"/>
      <c r="AB27" s="245"/>
      <c r="AC27" s="245"/>
    </row>
    <row r="28" ht="13.5" customHeight="1">
      <c r="M28" s="248"/>
      <c r="N28" s="245"/>
      <c r="O28" s="245"/>
      <c r="P28" s="245"/>
      <c r="Q28" s="245"/>
      <c r="R28" s="245"/>
      <c r="S28" s="245"/>
      <c r="T28" s="245"/>
      <c r="U28" s="245"/>
      <c r="V28" s="245"/>
      <c r="W28" s="245"/>
      <c r="X28" s="245"/>
      <c r="Y28" s="245"/>
      <c r="Z28" s="245"/>
      <c r="AA28" s="245"/>
      <c r="AB28" s="245"/>
      <c r="AC28" s="245"/>
    </row>
    <row r="29" ht="13.5" customHeight="1">
      <c r="M29" s="248"/>
      <c r="N29" s="245"/>
      <c r="O29" s="245"/>
      <c r="P29" s="245"/>
      <c r="Q29" s="245"/>
      <c r="R29" s="245"/>
      <c r="S29" s="245"/>
      <c r="T29" s="245"/>
      <c r="U29" s="245"/>
      <c r="V29" s="245"/>
      <c r="W29" s="245"/>
      <c r="X29" s="245"/>
      <c r="Y29" s="245"/>
      <c r="Z29" s="245"/>
      <c r="AA29" s="245"/>
      <c r="AB29" s="245"/>
      <c r="AC29" s="245"/>
    </row>
    <row r="30" ht="13.5" customHeight="1">
      <c r="M30" s="248"/>
      <c r="N30" s="245"/>
      <c r="O30" s="245"/>
      <c r="P30" s="245"/>
      <c r="Q30" s="245"/>
      <c r="R30" s="245"/>
      <c r="S30" s="245"/>
      <c r="T30" s="245"/>
      <c r="U30" s="245"/>
      <c r="V30" s="245"/>
      <c r="W30" s="245"/>
      <c r="X30" s="245"/>
      <c r="Y30" s="245"/>
      <c r="Z30" s="245"/>
      <c r="AA30" s="245"/>
      <c r="AB30" s="245"/>
      <c r="AC30" s="245"/>
    </row>
    <row r="31" ht="13.5" customHeight="1">
      <c r="M31" s="248"/>
      <c r="N31" s="245"/>
      <c r="O31" s="245"/>
      <c r="P31" s="245"/>
      <c r="Q31" s="245"/>
      <c r="R31" s="245"/>
      <c r="S31" s="245"/>
      <c r="T31" s="245"/>
      <c r="U31" s="245"/>
      <c r="V31" s="245"/>
      <c r="W31" s="245"/>
      <c r="X31" s="245"/>
      <c r="Y31" s="245"/>
      <c r="Z31" s="245"/>
      <c r="AA31" s="245"/>
      <c r="AB31" s="245"/>
      <c r="AC31" s="245"/>
    </row>
    <row r="32" ht="13.5" customHeight="1">
      <c r="M32" s="248"/>
      <c r="N32" s="245"/>
      <c r="O32" s="245"/>
      <c r="P32" s="245"/>
      <c r="Q32" s="245"/>
      <c r="R32" s="245"/>
      <c r="S32" s="245"/>
      <c r="T32" s="245"/>
      <c r="U32" s="245"/>
      <c r="V32" s="245"/>
      <c r="W32" s="245"/>
      <c r="X32" s="245"/>
      <c r="Y32" s="245"/>
      <c r="Z32" s="245"/>
      <c r="AA32" s="245"/>
      <c r="AB32" s="245"/>
      <c r="AC32" s="245"/>
    </row>
    <row r="33" ht="13.5" customHeight="1">
      <c r="M33" s="248"/>
      <c r="N33" s="245"/>
      <c r="O33" s="245"/>
      <c r="P33" s="245"/>
      <c r="Q33" s="245"/>
      <c r="R33" s="245"/>
      <c r="S33" s="245"/>
      <c r="T33" s="245"/>
      <c r="U33" s="245"/>
      <c r="V33" s="245"/>
      <c r="W33" s="245"/>
      <c r="X33" s="245"/>
      <c r="Y33" s="245"/>
      <c r="Z33" s="245"/>
      <c r="AA33" s="245"/>
      <c r="AB33" s="245"/>
      <c r="AC33" s="245"/>
    </row>
    <row r="34" ht="13.5" customHeight="1">
      <c r="M34" s="248"/>
      <c r="N34" s="245"/>
      <c r="O34" s="245"/>
      <c r="P34" s="245"/>
      <c r="Q34" s="245"/>
      <c r="R34" s="245"/>
      <c r="S34" s="245"/>
      <c r="T34" s="245"/>
      <c r="U34" s="245"/>
      <c r="V34" s="245"/>
      <c r="W34" s="245"/>
      <c r="X34" s="245"/>
      <c r="Y34" s="245"/>
      <c r="Z34" s="245"/>
      <c r="AA34" s="245"/>
      <c r="AB34" s="245"/>
      <c r="AC34" s="245"/>
    </row>
    <row r="35" ht="13.5" hidden="1" customHeight="1">
      <c r="M35" s="248"/>
      <c r="N35" s="245"/>
      <c r="O35" s="245"/>
      <c r="P35" s="245"/>
      <c r="Q35" s="245"/>
      <c r="R35" s="245"/>
      <c r="S35" s="245"/>
      <c r="T35" s="245"/>
      <c r="U35" s="245"/>
      <c r="V35" s="245"/>
      <c r="W35" s="245"/>
      <c r="X35" s="245"/>
      <c r="Y35" s="245"/>
      <c r="Z35" s="245"/>
      <c r="AA35" s="245"/>
      <c r="AB35" s="245"/>
      <c r="AC35" s="245"/>
    </row>
    <row r="36" ht="13.5" hidden="1" customHeight="1">
      <c r="M36" s="248"/>
      <c r="N36" s="245"/>
      <c r="O36" s="245"/>
      <c r="P36" s="245"/>
      <c r="Q36" s="245"/>
      <c r="R36" s="245"/>
      <c r="S36" s="245"/>
      <c r="T36" s="245"/>
      <c r="U36" s="245"/>
      <c r="V36" s="245"/>
      <c r="W36" s="245"/>
      <c r="X36" s="245"/>
      <c r="Y36" s="245"/>
      <c r="Z36" s="245"/>
      <c r="AA36" s="245"/>
      <c r="AB36" s="245"/>
      <c r="AC36" s="245"/>
    </row>
    <row r="37" ht="13.5" hidden="1" customHeight="1">
      <c r="M37" s="248"/>
      <c r="N37" s="245"/>
      <c r="O37" s="245"/>
      <c r="P37" s="245"/>
      <c r="Q37" s="245"/>
      <c r="R37" s="245"/>
      <c r="S37" s="245"/>
      <c r="T37" s="245"/>
      <c r="U37" s="245"/>
      <c r="V37" s="245"/>
      <c r="W37" s="245"/>
      <c r="X37" s="245"/>
      <c r="Y37" s="245"/>
      <c r="Z37" s="245"/>
      <c r="AA37" s="245"/>
      <c r="AB37" s="245"/>
      <c r="AC37" s="245"/>
    </row>
    <row r="38" ht="13.5" hidden="1" customHeight="1">
      <c r="M38" s="248"/>
      <c r="N38" s="245"/>
      <c r="O38" s="245"/>
      <c r="P38" s="245"/>
      <c r="Q38" s="245"/>
      <c r="R38" s="245"/>
      <c r="S38" s="245"/>
      <c r="T38" s="245"/>
      <c r="U38" s="245"/>
      <c r="V38" s="245"/>
      <c r="W38" s="245"/>
      <c r="X38" s="245"/>
      <c r="Y38" s="245"/>
      <c r="Z38" s="245"/>
      <c r="AA38" s="245"/>
      <c r="AB38" s="245"/>
      <c r="AC38" s="245"/>
    </row>
    <row r="39" ht="24.0" hidden="1" customHeight="1">
      <c r="M39" s="248"/>
      <c r="N39" s="245"/>
      <c r="O39" s="245"/>
      <c r="P39" s="245"/>
      <c r="Q39" s="245"/>
      <c r="R39" s="245"/>
      <c r="S39" s="245"/>
      <c r="T39" s="245"/>
      <c r="U39" s="245"/>
      <c r="V39" s="245"/>
      <c r="W39" s="245"/>
      <c r="X39" s="245"/>
      <c r="Y39" s="245"/>
      <c r="Z39" s="245"/>
      <c r="AA39" s="245"/>
      <c r="AB39" s="245"/>
      <c r="AC39" s="245"/>
    </row>
    <row r="40" ht="15.75" hidden="1" customHeight="1">
      <c r="A40" s="249" t="s">
        <v>823</v>
      </c>
      <c r="C40" s="250"/>
      <c r="D40" s="250"/>
      <c r="E40" s="250"/>
      <c r="F40" s="250"/>
      <c r="G40" s="250"/>
      <c r="H40" s="250"/>
      <c r="I40" s="250"/>
      <c r="J40" s="250"/>
      <c r="K40" s="250"/>
      <c r="L40" s="251"/>
      <c r="M40" s="250"/>
      <c r="N40" s="250"/>
      <c r="O40" s="250"/>
      <c r="P40" s="250"/>
      <c r="Q40" s="250"/>
      <c r="R40" s="250"/>
      <c r="S40" s="250"/>
      <c r="T40" s="250"/>
      <c r="U40" s="250"/>
      <c r="V40" s="250"/>
      <c r="W40" s="250"/>
      <c r="X40" s="250"/>
      <c r="Y40" s="250"/>
      <c r="Z40" s="250"/>
      <c r="AA40" s="250"/>
      <c r="AB40" s="250"/>
      <c r="AC40" s="250"/>
      <c r="AD40" s="250"/>
      <c r="AE40" s="250"/>
    </row>
    <row r="41" ht="15.75" hidden="1" customHeight="1">
      <c r="A41" s="251" t="s">
        <v>707</v>
      </c>
      <c r="M41" s="251"/>
      <c r="N41" s="250"/>
      <c r="O41" s="250"/>
      <c r="P41" s="250"/>
      <c r="Q41" s="250"/>
      <c r="R41" s="250"/>
      <c r="S41" s="250"/>
      <c r="T41" s="250"/>
      <c r="U41" s="250"/>
      <c r="V41" s="250"/>
      <c r="W41" s="250"/>
      <c r="X41" s="250"/>
      <c r="Y41" s="250"/>
      <c r="Z41" s="250"/>
      <c r="AA41" s="250"/>
      <c r="AB41" s="250"/>
      <c r="AC41" s="250"/>
      <c r="AD41" s="250"/>
      <c r="AE41" s="250"/>
    </row>
    <row r="42" ht="15.75" hidden="1" customHeight="1">
      <c r="M42" s="251"/>
      <c r="N42" s="250"/>
      <c r="O42" s="250"/>
      <c r="Q42" s="250"/>
      <c r="R42" s="250"/>
      <c r="S42" s="250"/>
      <c r="T42" s="250"/>
      <c r="U42" s="250"/>
      <c r="V42" s="250"/>
      <c r="W42" s="250"/>
      <c r="X42" s="250"/>
      <c r="Y42" s="250"/>
      <c r="Z42" s="250"/>
      <c r="AA42" s="250"/>
      <c r="AB42" s="250"/>
      <c r="AC42" s="250"/>
      <c r="AD42" s="250"/>
      <c r="AE42" s="250"/>
    </row>
    <row r="43" ht="15.75" hidden="1" customHeight="1">
      <c r="M43" s="251"/>
      <c r="N43" s="250"/>
      <c r="O43" s="250"/>
      <c r="P43" s="250"/>
      <c r="Q43" s="250"/>
      <c r="R43" s="250"/>
      <c r="S43" s="250"/>
      <c r="T43" s="250"/>
      <c r="U43" s="250"/>
      <c r="V43" s="250"/>
      <c r="W43" s="250"/>
      <c r="X43" s="250"/>
      <c r="Y43" s="250"/>
      <c r="Z43" s="250"/>
      <c r="AA43" s="250"/>
      <c r="AB43" s="250"/>
      <c r="AC43" s="250"/>
      <c r="AD43" s="250"/>
      <c r="AE43" s="250"/>
    </row>
    <row r="44" ht="15.75" hidden="1" customHeight="1">
      <c r="M44" s="251"/>
      <c r="N44" s="250"/>
      <c r="O44" s="250"/>
      <c r="P44" s="250"/>
      <c r="Q44" s="250"/>
      <c r="R44" s="250"/>
      <c r="S44" s="250"/>
      <c r="T44" s="250"/>
      <c r="U44" s="250"/>
      <c r="V44" s="250"/>
      <c r="W44" s="250"/>
      <c r="X44" s="250"/>
      <c r="Y44" s="250"/>
      <c r="Z44" s="250"/>
      <c r="AA44" s="250"/>
      <c r="AB44" s="250"/>
      <c r="AC44" s="250"/>
      <c r="AD44" s="250"/>
      <c r="AE44" s="250"/>
    </row>
    <row r="45" ht="15.75" hidden="1" customHeight="1">
      <c r="M45" s="251"/>
      <c r="N45" s="250"/>
      <c r="O45" s="250"/>
      <c r="Q45" s="250"/>
      <c r="R45" s="250"/>
      <c r="S45" s="250"/>
      <c r="T45" s="250"/>
      <c r="U45" s="250"/>
      <c r="V45" s="250"/>
      <c r="W45" s="250"/>
      <c r="X45" s="250"/>
      <c r="Y45" s="250"/>
      <c r="Z45" s="250"/>
      <c r="AA45" s="250"/>
      <c r="AB45" s="250"/>
      <c r="AC45" s="250"/>
      <c r="AD45" s="250"/>
      <c r="AE45" s="250"/>
    </row>
    <row r="46" ht="15.75" hidden="1" customHeight="1">
      <c r="M46" s="251"/>
      <c r="N46" s="250"/>
      <c r="O46" s="250"/>
      <c r="P46" s="250"/>
      <c r="Q46" s="250"/>
      <c r="R46" s="250"/>
      <c r="S46" s="250"/>
      <c r="T46" s="250"/>
      <c r="U46" s="250"/>
      <c r="V46" s="250"/>
      <c r="W46" s="250"/>
      <c r="X46" s="250"/>
      <c r="Y46" s="250"/>
      <c r="Z46" s="250"/>
      <c r="AA46" s="250"/>
      <c r="AB46" s="250"/>
      <c r="AC46" s="250"/>
      <c r="AD46" s="250"/>
      <c r="AE46" s="250"/>
    </row>
    <row r="47" ht="15.75" hidden="1" customHeight="1">
      <c r="M47" s="251"/>
      <c r="N47" s="250"/>
      <c r="O47" s="250"/>
      <c r="P47" s="250"/>
      <c r="Q47" s="250"/>
      <c r="R47" s="250"/>
      <c r="S47" s="250"/>
      <c r="T47" s="250"/>
      <c r="U47" s="250"/>
      <c r="V47" s="250"/>
      <c r="W47" s="250"/>
      <c r="X47" s="250"/>
      <c r="Y47" s="250"/>
      <c r="Z47" s="250"/>
      <c r="AA47" s="250"/>
      <c r="AB47" s="250"/>
      <c r="AC47" s="250"/>
      <c r="AD47" s="250"/>
      <c r="AE47" s="250"/>
    </row>
    <row r="48" ht="15.75" hidden="1" customHeight="1">
      <c r="M48" s="251"/>
      <c r="N48" s="250"/>
      <c r="O48" s="250"/>
      <c r="P48" s="250"/>
      <c r="Q48" s="250"/>
      <c r="R48" s="250"/>
      <c r="S48" s="250"/>
      <c r="T48" s="250"/>
      <c r="U48" s="250"/>
      <c r="V48" s="250"/>
      <c r="W48" s="250"/>
      <c r="X48" s="250"/>
      <c r="Y48" s="250"/>
      <c r="Z48" s="250"/>
      <c r="AA48" s="250"/>
      <c r="AB48" s="250"/>
      <c r="AC48" s="250"/>
      <c r="AD48" s="250"/>
      <c r="AE48" s="250"/>
    </row>
    <row r="49" ht="15.75" hidden="1" customHeight="1">
      <c r="M49" s="251"/>
      <c r="N49" s="250"/>
      <c r="O49" s="250"/>
      <c r="P49" s="250"/>
      <c r="Q49" s="250"/>
      <c r="R49" s="250"/>
      <c r="S49" s="250"/>
      <c r="T49" s="250"/>
      <c r="U49" s="250"/>
      <c r="V49" s="250"/>
      <c r="W49" s="250"/>
      <c r="X49" s="250"/>
      <c r="Y49" s="250"/>
      <c r="Z49" s="250"/>
      <c r="AA49" s="250"/>
      <c r="AB49" s="250"/>
      <c r="AC49" s="250"/>
      <c r="AD49" s="250"/>
      <c r="AE49" s="250"/>
    </row>
    <row r="50" ht="15.75" hidden="1" customHeight="1">
      <c r="M50" s="251"/>
      <c r="N50" s="250"/>
      <c r="O50" s="250"/>
      <c r="Q50" s="250"/>
      <c r="R50" s="250"/>
      <c r="S50" s="250"/>
      <c r="T50" s="250"/>
      <c r="U50" s="250"/>
      <c r="V50" s="250"/>
      <c r="W50" s="250"/>
      <c r="X50" s="250"/>
      <c r="Y50" s="250"/>
      <c r="Z50" s="250"/>
      <c r="AA50" s="250"/>
      <c r="AB50" s="250"/>
      <c r="AC50" s="250"/>
      <c r="AD50" s="250"/>
      <c r="AE50" s="250"/>
    </row>
    <row r="51" ht="15.75" hidden="1" customHeight="1">
      <c r="M51" s="251"/>
      <c r="N51" s="250"/>
      <c r="O51" s="250"/>
      <c r="P51" s="250"/>
      <c r="Q51" s="250"/>
      <c r="R51" s="250"/>
      <c r="S51" s="250"/>
      <c r="T51" s="250"/>
      <c r="U51" s="250"/>
      <c r="V51" s="250"/>
      <c r="W51" s="250"/>
      <c r="X51" s="250"/>
      <c r="Y51" s="250"/>
      <c r="Z51" s="250"/>
      <c r="AA51" s="250"/>
      <c r="AB51" s="250"/>
      <c r="AC51" s="250"/>
      <c r="AD51" s="250"/>
      <c r="AE51" s="250"/>
    </row>
    <row r="52" ht="15.75" hidden="1" customHeight="1">
      <c r="M52" s="251"/>
      <c r="N52" s="250"/>
      <c r="O52" s="250"/>
      <c r="P52" s="250"/>
      <c r="Q52" s="250"/>
      <c r="R52" s="250"/>
      <c r="S52" s="250"/>
      <c r="T52" s="250"/>
      <c r="U52" s="250"/>
      <c r="V52" s="250"/>
      <c r="W52" s="250"/>
      <c r="X52" s="250"/>
      <c r="Y52" s="250"/>
      <c r="Z52" s="250"/>
      <c r="AA52" s="250"/>
      <c r="AB52" s="250"/>
      <c r="AC52" s="250"/>
      <c r="AD52" s="250"/>
      <c r="AE52" s="250"/>
    </row>
    <row r="53" ht="15.75" hidden="1" customHeight="1">
      <c r="M53" s="251"/>
      <c r="N53" s="250"/>
      <c r="O53" s="250"/>
      <c r="P53" s="250"/>
      <c r="Q53" s="250"/>
      <c r="R53" s="250"/>
      <c r="S53" s="250"/>
      <c r="T53" s="250"/>
      <c r="U53" s="250"/>
      <c r="V53" s="250"/>
      <c r="W53" s="250"/>
      <c r="X53" s="250"/>
      <c r="Y53" s="250"/>
      <c r="Z53" s="250"/>
      <c r="AA53" s="250"/>
      <c r="AB53" s="250"/>
      <c r="AC53" s="250"/>
      <c r="AD53" s="250"/>
      <c r="AE53" s="250"/>
    </row>
    <row r="54" ht="15.75" hidden="1" customHeight="1">
      <c r="M54" s="251"/>
      <c r="N54" s="250"/>
      <c r="O54" s="250"/>
      <c r="P54" s="250"/>
      <c r="Q54" s="250"/>
      <c r="R54" s="250"/>
      <c r="S54" s="250"/>
      <c r="T54" s="250"/>
      <c r="U54" s="250"/>
      <c r="V54" s="250"/>
      <c r="W54" s="250"/>
      <c r="X54" s="250"/>
      <c r="Y54" s="250"/>
      <c r="Z54" s="250"/>
      <c r="AA54" s="250"/>
      <c r="AB54" s="250"/>
      <c r="AC54" s="250"/>
      <c r="AD54" s="250"/>
      <c r="AE54" s="250"/>
    </row>
    <row r="55" ht="15.75" hidden="1" customHeight="1">
      <c r="M55" s="251"/>
      <c r="N55" s="250"/>
      <c r="O55" s="250"/>
      <c r="P55" s="250"/>
      <c r="Q55" s="250"/>
      <c r="R55" s="250"/>
      <c r="S55" s="250"/>
      <c r="T55" s="250"/>
      <c r="U55" s="250"/>
      <c r="V55" s="250"/>
      <c r="W55" s="250"/>
      <c r="X55" s="250"/>
      <c r="Y55" s="250"/>
      <c r="Z55" s="250"/>
      <c r="AA55" s="250"/>
      <c r="AB55" s="250"/>
      <c r="AC55" s="250"/>
      <c r="AD55" s="250"/>
      <c r="AE55" s="250"/>
    </row>
    <row r="56" ht="15.75" hidden="1" customHeight="1">
      <c r="M56" s="251"/>
      <c r="N56" s="250"/>
      <c r="O56" s="250"/>
      <c r="P56" s="250"/>
      <c r="Q56" s="250"/>
      <c r="R56" s="250"/>
      <c r="S56" s="250"/>
      <c r="T56" s="250"/>
      <c r="U56" s="250"/>
      <c r="V56" s="250"/>
      <c r="W56" s="250"/>
      <c r="X56" s="250"/>
      <c r="Y56" s="250"/>
      <c r="Z56" s="250"/>
      <c r="AA56" s="250"/>
      <c r="AB56" s="250"/>
      <c r="AC56" s="250"/>
      <c r="AD56" s="250"/>
      <c r="AE56" s="250"/>
    </row>
    <row r="57" ht="15.75" hidden="1" customHeight="1">
      <c r="M57" s="251"/>
      <c r="N57" s="250"/>
      <c r="O57" s="250"/>
      <c r="P57" s="250"/>
      <c r="Q57" s="250"/>
      <c r="R57" s="250"/>
      <c r="S57" s="250"/>
      <c r="T57" s="250"/>
      <c r="U57" s="250"/>
      <c r="V57" s="250"/>
      <c r="W57" s="250"/>
      <c r="X57" s="250"/>
      <c r="Y57" s="250"/>
      <c r="Z57" s="250"/>
      <c r="AA57" s="250"/>
      <c r="AB57" s="250"/>
      <c r="AC57" s="250"/>
      <c r="AD57" s="250"/>
      <c r="AE57" s="250"/>
    </row>
    <row r="58" ht="15.75" hidden="1" customHeight="1">
      <c r="M58" s="251"/>
      <c r="N58" s="250"/>
      <c r="O58" s="250"/>
      <c r="P58" s="250"/>
      <c r="Q58" s="250"/>
      <c r="R58" s="250"/>
      <c r="S58" s="250"/>
      <c r="T58" s="250"/>
      <c r="U58" s="250"/>
      <c r="V58" s="250"/>
      <c r="W58" s="250"/>
      <c r="X58" s="250"/>
      <c r="Y58" s="250"/>
      <c r="Z58" s="250"/>
      <c r="AA58" s="250"/>
      <c r="AB58" s="250"/>
      <c r="AC58" s="250"/>
      <c r="AD58" s="250"/>
      <c r="AE58" s="250"/>
    </row>
    <row r="59" ht="15.75" hidden="1" customHeight="1">
      <c r="M59" s="251"/>
      <c r="N59" s="250"/>
      <c r="O59" s="250"/>
      <c r="P59" s="250"/>
      <c r="Q59" s="250"/>
      <c r="R59" s="250"/>
      <c r="S59" s="250"/>
      <c r="T59" s="250"/>
      <c r="U59" s="250"/>
      <c r="V59" s="250"/>
      <c r="W59" s="250"/>
      <c r="X59" s="250"/>
      <c r="Y59" s="250"/>
      <c r="Z59" s="250"/>
      <c r="AA59" s="250"/>
      <c r="AB59" s="250"/>
      <c r="AC59" s="250"/>
      <c r="AD59" s="250"/>
      <c r="AE59" s="250"/>
    </row>
    <row r="60" ht="15.75" hidden="1" customHeight="1">
      <c r="M60" s="251"/>
      <c r="N60" s="250"/>
      <c r="O60" s="250"/>
      <c r="P60" s="250"/>
      <c r="Q60" s="250"/>
      <c r="R60" s="250"/>
      <c r="S60" s="250"/>
      <c r="T60" s="250"/>
      <c r="U60" s="250"/>
      <c r="V60" s="250"/>
      <c r="W60" s="250"/>
      <c r="X60" s="250"/>
      <c r="Y60" s="250"/>
      <c r="Z60" s="250"/>
      <c r="AA60" s="250"/>
      <c r="AB60" s="250"/>
      <c r="AC60" s="250"/>
      <c r="AD60" s="250"/>
      <c r="AE60" s="250"/>
    </row>
    <row r="61" ht="15.75" hidden="1" customHeight="1">
      <c r="M61" s="251"/>
      <c r="N61" s="250"/>
      <c r="O61" s="250"/>
      <c r="P61" s="250"/>
      <c r="Q61" s="250"/>
      <c r="R61" s="250"/>
      <c r="S61" s="250"/>
      <c r="T61" s="250"/>
      <c r="U61" s="250"/>
      <c r="V61" s="250"/>
      <c r="W61" s="250"/>
      <c r="X61" s="250"/>
      <c r="Y61" s="250"/>
      <c r="Z61" s="250"/>
      <c r="AA61" s="250"/>
      <c r="AB61" s="250"/>
      <c r="AC61" s="250"/>
      <c r="AD61" s="250"/>
      <c r="AE61" s="250"/>
    </row>
    <row r="62" ht="15.75" hidden="1" customHeight="1">
      <c r="M62" s="251"/>
      <c r="N62" s="250"/>
      <c r="O62" s="250"/>
      <c r="P62" s="250"/>
      <c r="Q62" s="250"/>
      <c r="R62" s="250"/>
      <c r="S62" s="250"/>
      <c r="T62" s="250"/>
      <c r="U62" s="250"/>
      <c r="V62" s="250"/>
      <c r="W62" s="250"/>
      <c r="X62" s="250"/>
      <c r="Y62" s="250"/>
      <c r="Z62" s="250"/>
      <c r="AA62" s="250"/>
      <c r="AB62" s="250"/>
      <c r="AC62" s="250"/>
      <c r="AD62" s="250"/>
      <c r="AE62" s="250"/>
    </row>
    <row r="63" ht="15.75" hidden="1" customHeight="1">
      <c r="M63" s="251"/>
      <c r="N63" s="250"/>
      <c r="O63" s="250"/>
      <c r="P63" s="250"/>
      <c r="Q63" s="250"/>
      <c r="R63" s="250"/>
      <c r="S63" s="250"/>
      <c r="T63" s="250"/>
      <c r="U63" s="250"/>
      <c r="V63" s="250"/>
      <c r="W63" s="250"/>
      <c r="X63" s="250"/>
      <c r="Y63" s="250"/>
      <c r="Z63" s="250"/>
      <c r="AA63" s="250"/>
      <c r="AB63" s="250"/>
      <c r="AC63" s="250"/>
      <c r="AD63" s="250"/>
      <c r="AE63" s="250"/>
    </row>
    <row r="64" ht="15.75" hidden="1" customHeight="1">
      <c r="M64" s="251"/>
      <c r="N64" s="250"/>
      <c r="O64" s="250"/>
      <c r="P64" s="250"/>
      <c r="Q64" s="250"/>
      <c r="R64" s="250"/>
      <c r="S64" s="250"/>
      <c r="T64" s="250"/>
      <c r="U64" s="250"/>
      <c r="V64" s="250"/>
      <c r="W64" s="250"/>
      <c r="X64" s="250"/>
      <c r="Y64" s="250"/>
      <c r="Z64" s="250"/>
      <c r="AA64" s="250"/>
      <c r="AB64" s="250"/>
      <c r="AC64" s="250"/>
      <c r="AD64" s="250"/>
      <c r="AE64" s="250"/>
    </row>
    <row r="65" ht="15.75" hidden="1" customHeight="1">
      <c r="M65" s="251"/>
      <c r="N65" s="250"/>
      <c r="O65" s="250"/>
      <c r="P65" s="250"/>
      <c r="Q65" s="250"/>
      <c r="R65" s="250"/>
      <c r="S65" s="250"/>
      <c r="T65" s="250"/>
      <c r="U65" s="250"/>
      <c r="V65" s="250"/>
      <c r="W65" s="250"/>
      <c r="X65" s="250"/>
      <c r="Y65" s="250"/>
      <c r="Z65" s="250"/>
      <c r="AA65" s="250"/>
      <c r="AB65" s="250"/>
      <c r="AC65" s="250"/>
      <c r="AD65" s="250"/>
      <c r="AE65" s="250"/>
    </row>
    <row r="66" ht="15.75" hidden="1" customHeight="1">
      <c r="M66" s="251"/>
      <c r="N66" s="250"/>
      <c r="O66" s="250"/>
      <c r="P66" s="250"/>
      <c r="Q66" s="250"/>
      <c r="R66" s="250"/>
      <c r="S66" s="250"/>
      <c r="T66" s="250"/>
      <c r="U66" s="250"/>
      <c r="V66" s="250"/>
      <c r="W66" s="250"/>
      <c r="X66" s="250"/>
      <c r="Y66" s="250"/>
      <c r="Z66" s="250"/>
      <c r="AA66" s="250"/>
      <c r="AB66" s="250"/>
      <c r="AC66" s="250"/>
      <c r="AD66" s="250"/>
      <c r="AE66" s="250"/>
    </row>
    <row r="67" ht="15.75" hidden="1" customHeight="1">
      <c r="M67" s="251"/>
      <c r="N67" s="250"/>
      <c r="O67" s="250"/>
      <c r="P67" s="250"/>
      <c r="Q67" s="250"/>
      <c r="R67" s="250"/>
      <c r="S67" s="250"/>
      <c r="T67" s="250"/>
      <c r="U67" s="250"/>
      <c r="V67" s="250"/>
      <c r="W67" s="250"/>
      <c r="X67" s="250"/>
      <c r="Y67" s="250"/>
      <c r="Z67" s="250"/>
      <c r="AA67" s="250"/>
      <c r="AB67" s="250"/>
      <c r="AC67" s="250"/>
      <c r="AD67" s="250"/>
      <c r="AE67" s="250"/>
    </row>
    <row r="68" ht="15.75" hidden="1" customHeight="1">
      <c r="M68" s="251"/>
      <c r="N68" s="250"/>
      <c r="O68" s="250"/>
      <c r="P68" s="250"/>
      <c r="Q68" s="250"/>
      <c r="R68" s="250"/>
      <c r="S68" s="250"/>
      <c r="T68" s="250"/>
      <c r="U68" s="250"/>
      <c r="V68" s="250"/>
      <c r="W68" s="250"/>
      <c r="X68" s="250"/>
      <c r="Y68" s="250"/>
      <c r="Z68" s="250"/>
      <c r="AA68" s="250"/>
      <c r="AB68" s="250"/>
      <c r="AC68" s="250"/>
      <c r="AD68" s="250"/>
      <c r="AE68" s="250"/>
    </row>
    <row r="69" ht="15.75" hidden="1" customHeight="1">
      <c r="M69" s="251"/>
      <c r="N69" s="250"/>
      <c r="O69" s="250"/>
      <c r="P69" s="250"/>
      <c r="Q69" s="250"/>
      <c r="R69" s="250"/>
      <c r="S69" s="250"/>
      <c r="T69" s="250"/>
      <c r="U69" s="250"/>
      <c r="V69" s="250"/>
      <c r="W69" s="250"/>
      <c r="X69" s="250"/>
      <c r="Y69" s="250"/>
      <c r="Z69" s="250"/>
      <c r="AA69" s="250"/>
      <c r="AB69" s="250"/>
      <c r="AC69" s="250"/>
      <c r="AD69" s="250"/>
      <c r="AE69" s="250"/>
    </row>
    <row r="70" ht="15.75" hidden="1" customHeight="1">
      <c r="M70" s="251"/>
      <c r="N70" s="250"/>
      <c r="O70" s="250"/>
      <c r="P70" s="250"/>
      <c r="Q70" s="250"/>
      <c r="R70" s="250"/>
      <c r="S70" s="250"/>
      <c r="T70" s="250"/>
      <c r="U70" s="250"/>
      <c r="V70" s="250"/>
      <c r="W70" s="250"/>
      <c r="X70" s="250"/>
      <c r="Y70" s="250"/>
      <c r="Z70" s="250"/>
      <c r="AA70" s="250"/>
      <c r="AB70" s="250"/>
      <c r="AC70" s="250"/>
      <c r="AD70" s="250"/>
      <c r="AE70" s="250"/>
    </row>
    <row r="71" ht="15.75" hidden="1" customHeight="1">
      <c r="M71" s="251"/>
      <c r="N71" s="250"/>
      <c r="O71" s="250"/>
      <c r="P71" s="250"/>
      <c r="Q71" s="250"/>
      <c r="R71" s="250"/>
      <c r="S71" s="250"/>
      <c r="T71" s="250"/>
      <c r="U71" s="250"/>
      <c r="V71" s="250"/>
      <c r="W71" s="250"/>
      <c r="X71" s="250"/>
      <c r="Y71" s="250"/>
      <c r="Z71" s="250"/>
      <c r="AA71" s="250"/>
      <c r="AB71" s="250"/>
      <c r="AC71" s="250"/>
      <c r="AD71" s="250"/>
      <c r="AE71" s="250"/>
    </row>
    <row r="72" ht="15.75" hidden="1" customHeight="1">
      <c r="M72" s="251"/>
      <c r="N72" s="250"/>
      <c r="O72" s="250"/>
      <c r="P72" s="250"/>
      <c r="Q72" s="250"/>
      <c r="R72" s="250"/>
      <c r="S72" s="250"/>
      <c r="T72" s="250"/>
      <c r="U72" s="250"/>
      <c r="V72" s="250"/>
      <c r="W72" s="250"/>
      <c r="X72" s="250"/>
      <c r="Y72" s="250"/>
      <c r="Z72" s="250"/>
      <c r="AA72" s="250"/>
      <c r="AB72" s="250"/>
      <c r="AC72" s="250"/>
      <c r="AD72" s="250"/>
      <c r="AE72" s="250"/>
    </row>
    <row r="73" ht="15.75" hidden="1" customHeight="1">
      <c r="M73" s="251"/>
      <c r="N73" s="250"/>
      <c r="O73" s="250"/>
      <c r="P73" s="250"/>
      <c r="Q73" s="250"/>
      <c r="R73" s="250"/>
      <c r="S73" s="250"/>
      <c r="T73" s="250"/>
      <c r="U73" s="250"/>
      <c r="V73" s="250"/>
      <c r="W73" s="250"/>
      <c r="X73" s="250"/>
      <c r="Y73" s="250"/>
      <c r="Z73" s="250"/>
      <c r="AA73" s="250"/>
      <c r="AB73" s="250"/>
      <c r="AC73" s="250"/>
      <c r="AD73" s="250"/>
      <c r="AE73" s="250"/>
    </row>
    <row r="74" ht="15.75" hidden="1" customHeight="1">
      <c r="M74" s="251"/>
      <c r="N74" s="250"/>
      <c r="O74" s="250"/>
      <c r="P74" s="250">
        <f>15*21+13*4+9*15+10</f>
        <v>512</v>
      </c>
      <c r="Q74" s="250"/>
      <c r="R74" s="250"/>
      <c r="S74" s="250"/>
      <c r="T74" s="250"/>
      <c r="U74" s="250"/>
      <c r="V74" s="250"/>
      <c r="W74" s="250"/>
      <c r="X74" s="250"/>
      <c r="Y74" s="250"/>
      <c r="Z74" s="250"/>
      <c r="AA74" s="250"/>
      <c r="AB74" s="250"/>
      <c r="AC74" s="250"/>
      <c r="AD74" s="250"/>
      <c r="AE74" s="250"/>
    </row>
    <row r="75" ht="15.75" hidden="1" customHeight="1">
      <c r="M75" s="251"/>
      <c r="N75" s="250"/>
      <c r="O75" s="250"/>
      <c r="P75" s="250"/>
      <c r="Q75" s="250"/>
      <c r="R75" s="250"/>
      <c r="S75" s="250"/>
      <c r="T75" s="250"/>
      <c r="U75" s="250"/>
      <c r="V75" s="250"/>
      <c r="W75" s="250"/>
      <c r="X75" s="250"/>
      <c r="Y75" s="250"/>
      <c r="Z75" s="250"/>
      <c r="AA75" s="250"/>
      <c r="AB75" s="250"/>
      <c r="AC75" s="250"/>
      <c r="AD75" s="250"/>
      <c r="AE75" s="250"/>
    </row>
    <row r="76" ht="15.75" hidden="1" customHeight="1">
      <c r="M76" s="251"/>
      <c r="N76" s="250"/>
      <c r="O76" s="250"/>
      <c r="P76" s="250"/>
      <c r="Q76" s="250"/>
      <c r="R76" s="250"/>
      <c r="S76" s="250"/>
      <c r="T76" s="250"/>
      <c r="U76" s="250"/>
      <c r="V76" s="250"/>
      <c r="W76" s="250"/>
      <c r="X76" s="250"/>
      <c r="Y76" s="250"/>
      <c r="Z76" s="250"/>
      <c r="AA76" s="250"/>
      <c r="AB76" s="250"/>
      <c r="AC76" s="250"/>
      <c r="AD76" s="250"/>
      <c r="AE76" s="250"/>
    </row>
    <row r="77" ht="15.75" hidden="1" customHeight="1">
      <c r="M77" s="251"/>
      <c r="N77" s="250"/>
      <c r="O77" s="250"/>
      <c r="P77" s="250"/>
      <c r="Q77" s="250"/>
      <c r="R77" s="250"/>
      <c r="S77" s="250"/>
      <c r="T77" s="250"/>
      <c r="U77" s="250"/>
      <c r="V77" s="250"/>
      <c r="W77" s="250"/>
      <c r="X77" s="250"/>
      <c r="Y77" s="250"/>
      <c r="Z77" s="250"/>
      <c r="AA77" s="250"/>
      <c r="AB77" s="250"/>
      <c r="AC77" s="250"/>
      <c r="AD77" s="250"/>
      <c r="AE77" s="250"/>
    </row>
    <row r="78" ht="15.75" hidden="1" customHeight="1">
      <c r="M78" s="251"/>
      <c r="N78" s="250"/>
      <c r="O78" s="250"/>
      <c r="P78" s="250"/>
      <c r="Q78" s="250"/>
      <c r="R78" s="250"/>
      <c r="S78" s="250"/>
      <c r="T78" s="250"/>
      <c r="U78" s="250"/>
      <c r="V78" s="250"/>
      <c r="W78" s="250"/>
      <c r="X78" s="250"/>
      <c r="Y78" s="250"/>
      <c r="Z78" s="250"/>
      <c r="AA78" s="250"/>
      <c r="AB78" s="250"/>
      <c r="AC78" s="250"/>
      <c r="AD78" s="250"/>
      <c r="AE78" s="250"/>
    </row>
    <row r="79" ht="15.75" hidden="1" customHeight="1">
      <c r="M79" s="251"/>
      <c r="N79" s="250"/>
      <c r="O79" s="250"/>
      <c r="P79" s="250"/>
      <c r="Q79" s="250"/>
      <c r="R79" s="250"/>
      <c r="S79" s="250"/>
      <c r="T79" s="250"/>
      <c r="U79" s="250"/>
      <c r="V79" s="250"/>
      <c r="W79" s="250"/>
      <c r="X79" s="250"/>
      <c r="Y79" s="250"/>
      <c r="Z79" s="250"/>
      <c r="AA79" s="250"/>
      <c r="AB79" s="250"/>
      <c r="AC79" s="250"/>
      <c r="AD79" s="250"/>
      <c r="AE79" s="250"/>
    </row>
    <row r="80" ht="15.75" hidden="1" customHeight="1">
      <c r="M80" s="251"/>
      <c r="N80" s="250"/>
      <c r="O80" s="250"/>
      <c r="P80" s="250"/>
      <c r="Q80" s="250"/>
      <c r="R80" s="250"/>
      <c r="S80" s="250"/>
      <c r="T80" s="250"/>
      <c r="U80" s="250"/>
      <c r="V80" s="250"/>
      <c r="W80" s="250"/>
      <c r="X80" s="250"/>
      <c r="Y80" s="250"/>
      <c r="Z80" s="250"/>
      <c r="AA80" s="250"/>
      <c r="AB80" s="250"/>
      <c r="AC80" s="250"/>
      <c r="AD80" s="250"/>
      <c r="AE80" s="250"/>
    </row>
    <row r="81" ht="15.75" hidden="1" customHeight="1">
      <c r="M81" s="251"/>
      <c r="N81" s="250"/>
      <c r="O81" s="250"/>
      <c r="P81" s="250"/>
      <c r="Q81" s="250"/>
      <c r="R81" s="250"/>
      <c r="S81" s="250"/>
      <c r="T81" s="250"/>
      <c r="U81" s="250"/>
      <c r="V81" s="250"/>
      <c r="W81" s="250"/>
      <c r="X81" s="250"/>
      <c r="Y81" s="250"/>
      <c r="Z81" s="250"/>
      <c r="AA81" s="250"/>
      <c r="AB81" s="250"/>
      <c r="AC81" s="250"/>
      <c r="AD81" s="250"/>
      <c r="AE81" s="250"/>
    </row>
    <row r="82" ht="9.75" hidden="1" customHeight="1">
      <c r="M82" s="251"/>
      <c r="N82" s="250"/>
      <c r="O82" s="250"/>
      <c r="P82" s="250"/>
      <c r="Q82" s="250"/>
      <c r="R82" s="250"/>
      <c r="S82" s="250"/>
      <c r="T82" s="250"/>
      <c r="U82" s="250"/>
      <c r="V82" s="250"/>
      <c r="W82" s="250"/>
      <c r="X82" s="250"/>
      <c r="Y82" s="250"/>
      <c r="Z82" s="250"/>
      <c r="AA82" s="250"/>
      <c r="AB82" s="250"/>
      <c r="AC82" s="250"/>
      <c r="AD82" s="250"/>
      <c r="AE82" s="250"/>
    </row>
    <row r="83" ht="15.75" hidden="1" customHeight="1">
      <c r="M83" s="251"/>
      <c r="N83" s="250"/>
      <c r="O83" s="250"/>
      <c r="P83" s="250"/>
      <c r="Q83" s="250"/>
      <c r="R83" s="250"/>
      <c r="S83" s="250"/>
      <c r="T83" s="250"/>
      <c r="U83" s="250"/>
      <c r="V83" s="250"/>
      <c r="W83" s="250"/>
      <c r="X83" s="250"/>
      <c r="Y83" s="250"/>
      <c r="Z83" s="250"/>
      <c r="AA83" s="250"/>
      <c r="AB83" s="250"/>
      <c r="AC83" s="250"/>
      <c r="AD83" s="250"/>
      <c r="AE83" s="250"/>
    </row>
    <row r="84" ht="15.75" hidden="1" customHeight="1">
      <c r="M84" s="251"/>
      <c r="N84" s="250"/>
      <c r="O84" s="250"/>
      <c r="P84" s="250"/>
      <c r="Q84" s="250"/>
      <c r="R84" s="250"/>
      <c r="S84" s="250"/>
      <c r="T84" s="250"/>
      <c r="U84" s="250"/>
      <c r="V84" s="250"/>
      <c r="W84" s="250"/>
      <c r="X84" s="250"/>
      <c r="Y84" s="250"/>
      <c r="Z84" s="250"/>
      <c r="AA84" s="250"/>
      <c r="AB84" s="250"/>
      <c r="AC84" s="250"/>
      <c r="AD84" s="250"/>
      <c r="AE84" s="250"/>
    </row>
    <row r="85" ht="15.75" hidden="1" customHeight="1">
      <c r="M85" s="251"/>
      <c r="N85" s="250"/>
      <c r="O85" s="250"/>
      <c r="P85" s="250"/>
      <c r="Q85" s="250"/>
      <c r="R85" s="250"/>
      <c r="S85" s="250"/>
      <c r="T85" s="250"/>
      <c r="U85" s="250"/>
      <c r="V85" s="250"/>
      <c r="W85" s="250"/>
      <c r="X85" s="250"/>
      <c r="Y85" s="250"/>
      <c r="Z85" s="250"/>
      <c r="AA85" s="250"/>
      <c r="AB85" s="250"/>
      <c r="AC85" s="250"/>
      <c r="AD85" s="250"/>
      <c r="AE85" s="250"/>
    </row>
    <row r="86" ht="15.75" hidden="1" customHeight="1">
      <c r="M86" s="251"/>
      <c r="N86" s="250"/>
      <c r="O86" s="250"/>
      <c r="P86" s="250"/>
      <c r="Q86" s="250"/>
      <c r="R86" s="250"/>
      <c r="S86" s="250"/>
      <c r="T86" s="250"/>
      <c r="U86" s="250"/>
      <c r="V86" s="250"/>
      <c r="W86" s="250"/>
      <c r="X86" s="250"/>
      <c r="Y86" s="250"/>
      <c r="Z86" s="250"/>
      <c r="AA86" s="250"/>
      <c r="AB86" s="250"/>
      <c r="AC86" s="250"/>
      <c r="AD86" s="250"/>
      <c r="AE86" s="250"/>
    </row>
    <row r="87" ht="15.75" hidden="1" customHeight="1">
      <c r="M87" s="251"/>
      <c r="N87" s="250"/>
      <c r="O87" s="250"/>
      <c r="P87" s="250"/>
      <c r="Q87" s="250"/>
      <c r="R87" s="250"/>
      <c r="S87" s="250"/>
      <c r="T87" s="250"/>
      <c r="U87" s="250"/>
      <c r="V87" s="250"/>
      <c r="W87" s="250"/>
      <c r="X87" s="250"/>
      <c r="Y87" s="250"/>
      <c r="Z87" s="250"/>
      <c r="AA87" s="250"/>
      <c r="AB87" s="250"/>
      <c r="AC87" s="250"/>
      <c r="AD87" s="250"/>
      <c r="AE87" s="250"/>
    </row>
    <row r="88" ht="10.5" hidden="1" customHeight="1">
      <c r="M88" s="251"/>
      <c r="N88" s="250"/>
      <c r="O88" s="250"/>
      <c r="P88" s="250"/>
      <c r="Q88" s="250"/>
      <c r="R88" s="250"/>
      <c r="S88" s="250"/>
      <c r="T88" s="250"/>
      <c r="U88" s="250"/>
      <c r="V88" s="250"/>
      <c r="W88" s="250"/>
      <c r="X88" s="250"/>
      <c r="Y88" s="250"/>
      <c r="Z88" s="250"/>
      <c r="AA88" s="250"/>
      <c r="AB88" s="250"/>
      <c r="AC88" s="250"/>
      <c r="AD88" s="250"/>
      <c r="AE88" s="250"/>
    </row>
    <row r="89" ht="13.5" hidden="1" customHeight="1">
      <c r="A89" s="244"/>
      <c r="B89" s="244"/>
      <c r="C89" s="252"/>
      <c r="D89" s="252"/>
      <c r="E89" s="252"/>
      <c r="F89" s="252"/>
      <c r="G89" s="244"/>
      <c r="H89" s="244"/>
      <c r="I89" s="244"/>
      <c r="J89" s="252"/>
      <c r="K89" s="252"/>
      <c r="L89" s="244"/>
      <c r="M89" s="244"/>
      <c r="N89" s="245"/>
      <c r="O89" s="245"/>
      <c r="P89" s="245"/>
      <c r="Q89" s="245"/>
      <c r="R89" s="245"/>
      <c r="S89" s="245"/>
      <c r="T89" s="245"/>
      <c r="U89" s="245"/>
      <c r="V89" s="245"/>
      <c r="W89" s="245"/>
      <c r="X89" s="245"/>
      <c r="Y89" s="245"/>
      <c r="Z89" s="245"/>
      <c r="AA89" s="245"/>
      <c r="AB89" s="245"/>
      <c r="AC89" s="245"/>
    </row>
    <row r="90" ht="13.5" customHeight="1">
      <c r="A90" s="253" t="s">
        <v>715</v>
      </c>
      <c r="M90" s="253"/>
      <c r="N90" s="245"/>
      <c r="O90" s="245"/>
      <c r="P90" s="245"/>
      <c r="Q90" s="245"/>
      <c r="R90" s="245"/>
      <c r="S90" s="245"/>
      <c r="T90" s="245"/>
      <c r="U90" s="245"/>
      <c r="V90" s="245"/>
      <c r="W90" s="245"/>
      <c r="X90" s="245"/>
      <c r="Y90" s="245"/>
      <c r="Z90" s="245"/>
      <c r="AA90" s="245"/>
      <c r="AB90" s="245"/>
      <c r="AC90" s="245"/>
    </row>
    <row r="91" ht="13.5" customHeight="1">
      <c r="A91" s="254" t="s">
        <v>716</v>
      </c>
      <c r="B91" s="113"/>
      <c r="C91" s="113"/>
      <c r="D91" s="113"/>
      <c r="E91" s="113"/>
      <c r="F91" s="113"/>
      <c r="G91" s="113"/>
      <c r="H91" s="113"/>
      <c r="I91" s="113"/>
      <c r="J91" s="113"/>
      <c r="K91" s="113"/>
      <c r="L91" s="113"/>
      <c r="M91" s="114"/>
      <c r="N91" s="245"/>
      <c r="O91" s="245"/>
      <c r="P91" s="245"/>
      <c r="Q91" s="245"/>
      <c r="R91" s="245"/>
      <c r="S91" s="245"/>
      <c r="T91" s="245"/>
      <c r="U91" s="245"/>
      <c r="V91" s="245"/>
      <c r="W91" s="245"/>
      <c r="X91" s="245"/>
      <c r="Y91" s="245"/>
      <c r="Z91" s="245"/>
      <c r="AA91" s="245"/>
      <c r="AB91" s="245"/>
      <c r="AC91" s="245"/>
    </row>
    <row r="92" ht="13.5" customHeight="1">
      <c r="A92" s="255"/>
      <c r="B92" s="256" t="s">
        <v>717</v>
      </c>
      <c r="C92" s="256"/>
      <c r="D92" s="256"/>
      <c r="E92" s="257" t="s">
        <v>718</v>
      </c>
      <c r="F92" s="94"/>
      <c r="G92" s="94"/>
      <c r="H92" s="94"/>
      <c r="I92" s="94"/>
      <c r="J92" s="94"/>
      <c r="K92" s="94"/>
      <c r="L92" s="94"/>
      <c r="M92" s="117"/>
      <c r="N92" s="245"/>
      <c r="O92" s="245"/>
      <c r="P92" s="245"/>
      <c r="Q92" s="245"/>
      <c r="R92" s="245"/>
      <c r="S92" s="245"/>
      <c r="T92" s="245"/>
      <c r="U92" s="245"/>
      <c r="V92" s="245"/>
      <c r="W92" s="257" t="s">
        <v>718</v>
      </c>
      <c r="X92" s="94"/>
      <c r="Y92" s="94"/>
      <c r="Z92" s="94"/>
      <c r="AA92" s="94"/>
      <c r="AB92" s="94"/>
      <c r="AC92" s="94"/>
      <c r="AD92" s="94"/>
      <c r="AE92" s="117"/>
    </row>
    <row r="93" ht="13.5" customHeight="1">
      <c r="A93" s="255"/>
      <c r="B93" s="256" t="s">
        <v>719</v>
      </c>
      <c r="C93" s="256"/>
      <c r="D93" s="256"/>
      <c r="E93" s="258" t="s">
        <v>720</v>
      </c>
      <c r="F93" s="120"/>
      <c r="G93" s="120"/>
      <c r="H93" s="120"/>
      <c r="I93" s="120"/>
      <c r="J93" s="120"/>
      <c r="K93" s="120"/>
      <c r="L93" s="120"/>
      <c r="M93" s="121"/>
      <c r="N93" s="245"/>
      <c r="O93" s="245"/>
      <c r="P93" s="245"/>
      <c r="Q93" s="245"/>
      <c r="R93" s="245"/>
      <c r="S93" s="245"/>
      <c r="T93" s="245"/>
      <c r="U93" s="245"/>
      <c r="V93" s="245"/>
      <c r="W93" s="245"/>
      <c r="X93" s="245"/>
      <c r="Y93" s="245"/>
      <c r="Z93" s="245"/>
      <c r="AA93" s="245"/>
      <c r="AB93" s="245"/>
      <c r="AC93" s="245"/>
    </row>
    <row r="94" ht="13.5" customHeight="1">
      <c r="A94" s="255"/>
      <c r="B94" s="256" t="s">
        <v>721</v>
      </c>
      <c r="C94" s="256"/>
      <c r="D94" s="256"/>
      <c r="E94" s="122"/>
      <c r="F94" s="123"/>
      <c r="G94" s="123"/>
      <c r="H94" s="123"/>
      <c r="I94" s="123"/>
      <c r="J94" s="123"/>
      <c r="K94" s="123"/>
      <c r="L94" s="123"/>
      <c r="M94" s="124"/>
      <c r="N94" s="245"/>
      <c r="O94" s="245"/>
      <c r="P94" s="245"/>
      <c r="Q94" s="245"/>
      <c r="R94" s="245"/>
      <c r="S94" s="245"/>
      <c r="T94" s="245"/>
      <c r="U94" s="245"/>
      <c r="V94" s="245"/>
      <c r="W94" s="245"/>
      <c r="X94" s="245"/>
      <c r="Y94" s="245"/>
      <c r="Z94" s="245"/>
      <c r="AA94" s="245"/>
      <c r="AB94" s="245"/>
      <c r="AC94" s="245"/>
    </row>
    <row r="95" ht="13.5" customHeight="1">
      <c r="A95" s="255"/>
      <c r="B95" s="256" t="s">
        <v>722</v>
      </c>
      <c r="C95" s="256"/>
      <c r="D95" s="256"/>
      <c r="E95" s="257" t="s">
        <v>723</v>
      </c>
      <c r="F95" s="94"/>
      <c r="G95" s="94"/>
      <c r="H95" s="94"/>
      <c r="I95" s="94"/>
      <c r="J95" s="94"/>
      <c r="K95" s="94"/>
      <c r="L95" s="94"/>
      <c r="M95" s="117"/>
      <c r="N95" s="245"/>
      <c r="O95" s="245"/>
      <c r="P95" s="245"/>
      <c r="Q95" s="245"/>
      <c r="R95" s="245"/>
      <c r="S95" s="245"/>
      <c r="T95" s="245"/>
      <c r="U95" s="245"/>
      <c r="V95" s="245"/>
      <c r="W95" s="245"/>
      <c r="X95" s="245"/>
      <c r="Y95" s="245"/>
      <c r="Z95" s="245"/>
      <c r="AA95" s="245"/>
      <c r="AB95" s="245"/>
      <c r="AC95" s="245"/>
    </row>
    <row r="96" ht="13.5" customHeight="1">
      <c r="A96" s="255"/>
      <c r="B96" s="256" t="s">
        <v>724</v>
      </c>
      <c r="C96" s="256"/>
      <c r="D96" s="256"/>
      <c r="E96" s="257" t="s">
        <v>725</v>
      </c>
      <c r="F96" s="94"/>
      <c r="G96" s="94"/>
      <c r="H96" s="94"/>
      <c r="I96" s="94"/>
      <c r="J96" s="94"/>
      <c r="K96" s="94"/>
      <c r="L96" s="94"/>
      <c r="M96" s="117"/>
      <c r="N96" s="245"/>
      <c r="O96" s="245"/>
      <c r="P96" s="245"/>
      <c r="Q96" s="245"/>
      <c r="R96" s="245"/>
      <c r="S96" s="245"/>
      <c r="T96" s="245"/>
      <c r="U96" s="245"/>
      <c r="V96" s="245"/>
      <c r="W96" s="245"/>
      <c r="X96" s="245"/>
      <c r="Y96" s="245"/>
      <c r="Z96" s="245"/>
      <c r="AA96" s="245"/>
      <c r="AB96" s="245"/>
      <c r="AC96" s="245"/>
    </row>
    <row r="97" ht="13.5" customHeight="1">
      <c r="A97" s="255"/>
      <c r="B97" s="256" t="s">
        <v>726</v>
      </c>
      <c r="C97" s="256"/>
      <c r="D97" s="256"/>
      <c r="E97" s="257"/>
      <c r="F97" s="94"/>
      <c r="G97" s="94"/>
      <c r="H97" s="94"/>
      <c r="I97" s="94"/>
      <c r="J97" s="94"/>
      <c r="K97" s="94"/>
      <c r="L97" s="94"/>
      <c r="M97" s="117"/>
      <c r="N97" s="245"/>
      <c r="O97" s="245"/>
      <c r="P97" s="245"/>
      <c r="Q97" s="245"/>
      <c r="R97" s="245"/>
      <c r="S97" s="245"/>
      <c r="T97" s="245"/>
      <c r="U97" s="245"/>
      <c r="V97" s="245"/>
      <c r="W97" s="245"/>
      <c r="X97" s="245"/>
      <c r="Y97" s="245"/>
      <c r="Z97" s="245"/>
      <c r="AA97" s="245"/>
      <c r="AB97" s="245"/>
      <c r="AC97" s="245"/>
    </row>
    <row r="98" ht="13.5" customHeight="1">
      <c r="A98" s="255"/>
      <c r="B98" s="256" t="s">
        <v>727</v>
      </c>
      <c r="C98" s="256"/>
      <c r="D98" s="256"/>
      <c r="E98" s="257" t="s">
        <v>728</v>
      </c>
      <c r="F98" s="94"/>
      <c r="G98" s="94"/>
      <c r="H98" s="94"/>
      <c r="I98" s="94"/>
      <c r="J98" s="94"/>
      <c r="K98" s="94"/>
      <c r="L98" s="94"/>
      <c r="M98" s="117"/>
      <c r="N98" s="245"/>
      <c r="O98" s="245"/>
      <c r="P98" s="245"/>
      <c r="Q98" s="245"/>
      <c r="R98" s="245"/>
      <c r="S98" s="245"/>
      <c r="T98" s="245"/>
      <c r="U98" s="245"/>
      <c r="V98" s="245"/>
      <c r="W98" s="245"/>
      <c r="X98" s="245"/>
      <c r="Y98" s="245"/>
      <c r="Z98" s="245"/>
      <c r="AA98" s="245"/>
      <c r="AB98" s="245"/>
      <c r="AC98" s="245"/>
    </row>
    <row r="99" ht="13.5" customHeight="1">
      <c r="A99" s="255"/>
      <c r="B99" s="256" t="s">
        <v>729</v>
      </c>
      <c r="C99" s="256"/>
      <c r="D99" s="256"/>
      <c r="E99" s="257" t="s">
        <v>730</v>
      </c>
      <c r="F99" s="94"/>
      <c r="G99" s="94"/>
      <c r="H99" s="94"/>
      <c r="I99" s="94"/>
      <c r="J99" s="94"/>
      <c r="K99" s="94"/>
      <c r="L99" s="94"/>
      <c r="M99" s="117"/>
      <c r="N99" s="245"/>
      <c r="O99" s="245"/>
      <c r="P99" s="245"/>
      <c r="Q99" s="245"/>
      <c r="R99" s="245"/>
      <c r="S99" s="245"/>
      <c r="T99" s="245"/>
      <c r="U99" s="245"/>
      <c r="V99" s="245"/>
      <c r="W99" s="245"/>
      <c r="X99" s="245"/>
      <c r="Y99" s="245"/>
      <c r="Z99" s="245"/>
      <c r="AA99" s="245"/>
      <c r="AB99" s="245"/>
      <c r="AC99" s="245"/>
    </row>
    <row r="100" ht="13.5" customHeight="1">
      <c r="A100" s="255"/>
      <c r="B100" s="256" t="s">
        <v>731</v>
      </c>
      <c r="C100" s="256"/>
      <c r="D100" s="256"/>
      <c r="E100" s="257" t="s">
        <v>732</v>
      </c>
      <c r="F100" s="94"/>
      <c r="G100" s="94"/>
      <c r="H100" s="94"/>
      <c r="I100" s="94"/>
      <c r="J100" s="94"/>
      <c r="K100" s="94"/>
      <c r="L100" s="94"/>
      <c r="M100" s="117"/>
      <c r="N100" s="245"/>
      <c r="O100" s="245"/>
      <c r="P100" s="245"/>
      <c r="Q100" s="245"/>
      <c r="R100" s="245"/>
      <c r="S100" s="245"/>
      <c r="T100" s="245"/>
      <c r="U100" s="245"/>
      <c r="V100" s="245"/>
      <c r="W100" s="245"/>
      <c r="X100" s="245"/>
      <c r="Y100" s="245"/>
      <c r="Z100" s="245"/>
      <c r="AA100" s="245"/>
      <c r="AB100" s="245"/>
      <c r="AC100" s="245"/>
    </row>
    <row r="101" ht="13.5" customHeight="1">
      <c r="A101" s="255"/>
      <c r="B101" s="256" t="s">
        <v>733</v>
      </c>
      <c r="C101" s="256"/>
      <c r="D101" s="256"/>
      <c r="E101" s="257" t="s">
        <v>734</v>
      </c>
      <c r="F101" s="94"/>
      <c r="G101" s="94"/>
      <c r="H101" s="94"/>
      <c r="I101" s="94"/>
      <c r="J101" s="94"/>
      <c r="K101" s="94"/>
      <c r="L101" s="94"/>
      <c r="M101" s="117"/>
      <c r="N101" s="245"/>
      <c r="O101" s="245"/>
      <c r="P101" s="245"/>
      <c r="Q101" s="245"/>
      <c r="R101" s="245"/>
      <c r="S101" s="245"/>
      <c r="T101" s="245"/>
      <c r="U101" s="245"/>
      <c r="V101" s="245"/>
      <c r="W101" s="245"/>
      <c r="X101" s="245"/>
      <c r="Y101" s="245"/>
      <c r="Z101" s="245"/>
      <c r="AA101" s="245"/>
      <c r="AB101" s="245"/>
      <c r="AC101" s="245"/>
    </row>
    <row r="102" ht="13.5" customHeight="1">
      <c r="A102" s="259"/>
      <c r="B102" s="260" t="s">
        <v>735</v>
      </c>
      <c r="C102" s="260"/>
      <c r="D102" s="260"/>
      <c r="E102" s="261" t="s">
        <v>736</v>
      </c>
      <c r="F102" s="130"/>
      <c r="G102" s="130"/>
      <c r="H102" s="130"/>
      <c r="I102" s="130"/>
      <c r="J102" s="130"/>
      <c r="K102" s="130"/>
      <c r="L102" s="130"/>
      <c r="M102" s="131"/>
      <c r="N102" s="262"/>
      <c r="O102" s="262"/>
      <c r="P102" s="262"/>
      <c r="Q102" s="262"/>
      <c r="R102" s="262"/>
      <c r="S102" s="262"/>
      <c r="T102" s="262"/>
      <c r="U102" s="262"/>
      <c r="V102" s="262"/>
      <c r="W102" s="262"/>
      <c r="X102" s="262"/>
      <c r="Y102" s="262"/>
      <c r="Z102" s="262"/>
      <c r="AA102" s="262"/>
      <c r="AB102" s="262"/>
      <c r="AC102" s="262"/>
    </row>
    <row r="103" ht="13.5" customHeight="1">
      <c r="A103" s="263"/>
      <c r="B103" s="263"/>
      <c r="C103" s="264"/>
      <c r="D103" s="264"/>
      <c r="E103" s="265"/>
      <c r="F103" s="265"/>
      <c r="G103" s="263"/>
      <c r="H103" s="263"/>
      <c r="I103" s="263"/>
      <c r="J103" s="266"/>
      <c r="K103" s="266"/>
      <c r="L103" s="263"/>
      <c r="M103" s="263"/>
      <c r="N103" s="267"/>
      <c r="O103" s="267"/>
      <c r="P103" s="267"/>
      <c r="Q103" s="267"/>
      <c r="R103" s="267"/>
      <c r="S103" s="267"/>
      <c r="T103" s="267"/>
      <c r="U103" s="267"/>
      <c r="V103" s="267"/>
      <c r="W103" s="267"/>
      <c r="X103" s="267"/>
      <c r="Y103" s="267"/>
      <c r="Z103" s="267"/>
      <c r="AA103" s="267"/>
      <c r="AB103" s="267"/>
      <c r="AC103" s="267"/>
    </row>
    <row r="104" ht="13.5" customHeight="1">
      <c r="A104" s="263"/>
      <c r="B104" s="263"/>
      <c r="C104" s="264"/>
      <c r="D104" s="264"/>
      <c r="E104" s="265"/>
      <c r="F104" s="265"/>
      <c r="G104" s="263"/>
      <c r="H104" s="263"/>
      <c r="I104" s="263"/>
      <c r="J104" s="266"/>
      <c r="K104" s="266"/>
      <c r="L104" s="263"/>
      <c r="M104" s="263"/>
      <c r="N104" s="267"/>
      <c r="O104" s="267"/>
      <c r="P104" s="267"/>
      <c r="Q104" s="267"/>
      <c r="R104" s="267"/>
      <c r="S104" s="267"/>
      <c r="T104" s="267"/>
      <c r="U104" s="267"/>
      <c r="V104" s="267"/>
      <c r="W104" s="267"/>
      <c r="X104" s="267"/>
      <c r="Y104" s="267"/>
      <c r="Z104" s="267"/>
      <c r="AA104" s="267"/>
      <c r="AB104" s="267"/>
      <c r="AC104" s="267"/>
    </row>
    <row r="105" ht="13.5" customHeight="1">
      <c r="A105" s="263"/>
      <c r="B105" s="263"/>
      <c r="C105" s="264"/>
      <c r="D105" s="264"/>
      <c r="E105" s="265"/>
      <c r="F105" s="265"/>
      <c r="G105" s="263"/>
      <c r="H105" s="263"/>
      <c r="I105" s="263"/>
      <c r="J105" s="266"/>
      <c r="K105" s="266"/>
      <c r="L105" s="263"/>
      <c r="M105" s="263"/>
      <c r="N105" s="267"/>
      <c r="O105" s="267"/>
      <c r="P105" s="267"/>
      <c r="Q105" s="267"/>
      <c r="R105" s="267"/>
      <c r="S105" s="267"/>
      <c r="T105" s="267"/>
      <c r="U105" s="267"/>
      <c r="V105" s="267"/>
      <c r="W105" s="267"/>
      <c r="X105" s="267"/>
      <c r="Y105" s="267"/>
      <c r="Z105" s="267"/>
      <c r="AA105" s="267"/>
      <c r="AB105" s="267"/>
      <c r="AC105" s="267"/>
    </row>
    <row r="106" ht="13.5" customHeight="1">
      <c r="A106" s="263"/>
      <c r="B106" s="263"/>
      <c r="C106" s="264"/>
      <c r="D106" s="264"/>
      <c r="E106" s="265"/>
      <c r="F106" s="265"/>
      <c r="G106" s="263"/>
      <c r="H106" s="263"/>
      <c r="I106" s="263"/>
      <c r="J106" s="266"/>
      <c r="K106" s="266"/>
      <c r="L106" s="263"/>
      <c r="M106" s="263"/>
      <c r="N106" s="267"/>
      <c r="O106" s="267"/>
      <c r="P106" s="267"/>
      <c r="Q106" s="267"/>
      <c r="R106" s="267"/>
      <c r="S106" s="267"/>
      <c r="T106" s="267"/>
      <c r="U106" s="267"/>
      <c r="V106" s="267"/>
      <c r="W106" s="267"/>
      <c r="X106" s="267"/>
      <c r="Y106" s="267"/>
      <c r="Z106" s="267"/>
      <c r="AA106" s="267"/>
      <c r="AB106" s="267"/>
      <c r="AC106" s="267"/>
    </row>
    <row r="107" ht="13.5" customHeight="1">
      <c r="A107" s="263"/>
      <c r="B107" s="263"/>
      <c r="C107" s="264"/>
      <c r="D107" s="264"/>
      <c r="E107" s="265"/>
      <c r="F107" s="265"/>
      <c r="G107" s="263"/>
      <c r="H107" s="263"/>
      <c r="I107" s="263"/>
      <c r="J107" s="266"/>
      <c r="K107" s="266"/>
      <c r="L107" s="263"/>
      <c r="M107" s="263"/>
      <c r="N107" s="267"/>
      <c r="O107" s="267"/>
      <c r="P107" s="267"/>
      <c r="Q107" s="267"/>
      <c r="R107" s="267"/>
      <c r="S107" s="267"/>
      <c r="T107" s="267"/>
      <c r="U107" s="267"/>
      <c r="V107" s="267"/>
      <c r="W107" s="267"/>
      <c r="X107" s="267"/>
      <c r="Y107" s="267"/>
      <c r="Z107" s="267"/>
      <c r="AA107" s="267"/>
      <c r="AB107" s="267"/>
      <c r="AC107" s="267"/>
    </row>
    <row r="108" ht="13.5" customHeight="1">
      <c r="A108" s="263"/>
      <c r="B108" s="263"/>
      <c r="C108" s="264"/>
      <c r="D108" s="264"/>
      <c r="E108" s="265"/>
      <c r="F108" s="265"/>
      <c r="G108" s="263"/>
      <c r="H108" s="263"/>
      <c r="I108" s="263"/>
      <c r="J108" s="266"/>
      <c r="K108" s="266"/>
      <c r="L108" s="263"/>
      <c r="M108" s="263"/>
      <c r="N108" s="267"/>
      <c r="O108" s="267"/>
      <c r="P108" s="267"/>
      <c r="Q108" s="267"/>
      <c r="R108" s="267"/>
      <c r="S108" s="267"/>
      <c r="T108" s="267"/>
      <c r="U108" s="267"/>
      <c r="V108" s="267"/>
      <c r="W108" s="267"/>
      <c r="X108" s="267"/>
      <c r="Y108" s="267"/>
      <c r="Z108" s="267"/>
      <c r="AA108" s="267"/>
      <c r="AB108" s="267"/>
      <c r="AC108" s="267"/>
    </row>
    <row r="109" ht="13.5" customHeight="1">
      <c r="A109" s="263"/>
      <c r="B109" s="263"/>
      <c r="C109" s="264"/>
      <c r="D109" s="264"/>
      <c r="E109" s="265"/>
      <c r="F109" s="265"/>
      <c r="G109" s="263"/>
      <c r="H109" s="263"/>
      <c r="I109" s="263"/>
      <c r="J109" s="266"/>
      <c r="K109" s="266"/>
      <c r="L109" s="263"/>
      <c r="M109" s="263"/>
      <c r="N109" s="267"/>
      <c r="O109" s="267"/>
      <c r="P109" s="267"/>
      <c r="Q109" s="267"/>
      <c r="R109" s="267"/>
      <c r="S109" s="267"/>
      <c r="T109" s="267"/>
      <c r="U109" s="267"/>
      <c r="V109" s="267"/>
      <c r="W109" s="267"/>
      <c r="X109" s="267"/>
      <c r="Y109" s="267"/>
      <c r="Z109" s="267"/>
      <c r="AA109" s="267"/>
      <c r="AB109" s="267"/>
      <c r="AC109" s="267"/>
    </row>
    <row r="110" ht="13.5" customHeight="1">
      <c r="A110" s="263"/>
      <c r="B110" s="263"/>
      <c r="C110" s="264"/>
      <c r="D110" s="264"/>
      <c r="E110" s="265"/>
      <c r="F110" s="265"/>
      <c r="G110" s="263"/>
      <c r="H110" s="263"/>
      <c r="I110" s="263"/>
      <c r="J110" s="266"/>
      <c r="K110" s="266"/>
      <c r="L110" s="263"/>
      <c r="M110" s="263"/>
      <c r="N110" s="267"/>
      <c r="O110" s="267"/>
      <c r="P110" s="267"/>
      <c r="Q110" s="267"/>
      <c r="R110" s="267"/>
      <c r="S110" s="267"/>
      <c r="T110" s="267"/>
      <c r="U110" s="267"/>
      <c r="V110" s="267"/>
      <c r="W110" s="267"/>
      <c r="X110" s="267"/>
      <c r="Y110" s="267"/>
      <c r="Z110" s="267"/>
      <c r="AA110" s="267"/>
      <c r="AB110" s="267"/>
      <c r="AC110" s="267"/>
    </row>
    <row r="111" ht="13.5" customHeight="1">
      <c r="A111" s="263"/>
      <c r="B111" s="263"/>
      <c r="C111" s="264"/>
      <c r="D111" s="264"/>
      <c r="E111" s="265"/>
      <c r="F111" s="265"/>
      <c r="G111" s="263"/>
      <c r="H111" s="263"/>
      <c r="I111" s="263"/>
      <c r="J111" s="266"/>
      <c r="K111" s="266"/>
      <c r="L111" s="263"/>
      <c r="M111" s="263"/>
      <c r="N111" s="267"/>
      <c r="O111" s="267"/>
      <c r="P111" s="267"/>
      <c r="Q111" s="267"/>
      <c r="R111" s="267"/>
      <c r="S111" s="267"/>
      <c r="T111" s="267"/>
      <c r="U111" s="267"/>
      <c r="V111" s="267"/>
      <c r="W111" s="267"/>
      <c r="X111" s="267"/>
      <c r="Y111" s="267"/>
      <c r="Z111" s="267"/>
      <c r="AA111" s="267"/>
      <c r="AB111" s="267"/>
      <c r="AC111" s="267"/>
    </row>
    <row r="112" ht="13.5" customHeight="1">
      <c r="A112" s="263"/>
      <c r="B112" s="263"/>
      <c r="C112" s="264"/>
      <c r="D112" s="264"/>
      <c r="E112" s="265"/>
      <c r="F112" s="265"/>
      <c r="G112" s="263"/>
      <c r="H112" s="263"/>
      <c r="I112" s="263"/>
      <c r="J112" s="266"/>
      <c r="K112" s="266"/>
      <c r="L112" s="263"/>
      <c r="M112" s="263"/>
      <c r="N112" s="267"/>
      <c r="O112" s="267"/>
      <c r="P112" s="267"/>
      <c r="Q112" s="267"/>
      <c r="R112" s="267"/>
      <c r="S112" s="267"/>
      <c r="T112" s="267"/>
      <c r="U112" s="267"/>
      <c r="V112" s="267"/>
      <c r="W112" s="267"/>
      <c r="X112" s="267"/>
      <c r="Y112" s="267"/>
      <c r="Z112" s="267"/>
      <c r="AA112" s="267"/>
      <c r="AB112" s="267"/>
      <c r="AC112" s="267"/>
    </row>
    <row r="113" ht="13.5" customHeight="1">
      <c r="A113" s="263"/>
      <c r="B113" s="263"/>
      <c r="C113" s="264"/>
      <c r="D113" s="264"/>
      <c r="E113" s="265"/>
      <c r="F113" s="265"/>
      <c r="G113" s="263"/>
      <c r="H113" s="263"/>
      <c r="I113" s="263"/>
      <c r="J113" s="266"/>
      <c r="K113" s="266"/>
      <c r="L113" s="263"/>
      <c r="M113" s="263"/>
      <c r="N113" s="267"/>
      <c r="O113" s="267"/>
      <c r="P113" s="267"/>
      <c r="Q113" s="267"/>
      <c r="R113" s="267"/>
      <c r="S113" s="267"/>
      <c r="T113" s="267"/>
      <c r="U113" s="267"/>
      <c r="V113" s="267"/>
      <c r="W113" s="267"/>
      <c r="X113" s="267"/>
      <c r="Y113" s="267"/>
      <c r="Z113" s="267"/>
      <c r="AA113" s="267"/>
      <c r="AB113" s="267"/>
      <c r="AC113" s="267"/>
    </row>
    <row r="114" ht="13.5" customHeight="1">
      <c r="A114" s="263"/>
      <c r="B114" s="263"/>
      <c r="C114" s="264"/>
      <c r="D114" s="264"/>
      <c r="E114" s="265"/>
      <c r="F114" s="265"/>
      <c r="G114" s="263"/>
      <c r="H114" s="263"/>
      <c r="I114" s="263"/>
      <c r="J114" s="266"/>
      <c r="K114" s="266"/>
      <c r="L114" s="263"/>
      <c r="M114" s="263"/>
      <c r="N114" s="267"/>
      <c r="O114" s="267"/>
      <c r="P114" s="267"/>
      <c r="Q114" s="267"/>
      <c r="R114" s="267"/>
      <c r="S114" s="267"/>
      <c r="T114" s="267"/>
      <c r="U114" s="267"/>
      <c r="V114" s="267"/>
      <c r="W114" s="267"/>
      <c r="X114" s="267"/>
      <c r="Y114" s="267"/>
      <c r="Z114" s="267"/>
      <c r="AA114" s="267"/>
      <c r="AB114" s="267"/>
      <c r="AC114" s="267"/>
    </row>
    <row r="115" ht="13.5" customHeight="1">
      <c r="A115" s="263"/>
      <c r="B115" s="263"/>
      <c r="C115" s="264"/>
      <c r="D115" s="264"/>
      <c r="E115" s="265"/>
      <c r="F115" s="265"/>
      <c r="G115" s="263"/>
      <c r="H115" s="263"/>
      <c r="I115" s="263"/>
      <c r="J115" s="266"/>
      <c r="K115" s="266"/>
      <c r="L115" s="263"/>
      <c r="M115" s="263"/>
      <c r="N115" s="267"/>
      <c r="O115" s="267"/>
      <c r="P115" s="267"/>
      <c r="Q115" s="267"/>
      <c r="R115" s="267"/>
      <c r="S115" s="267"/>
      <c r="T115" s="267"/>
      <c r="U115" s="267"/>
      <c r="V115" s="267"/>
      <c r="W115" s="267"/>
      <c r="X115" s="267"/>
      <c r="Y115" s="267"/>
      <c r="Z115" s="267"/>
      <c r="AA115" s="267"/>
      <c r="AB115" s="267"/>
      <c r="AC115" s="267"/>
    </row>
    <row r="116" ht="13.5" customHeight="1">
      <c r="A116" s="263"/>
      <c r="B116" s="263"/>
      <c r="C116" s="264"/>
      <c r="D116" s="264"/>
      <c r="E116" s="265"/>
      <c r="F116" s="265"/>
      <c r="G116" s="263"/>
      <c r="H116" s="263"/>
      <c r="I116" s="263"/>
      <c r="J116" s="266"/>
      <c r="K116" s="266"/>
      <c r="L116" s="263"/>
      <c r="M116" s="263"/>
      <c r="N116" s="267"/>
      <c r="O116" s="267"/>
      <c r="P116" s="267"/>
      <c r="Q116" s="267"/>
      <c r="R116" s="267"/>
      <c r="S116" s="267"/>
      <c r="T116" s="267"/>
      <c r="U116" s="267"/>
      <c r="V116" s="267"/>
      <c r="W116" s="267"/>
      <c r="X116" s="267"/>
      <c r="Y116" s="267"/>
      <c r="Z116" s="267"/>
      <c r="AA116" s="267"/>
      <c r="AB116" s="267"/>
      <c r="AC116" s="267"/>
    </row>
    <row r="117" ht="13.5" customHeight="1">
      <c r="A117" s="263"/>
      <c r="B117" s="263"/>
      <c r="C117" s="264"/>
      <c r="D117" s="264"/>
      <c r="E117" s="265"/>
      <c r="F117" s="265"/>
      <c r="G117" s="263"/>
      <c r="H117" s="263"/>
      <c r="I117" s="263"/>
      <c r="J117" s="266"/>
      <c r="K117" s="266"/>
      <c r="L117" s="263"/>
      <c r="M117" s="263"/>
      <c r="N117" s="267"/>
      <c r="O117" s="267"/>
      <c r="P117" s="267"/>
      <c r="Q117" s="267"/>
      <c r="R117" s="267"/>
      <c r="S117" s="267"/>
      <c r="T117" s="267"/>
      <c r="U117" s="267"/>
      <c r="V117" s="267"/>
      <c r="W117" s="267"/>
      <c r="X117" s="267"/>
      <c r="Y117" s="267"/>
      <c r="Z117" s="267"/>
      <c r="AA117" s="267"/>
      <c r="AB117" s="267"/>
      <c r="AC117" s="267"/>
    </row>
    <row r="118" ht="13.5" customHeight="1">
      <c r="A118" s="268" t="s">
        <v>28</v>
      </c>
      <c r="B118" s="269" t="s">
        <v>222</v>
      </c>
      <c r="C118" s="270" t="s">
        <v>737</v>
      </c>
      <c r="D118" s="270" t="s">
        <v>674</v>
      </c>
      <c r="E118" s="270" t="s">
        <v>675</v>
      </c>
      <c r="F118" s="270" t="s">
        <v>676</v>
      </c>
      <c r="G118" s="269" t="s">
        <v>737</v>
      </c>
      <c r="H118" s="269" t="s">
        <v>674</v>
      </c>
      <c r="I118" s="269" t="s">
        <v>676</v>
      </c>
      <c r="J118" s="270" t="s">
        <v>34</v>
      </c>
      <c r="K118" s="270" t="s">
        <v>678</v>
      </c>
      <c r="L118" s="269" t="s">
        <v>679</v>
      </c>
      <c r="M118" s="271" t="s">
        <v>824</v>
      </c>
      <c r="N118" s="267"/>
      <c r="O118" s="267" t="s">
        <v>680</v>
      </c>
      <c r="P118" s="267"/>
      <c r="Q118" s="267"/>
      <c r="R118" s="267"/>
      <c r="S118" s="267"/>
      <c r="T118" s="267"/>
      <c r="U118" s="267"/>
      <c r="V118" s="267"/>
      <c r="W118" s="267"/>
      <c r="X118" s="267"/>
      <c r="Y118" s="267"/>
      <c r="Z118" s="267"/>
      <c r="AA118" s="267"/>
      <c r="AB118" s="267"/>
      <c r="AC118" s="267"/>
    </row>
    <row r="119" ht="13.5" customHeight="1">
      <c r="A119" s="53"/>
      <c r="B119" s="54"/>
      <c r="C119" s="54"/>
      <c r="D119" s="54"/>
      <c r="E119" s="54"/>
      <c r="F119" s="54"/>
      <c r="G119" s="54"/>
      <c r="H119" s="54"/>
      <c r="I119" s="54"/>
      <c r="J119" s="54"/>
      <c r="K119" s="54"/>
      <c r="L119" s="54"/>
      <c r="M119" s="272"/>
      <c r="N119" s="267"/>
      <c r="O119" s="267"/>
      <c r="P119" s="267"/>
      <c r="Q119" s="267"/>
      <c r="R119" s="267"/>
      <c r="S119" s="267"/>
      <c r="T119" s="267"/>
      <c r="U119" s="267"/>
      <c r="V119" s="267"/>
      <c r="W119" s="267"/>
      <c r="X119" s="267"/>
      <c r="Y119" s="267"/>
      <c r="Z119" s="267"/>
      <c r="AA119" s="267"/>
      <c r="AB119" s="267"/>
      <c r="AC119" s="267"/>
    </row>
    <row r="120" ht="13.5" customHeight="1">
      <c r="A120" s="273"/>
      <c r="B120" s="274" t="s">
        <v>681</v>
      </c>
      <c r="C120" s="275"/>
      <c r="D120" s="275"/>
      <c r="E120" s="275"/>
      <c r="F120" s="275"/>
      <c r="G120" s="276"/>
      <c r="H120" s="276"/>
      <c r="I120" s="276"/>
      <c r="J120" s="275"/>
      <c r="K120" s="275"/>
      <c r="L120" s="277"/>
      <c r="M120" s="278"/>
      <c r="N120" s="267"/>
      <c r="O120" s="267"/>
      <c r="P120" s="267"/>
      <c r="Q120" s="279"/>
      <c r="R120" s="280"/>
      <c r="S120" s="280"/>
      <c r="T120" s="280"/>
      <c r="U120" s="280"/>
      <c r="V120" s="280"/>
      <c r="W120" s="280"/>
      <c r="X120" s="280"/>
      <c r="Y120" s="280"/>
      <c r="Z120" s="280"/>
      <c r="AA120" s="280"/>
      <c r="AB120" s="280"/>
      <c r="AC120" s="280"/>
      <c r="AD120" s="280"/>
      <c r="AE120" s="280"/>
    </row>
    <row r="121" ht="13.5" customHeight="1">
      <c r="A121" s="281"/>
      <c r="B121" s="274" t="s">
        <v>825</v>
      </c>
      <c r="C121" s="282"/>
      <c r="D121" s="282"/>
      <c r="E121" s="282"/>
      <c r="F121" s="282"/>
      <c r="G121" s="274"/>
      <c r="H121" s="274"/>
      <c r="I121" s="274"/>
      <c r="J121" s="282"/>
      <c r="K121" s="282"/>
      <c r="L121" s="283"/>
      <c r="M121" s="284"/>
      <c r="N121" s="279"/>
      <c r="O121" s="279"/>
      <c r="P121" s="279"/>
      <c r="Q121" s="279"/>
      <c r="R121" s="279"/>
      <c r="S121" s="279"/>
      <c r="T121" s="279"/>
      <c r="U121" s="279"/>
      <c r="V121" s="279"/>
      <c r="W121" s="279"/>
      <c r="X121" s="279"/>
      <c r="Y121" s="279"/>
      <c r="Z121" s="279"/>
      <c r="AA121" s="279"/>
      <c r="AB121" s="279"/>
      <c r="AC121" s="279"/>
      <c r="AD121" s="279"/>
      <c r="AE121" s="279"/>
    </row>
    <row r="122" ht="13.5" customHeight="1">
      <c r="A122" s="285"/>
      <c r="B122" s="286" t="s">
        <v>826</v>
      </c>
      <c r="C122" s="287">
        <v>4.0</v>
      </c>
      <c r="D122" s="287">
        <v>7.25</v>
      </c>
      <c r="E122" s="288">
        <f>C122*D122</f>
        <v>29</v>
      </c>
      <c r="F122" s="287" t="s">
        <v>683</v>
      </c>
      <c r="G122" s="289">
        <f t="shared" ref="G122:H122" si="1">C122*300</f>
        <v>1200</v>
      </c>
      <c r="H122" s="289">
        <f t="shared" si="1"/>
        <v>2175</v>
      </c>
      <c r="I122" s="289" t="s">
        <v>684</v>
      </c>
      <c r="J122" s="290">
        <v>3551.0</v>
      </c>
      <c r="K122" s="290">
        <v>1.0</v>
      </c>
      <c r="L122" s="291">
        <f>K122*J122*E122</f>
        <v>102979</v>
      </c>
      <c r="M122" s="292">
        <f>L122-L122*0.4</f>
        <v>61787.4</v>
      </c>
      <c r="N122" s="279" t="s">
        <v>882</v>
      </c>
      <c r="O122" s="279"/>
      <c r="P122" s="279"/>
      <c r="Q122" s="279"/>
      <c r="R122" s="279"/>
      <c r="S122" s="279"/>
      <c r="T122" s="279"/>
      <c r="U122" s="279"/>
      <c r="V122" s="279"/>
      <c r="W122" s="279"/>
      <c r="X122" s="279"/>
      <c r="Y122" s="279"/>
      <c r="Z122" s="279"/>
      <c r="AA122" s="279"/>
      <c r="AB122" s="279"/>
      <c r="AC122" s="279"/>
      <c r="AD122" s="293"/>
      <c r="AE122" s="293"/>
      <c r="AF122" s="293"/>
      <c r="AG122" s="293"/>
      <c r="AH122" s="293"/>
      <c r="AI122" s="293"/>
      <c r="AJ122" s="293"/>
      <c r="AK122" s="293"/>
      <c r="AL122" s="293"/>
      <c r="AM122" s="293"/>
      <c r="AN122" s="293"/>
      <c r="AO122" s="293"/>
      <c r="AP122" s="293"/>
      <c r="AQ122" s="293"/>
    </row>
    <row r="123" ht="13.5" customHeight="1">
      <c r="A123" s="281"/>
      <c r="B123" s="274" t="s">
        <v>827</v>
      </c>
      <c r="C123" s="282"/>
      <c r="D123" s="282"/>
      <c r="E123" s="282"/>
      <c r="F123" s="282"/>
      <c r="G123" s="274"/>
      <c r="H123" s="274"/>
      <c r="I123" s="274"/>
      <c r="J123" s="282"/>
      <c r="K123" s="282"/>
      <c r="L123" s="283"/>
      <c r="M123" s="284"/>
      <c r="N123" s="279"/>
      <c r="O123" s="279"/>
      <c r="P123" s="279"/>
      <c r="Q123" s="279"/>
      <c r="R123" s="279"/>
      <c r="S123" s="279"/>
      <c r="T123" s="279"/>
      <c r="U123" s="279"/>
      <c r="V123" s="279"/>
      <c r="W123" s="279"/>
      <c r="X123" s="279"/>
      <c r="Y123" s="279"/>
      <c r="Z123" s="279"/>
      <c r="AA123" s="279"/>
      <c r="AB123" s="279"/>
      <c r="AC123" s="279"/>
      <c r="AD123" s="279"/>
      <c r="AE123" s="279"/>
      <c r="AF123" s="293"/>
      <c r="AG123" s="293"/>
      <c r="AH123" s="293"/>
      <c r="AI123" s="293"/>
      <c r="AJ123" s="293"/>
      <c r="AK123" s="293"/>
      <c r="AL123" s="293"/>
      <c r="AM123" s="293"/>
      <c r="AN123" s="293"/>
      <c r="AO123" s="293"/>
      <c r="AP123" s="293"/>
      <c r="AQ123" s="293"/>
    </row>
    <row r="124" ht="13.5" customHeight="1">
      <c r="A124" s="285"/>
      <c r="B124" s="286" t="s">
        <v>828</v>
      </c>
      <c r="C124" s="287">
        <v>4.0</v>
      </c>
      <c r="D124" s="287">
        <v>7.25</v>
      </c>
      <c r="E124" s="288">
        <f>C124*D124</f>
        <v>29</v>
      </c>
      <c r="F124" s="287" t="s">
        <v>683</v>
      </c>
      <c r="G124" s="289">
        <f t="shared" ref="G124:H124" si="2">C124*300</f>
        <v>1200</v>
      </c>
      <c r="H124" s="289">
        <f t="shared" si="2"/>
        <v>2175</v>
      </c>
      <c r="I124" s="289" t="s">
        <v>684</v>
      </c>
      <c r="J124" s="290">
        <v>6848.0</v>
      </c>
      <c r="K124" s="290">
        <v>1.0</v>
      </c>
      <c r="L124" s="291">
        <f>K124*J124*E124</f>
        <v>198592</v>
      </c>
      <c r="M124" s="292">
        <f>L124-L124*0.4</f>
        <v>119155.2</v>
      </c>
      <c r="N124" s="279" t="s">
        <v>882</v>
      </c>
      <c r="O124" s="279"/>
      <c r="P124" s="279"/>
      <c r="Q124" s="279"/>
      <c r="R124" s="279"/>
      <c r="S124" s="279"/>
      <c r="T124" s="279"/>
      <c r="U124" s="279"/>
      <c r="V124" s="279"/>
      <c r="W124" s="279"/>
      <c r="X124" s="279"/>
      <c r="Y124" s="279"/>
      <c r="Z124" s="279"/>
      <c r="AA124" s="279"/>
      <c r="AB124" s="279"/>
      <c r="AC124" s="279"/>
      <c r="AD124" s="293"/>
      <c r="AE124" s="293"/>
      <c r="AF124" s="293"/>
      <c r="AG124" s="293"/>
      <c r="AH124" s="293"/>
      <c r="AI124" s="293"/>
      <c r="AJ124" s="293"/>
      <c r="AK124" s="293"/>
      <c r="AL124" s="293"/>
      <c r="AM124" s="293"/>
      <c r="AN124" s="293"/>
      <c r="AO124" s="293"/>
      <c r="AP124" s="293"/>
      <c r="AQ124" s="293"/>
    </row>
    <row r="125" ht="13.5" customHeight="1">
      <c r="A125" s="281"/>
      <c r="B125" s="274" t="s">
        <v>829</v>
      </c>
      <c r="C125" s="282"/>
      <c r="D125" s="282"/>
      <c r="E125" s="282"/>
      <c r="F125" s="282"/>
      <c r="G125" s="274"/>
      <c r="H125" s="274"/>
      <c r="I125" s="274"/>
      <c r="J125" s="282"/>
      <c r="K125" s="282"/>
      <c r="L125" s="283"/>
      <c r="M125" s="284"/>
      <c r="N125" s="279"/>
      <c r="O125" s="279"/>
      <c r="P125" s="279"/>
      <c r="Q125" s="279"/>
      <c r="R125" s="279"/>
      <c r="S125" s="279"/>
      <c r="T125" s="279"/>
      <c r="U125" s="279"/>
      <c r="V125" s="279"/>
      <c r="W125" s="279"/>
      <c r="X125" s="279"/>
      <c r="Y125" s="279"/>
      <c r="Z125" s="279"/>
      <c r="AA125" s="279"/>
      <c r="AB125" s="279"/>
      <c r="AC125" s="279"/>
      <c r="AD125" s="279"/>
      <c r="AE125" s="279"/>
      <c r="AF125" s="293"/>
      <c r="AG125" s="293"/>
      <c r="AH125" s="293"/>
      <c r="AI125" s="293"/>
      <c r="AJ125" s="293"/>
      <c r="AK125" s="293"/>
      <c r="AL125" s="293"/>
      <c r="AM125" s="293"/>
      <c r="AN125" s="293"/>
      <c r="AO125" s="293"/>
      <c r="AP125" s="293"/>
      <c r="AQ125" s="293"/>
    </row>
    <row r="126" ht="13.5" customHeight="1">
      <c r="A126" s="294"/>
      <c r="B126" s="295" t="s">
        <v>830</v>
      </c>
      <c r="C126" s="287">
        <v>13.75</v>
      </c>
      <c r="D126" s="287">
        <v>5.5</v>
      </c>
      <c r="E126" s="288">
        <f t="shared" ref="E126:E128" si="4">C126*D126</f>
        <v>75.625</v>
      </c>
      <c r="F126" s="287" t="s">
        <v>683</v>
      </c>
      <c r="G126" s="289">
        <f t="shared" ref="G126:H126" si="3">C126*300</f>
        <v>4125</v>
      </c>
      <c r="H126" s="289">
        <f t="shared" si="3"/>
        <v>1650</v>
      </c>
      <c r="I126" s="296" t="s">
        <v>684</v>
      </c>
      <c r="J126" s="297">
        <f>1647+357</f>
        <v>2004</v>
      </c>
      <c r="K126" s="297">
        <v>1.0</v>
      </c>
      <c r="L126" s="291">
        <f t="shared" ref="L126:L128" si="6">K126*J126*E126</f>
        <v>151552.5</v>
      </c>
      <c r="M126" s="292">
        <f t="shared" ref="M126:M128" si="7">L126-L126*0.4</f>
        <v>90931.5</v>
      </c>
      <c r="N126" s="279" t="s">
        <v>882</v>
      </c>
      <c r="O126" s="267"/>
      <c r="P126" s="267"/>
      <c r="Q126" s="267"/>
      <c r="R126" s="267"/>
      <c r="S126" s="267"/>
      <c r="T126" s="279"/>
      <c r="U126" s="279"/>
      <c r="V126" s="279"/>
      <c r="W126" s="279"/>
      <c r="X126" s="279"/>
      <c r="Y126" s="279"/>
      <c r="Z126" s="279"/>
      <c r="AA126" s="279"/>
      <c r="AB126" s="279"/>
      <c r="AC126" s="279"/>
      <c r="AD126" s="293"/>
      <c r="AE126" s="293"/>
      <c r="AF126" s="293"/>
      <c r="AG126" s="293"/>
      <c r="AH126" s="293"/>
      <c r="AI126" s="293"/>
      <c r="AJ126" s="293"/>
      <c r="AK126" s="293"/>
      <c r="AL126" s="293"/>
      <c r="AM126" s="293"/>
      <c r="AN126" s="293"/>
      <c r="AO126" s="293"/>
      <c r="AP126" s="293"/>
      <c r="AQ126" s="293"/>
    </row>
    <row r="127" ht="13.5" customHeight="1">
      <c r="A127" s="285"/>
      <c r="B127" s="286" t="s">
        <v>831</v>
      </c>
      <c r="C127" s="287">
        <v>13.75</v>
      </c>
      <c r="D127" s="287">
        <v>1.5</v>
      </c>
      <c r="E127" s="288">
        <f t="shared" si="4"/>
        <v>20.625</v>
      </c>
      <c r="F127" s="287" t="s">
        <v>683</v>
      </c>
      <c r="G127" s="289">
        <f t="shared" ref="G127:H127" si="5">C127*300</f>
        <v>4125</v>
      </c>
      <c r="H127" s="289">
        <f t="shared" si="5"/>
        <v>450</v>
      </c>
      <c r="I127" s="289" t="s">
        <v>684</v>
      </c>
      <c r="J127" s="290">
        <v>3843.0</v>
      </c>
      <c r="K127" s="290">
        <v>1.0</v>
      </c>
      <c r="L127" s="291">
        <f t="shared" si="6"/>
        <v>79261.875</v>
      </c>
      <c r="M127" s="292">
        <f t="shared" si="7"/>
        <v>47557.125</v>
      </c>
      <c r="N127" s="279"/>
      <c r="O127" s="279"/>
      <c r="P127" s="279"/>
      <c r="Q127" s="279"/>
      <c r="R127" s="279"/>
      <c r="S127" s="279"/>
      <c r="T127" s="279"/>
      <c r="U127" s="279"/>
      <c r="V127" s="279"/>
      <c r="W127" s="279"/>
      <c r="X127" s="279"/>
      <c r="Y127" s="279"/>
      <c r="Z127" s="279"/>
      <c r="AA127" s="279"/>
      <c r="AB127" s="279"/>
      <c r="AC127" s="279"/>
      <c r="AD127" s="293"/>
      <c r="AE127" s="293"/>
      <c r="AF127" s="293"/>
      <c r="AG127" s="293"/>
      <c r="AH127" s="293"/>
      <c r="AI127" s="293"/>
      <c r="AJ127" s="293"/>
      <c r="AK127" s="293"/>
      <c r="AL127" s="293"/>
      <c r="AM127" s="293"/>
      <c r="AN127" s="293"/>
      <c r="AO127" s="293"/>
      <c r="AP127" s="293"/>
      <c r="AQ127" s="293"/>
    </row>
    <row r="128" ht="13.5" customHeight="1">
      <c r="A128" s="285"/>
      <c r="B128" s="286" t="s">
        <v>832</v>
      </c>
      <c r="C128" s="287">
        <v>1.5</v>
      </c>
      <c r="D128" s="287">
        <v>7.0</v>
      </c>
      <c r="E128" s="288">
        <f t="shared" si="4"/>
        <v>10.5</v>
      </c>
      <c r="F128" s="287" t="s">
        <v>683</v>
      </c>
      <c r="G128" s="289">
        <f t="shared" ref="G128:H128" si="8">C128*300</f>
        <v>450</v>
      </c>
      <c r="H128" s="289">
        <f t="shared" si="8"/>
        <v>2100</v>
      </c>
      <c r="I128" s="289" t="s">
        <v>684</v>
      </c>
      <c r="J128" s="290">
        <v>6621.0</v>
      </c>
      <c r="K128" s="290">
        <v>1.0</v>
      </c>
      <c r="L128" s="291">
        <f t="shared" si="6"/>
        <v>69520.5</v>
      </c>
      <c r="M128" s="292">
        <f t="shared" si="7"/>
        <v>41712.3</v>
      </c>
      <c r="N128" s="279"/>
      <c r="O128" s="279"/>
      <c r="P128" s="279"/>
      <c r="Q128" s="279"/>
      <c r="R128" s="279"/>
      <c r="S128" s="279"/>
      <c r="T128" s="279"/>
      <c r="U128" s="279"/>
      <c r="V128" s="279"/>
      <c r="W128" s="279"/>
      <c r="X128" s="279"/>
      <c r="Y128" s="279"/>
      <c r="Z128" s="279"/>
      <c r="AA128" s="279"/>
      <c r="AB128" s="279"/>
      <c r="AC128" s="279"/>
      <c r="AD128" s="293"/>
      <c r="AE128" s="293"/>
      <c r="AF128" s="293"/>
      <c r="AG128" s="293"/>
      <c r="AH128" s="293"/>
      <c r="AI128" s="293"/>
      <c r="AJ128" s="293"/>
      <c r="AK128" s="293"/>
      <c r="AL128" s="293"/>
      <c r="AM128" s="293"/>
      <c r="AN128" s="293"/>
      <c r="AO128" s="293"/>
      <c r="AP128" s="293"/>
      <c r="AQ128" s="293"/>
    </row>
    <row r="129" ht="13.5" customHeight="1">
      <c r="A129" s="281"/>
      <c r="B129" s="274" t="s">
        <v>833</v>
      </c>
      <c r="C129" s="282"/>
      <c r="D129" s="282"/>
      <c r="E129" s="282"/>
      <c r="F129" s="282"/>
      <c r="G129" s="274"/>
      <c r="H129" s="274"/>
      <c r="I129" s="274"/>
      <c r="J129" s="282"/>
      <c r="K129" s="282"/>
      <c r="L129" s="283"/>
      <c r="M129" s="284"/>
      <c r="N129" s="279"/>
      <c r="O129" s="279"/>
      <c r="P129" s="279"/>
      <c r="Q129" s="279"/>
      <c r="R129" s="279"/>
      <c r="S129" s="279"/>
      <c r="T129" s="279"/>
      <c r="U129" s="279"/>
      <c r="V129" s="279"/>
      <c r="W129" s="279"/>
      <c r="X129" s="279"/>
      <c r="Y129" s="279"/>
      <c r="Z129" s="279"/>
      <c r="AA129" s="279"/>
      <c r="AB129" s="279"/>
      <c r="AC129" s="279"/>
      <c r="AD129" s="279"/>
      <c r="AE129" s="279"/>
      <c r="AF129" s="293"/>
      <c r="AG129" s="293"/>
      <c r="AH129" s="293"/>
      <c r="AI129" s="293"/>
      <c r="AJ129" s="293"/>
      <c r="AK129" s="293"/>
      <c r="AL129" s="293"/>
      <c r="AM129" s="293"/>
      <c r="AN129" s="293"/>
      <c r="AO129" s="293"/>
      <c r="AP129" s="293"/>
      <c r="AQ129" s="293"/>
    </row>
    <row r="130" ht="13.5" customHeight="1">
      <c r="A130" s="285"/>
      <c r="B130" s="286" t="s">
        <v>883</v>
      </c>
      <c r="C130" s="287">
        <v>3.25</v>
      </c>
      <c r="D130" s="287">
        <v>6.75</v>
      </c>
      <c r="E130" s="288">
        <f t="shared" ref="E130:E133" si="10">C130*D130</f>
        <v>21.9375</v>
      </c>
      <c r="F130" s="287" t="s">
        <v>683</v>
      </c>
      <c r="G130" s="289">
        <f t="shared" ref="G130:H130" si="9">C130*300</f>
        <v>975</v>
      </c>
      <c r="H130" s="289">
        <f t="shared" si="9"/>
        <v>2025</v>
      </c>
      <c r="I130" s="289" t="s">
        <v>684</v>
      </c>
      <c r="J130" s="290">
        <v>5985.0</v>
      </c>
      <c r="K130" s="290">
        <v>1.0</v>
      </c>
      <c r="L130" s="291">
        <f t="shared" ref="L130:L133" si="12">K130*J130*E130</f>
        <v>131295.9375</v>
      </c>
      <c r="M130" s="292">
        <f t="shared" ref="M130:M133" si="13">L130-L130*0.4</f>
        <v>78777.5625</v>
      </c>
      <c r="N130" s="279"/>
      <c r="O130" s="279"/>
      <c r="P130" s="279"/>
      <c r="Q130" s="279"/>
      <c r="R130" s="279"/>
      <c r="S130" s="279"/>
      <c r="T130" s="279"/>
      <c r="U130" s="279"/>
      <c r="V130" s="279"/>
      <c r="W130" s="279"/>
      <c r="X130" s="279"/>
      <c r="Y130" s="279"/>
      <c r="Z130" s="279"/>
      <c r="AA130" s="279"/>
      <c r="AB130" s="279"/>
      <c r="AC130" s="279"/>
      <c r="AD130" s="293"/>
      <c r="AE130" s="293"/>
      <c r="AF130" s="293"/>
      <c r="AG130" s="293"/>
      <c r="AH130" s="293"/>
      <c r="AI130" s="293"/>
      <c r="AJ130" s="293"/>
      <c r="AK130" s="293"/>
      <c r="AL130" s="293"/>
      <c r="AM130" s="293"/>
      <c r="AN130" s="293"/>
      <c r="AO130" s="293"/>
      <c r="AP130" s="293"/>
      <c r="AQ130" s="293"/>
    </row>
    <row r="131" ht="13.5" customHeight="1">
      <c r="A131" s="285"/>
      <c r="B131" s="286" t="s">
        <v>836</v>
      </c>
      <c r="C131" s="287">
        <v>7.5</v>
      </c>
      <c r="D131" s="287">
        <v>6.75</v>
      </c>
      <c r="E131" s="288">
        <f t="shared" si="10"/>
        <v>50.625</v>
      </c>
      <c r="F131" s="287" t="s">
        <v>683</v>
      </c>
      <c r="G131" s="289">
        <f t="shared" ref="G131:H131" si="11">C131*300</f>
        <v>2250</v>
      </c>
      <c r="H131" s="289">
        <f t="shared" si="11"/>
        <v>2025</v>
      </c>
      <c r="I131" s="289" t="s">
        <v>684</v>
      </c>
      <c r="J131" s="290">
        <v>2003.0</v>
      </c>
      <c r="K131" s="290">
        <v>1.0</v>
      </c>
      <c r="L131" s="291">
        <f t="shared" si="12"/>
        <v>101401.875</v>
      </c>
      <c r="M131" s="292">
        <f t="shared" si="13"/>
        <v>60841.125</v>
      </c>
      <c r="N131" s="279"/>
      <c r="O131" s="279"/>
      <c r="P131" s="279"/>
      <c r="Q131" s="279"/>
      <c r="R131" s="279"/>
      <c r="S131" s="279"/>
      <c r="T131" s="279"/>
      <c r="U131" s="279"/>
      <c r="V131" s="279"/>
      <c r="W131" s="279"/>
      <c r="X131" s="279"/>
      <c r="Y131" s="279"/>
      <c r="Z131" s="279"/>
      <c r="AA131" s="279"/>
      <c r="AB131" s="279"/>
      <c r="AC131" s="279"/>
      <c r="AD131" s="293"/>
      <c r="AE131" s="293"/>
      <c r="AF131" s="293"/>
      <c r="AG131" s="293"/>
      <c r="AH131" s="293"/>
      <c r="AI131" s="293"/>
      <c r="AJ131" s="293"/>
      <c r="AK131" s="293"/>
      <c r="AL131" s="293"/>
      <c r="AM131" s="293"/>
      <c r="AN131" s="293"/>
      <c r="AO131" s="293"/>
      <c r="AP131" s="293"/>
      <c r="AQ131" s="293"/>
    </row>
    <row r="132" ht="13.5" customHeight="1">
      <c r="A132" s="285"/>
      <c r="B132" s="286" t="s">
        <v>837</v>
      </c>
      <c r="C132" s="287">
        <v>3.5</v>
      </c>
      <c r="D132" s="287">
        <v>1.5</v>
      </c>
      <c r="E132" s="288">
        <f t="shared" si="10"/>
        <v>5.25</v>
      </c>
      <c r="F132" s="287" t="s">
        <v>683</v>
      </c>
      <c r="G132" s="289">
        <f t="shared" ref="G132:H132" si="14">C132*300</f>
        <v>1050</v>
      </c>
      <c r="H132" s="289">
        <f t="shared" si="14"/>
        <v>450</v>
      </c>
      <c r="I132" s="289" t="s">
        <v>684</v>
      </c>
      <c r="J132" s="290">
        <v>1666.0</v>
      </c>
      <c r="K132" s="290">
        <v>3.0</v>
      </c>
      <c r="L132" s="291">
        <f t="shared" si="12"/>
        <v>26239.5</v>
      </c>
      <c r="M132" s="292">
        <f t="shared" si="13"/>
        <v>15743.7</v>
      </c>
      <c r="N132" s="279"/>
      <c r="O132" s="279"/>
      <c r="P132" s="279"/>
      <c r="Q132" s="279"/>
      <c r="R132" s="279"/>
      <c r="S132" s="279"/>
      <c r="T132" s="279"/>
      <c r="U132" s="279"/>
      <c r="V132" s="279"/>
      <c r="W132" s="279"/>
      <c r="X132" s="279"/>
      <c r="Y132" s="279"/>
      <c r="Z132" s="279"/>
      <c r="AA132" s="279"/>
      <c r="AB132" s="279"/>
      <c r="AC132" s="279"/>
      <c r="AD132" s="293"/>
      <c r="AE132" s="293"/>
      <c r="AF132" s="293"/>
      <c r="AG132" s="293"/>
      <c r="AH132" s="293"/>
      <c r="AI132" s="293"/>
      <c r="AJ132" s="293"/>
      <c r="AK132" s="293"/>
      <c r="AL132" s="293"/>
      <c r="AM132" s="293"/>
      <c r="AN132" s="293"/>
      <c r="AO132" s="293"/>
      <c r="AP132" s="293"/>
      <c r="AQ132" s="293"/>
    </row>
    <row r="133" ht="13.5" customHeight="1">
      <c r="A133" s="285"/>
      <c r="B133" s="286" t="s">
        <v>838</v>
      </c>
      <c r="C133" s="287">
        <v>3.0</v>
      </c>
      <c r="D133" s="287">
        <v>2.5</v>
      </c>
      <c r="E133" s="288">
        <f t="shared" si="10"/>
        <v>7.5</v>
      </c>
      <c r="F133" s="287" t="s">
        <v>683</v>
      </c>
      <c r="G133" s="289">
        <f t="shared" ref="G133:H133" si="15">C133*300</f>
        <v>900</v>
      </c>
      <c r="H133" s="289">
        <f t="shared" si="15"/>
        <v>750</v>
      </c>
      <c r="I133" s="289" t="s">
        <v>684</v>
      </c>
      <c r="J133" s="290">
        <v>1428.0</v>
      </c>
      <c r="K133" s="290">
        <v>1.0</v>
      </c>
      <c r="L133" s="291">
        <f t="shared" si="12"/>
        <v>10710</v>
      </c>
      <c r="M133" s="292">
        <f t="shared" si="13"/>
        <v>6426</v>
      </c>
      <c r="N133" s="279"/>
      <c r="O133" s="279"/>
      <c r="P133" s="279"/>
      <c r="Q133" s="279"/>
      <c r="R133" s="279"/>
      <c r="S133" s="279"/>
      <c r="T133" s="279"/>
      <c r="U133" s="279"/>
      <c r="V133" s="279"/>
      <c r="W133" s="279"/>
      <c r="X133" s="279"/>
      <c r="Y133" s="279"/>
      <c r="Z133" s="279"/>
      <c r="AA133" s="279"/>
      <c r="AB133" s="279"/>
      <c r="AC133" s="279"/>
      <c r="AD133" s="293"/>
      <c r="AE133" s="293"/>
      <c r="AF133" s="293"/>
      <c r="AG133" s="293"/>
      <c r="AH133" s="293"/>
      <c r="AI133" s="293"/>
      <c r="AJ133" s="293"/>
      <c r="AK133" s="293"/>
      <c r="AL133" s="293"/>
      <c r="AM133" s="293"/>
      <c r="AN133" s="293"/>
      <c r="AO133" s="293"/>
      <c r="AP133" s="293"/>
      <c r="AQ133" s="293"/>
    </row>
    <row r="134" ht="13.5" customHeight="1">
      <c r="A134" s="298"/>
      <c r="B134" s="274" t="s">
        <v>688</v>
      </c>
      <c r="C134" s="299"/>
      <c r="D134" s="299"/>
      <c r="E134" s="300"/>
      <c r="F134" s="299"/>
      <c r="G134" s="301"/>
      <c r="H134" s="301"/>
      <c r="I134" s="301"/>
      <c r="J134" s="302"/>
      <c r="K134" s="302"/>
      <c r="L134" s="303"/>
      <c r="M134" s="284"/>
      <c r="N134" s="304"/>
      <c r="O134" s="304"/>
      <c r="P134" s="304"/>
      <c r="Q134" s="304"/>
      <c r="R134" s="304"/>
      <c r="S134" s="304"/>
      <c r="T134" s="304"/>
      <c r="U134" s="304"/>
      <c r="V134" s="304"/>
      <c r="W134" s="304"/>
      <c r="X134" s="304"/>
      <c r="Y134" s="304"/>
      <c r="Z134" s="304"/>
      <c r="AA134" s="304"/>
      <c r="AB134" s="304"/>
      <c r="AC134" s="304"/>
      <c r="AD134" s="304"/>
      <c r="AE134" s="304"/>
    </row>
    <row r="135" ht="13.5" customHeight="1">
      <c r="A135" s="285"/>
      <c r="B135" s="286" t="s">
        <v>839</v>
      </c>
      <c r="C135" s="287">
        <v>8.25</v>
      </c>
      <c r="D135" s="287">
        <v>3.0</v>
      </c>
      <c r="E135" s="288">
        <f t="shared" ref="E135:E145" si="17">C135*D135</f>
        <v>24.75</v>
      </c>
      <c r="F135" s="287" t="s">
        <v>683</v>
      </c>
      <c r="G135" s="289">
        <f t="shared" ref="G135:H135" si="16">C135*300</f>
        <v>2475</v>
      </c>
      <c r="H135" s="289">
        <f t="shared" si="16"/>
        <v>900</v>
      </c>
      <c r="I135" s="289" t="s">
        <v>684</v>
      </c>
      <c r="J135" s="290">
        <f>1428+357</f>
        <v>1785</v>
      </c>
      <c r="K135" s="290">
        <v>1.0</v>
      </c>
      <c r="L135" s="291">
        <f t="shared" ref="L135:L145" si="19">K135*J135*E135</f>
        <v>44178.75</v>
      </c>
      <c r="M135" s="292">
        <f t="shared" ref="M135:M145" si="20">L135-L135*0.4</f>
        <v>26507.25</v>
      </c>
      <c r="N135" s="305"/>
      <c r="O135" s="279"/>
      <c r="P135" s="279"/>
      <c r="Q135" s="279"/>
      <c r="R135" s="279"/>
      <c r="S135" s="279"/>
      <c r="T135" s="279"/>
      <c r="U135" s="279"/>
      <c r="V135" s="279"/>
      <c r="W135" s="279"/>
      <c r="X135" s="279"/>
      <c r="Y135" s="279"/>
      <c r="Z135" s="279"/>
      <c r="AA135" s="279"/>
      <c r="AB135" s="279"/>
      <c r="AC135" s="279"/>
    </row>
    <row r="136" ht="13.5" customHeight="1">
      <c r="A136" s="285"/>
      <c r="B136" s="286" t="s">
        <v>884</v>
      </c>
      <c r="C136" s="287">
        <v>14.75</v>
      </c>
      <c r="D136" s="287">
        <v>1.0</v>
      </c>
      <c r="E136" s="288">
        <f t="shared" si="17"/>
        <v>14.75</v>
      </c>
      <c r="F136" s="287" t="s">
        <v>683</v>
      </c>
      <c r="G136" s="289">
        <f t="shared" ref="G136:H136" si="18">C136*300</f>
        <v>4425</v>
      </c>
      <c r="H136" s="289">
        <f t="shared" si="18"/>
        <v>300</v>
      </c>
      <c r="I136" s="289" t="s">
        <v>684</v>
      </c>
      <c r="J136" s="290">
        <v>1428.0</v>
      </c>
      <c r="K136" s="290">
        <v>1.0</v>
      </c>
      <c r="L136" s="291">
        <f t="shared" si="19"/>
        <v>21063</v>
      </c>
      <c r="M136" s="292">
        <f t="shared" si="20"/>
        <v>12637.8</v>
      </c>
      <c r="N136" s="305"/>
      <c r="O136" s="279"/>
      <c r="P136" s="279"/>
      <c r="Q136" s="279"/>
      <c r="R136" s="279"/>
      <c r="S136" s="279"/>
      <c r="T136" s="279"/>
      <c r="U136" s="279"/>
      <c r="V136" s="279"/>
      <c r="W136" s="279"/>
      <c r="X136" s="279"/>
      <c r="Y136" s="279"/>
      <c r="Z136" s="279"/>
      <c r="AA136" s="279"/>
      <c r="AB136" s="279"/>
      <c r="AC136" s="279"/>
      <c r="AD136" s="293"/>
      <c r="AE136" s="293"/>
      <c r="AF136" s="293"/>
      <c r="AG136" s="293"/>
      <c r="AH136" s="293"/>
      <c r="AI136" s="293"/>
      <c r="AJ136" s="293"/>
      <c r="AK136" s="293"/>
      <c r="AL136" s="293"/>
      <c r="AM136" s="293"/>
      <c r="AN136" s="293"/>
      <c r="AO136" s="293"/>
      <c r="AP136" s="293"/>
      <c r="AQ136" s="293"/>
    </row>
    <row r="137" ht="13.5" customHeight="1">
      <c r="A137" s="285"/>
      <c r="B137" s="286" t="s">
        <v>840</v>
      </c>
      <c r="C137" s="287">
        <v>22.25</v>
      </c>
      <c r="D137" s="287">
        <v>3.0</v>
      </c>
      <c r="E137" s="288">
        <f t="shared" si="17"/>
        <v>66.75</v>
      </c>
      <c r="F137" s="287" t="s">
        <v>683</v>
      </c>
      <c r="G137" s="289">
        <f t="shared" ref="G137:H137" si="21">C137*300</f>
        <v>6675</v>
      </c>
      <c r="H137" s="289">
        <f t="shared" si="21"/>
        <v>900</v>
      </c>
      <c r="I137" s="289" t="s">
        <v>684</v>
      </c>
      <c r="J137" s="290">
        <v>5093.0</v>
      </c>
      <c r="K137" s="290">
        <v>1.0</v>
      </c>
      <c r="L137" s="291">
        <f t="shared" si="19"/>
        <v>339957.75</v>
      </c>
      <c r="M137" s="292">
        <f t="shared" si="20"/>
        <v>203974.65</v>
      </c>
      <c r="N137" s="279"/>
      <c r="O137" s="279"/>
      <c r="P137" s="279"/>
      <c r="Q137" s="279"/>
      <c r="R137" s="279"/>
      <c r="S137" s="279"/>
      <c r="T137" s="279"/>
      <c r="U137" s="279"/>
      <c r="V137" s="279"/>
      <c r="W137" s="279"/>
      <c r="X137" s="279"/>
      <c r="Y137" s="279"/>
      <c r="Z137" s="279"/>
      <c r="AA137" s="279"/>
      <c r="AB137" s="279"/>
      <c r="AC137" s="279"/>
    </row>
    <row r="138" ht="13.5" customHeight="1">
      <c r="A138" s="285"/>
      <c r="B138" s="286" t="s">
        <v>841</v>
      </c>
      <c r="C138" s="287">
        <v>12.25</v>
      </c>
      <c r="D138" s="287">
        <v>2.25</v>
      </c>
      <c r="E138" s="288">
        <f t="shared" si="17"/>
        <v>27.5625</v>
      </c>
      <c r="F138" s="287" t="s">
        <v>683</v>
      </c>
      <c r="G138" s="289">
        <f t="shared" ref="G138:H138" si="22">C138*300</f>
        <v>3675</v>
      </c>
      <c r="H138" s="289">
        <f t="shared" si="22"/>
        <v>675</v>
      </c>
      <c r="I138" s="289" t="s">
        <v>684</v>
      </c>
      <c r="J138" s="290">
        <v>4607.0</v>
      </c>
      <c r="K138" s="290">
        <v>1.0</v>
      </c>
      <c r="L138" s="291">
        <f t="shared" si="19"/>
        <v>126980.4375</v>
      </c>
      <c r="M138" s="292">
        <f t="shared" si="20"/>
        <v>76188.2625</v>
      </c>
      <c r="N138" s="279"/>
      <c r="O138" s="279"/>
      <c r="P138" s="279"/>
      <c r="Q138" s="279"/>
      <c r="R138" s="279"/>
      <c r="S138" s="279"/>
      <c r="T138" s="279"/>
      <c r="U138" s="279"/>
      <c r="V138" s="279"/>
      <c r="W138" s="279"/>
      <c r="X138" s="279"/>
      <c r="Y138" s="279"/>
      <c r="Z138" s="279"/>
      <c r="AA138" s="279"/>
      <c r="AB138" s="279"/>
      <c r="AC138" s="279"/>
    </row>
    <row r="139" ht="13.5" customHeight="1">
      <c r="A139" s="285"/>
      <c r="B139" s="286" t="s">
        <v>842</v>
      </c>
      <c r="C139" s="287">
        <v>1.25</v>
      </c>
      <c r="D139" s="287">
        <v>4.25</v>
      </c>
      <c r="E139" s="288">
        <f t="shared" si="17"/>
        <v>5.3125</v>
      </c>
      <c r="F139" s="287" t="s">
        <v>683</v>
      </c>
      <c r="G139" s="289">
        <f t="shared" ref="G139:H139" si="23">C139*300</f>
        <v>375</v>
      </c>
      <c r="H139" s="289">
        <f t="shared" si="23"/>
        <v>1275</v>
      </c>
      <c r="I139" s="289" t="s">
        <v>684</v>
      </c>
      <c r="J139" s="290">
        <v>6367.0</v>
      </c>
      <c r="K139" s="290">
        <v>1.0</v>
      </c>
      <c r="L139" s="291">
        <f t="shared" si="19"/>
        <v>33824.6875</v>
      </c>
      <c r="M139" s="292">
        <f t="shared" si="20"/>
        <v>20294.8125</v>
      </c>
      <c r="N139" s="279"/>
      <c r="O139" s="279"/>
      <c r="P139" s="279"/>
      <c r="Q139" s="279"/>
      <c r="R139" s="279"/>
      <c r="S139" s="279"/>
      <c r="T139" s="279"/>
      <c r="U139" s="279"/>
      <c r="V139" s="279"/>
      <c r="W139" s="279"/>
      <c r="X139" s="279"/>
      <c r="Y139" s="279"/>
      <c r="Z139" s="279"/>
      <c r="AA139" s="279"/>
      <c r="AB139" s="279"/>
      <c r="AC139" s="279"/>
    </row>
    <row r="140" ht="13.5" customHeight="1">
      <c r="A140" s="285"/>
      <c r="B140" s="286" t="s">
        <v>843</v>
      </c>
      <c r="C140" s="287">
        <v>5.5</v>
      </c>
      <c r="D140" s="287">
        <v>2.25</v>
      </c>
      <c r="E140" s="288">
        <f t="shared" si="17"/>
        <v>12.375</v>
      </c>
      <c r="F140" s="287" t="s">
        <v>683</v>
      </c>
      <c r="G140" s="289">
        <f t="shared" ref="G140:H140" si="24">C140*300</f>
        <v>1650</v>
      </c>
      <c r="H140" s="289">
        <f t="shared" si="24"/>
        <v>675</v>
      </c>
      <c r="I140" s="289" t="s">
        <v>684</v>
      </c>
      <c r="J140" s="290">
        <v>6367.0</v>
      </c>
      <c r="K140" s="290">
        <v>1.0</v>
      </c>
      <c r="L140" s="291">
        <f t="shared" si="19"/>
        <v>78791.625</v>
      </c>
      <c r="M140" s="292">
        <f t="shared" si="20"/>
        <v>47274.975</v>
      </c>
      <c r="N140" s="279"/>
      <c r="O140" s="279"/>
      <c r="P140" s="279"/>
      <c r="Q140" s="279"/>
      <c r="R140" s="279"/>
      <c r="S140" s="279"/>
      <c r="T140" s="279"/>
      <c r="U140" s="279"/>
      <c r="V140" s="279"/>
      <c r="W140" s="279"/>
      <c r="X140" s="279"/>
      <c r="Y140" s="279"/>
      <c r="Z140" s="279"/>
      <c r="AA140" s="279"/>
      <c r="AB140" s="279"/>
      <c r="AC140" s="279"/>
      <c r="AD140" s="293"/>
      <c r="AE140" s="293"/>
      <c r="AF140" s="293"/>
      <c r="AG140" s="293"/>
      <c r="AH140" s="293"/>
      <c r="AI140" s="293"/>
      <c r="AJ140" s="293"/>
      <c r="AK140" s="293"/>
      <c r="AL140" s="293"/>
      <c r="AM140" s="293"/>
      <c r="AN140" s="293"/>
      <c r="AO140" s="293"/>
      <c r="AP140" s="293"/>
      <c r="AQ140" s="293"/>
    </row>
    <row r="141" ht="13.5" customHeight="1">
      <c r="A141" s="285"/>
      <c r="B141" s="286" t="s">
        <v>844</v>
      </c>
      <c r="C141" s="287">
        <v>5.75</v>
      </c>
      <c r="D141" s="287">
        <v>7.25</v>
      </c>
      <c r="E141" s="288">
        <f t="shared" si="17"/>
        <v>41.6875</v>
      </c>
      <c r="F141" s="287" t="s">
        <v>683</v>
      </c>
      <c r="G141" s="289">
        <f t="shared" ref="G141:H141" si="25">C141*300</f>
        <v>1725</v>
      </c>
      <c r="H141" s="289">
        <f t="shared" si="25"/>
        <v>2175</v>
      </c>
      <c r="I141" s="289" t="s">
        <v>684</v>
      </c>
      <c r="J141" s="290">
        <v>4607.0</v>
      </c>
      <c r="K141" s="290">
        <v>1.0</v>
      </c>
      <c r="L141" s="291">
        <f t="shared" si="19"/>
        <v>192054.3125</v>
      </c>
      <c r="M141" s="292">
        <f t="shared" si="20"/>
        <v>115232.5875</v>
      </c>
      <c r="N141" s="279"/>
      <c r="O141" s="279"/>
      <c r="P141" s="279"/>
      <c r="Q141" s="279"/>
      <c r="R141" s="279"/>
      <c r="S141" s="279"/>
      <c r="T141" s="279"/>
      <c r="U141" s="279"/>
      <c r="V141" s="279"/>
      <c r="W141" s="279"/>
      <c r="X141" s="279"/>
      <c r="Y141" s="279"/>
      <c r="Z141" s="279"/>
      <c r="AA141" s="279"/>
      <c r="AB141" s="279"/>
      <c r="AC141" s="279"/>
      <c r="AD141" s="293"/>
      <c r="AE141" s="293"/>
      <c r="AF141" s="293"/>
      <c r="AG141" s="293"/>
      <c r="AH141" s="293"/>
      <c r="AI141" s="293"/>
      <c r="AJ141" s="293"/>
      <c r="AK141" s="293"/>
      <c r="AL141" s="293"/>
      <c r="AM141" s="293"/>
      <c r="AN141" s="293"/>
      <c r="AO141" s="293"/>
      <c r="AP141" s="293"/>
      <c r="AQ141" s="293"/>
    </row>
    <row r="142" ht="13.5" customHeight="1">
      <c r="A142" s="306"/>
      <c r="B142" s="286" t="s">
        <v>845</v>
      </c>
      <c r="C142" s="287">
        <v>14.75</v>
      </c>
      <c r="D142" s="287">
        <v>2.5</v>
      </c>
      <c r="E142" s="288">
        <f t="shared" si="17"/>
        <v>36.875</v>
      </c>
      <c r="F142" s="287" t="s">
        <v>683</v>
      </c>
      <c r="G142" s="289">
        <f t="shared" ref="G142:H142" si="26">C142*300</f>
        <v>4425</v>
      </c>
      <c r="H142" s="289">
        <f t="shared" si="26"/>
        <v>750</v>
      </c>
      <c r="I142" s="289" t="s">
        <v>684</v>
      </c>
      <c r="J142" s="290">
        <v>2793.0</v>
      </c>
      <c r="K142" s="290">
        <v>1.0</v>
      </c>
      <c r="L142" s="291">
        <f t="shared" si="19"/>
        <v>102991.875</v>
      </c>
      <c r="M142" s="292">
        <f t="shared" si="20"/>
        <v>61795.125</v>
      </c>
      <c r="N142" s="304"/>
      <c r="O142" s="304"/>
      <c r="P142" s="304"/>
      <c r="Q142" s="304"/>
      <c r="R142" s="304"/>
      <c r="S142" s="304"/>
      <c r="T142" s="304"/>
      <c r="U142" s="304"/>
      <c r="V142" s="304"/>
      <c r="W142" s="304"/>
      <c r="X142" s="304"/>
      <c r="Y142" s="304"/>
      <c r="Z142" s="304"/>
      <c r="AA142" s="304"/>
      <c r="AB142" s="304"/>
      <c r="AC142" s="304"/>
      <c r="AD142" s="307"/>
      <c r="AE142" s="307"/>
    </row>
    <row r="143" ht="13.5" customHeight="1">
      <c r="A143" s="306"/>
      <c r="B143" s="286" t="s">
        <v>846</v>
      </c>
      <c r="C143" s="287">
        <v>2.75</v>
      </c>
      <c r="D143" s="287">
        <v>7.25</v>
      </c>
      <c r="E143" s="288">
        <f t="shared" si="17"/>
        <v>19.9375</v>
      </c>
      <c r="F143" s="287" t="s">
        <v>683</v>
      </c>
      <c r="G143" s="289">
        <f t="shared" ref="G143:H143" si="27">C143*300</f>
        <v>825</v>
      </c>
      <c r="H143" s="289">
        <f t="shared" si="27"/>
        <v>2175</v>
      </c>
      <c r="I143" s="289" t="s">
        <v>684</v>
      </c>
      <c r="J143" s="290">
        <v>2793.0</v>
      </c>
      <c r="K143" s="290">
        <v>1.0</v>
      </c>
      <c r="L143" s="291">
        <f t="shared" si="19"/>
        <v>55685.4375</v>
      </c>
      <c r="M143" s="292">
        <f t="shared" si="20"/>
        <v>33411.2625</v>
      </c>
      <c r="N143" s="304"/>
      <c r="O143" s="304"/>
      <c r="P143" s="304"/>
      <c r="Q143" s="304"/>
      <c r="R143" s="304"/>
      <c r="S143" s="304"/>
      <c r="T143" s="304"/>
      <c r="U143" s="304"/>
      <c r="V143" s="304"/>
      <c r="W143" s="304"/>
      <c r="X143" s="304"/>
      <c r="Y143" s="304"/>
      <c r="Z143" s="304"/>
      <c r="AA143" s="304"/>
      <c r="AB143" s="304"/>
      <c r="AC143" s="304"/>
      <c r="AD143" s="307"/>
      <c r="AE143" s="307"/>
      <c r="AF143" s="293"/>
      <c r="AG143" s="293"/>
      <c r="AH143" s="293"/>
      <c r="AI143" s="293"/>
      <c r="AJ143" s="293"/>
      <c r="AK143" s="293"/>
      <c r="AL143" s="293"/>
      <c r="AM143" s="293"/>
      <c r="AN143" s="293"/>
      <c r="AO143" s="293"/>
      <c r="AP143" s="293"/>
      <c r="AQ143" s="293"/>
    </row>
    <row r="144" ht="13.5" customHeight="1">
      <c r="A144" s="285"/>
      <c r="B144" s="286" t="s">
        <v>842</v>
      </c>
      <c r="C144" s="287">
        <v>3.0</v>
      </c>
      <c r="D144" s="287">
        <v>7.25</v>
      </c>
      <c r="E144" s="288">
        <f t="shared" si="17"/>
        <v>21.75</v>
      </c>
      <c r="F144" s="287" t="s">
        <v>683</v>
      </c>
      <c r="G144" s="289">
        <f t="shared" ref="G144:H144" si="28">C144*300</f>
        <v>900</v>
      </c>
      <c r="H144" s="289">
        <f t="shared" si="28"/>
        <v>2175</v>
      </c>
      <c r="I144" s="289" t="s">
        <v>684</v>
      </c>
      <c r="J144" s="290">
        <v>6367.0</v>
      </c>
      <c r="K144" s="290">
        <v>1.0</v>
      </c>
      <c r="L144" s="291">
        <f t="shared" si="19"/>
        <v>138482.25</v>
      </c>
      <c r="M144" s="292">
        <f t="shared" si="20"/>
        <v>83089.35</v>
      </c>
      <c r="N144" s="279"/>
      <c r="O144" s="279"/>
      <c r="P144" s="279"/>
      <c r="Q144" s="279"/>
      <c r="R144" s="279"/>
      <c r="S144" s="279"/>
      <c r="T144" s="279"/>
      <c r="U144" s="279"/>
      <c r="V144" s="279"/>
      <c r="W144" s="279"/>
      <c r="X144" s="279"/>
      <c r="Y144" s="279"/>
      <c r="Z144" s="279"/>
      <c r="AA144" s="279"/>
      <c r="AB144" s="279"/>
      <c r="AC144" s="279"/>
      <c r="AD144" s="293"/>
      <c r="AE144" s="293"/>
      <c r="AF144" s="293"/>
      <c r="AG144" s="293"/>
      <c r="AH144" s="293"/>
      <c r="AI144" s="293"/>
      <c r="AJ144" s="293"/>
      <c r="AK144" s="293"/>
      <c r="AL144" s="293"/>
      <c r="AM144" s="293"/>
      <c r="AN144" s="293"/>
      <c r="AO144" s="293"/>
      <c r="AP144" s="293"/>
      <c r="AQ144" s="293"/>
    </row>
    <row r="145" ht="13.5" customHeight="1">
      <c r="A145" s="306"/>
      <c r="B145" s="286" t="s">
        <v>847</v>
      </c>
      <c r="C145" s="287">
        <v>3.5</v>
      </c>
      <c r="D145" s="287">
        <v>1.0</v>
      </c>
      <c r="E145" s="288">
        <f t="shared" si="17"/>
        <v>3.5</v>
      </c>
      <c r="F145" s="287" t="s">
        <v>683</v>
      </c>
      <c r="G145" s="289">
        <f t="shared" ref="G145:H145" si="29">C145*300</f>
        <v>1050</v>
      </c>
      <c r="H145" s="289">
        <f t="shared" si="29"/>
        <v>300</v>
      </c>
      <c r="I145" s="289" t="s">
        <v>684</v>
      </c>
      <c r="J145" s="290">
        <v>2824.0</v>
      </c>
      <c r="K145" s="290">
        <v>1.0</v>
      </c>
      <c r="L145" s="291">
        <f t="shared" si="19"/>
        <v>9884</v>
      </c>
      <c r="M145" s="292">
        <f t="shared" si="20"/>
        <v>5930.4</v>
      </c>
      <c r="N145" s="304"/>
      <c r="O145" s="304"/>
      <c r="P145" s="304"/>
      <c r="Q145" s="304"/>
      <c r="R145" s="304"/>
      <c r="S145" s="304"/>
      <c r="T145" s="304"/>
      <c r="U145" s="304"/>
      <c r="V145" s="304"/>
      <c r="W145" s="304"/>
      <c r="X145" s="304"/>
      <c r="Y145" s="304"/>
      <c r="Z145" s="304"/>
      <c r="AA145" s="304"/>
      <c r="AB145" s="304"/>
      <c r="AC145" s="304"/>
      <c r="AD145" s="307"/>
      <c r="AE145" s="307"/>
    </row>
    <row r="146" ht="13.5" customHeight="1">
      <c r="A146" s="281"/>
      <c r="B146" s="274" t="s">
        <v>692</v>
      </c>
      <c r="C146" s="308"/>
      <c r="D146" s="308"/>
      <c r="E146" s="308"/>
      <c r="F146" s="308"/>
      <c r="G146" s="283"/>
      <c r="H146" s="283"/>
      <c r="I146" s="283"/>
      <c r="J146" s="308"/>
      <c r="K146" s="308"/>
      <c r="L146" s="283"/>
      <c r="M146" s="284"/>
      <c r="N146" s="279"/>
      <c r="O146" s="279"/>
      <c r="P146" s="279"/>
      <c r="Q146" s="279"/>
      <c r="R146" s="279"/>
      <c r="S146" s="279"/>
      <c r="T146" s="279"/>
      <c r="U146" s="279"/>
      <c r="V146" s="279"/>
      <c r="W146" s="279"/>
      <c r="X146" s="279"/>
      <c r="Y146" s="279"/>
      <c r="Z146" s="279"/>
      <c r="AA146" s="279"/>
      <c r="AB146" s="279"/>
      <c r="AC146" s="279"/>
      <c r="AD146" s="279"/>
      <c r="AE146" s="279"/>
    </row>
    <row r="147" ht="13.5" customHeight="1">
      <c r="A147" s="285"/>
      <c r="B147" s="286" t="s">
        <v>885</v>
      </c>
      <c r="C147" s="287">
        <v>7.25</v>
      </c>
      <c r="D147" s="287">
        <v>8.75</v>
      </c>
      <c r="E147" s="288">
        <f t="shared" ref="E147:E151" si="31">C147*D147</f>
        <v>63.4375</v>
      </c>
      <c r="F147" s="287" t="s">
        <v>683</v>
      </c>
      <c r="G147" s="289">
        <f t="shared" ref="G147:H147" si="30">C147*300</f>
        <v>2175</v>
      </c>
      <c r="H147" s="289">
        <f t="shared" si="30"/>
        <v>2625</v>
      </c>
      <c r="I147" s="289" t="s">
        <v>684</v>
      </c>
      <c r="J147" s="290">
        <v>4639.0</v>
      </c>
      <c r="K147" s="290">
        <v>1.0</v>
      </c>
      <c r="L147" s="291">
        <f t="shared" ref="L147:L151" si="33">K147*J147*E147</f>
        <v>294286.5625</v>
      </c>
      <c r="M147" s="292">
        <f t="shared" ref="M147:M151" si="34">L147-L147*0.4</f>
        <v>176571.9375</v>
      </c>
      <c r="N147" s="279"/>
      <c r="O147" s="279"/>
      <c r="P147" s="279"/>
      <c r="Q147" s="279"/>
      <c r="R147" s="279"/>
      <c r="S147" s="279"/>
      <c r="T147" s="279"/>
      <c r="U147" s="279"/>
      <c r="V147" s="279"/>
      <c r="W147" s="279"/>
      <c r="X147" s="279"/>
      <c r="Y147" s="279"/>
      <c r="Z147" s="279"/>
      <c r="AA147" s="279"/>
      <c r="AB147" s="279"/>
      <c r="AC147" s="279"/>
      <c r="AD147" s="293"/>
      <c r="AE147" s="293"/>
      <c r="AF147" s="293"/>
      <c r="AG147" s="293"/>
      <c r="AH147" s="293"/>
      <c r="AI147" s="293"/>
      <c r="AJ147" s="293"/>
      <c r="AK147" s="293"/>
      <c r="AL147" s="293"/>
      <c r="AM147" s="293"/>
      <c r="AN147" s="293"/>
      <c r="AO147" s="293"/>
      <c r="AP147" s="293"/>
      <c r="AQ147" s="293"/>
    </row>
    <row r="148" ht="13.5" customHeight="1">
      <c r="A148" s="285"/>
      <c r="B148" s="286" t="s">
        <v>849</v>
      </c>
      <c r="C148" s="287">
        <v>1.5</v>
      </c>
      <c r="D148" s="287">
        <v>7.75</v>
      </c>
      <c r="E148" s="288">
        <f t="shared" si="31"/>
        <v>11.625</v>
      </c>
      <c r="F148" s="287" t="s">
        <v>683</v>
      </c>
      <c r="G148" s="289">
        <f t="shared" ref="G148:H148" si="32">C148*300</f>
        <v>450</v>
      </c>
      <c r="H148" s="289">
        <f t="shared" si="32"/>
        <v>2325</v>
      </c>
      <c r="I148" s="289" t="s">
        <v>684</v>
      </c>
      <c r="J148" s="290">
        <f t="shared" ref="J148:J149" si="36">4225+357</f>
        <v>4582</v>
      </c>
      <c r="K148" s="290">
        <v>1.0</v>
      </c>
      <c r="L148" s="291">
        <f t="shared" si="33"/>
        <v>53265.75</v>
      </c>
      <c r="M148" s="292">
        <f t="shared" si="34"/>
        <v>31959.45</v>
      </c>
      <c r="N148" s="279"/>
      <c r="O148" s="279"/>
      <c r="P148" s="279"/>
      <c r="Q148" s="279"/>
      <c r="R148" s="279"/>
      <c r="S148" s="279"/>
      <c r="T148" s="279"/>
      <c r="U148" s="279"/>
      <c r="V148" s="279"/>
      <c r="W148" s="279"/>
      <c r="X148" s="279"/>
      <c r="Y148" s="279"/>
      <c r="Z148" s="279"/>
      <c r="AA148" s="279"/>
      <c r="AB148" s="279"/>
      <c r="AC148" s="279"/>
    </row>
    <row r="149" ht="13.5" customHeight="1">
      <c r="A149" s="285"/>
      <c r="B149" s="286" t="s">
        <v>850</v>
      </c>
      <c r="C149" s="287">
        <v>9.0</v>
      </c>
      <c r="D149" s="287">
        <v>1.0</v>
      </c>
      <c r="E149" s="288">
        <f t="shared" si="31"/>
        <v>9</v>
      </c>
      <c r="F149" s="287" t="s">
        <v>683</v>
      </c>
      <c r="G149" s="289">
        <f t="shared" ref="G149:H149" si="35">C149*300</f>
        <v>2700</v>
      </c>
      <c r="H149" s="289">
        <f t="shared" si="35"/>
        <v>300</v>
      </c>
      <c r="I149" s="289" t="s">
        <v>684</v>
      </c>
      <c r="J149" s="290">
        <f t="shared" si="36"/>
        <v>4582</v>
      </c>
      <c r="K149" s="290">
        <v>1.0</v>
      </c>
      <c r="L149" s="291">
        <f t="shared" si="33"/>
        <v>41238</v>
      </c>
      <c r="M149" s="292">
        <f t="shared" si="34"/>
        <v>24742.8</v>
      </c>
      <c r="N149" s="279"/>
      <c r="O149" s="279"/>
      <c r="P149" s="279"/>
      <c r="Q149" s="279"/>
      <c r="R149" s="279"/>
      <c r="S149" s="279"/>
      <c r="T149" s="279"/>
      <c r="U149" s="279"/>
      <c r="V149" s="279"/>
      <c r="W149" s="279"/>
      <c r="X149" s="279"/>
      <c r="Y149" s="279"/>
      <c r="Z149" s="279"/>
      <c r="AA149" s="279"/>
      <c r="AB149" s="279"/>
      <c r="AC149" s="279"/>
      <c r="AD149" s="293"/>
      <c r="AE149" s="293"/>
      <c r="AF149" s="293"/>
      <c r="AG149" s="293"/>
      <c r="AH149" s="293"/>
      <c r="AI149" s="293"/>
      <c r="AJ149" s="293"/>
      <c r="AK149" s="293"/>
      <c r="AL149" s="293"/>
      <c r="AM149" s="293"/>
      <c r="AN149" s="293"/>
      <c r="AO149" s="293"/>
      <c r="AP149" s="293"/>
      <c r="AQ149" s="293"/>
    </row>
    <row r="150" ht="13.5" customHeight="1">
      <c r="A150" s="306"/>
      <c r="B150" s="286" t="s">
        <v>851</v>
      </c>
      <c r="C150" s="287">
        <v>8.5</v>
      </c>
      <c r="D150" s="287">
        <v>1.5</v>
      </c>
      <c r="E150" s="288">
        <f t="shared" si="31"/>
        <v>12.75</v>
      </c>
      <c r="F150" s="287" t="s">
        <v>683</v>
      </c>
      <c r="G150" s="289">
        <f t="shared" ref="G150:H150" si="37">C150*300</f>
        <v>2550</v>
      </c>
      <c r="H150" s="289">
        <f t="shared" si="37"/>
        <v>450</v>
      </c>
      <c r="I150" s="289" t="s">
        <v>684</v>
      </c>
      <c r="J150" s="290">
        <v>2034.0</v>
      </c>
      <c r="K150" s="290">
        <v>1.0</v>
      </c>
      <c r="L150" s="291">
        <f t="shared" si="33"/>
        <v>25933.5</v>
      </c>
      <c r="M150" s="292">
        <f t="shared" si="34"/>
        <v>15560.1</v>
      </c>
      <c r="N150" s="304"/>
      <c r="O150" s="304"/>
      <c r="P150" s="304"/>
      <c r="Q150" s="304"/>
      <c r="R150" s="304"/>
      <c r="S150" s="304"/>
      <c r="T150" s="304"/>
      <c r="U150" s="304"/>
      <c r="V150" s="304"/>
      <c r="W150" s="304"/>
      <c r="X150" s="304"/>
      <c r="Y150" s="304"/>
      <c r="Z150" s="304"/>
      <c r="AA150" s="304"/>
      <c r="AB150" s="304"/>
      <c r="AC150" s="304"/>
      <c r="AD150" s="307"/>
      <c r="AE150" s="307"/>
      <c r="AF150" s="293"/>
      <c r="AG150" s="293"/>
      <c r="AH150" s="293"/>
      <c r="AI150" s="293"/>
      <c r="AJ150" s="293"/>
      <c r="AK150" s="293"/>
      <c r="AL150" s="293"/>
      <c r="AM150" s="293"/>
      <c r="AN150" s="293"/>
      <c r="AO150" s="293"/>
      <c r="AP150" s="293"/>
      <c r="AQ150" s="293"/>
    </row>
    <row r="151" ht="13.5" customHeight="1">
      <c r="A151" s="306"/>
      <c r="B151" s="286" t="s">
        <v>852</v>
      </c>
      <c r="C151" s="287">
        <v>8.5</v>
      </c>
      <c r="D151" s="287">
        <v>7.0</v>
      </c>
      <c r="E151" s="288">
        <f t="shared" si="31"/>
        <v>59.5</v>
      </c>
      <c r="F151" s="287" t="s">
        <v>683</v>
      </c>
      <c r="G151" s="289">
        <f t="shared" ref="G151:H151" si="38">C151*300</f>
        <v>2550</v>
      </c>
      <c r="H151" s="289">
        <f t="shared" si="38"/>
        <v>2100</v>
      </c>
      <c r="I151" s="289" t="s">
        <v>684</v>
      </c>
      <c r="J151" s="290">
        <f>4639</f>
        <v>4639</v>
      </c>
      <c r="K151" s="290">
        <v>1.0</v>
      </c>
      <c r="L151" s="291">
        <f t="shared" si="33"/>
        <v>276020.5</v>
      </c>
      <c r="M151" s="292">
        <f t="shared" si="34"/>
        <v>165612.3</v>
      </c>
      <c r="N151" s="304"/>
      <c r="O151" s="304"/>
      <c r="P151" s="304"/>
      <c r="Q151" s="304"/>
      <c r="R151" s="304"/>
      <c r="S151" s="304"/>
      <c r="T151" s="304"/>
      <c r="U151" s="304"/>
      <c r="V151" s="304"/>
      <c r="W151" s="304"/>
      <c r="X151" s="304"/>
      <c r="Y151" s="304"/>
      <c r="Z151" s="304"/>
      <c r="AA151" s="304"/>
      <c r="AB151" s="304"/>
      <c r="AC151" s="304"/>
      <c r="AD151" s="307"/>
      <c r="AE151" s="307"/>
      <c r="AF151" s="293"/>
      <c r="AG151" s="293"/>
      <c r="AH151" s="293"/>
      <c r="AI151" s="293"/>
      <c r="AJ151" s="293"/>
      <c r="AK151" s="293"/>
      <c r="AL151" s="293"/>
      <c r="AM151" s="293"/>
      <c r="AN151" s="293"/>
      <c r="AO151" s="293"/>
      <c r="AP151" s="293"/>
      <c r="AQ151" s="293"/>
    </row>
    <row r="152" ht="13.5" customHeight="1">
      <c r="A152" s="281"/>
      <c r="B152" s="274" t="s">
        <v>853</v>
      </c>
      <c r="C152" s="308"/>
      <c r="D152" s="308"/>
      <c r="E152" s="308"/>
      <c r="F152" s="308"/>
      <c r="G152" s="283"/>
      <c r="H152" s="283"/>
      <c r="I152" s="283"/>
      <c r="J152" s="308"/>
      <c r="K152" s="308"/>
      <c r="L152" s="283"/>
      <c r="M152" s="284"/>
      <c r="N152" s="279"/>
      <c r="O152" s="279"/>
      <c r="P152" s="279"/>
      <c r="Q152" s="279"/>
      <c r="R152" s="279"/>
      <c r="S152" s="279"/>
      <c r="T152" s="279"/>
      <c r="U152" s="279"/>
      <c r="V152" s="279"/>
      <c r="W152" s="279"/>
      <c r="X152" s="279"/>
      <c r="Y152" s="279"/>
      <c r="Z152" s="279"/>
      <c r="AA152" s="279"/>
      <c r="AB152" s="279"/>
      <c r="AC152" s="279"/>
      <c r="AD152" s="279"/>
      <c r="AE152" s="279"/>
    </row>
    <row r="153" ht="13.5" customHeight="1">
      <c r="A153" s="285"/>
      <c r="B153" s="286" t="s">
        <v>854</v>
      </c>
      <c r="C153" s="287">
        <v>8.0</v>
      </c>
      <c r="D153" s="287">
        <v>2.0</v>
      </c>
      <c r="E153" s="288">
        <f t="shared" ref="E153:E160" si="40">C153*D153</f>
        <v>16</v>
      </c>
      <c r="F153" s="287" t="s">
        <v>683</v>
      </c>
      <c r="G153" s="289">
        <f t="shared" ref="G153:H153" si="39">C153*300</f>
        <v>2400</v>
      </c>
      <c r="H153" s="289">
        <f t="shared" si="39"/>
        <v>600</v>
      </c>
      <c r="I153" s="289" t="s">
        <v>684</v>
      </c>
      <c r="J153" s="290">
        <v>1666.0</v>
      </c>
      <c r="K153" s="290">
        <v>1.0</v>
      </c>
      <c r="L153" s="291">
        <f t="shared" ref="L153:L160" si="42">K153*J153*E153</f>
        <v>26656</v>
      </c>
      <c r="M153" s="292">
        <f t="shared" ref="M153:M160" si="43">L153-L153*0.4</f>
        <v>15993.6</v>
      </c>
      <c r="N153" s="279"/>
      <c r="O153" s="279"/>
      <c r="P153" s="279"/>
      <c r="Q153" s="279"/>
      <c r="R153" s="279"/>
      <c r="S153" s="279"/>
      <c r="T153" s="279"/>
      <c r="U153" s="279"/>
      <c r="V153" s="279"/>
      <c r="W153" s="279"/>
      <c r="X153" s="279"/>
      <c r="Y153" s="279"/>
      <c r="Z153" s="279"/>
      <c r="AA153" s="279"/>
      <c r="AB153" s="279"/>
      <c r="AC153" s="279"/>
      <c r="AD153" s="293"/>
      <c r="AE153" s="293"/>
      <c r="AF153" s="293"/>
      <c r="AG153" s="293"/>
      <c r="AH153" s="293"/>
      <c r="AI153" s="293"/>
      <c r="AJ153" s="293"/>
      <c r="AK153" s="293"/>
      <c r="AL153" s="293"/>
      <c r="AM153" s="293"/>
      <c r="AN153" s="293"/>
      <c r="AO153" s="293"/>
      <c r="AP153" s="293"/>
      <c r="AQ153" s="293"/>
    </row>
    <row r="154" ht="13.5" customHeight="1">
      <c r="A154" s="285"/>
      <c r="B154" s="286" t="s">
        <v>855</v>
      </c>
      <c r="C154" s="287">
        <v>2.0</v>
      </c>
      <c r="D154" s="287">
        <v>5.0</v>
      </c>
      <c r="E154" s="288">
        <f t="shared" si="40"/>
        <v>10</v>
      </c>
      <c r="F154" s="287" t="s">
        <v>683</v>
      </c>
      <c r="G154" s="289">
        <f t="shared" ref="G154:H154" si="41">C154*300</f>
        <v>600</v>
      </c>
      <c r="H154" s="289">
        <f t="shared" si="41"/>
        <v>1500</v>
      </c>
      <c r="I154" s="289" t="s">
        <v>684</v>
      </c>
      <c r="J154" s="290">
        <v>3451.0</v>
      </c>
      <c r="K154" s="290">
        <v>1.0</v>
      </c>
      <c r="L154" s="291">
        <f t="shared" si="42"/>
        <v>34510</v>
      </c>
      <c r="M154" s="292">
        <f t="shared" si="43"/>
        <v>20706</v>
      </c>
      <c r="N154" s="279"/>
      <c r="O154" s="279"/>
      <c r="P154" s="279"/>
      <c r="Q154" s="279"/>
      <c r="R154" s="279"/>
      <c r="S154" s="279"/>
      <c r="T154" s="279"/>
      <c r="U154" s="279"/>
      <c r="V154" s="279"/>
      <c r="W154" s="279"/>
      <c r="X154" s="279"/>
      <c r="Y154" s="279"/>
      <c r="Z154" s="279"/>
      <c r="AA154" s="279"/>
      <c r="AB154" s="279"/>
      <c r="AC154" s="279"/>
      <c r="AD154" s="293"/>
      <c r="AE154" s="293"/>
      <c r="AF154" s="293"/>
      <c r="AG154" s="293"/>
      <c r="AH154" s="293"/>
      <c r="AI154" s="293"/>
      <c r="AJ154" s="293"/>
      <c r="AK154" s="293"/>
      <c r="AL154" s="293"/>
      <c r="AM154" s="293"/>
      <c r="AN154" s="293"/>
      <c r="AO154" s="293"/>
      <c r="AP154" s="293"/>
      <c r="AQ154" s="293"/>
    </row>
    <row r="155" ht="13.5" customHeight="1">
      <c r="A155" s="285"/>
      <c r="B155" s="286" t="s">
        <v>855</v>
      </c>
      <c r="C155" s="287">
        <v>5.0</v>
      </c>
      <c r="D155" s="287">
        <v>1.0</v>
      </c>
      <c r="E155" s="288">
        <f t="shared" si="40"/>
        <v>5</v>
      </c>
      <c r="F155" s="287" t="s">
        <v>683</v>
      </c>
      <c r="G155" s="289">
        <f t="shared" ref="G155:H155" si="44">C155*300</f>
        <v>1500</v>
      </c>
      <c r="H155" s="289">
        <f t="shared" si="44"/>
        <v>300</v>
      </c>
      <c r="I155" s="289" t="s">
        <v>684</v>
      </c>
      <c r="J155" s="290">
        <v>3451.0</v>
      </c>
      <c r="K155" s="290">
        <v>1.0</v>
      </c>
      <c r="L155" s="291">
        <f t="shared" si="42"/>
        <v>17255</v>
      </c>
      <c r="M155" s="292">
        <f t="shared" si="43"/>
        <v>10353</v>
      </c>
      <c r="N155" s="279"/>
      <c r="O155" s="279"/>
      <c r="P155" s="279"/>
      <c r="Q155" s="279"/>
      <c r="R155" s="279"/>
      <c r="S155" s="279"/>
      <c r="T155" s="279"/>
      <c r="U155" s="279"/>
      <c r="V155" s="279"/>
      <c r="W155" s="279"/>
      <c r="X155" s="279"/>
      <c r="Y155" s="279"/>
      <c r="Z155" s="279"/>
      <c r="AA155" s="279"/>
      <c r="AB155" s="279"/>
      <c r="AC155" s="279"/>
      <c r="AD155" s="293"/>
      <c r="AE155" s="293"/>
      <c r="AF155" s="293"/>
      <c r="AG155" s="293"/>
      <c r="AH155" s="293"/>
      <c r="AI155" s="293"/>
      <c r="AJ155" s="293"/>
      <c r="AK155" s="293"/>
      <c r="AL155" s="293"/>
      <c r="AM155" s="293"/>
      <c r="AN155" s="293"/>
      <c r="AO155" s="293"/>
      <c r="AP155" s="293"/>
      <c r="AQ155" s="293"/>
    </row>
    <row r="156" ht="13.5" customHeight="1">
      <c r="A156" s="285"/>
      <c r="B156" s="286" t="s">
        <v>856</v>
      </c>
      <c r="C156" s="287">
        <v>2.5</v>
      </c>
      <c r="D156" s="287">
        <v>3.0</v>
      </c>
      <c r="E156" s="288">
        <f t="shared" si="40"/>
        <v>7.5</v>
      </c>
      <c r="F156" s="287" t="s">
        <v>683</v>
      </c>
      <c r="G156" s="289">
        <f t="shared" ref="G156:H156" si="45">C156*300</f>
        <v>750</v>
      </c>
      <c r="H156" s="289">
        <f t="shared" si="45"/>
        <v>900</v>
      </c>
      <c r="I156" s="289" t="s">
        <v>684</v>
      </c>
      <c r="J156" s="290">
        <v>2499.0</v>
      </c>
      <c r="K156" s="290">
        <v>1.0</v>
      </c>
      <c r="L156" s="291">
        <f t="shared" si="42"/>
        <v>18742.5</v>
      </c>
      <c r="M156" s="292">
        <f t="shared" si="43"/>
        <v>11245.5</v>
      </c>
      <c r="N156" s="279"/>
      <c r="O156" s="279"/>
      <c r="P156" s="279"/>
      <c r="Q156" s="279"/>
      <c r="R156" s="279"/>
      <c r="S156" s="279"/>
      <c r="T156" s="279"/>
      <c r="U156" s="279"/>
      <c r="V156" s="279"/>
      <c r="W156" s="279"/>
      <c r="X156" s="279"/>
      <c r="Y156" s="279"/>
      <c r="Z156" s="279"/>
      <c r="AA156" s="279"/>
      <c r="AB156" s="279"/>
      <c r="AC156" s="279"/>
      <c r="AD156" s="293"/>
      <c r="AE156" s="293"/>
      <c r="AF156" s="293"/>
      <c r="AG156" s="293"/>
      <c r="AH156" s="293"/>
      <c r="AI156" s="293"/>
      <c r="AJ156" s="293"/>
      <c r="AK156" s="293"/>
      <c r="AL156" s="293"/>
      <c r="AM156" s="293"/>
      <c r="AN156" s="293"/>
      <c r="AO156" s="293"/>
      <c r="AP156" s="293"/>
      <c r="AQ156" s="293"/>
    </row>
    <row r="157" ht="13.5" customHeight="1">
      <c r="A157" s="285"/>
      <c r="B157" s="286" t="s">
        <v>857</v>
      </c>
      <c r="C157" s="287">
        <v>5.0</v>
      </c>
      <c r="D157" s="287">
        <v>2.75</v>
      </c>
      <c r="E157" s="288">
        <f t="shared" si="40"/>
        <v>13.75</v>
      </c>
      <c r="F157" s="287" t="s">
        <v>683</v>
      </c>
      <c r="G157" s="289">
        <f t="shared" ref="G157:H157" si="46">C157*300</f>
        <v>1500</v>
      </c>
      <c r="H157" s="289">
        <f t="shared" si="46"/>
        <v>825</v>
      </c>
      <c r="I157" s="289" t="s">
        <v>684</v>
      </c>
      <c r="J157" s="290">
        <v>3843.0</v>
      </c>
      <c r="K157" s="290">
        <v>1.0</v>
      </c>
      <c r="L157" s="291">
        <f t="shared" si="42"/>
        <v>52841.25</v>
      </c>
      <c r="M157" s="292">
        <f t="shared" si="43"/>
        <v>31704.75</v>
      </c>
      <c r="N157" s="279"/>
      <c r="O157" s="279"/>
      <c r="P157" s="279"/>
      <c r="Q157" s="279"/>
      <c r="R157" s="279"/>
      <c r="S157" s="279"/>
      <c r="T157" s="279"/>
      <c r="U157" s="279"/>
      <c r="V157" s="279"/>
      <c r="W157" s="279"/>
      <c r="X157" s="279"/>
      <c r="Y157" s="279"/>
      <c r="Z157" s="279"/>
      <c r="AA157" s="279"/>
      <c r="AB157" s="279"/>
      <c r="AC157" s="279"/>
      <c r="AD157" s="293"/>
      <c r="AE157" s="293"/>
      <c r="AF157" s="293"/>
      <c r="AG157" s="293"/>
      <c r="AH157" s="293"/>
      <c r="AI157" s="293"/>
      <c r="AJ157" s="293"/>
      <c r="AK157" s="293"/>
      <c r="AL157" s="293"/>
      <c r="AM157" s="293"/>
      <c r="AN157" s="293"/>
      <c r="AO157" s="293"/>
      <c r="AP157" s="293"/>
      <c r="AQ157" s="293"/>
    </row>
    <row r="158" ht="13.5" customHeight="1">
      <c r="A158" s="306"/>
      <c r="B158" s="286" t="s">
        <v>851</v>
      </c>
      <c r="C158" s="287">
        <v>10.75</v>
      </c>
      <c r="D158" s="287">
        <v>1.5</v>
      </c>
      <c r="E158" s="288">
        <f t="shared" si="40"/>
        <v>16.125</v>
      </c>
      <c r="F158" s="287" t="s">
        <v>683</v>
      </c>
      <c r="G158" s="289">
        <f t="shared" ref="G158:H158" si="47">C158*300</f>
        <v>3225</v>
      </c>
      <c r="H158" s="289">
        <f t="shared" si="47"/>
        <v>450</v>
      </c>
      <c r="I158" s="289" t="s">
        <v>684</v>
      </c>
      <c r="J158" s="290">
        <v>2034.0</v>
      </c>
      <c r="K158" s="290">
        <v>1.0</v>
      </c>
      <c r="L158" s="291">
        <f t="shared" si="42"/>
        <v>32798.25</v>
      </c>
      <c r="M158" s="292">
        <f t="shared" si="43"/>
        <v>19678.95</v>
      </c>
      <c r="N158" s="304"/>
      <c r="O158" s="304"/>
      <c r="P158" s="304"/>
      <c r="Q158" s="304"/>
      <c r="R158" s="304"/>
      <c r="S158" s="304"/>
      <c r="T158" s="304"/>
      <c r="U158" s="304"/>
      <c r="V158" s="304"/>
      <c r="W158" s="304"/>
      <c r="X158" s="304"/>
      <c r="Y158" s="304"/>
      <c r="Z158" s="304"/>
      <c r="AA158" s="304"/>
      <c r="AB158" s="304"/>
      <c r="AC158" s="304"/>
      <c r="AD158" s="307"/>
      <c r="AE158" s="307"/>
      <c r="AF158" s="293"/>
      <c r="AG158" s="293"/>
      <c r="AH158" s="293"/>
      <c r="AI158" s="293"/>
      <c r="AJ158" s="293"/>
      <c r="AK158" s="293"/>
      <c r="AL158" s="293"/>
      <c r="AM158" s="293"/>
      <c r="AN158" s="293"/>
      <c r="AO158" s="293"/>
      <c r="AP158" s="293"/>
      <c r="AQ158" s="293"/>
    </row>
    <row r="159" ht="13.5" customHeight="1">
      <c r="A159" s="306"/>
      <c r="B159" s="286" t="s">
        <v>858</v>
      </c>
      <c r="C159" s="287">
        <v>10.75</v>
      </c>
      <c r="D159" s="287">
        <v>8.0</v>
      </c>
      <c r="E159" s="288">
        <f t="shared" si="40"/>
        <v>86</v>
      </c>
      <c r="F159" s="287" t="s">
        <v>683</v>
      </c>
      <c r="G159" s="289">
        <f t="shared" ref="G159:H159" si="48">C159*300</f>
        <v>3225</v>
      </c>
      <c r="H159" s="289">
        <f t="shared" si="48"/>
        <v>2400</v>
      </c>
      <c r="I159" s="289" t="s">
        <v>684</v>
      </c>
      <c r="J159" s="290">
        <v>1428.0</v>
      </c>
      <c r="K159" s="290">
        <v>1.0</v>
      </c>
      <c r="L159" s="291">
        <f t="shared" si="42"/>
        <v>122808</v>
      </c>
      <c r="M159" s="292">
        <f t="shared" si="43"/>
        <v>73684.8</v>
      </c>
      <c r="N159" s="304"/>
      <c r="O159" s="304"/>
      <c r="P159" s="304"/>
      <c r="Q159" s="304"/>
      <c r="R159" s="304"/>
      <c r="S159" s="304"/>
      <c r="T159" s="304"/>
      <c r="U159" s="304"/>
      <c r="V159" s="304"/>
      <c r="W159" s="304"/>
      <c r="X159" s="304"/>
      <c r="Y159" s="304"/>
      <c r="Z159" s="304"/>
      <c r="AA159" s="304"/>
      <c r="AB159" s="304"/>
      <c r="AC159" s="304"/>
      <c r="AD159" s="307"/>
      <c r="AE159" s="307"/>
      <c r="AF159" s="293"/>
      <c r="AG159" s="293"/>
      <c r="AH159" s="293"/>
      <c r="AI159" s="293"/>
      <c r="AJ159" s="293"/>
      <c r="AK159" s="293"/>
      <c r="AL159" s="293"/>
      <c r="AM159" s="293"/>
      <c r="AN159" s="293"/>
      <c r="AO159" s="293"/>
      <c r="AP159" s="293"/>
      <c r="AQ159" s="293"/>
    </row>
    <row r="160" ht="13.5" customHeight="1">
      <c r="A160" s="285"/>
      <c r="B160" s="286" t="s">
        <v>859</v>
      </c>
      <c r="C160" s="287">
        <v>1.75</v>
      </c>
      <c r="D160" s="287">
        <v>6.75</v>
      </c>
      <c r="E160" s="288">
        <f t="shared" si="40"/>
        <v>11.8125</v>
      </c>
      <c r="F160" s="287" t="s">
        <v>683</v>
      </c>
      <c r="G160" s="289">
        <f t="shared" ref="G160:H160" si="49">C160*300</f>
        <v>525</v>
      </c>
      <c r="H160" s="289">
        <f t="shared" si="49"/>
        <v>2025</v>
      </c>
      <c r="I160" s="289" t="s">
        <v>684</v>
      </c>
      <c r="J160" s="290">
        <f>1428+857</f>
        <v>2285</v>
      </c>
      <c r="K160" s="290">
        <v>1.0</v>
      </c>
      <c r="L160" s="291">
        <f t="shared" si="42"/>
        <v>26991.5625</v>
      </c>
      <c r="M160" s="292">
        <f t="shared" si="43"/>
        <v>16194.9375</v>
      </c>
      <c r="N160" s="279"/>
      <c r="O160" s="279"/>
      <c r="P160" s="279"/>
      <c r="Q160" s="279"/>
      <c r="R160" s="279"/>
      <c r="S160" s="279"/>
      <c r="T160" s="279"/>
      <c r="U160" s="279"/>
      <c r="V160" s="279"/>
      <c r="W160" s="279"/>
      <c r="X160" s="279"/>
      <c r="Y160" s="279"/>
      <c r="Z160" s="279"/>
      <c r="AA160" s="279"/>
      <c r="AB160" s="279"/>
      <c r="AC160" s="279"/>
      <c r="AD160" s="293"/>
      <c r="AE160" s="293"/>
      <c r="AF160" s="293"/>
      <c r="AG160" s="293"/>
      <c r="AH160" s="293"/>
      <c r="AI160" s="293"/>
      <c r="AJ160" s="293"/>
      <c r="AK160" s="293"/>
      <c r="AL160" s="293"/>
      <c r="AM160" s="293"/>
      <c r="AN160" s="293"/>
      <c r="AO160" s="293"/>
      <c r="AP160" s="293"/>
      <c r="AQ160" s="293"/>
    </row>
    <row r="161" ht="13.5" customHeight="1">
      <c r="A161" s="306"/>
      <c r="B161" s="309" t="s">
        <v>701</v>
      </c>
      <c r="C161" s="299"/>
      <c r="D161" s="299"/>
      <c r="E161" s="300"/>
      <c r="F161" s="299"/>
      <c r="G161" s="310"/>
      <c r="H161" s="310"/>
      <c r="I161" s="310"/>
      <c r="J161" s="302"/>
      <c r="K161" s="302"/>
      <c r="L161" s="311"/>
      <c r="M161" s="312">
        <v>10000.0</v>
      </c>
      <c r="N161" s="279"/>
      <c r="O161" s="279">
        <f>L162*0.4</f>
        <v>1215517.675</v>
      </c>
      <c r="P161" s="279"/>
      <c r="Q161" s="279"/>
      <c r="R161" s="279"/>
      <c r="S161" s="279"/>
      <c r="T161" s="279"/>
      <c r="U161" s="279"/>
      <c r="V161" s="279"/>
      <c r="W161" s="279"/>
      <c r="X161" s="279"/>
      <c r="Y161" s="279"/>
      <c r="Z161" s="279"/>
      <c r="AA161" s="279"/>
      <c r="AB161" s="279"/>
      <c r="AC161" s="279"/>
      <c r="AD161" s="279"/>
      <c r="AE161" s="279"/>
    </row>
    <row r="162" ht="13.5" customHeight="1">
      <c r="A162" s="298"/>
      <c r="B162" s="313" t="s">
        <v>702</v>
      </c>
      <c r="C162" s="94"/>
      <c r="D162" s="94"/>
      <c r="E162" s="94"/>
      <c r="F162" s="94"/>
      <c r="G162" s="94"/>
      <c r="H162" s="94"/>
      <c r="I162" s="94"/>
      <c r="J162" s="94"/>
      <c r="K162" s="95"/>
      <c r="L162" s="314">
        <f>SUM(L121:L160)</f>
        <v>3038794.188</v>
      </c>
      <c r="M162" s="315"/>
      <c r="N162" s="267"/>
      <c r="O162" s="267"/>
      <c r="P162" s="267"/>
      <c r="Q162" s="267"/>
      <c r="R162" s="267"/>
      <c r="S162" s="267"/>
      <c r="T162" s="267"/>
      <c r="U162" s="267"/>
      <c r="V162" s="267"/>
      <c r="W162" s="267"/>
      <c r="X162" s="267"/>
      <c r="Y162" s="267"/>
      <c r="Z162" s="267"/>
      <c r="AA162" s="267"/>
      <c r="AB162" s="267"/>
      <c r="AC162" s="267"/>
      <c r="AD162" s="267"/>
      <c r="AE162" s="267"/>
    </row>
    <row r="163" ht="13.5" customHeight="1">
      <c r="A163" s="298"/>
      <c r="B163" s="313" t="s">
        <v>738</v>
      </c>
      <c r="C163" s="94"/>
      <c r="D163" s="94"/>
      <c r="E163" s="94"/>
      <c r="F163" s="94"/>
      <c r="G163" s="94"/>
      <c r="H163" s="94"/>
      <c r="I163" s="94"/>
      <c r="J163" s="94"/>
      <c r="K163" s="94"/>
      <c r="L163" s="95"/>
      <c r="M163" s="316">
        <f>L162*0.4</f>
        <v>1215517.675</v>
      </c>
      <c r="N163" s="267"/>
      <c r="O163" s="267"/>
      <c r="P163" s="267"/>
      <c r="Q163" s="267"/>
      <c r="R163" s="267"/>
      <c r="S163" s="267"/>
      <c r="T163" s="267"/>
      <c r="U163" s="267"/>
      <c r="V163" s="267"/>
      <c r="W163" s="267"/>
      <c r="X163" s="267"/>
      <c r="Y163" s="267"/>
      <c r="Z163" s="267"/>
      <c r="AA163" s="267"/>
      <c r="AB163" s="267"/>
      <c r="AC163" s="267"/>
      <c r="AD163" s="267"/>
      <c r="AE163" s="267"/>
    </row>
    <row r="164" ht="13.5" customHeight="1">
      <c r="A164" s="298"/>
      <c r="B164" s="313" t="s">
        <v>739</v>
      </c>
      <c r="C164" s="94"/>
      <c r="D164" s="94"/>
      <c r="E164" s="94"/>
      <c r="F164" s="94"/>
      <c r="G164" s="94"/>
      <c r="H164" s="94"/>
      <c r="I164" s="94"/>
      <c r="J164" s="94"/>
      <c r="K164" s="94"/>
      <c r="L164" s="95"/>
      <c r="M164" s="316">
        <f>L162-M163+M161</f>
        <v>1833276.513</v>
      </c>
      <c r="N164" s="317"/>
      <c r="O164" s="318"/>
      <c r="P164" s="267"/>
      <c r="Q164" s="267"/>
      <c r="R164" s="267"/>
      <c r="S164" s="267"/>
      <c r="T164" s="267"/>
      <c r="U164" s="267"/>
      <c r="V164" s="267"/>
      <c r="W164" s="267"/>
      <c r="X164" s="267"/>
      <c r="Y164" s="267"/>
      <c r="Z164" s="267"/>
      <c r="AA164" s="267"/>
      <c r="AB164" s="267"/>
      <c r="AC164" s="267"/>
      <c r="AD164" s="267"/>
      <c r="AE164" s="267"/>
    </row>
    <row r="165" ht="13.5" customHeight="1">
      <c r="A165" s="298"/>
      <c r="B165" s="313" t="s">
        <v>705</v>
      </c>
      <c r="C165" s="94"/>
      <c r="D165" s="94"/>
      <c r="E165" s="94"/>
      <c r="F165" s="94"/>
      <c r="G165" s="94"/>
      <c r="H165" s="94"/>
      <c r="I165" s="94"/>
      <c r="J165" s="94"/>
      <c r="K165" s="94"/>
      <c r="L165" s="95"/>
      <c r="M165" s="316">
        <f>M164*18%</f>
        <v>329989.7723</v>
      </c>
      <c r="N165" s="319"/>
      <c r="O165" s="320"/>
      <c r="P165" s="319"/>
      <c r="Q165" s="319"/>
      <c r="R165" s="319"/>
      <c r="S165" s="319"/>
      <c r="T165" s="319"/>
      <c r="U165" s="319"/>
      <c r="V165" s="319"/>
      <c r="W165" s="319"/>
      <c r="X165" s="319"/>
      <c r="Y165" s="319"/>
      <c r="Z165" s="319"/>
      <c r="AA165" s="319"/>
      <c r="AB165" s="319"/>
      <c r="AC165" s="319"/>
      <c r="AD165" s="319"/>
      <c r="AE165" s="319"/>
    </row>
    <row r="166" ht="13.5" customHeight="1">
      <c r="A166" s="321"/>
      <c r="B166" s="322" t="s">
        <v>706</v>
      </c>
      <c r="C166" s="130"/>
      <c r="D166" s="130"/>
      <c r="E166" s="130"/>
      <c r="F166" s="130"/>
      <c r="G166" s="130"/>
      <c r="H166" s="130"/>
      <c r="I166" s="130"/>
      <c r="J166" s="130"/>
      <c r="K166" s="130"/>
      <c r="L166" s="136"/>
      <c r="M166" s="323">
        <f>M164+M165</f>
        <v>2163266.285</v>
      </c>
      <c r="N166" s="324"/>
      <c r="O166" s="319"/>
      <c r="P166" s="319"/>
      <c r="Q166" s="319"/>
      <c r="R166" s="319"/>
      <c r="S166" s="319" t="s">
        <v>707</v>
      </c>
      <c r="T166" s="319"/>
      <c r="U166" s="319"/>
      <c r="V166" s="319"/>
      <c r="W166" s="319"/>
      <c r="X166" s="319"/>
      <c r="Y166" s="319"/>
      <c r="Z166" s="319"/>
      <c r="AA166" s="319"/>
      <c r="AB166" s="319"/>
      <c r="AC166" s="319"/>
      <c r="AD166" s="319"/>
      <c r="AE166" s="319"/>
    </row>
    <row r="167" ht="13.5" customHeight="1">
      <c r="A167" s="325"/>
      <c r="B167" s="325"/>
      <c r="C167" s="326"/>
      <c r="D167" s="326"/>
      <c r="E167" s="327"/>
      <c r="F167" s="327"/>
      <c r="G167" s="328"/>
      <c r="H167" s="329"/>
      <c r="I167" s="330"/>
      <c r="J167" s="327"/>
      <c r="K167" s="327"/>
      <c r="L167" s="331"/>
      <c r="M167" s="332"/>
      <c r="N167" s="267"/>
      <c r="O167" s="267"/>
      <c r="P167" s="267"/>
      <c r="Q167" s="267"/>
      <c r="R167" s="267"/>
      <c r="S167" s="267"/>
      <c r="T167" s="267"/>
      <c r="U167" s="267"/>
      <c r="V167" s="267"/>
      <c r="W167" s="267"/>
      <c r="X167" s="267"/>
      <c r="Y167" s="267"/>
      <c r="Z167" s="267"/>
      <c r="AA167" s="267"/>
      <c r="AB167" s="267"/>
      <c r="AC167" s="267"/>
    </row>
    <row r="168" ht="13.5" customHeight="1">
      <c r="A168" s="325"/>
      <c r="B168" s="325"/>
      <c r="C168" s="326"/>
      <c r="D168" s="326"/>
      <c r="E168" s="327"/>
      <c r="F168" s="327"/>
      <c r="G168" s="328"/>
      <c r="H168" s="329"/>
      <c r="I168" s="330"/>
      <c r="J168" s="327"/>
      <c r="K168" s="327"/>
      <c r="L168" s="331"/>
      <c r="M168" s="332"/>
      <c r="N168" s="267"/>
      <c r="O168" s="267"/>
      <c r="P168" s="267"/>
      <c r="Q168" s="267"/>
      <c r="R168" s="267"/>
      <c r="S168" s="267"/>
      <c r="T168" s="267"/>
      <c r="U168" s="267"/>
      <c r="V168" s="267"/>
      <c r="W168" s="267"/>
      <c r="X168" s="267"/>
      <c r="Y168" s="267"/>
      <c r="Z168" s="267"/>
      <c r="AA168" s="267"/>
      <c r="AB168" s="267"/>
      <c r="AC168" s="267"/>
    </row>
    <row r="169" ht="13.5" customHeight="1">
      <c r="A169" s="325"/>
      <c r="B169" s="325"/>
      <c r="C169" s="326"/>
      <c r="D169" s="326"/>
      <c r="E169" s="327"/>
      <c r="F169" s="327"/>
      <c r="G169" s="328"/>
      <c r="H169" s="329"/>
      <c r="I169" s="330"/>
      <c r="J169" s="327"/>
      <c r="K169" s="327"/>
      <c r="L169" s="331"/>
      <c r="M169" s="332"/>
      <c r="N169" s="267"/>
      <c r="O169" s="267"/>
      <c r="P169" s="267"/>
      <c r="Q169" s="267"/>
      <c r="R169" s="267"/>
      <c r="S169" s="267"/>
      <c r="T169" s="267"/>
      <c r="U169" s="267"/>
      <c r="V169" s="267"/>
      <c r="W169" s="267"/>
      <c r="X169" s="267"/>
      <c r="Y169" s="267"/>
      <c r="Z169" s="267"/>
      <c r="AA169" s="267"/>
      <c r="AB169" s="267"/>
      <c r="AC169" s="267"/>
    </row>
    <row r="170" ht="13.5" customHeight="1">
      <c r="A170" s="325"/>
      <c r="B170" s="325"/>
      <c r="C170" s="326"/>
      <c r="D170" s="326"/>
      <c r="E170" s="327"/>
      <c r="F170" s="327"/>
      <c r="G170" s="328"/>
      <c r="H170" s="329"/>
      <c r="I170" s="330"/>
      <c r="J170" s="327"/>
      <c r="K170" s="327"/>
      <c r="L170" s="331"/>
      <c r="M170" s="332"/>
      <c r="N170" s="267"/>
      <c r="O170" s="267"/>
      <c r="P170" s="267"/>
      <c r="Q170" s="267"/>
      <c r="R170" s="267"/>
      <c r="S170" s="267"/>
      <c r="T170" s="267"/>
      <c r="U170" s="267"/>
      <c r="V170" s="267"/>
      <c r="W170" s="267"/>
      <c r="X170" s="267"/>
      <c r="Y170" s="267"/>
      <c r="Z170" s="267"/>
      <c r="AA170" s="267"/>
      <c r="AB170" s="267"/>
      <c r="AC170" s="267"/>
    </row>
    <row r="171" ht="13.5" customHeight="1">
      <c r="A171" s="325" t="s">
        <v>740</v>
      </c>
      <c r="M171" s="325"/>
      <c r="N171" s="267"/>
      <c r="O171" s="267"/>
      <c r="P171" s="267"/>
      <c r="Q171" s="267"/>
      <c r="R171" s="267"/>
      <c r="S171" s="267"/>
      <c r="T171" s="267"/>
      <c r="U171" s="267"/>
      <c r="V171" s="267"/>
      <c r="W171" s="267"/>
      <c r="X171" s="267"/>
      <c r="Y171" s="267"/>
      <c r="Z171" s="267"/>
      <c r="AA171" s="267"/>
      <c r="AB171" s="267"/>
      <c r="AC171" s="267"/>
    </row>
    <row r="172" ht="13.5" customHeight="1">
      <c r="A172" s="333" t="s">
        <v>741</v>
      </c>
      <c r="B172" s="334" t="s">
        <v>222</v>
      </c>
      <c r="C172" s="335" t="s">
        <v>742</v>
      </c>
      <c r="D172" s="335" t="s">
        <v>743</v>
      </c>
      <c r="E172" s="336"/>
      <c r="F172" s="145"/>
      <c r="G172" s="334" t="s">
        <v>742</v>
      </c>
      <c r="H172" s="334" t="s">
        <v>743</v>
      </c>
      <c r="I172" s="334" t="s">
        <v>744</v>
      </c>
      <c r="J172" s="336" t="s">
        <v>744</v>
      </c>
      <c r="K172" s="145"/>
      <c r="L172" s="337" t="s">
        <v>222</v>
      </c>
      <c r="M172" s="338"/>
      <c r="N172" s="267"/>
      <c r="O172" s="267"/>
      <c r="P172" s="267"/>
      <c r="Q172" s="267"/>
      <c r="R172" s="267"/>
      <c r="S172" s="267"/>
      <c r="T172" s="267"/>
      <c r="U172" s="267"/>
      <c r="V172" s="267"/>
      <c r="W172" s="267"/>
      <c r="X172" s="267"/>
      <c r="Y172" s="267"/>
      <c r="Z172" s="267"/>
      <c r="AA172" s="267"/>
      <c r="AB172" s="267"/>
      <c r="AC172" s="267"/>
    </row>
    <row r="173" ht="13.5" customHeight="1">
      <c r="A173" s="339">
        <v>1.0</v>
      </c>
      <c r="B173" s="295" t="s">
        <v>745</v>
      </c>
      <c r="C173" s="308" t="s">
        <v>746</v>
      </c>
      <c r="D173" s="290">
        <v>1.0</v>
      </c>
      <c r="E173" s="340"/>
      <c r="F173" s="95"/>
      <c r="G173" s="341" t="s">
        <v>746</v>
      </c>
      <c r="H173" s="291">
        <f t="shared" ref="H173:H175" si="50">D173</f>
        <v>1</v>
      </c>
      <c r="I173" s="342">
        <f t="shared" ref="I173:I177" si="51">J173*D173</f>
        <v>1971</v>
      </c>
      <c r="J173" s="343">
        <v>1971.0</v>
      </c>
      <c r="K173" s="95"/>
      <c r="L173" s="344"/>
      <c r="M173" s="345"/>
      <c r="N173" s="267"/>
    </row>
    <row r="174" ht="13.5" customHeight="1">
      <c r="A174" s="339">
        <v>2.0</v>
      </c>
      <c r="B174" s="295" t="s">
        <v>747</v>
      </c>
      <c r="C174" s="308" t="s">
        <v>746</v>
      </c>
      <c r="D174" s="290">
        <v>2.0</v>
      </c>
      <c r="E174" s="340"/>
      <c r="F174" s="95"/>
      <c r="G174" s="341" t="s">
        <v>746</v>
      </c>
      <c r="H174" s="291">
        <f t="shared" si="50"/>
        <v>2</v>
      </c>
      <c r="I174" s="342">
        <f t="shared" si="51"/>
        <v>13934</v>
      </c>
      <c r="J174" s="343">
        <v>6967.0</v>
      </c>
      <c r="K174" s="95"/>
      <c r="L174" s="344"/>
      <c r="M174" s="345"/>
      <c r="P174" s="293" t="s">
        <v>707</v>
      </c>
    </row>
    <row r="175" ht="13.5" customHeight="1">
      <c r="A175" s="339">
        <v>3.0</v>
      </c>
      <c r="B175" s="295" t="s">
        <v>748</v>
      </c>
      <c r="C175" s="308" t="s">
        <v>746</v>
      </c>
      <c r="D175" s="290">
        <v>3.0</v>
      </c>
      <c r="E175" s="340"/>
      <c r="F175" s="95"/>
      <c r="G175" s="341" t="s">
        <v>749</v>
      </c>
      <c r="H175" s="291">
        <f t="shared" si="50"/>
        <v>3</v>
      </c>
      <c r="I175" s="342">
        <f t="shared" si="51"/>
        <v>24192</v>
      </c>
      <c r="J175" s="343">
        <v>8064.0</v>
      </c>
      <c r="K175" s="95"/>
      <c r="L175" s="344"/>
      <c r="M175" s="346"/>
      <c r="N175" s="293"/>
      <c r="O175" s="293"/>
      <c r="P175" s="293"/>
      <c r="Q175" s="293"/>
      <c r="R175" s="293"/>
      <c r="S175" s="293"/>
      <c r="T175" s="293"/>
      <c r="U175" s="293"/>
      <c r="V175" s="293"/>
      <c r="W175" s="293"/>
      <c r="X175" s="293"/>
      <c r="Y175" s="293"/>
      <c r="Z175" s="293"/>
      <c r="AA175" s="293"/>
      <c r="AB175" s="293"/>
      <c r="AC175" s="293"/>
      <c r="AD175" s="293"/>
      <c r="AE175" s="293"/>
      <c r="AF175" s="347"/>
      <c r="AG175" s="347"/>
      <c r="AH175" s="347"/>
      <c r="AI175" s="347"/>
      <c r="AJ175" s="347"/>
      <c r="AK175" s="347"/>
      <c r="AL175" s="347"/>
      <c r="AM175" s="347"/>
      <c r="AN175" s="347"/>
      <c r="AO175" s="347"/>
      <c r="AP175" s="347"/>
      <c r="AQ175" s="347"/>
    </row>
    <row r="176" ht="13.5" customHeight="1">
      <c r="A176" s="339">
        <v>4.0</v>
      </c>
      <c r="B176" s="295" t="s">
        <v>754</v>
      </c>
      <c r="C176" s="308" t="s">
        <v>746</v>
      </c>
      <c r="D176" s="290">
        <v>11.0</v>
      </c>
      <c r="E176" s="348"/>
      <c r="F176" s="349"/>
      <c r="G176" s="341" t="s">
        <v>746</v>
      </c>
      <c r="H176" s="291">
        <v>11.0</v>
      </c>
      <c r="I176" s="342">
        <f t="shared" si="51"/>
        <v>46200</v>
      </c>
      <c r="J176" s="343">
        <v>4200.0</v>
      </c>
      <c r="K176" s="95"/>
      <c r="L176" s="344"/>
      <c r="M176" s="332"/>
      <c r="N176" s="267"/>
      <c r="O176" s="267"/>
      <c r="P176" s="267"/>
      <c r="Q176" s="267"/>
      <c r="R176" s="267"/>
      <c r="S176" s="267"/>
      <c r="T176" s="267"/>
      <c r="U176" s="267"/>
      <c r="V176" s="267"/>
      <c r="W176" s="267"/>
      <c r="X176" s="267"/>
      <c r="Y176" s="267"/>
      <c r="Z176" s="267"/>
      <c r="AA176" s="267"/>
      <c r="AB176" s="267"/>
      <c r="AC176" s="267"/>
      <c r="AD176" s="293"/>
      <c r="AE176" s="293"/>
      <c r="AF176" s="293"/>
      <c r="AG176" s="293"/>
      <c r="AH176" s="293"/>
      <c r="AI176" s="293"/>
      <c r="AJ176" s="293"/>
      <c r="AK176" s="293"/>
      <c r="AL176" s="293"/>
      <c r="AM176" s="293"/>
      <c r="AN176" s="293"/>
      <c r="AO176" s="293"/>
      <c r="AP176" s="293"/>
      <c r="AQ176" s="293"/>
    </row>
    <row r="177" ht="13.5" customHeight="1">
      <c r="A177" s="339">
        <v>5.0</v>
      </c>
      <c r="B177" s="295" t="s">
        <v>886</v>
      </c>
      <c r="C177" s="308" t="s">
        <v>746</v>
      </c>
      <c r="D177" s="290">
        <v>1.0</v>
      </c>
      <c r="E177" s="348"/>
      <c r="F177" s="349"/>
      <c r="G177" s="341" t="s">
        <v>746</v>
      </c>
      <c r="H177" s="291">
        <v>1.0</v>
      </c>
      <c r="I177" s="342">
        <f t="shared" si="51"/>
        <v>0</v>
      </c>
      <c r="J177" s="343"/>
      <c r="K177" s="95"/>
      <c r="L177" s="344"/>
      <c r="M177" s="332"/>
      <c r="N177" s="267"/>
      <c r="O177" s="267"/>
      <c r="P177" s="267"/>
      <c r="Q177" s="267"/>
      <c r="R177" s="267"/>
      <c r="S177" s="267"/>
      <c r="T177" s="267"/>
      <c r="U177" s="267"/>
      <c r="V177" s="267"/>
      <c r="W177" s="267"/>
      <c r="X177" s="267"/>
      <c r="Y177" s="267"/>
      <c r="Z177" s="267"/>
      <c r="AA177" s="267"/>
      <c r="AB177" s="267"/>
      <c r="AC177" s="267"/>
      <c r="AD177" s="293"/>
      <c r="AE177" s="293"/>
      <c r="AF177" s="293"/>
      <c r="AG177" s="293"/>
      <c r="AH177" s="293"/>
      <c r="AI177" s="293"/>
      <c r="AJ177" s="293"/>
      <c r="AK177" s="293"/>
      <c r="AL177" s="293"/>
      <c r="AM177" s="293"/>
      <c r="AN177" s="293"/>
      <c r="AO177" s="293"/>
      <c r="AP177" s="293"/>
      <c r="AQ177" s="293"/>
    </row>
    <row r="178" ht="13.5" customHeight="1">
      <c r="A178" s="350"/>
      <c r="B178" s="351"/>
      <c r="C178" s="352"/>
      <c r="D178" s="353"/>
      <c r="E178" s="352"/>
      <c r="F178" s="353"/>
      <c r="G178" s="351"/>
      <c r="H178" s="354" t="s">
        <v>704</v>
      </c>
      <c r="I178" s="355">
        <f>SUM(I173:I176)</f>
        <v>86297</v>
      </c>
      <c r="J178" s="356"/>
      <c r="K178" s="168"/>
      <c r="L178" s="357"/>
      <c r="M178" s="345"/>
      <c r="N178" s="267"/>
      <c r="O178" s="267"/>
      <c r="P178" s="267"/>
      <c r="Q178" s="267"/>
      <c r="R178" s="267"/>
      <c r="S178" s="267"/>
      <c r="T178" s="267"/>
      <c r="U178" s="267"/>
      <c r="V178" s="267"/>
      <c r="W178" s="267"/>
      <c r="X178" s="267"/>
      <c r="Y178" s="267"/>
      <c r="Z178" s="267"/>
      <c r="AA178" s="267"/>
      <c r="AB178" s="267"/>
      <c r="AC178" s="267"/>
    </row>
    <row r="179" ht="13.5" customHeight="1">
      <c r="A179" s="358" t="s">
        <v>755</v>
      </c>
      <c r="B179" s="171"/>
      <c r="C179" s="171"/>
      <c r="D179" s="171"/>
      <c r="E179" s="171"/>
      <c r="F179" s="171"/>
      <c r="G179" s="171"/>
      <c r="H179" s="171"/>
      <c r="I179" s="171"/>
      <c r="J179" s="171"/>
      <c r="K179" s="171"/>
      <c r="L179" s="172"/>
      <c r="M179" s="332"/>
      <c r="N179" s="267"/>
      <c r="O179" s="267"/>
      <c r="P179" s="267"/>
      <c r="Q179" s="267"/>
      <c r="R179" s="267"/>
      <c r="S179" s="267"/>
      <c r="T179" s="267"/>
      <c r="U179" s="267"/>
      <c r="V179" s="267"/>
      <c r="W179" s="267"/>
      <c r="X179" s="267"/>
      <c r="Y179" s="267"/>
      <c r="Z179" s="267"/>
      <c r="AA179" s="267"/>
      <c r="AB179" s="267"/>
      <c r="AC179" s="267"/>
    </row>
    <row r="180" ht="13.5" customHeight="1">
      <c r="A180" s="332"/>
      <c r="B180" s="332"/>
      <c r="C180" s="359"/>
      <c r="D180" s="174"/>
      <c r="E180" s="174"/>
      <c r="F180" s="175"/>
      <c r="G180" s="332"/>
      <c r="H180" s="332"/>
      <c r="I180" s="332"/>
      <c r="J180" s="359"/>
      <c r="K180" s="175"/>
      <c r="L180" s="331"/>
      <c r="M180" s="332"/>
      <c r="N180" s="267"/>
      <c r="O180" s="267"/>
      <c r="P180" s="267"/>
      <c r="Q180" s="267"/>
      <c r="R180" s="267"/>
      <c r="S180" s="267"/>
      <c r="T180" s="267"/>
      <c r="U180" s="267"/>
      <c r="V180" s="267"/>
      <c r="W180" s="267"/>
      <c r="X180" s="267"/>
      <c r="Y180" s="267"/>
      <c r="Z180" s="267"/>
      <c r="AA180" s="267"/>
      <c r="AB180" s="267"/>
      <c r="AC180" s="267"/>
    </row>
    <row r="181" ht="13.5" customHeight="1">
      <c r="A181" s="325" t="s">
        <v>756</v>
      </c>
      <c r="M181" s="360"/>
      <c r="N181" s="279"/>
      <c r="O181" s="267"/>
      <c r="P181" s="267"/>
      <c r="Q181" s="267"/>
      <c r="R181" s="267"/>
      <c r="S181" s="267"/>
      <c r="T181" s="267"/>
      <c r="U181" s="267"/>
      <c r="V181" s="267"/>
      <c r="W181" s="267"/>
      <c r="X181" s="267"/>
      <c r="Y181" s="267"/>
      <c r="Z181" s="267"/>
      <c r="AA181" s="267"/>
      <c r="AB181" s="267"/>
      <c r="AC181" s="267"/>
    </row>
    <row r="182" ht="13.5" customHeight="1">
      <c r="A182" s="268" t="s">
        <v>28</v>
      </c>
      <c r="B182" s="269" t="s">
        <v>222</v>
      </c>
      <c r="C182" s="270" t="s">
        <v>737</v>
      </c>
      <c r="D182" s="270" t="s">
        <v>674</v>
      </c>
      <c r="E182" s="270" t="s">
        <v>757</v>
      </c>
      <c r="F182" s="270" t="s">
        <v>676</v>
      </c>
      <c r="G182" s="269" t="s">
        <v>737</v>
      </c>
      <c r="H182" s="269" t="s">
        <v>674</v>
      </c>
      <c r="I182" s="269" t="s">
        <v>676</v>
      </c>
      <c r="J182" s="361" t="s">
        <v>758</v>
      </c>
      <c r="K182" s="178"/>
      <c r="L182" s="178"/>
      <c r="M182" s="179"/>
      <c r="N182" s="362"/>
      <c r="O182" s="362"/>
      <c r="P182" s="362"/>
      <c r="Q182" s="362"/>
      <c r="R182" s="362"/>
      <c r="S182" s="362"/>
      <c r="T182" s="362"/>
      <c r="U182" s="362"/>
      <c r="V182" s="362"/>
      <c r="W182" s="362"/>
      <c r="X182" s="362"/>
      <c r="Y182" s="362"/>
      <c r="Z182" s="362"/>
      <c r="AA182" s="362"/>
      <c r="AB182" s="362"/>
      <c r="AC182" s="362"/>
      <c r="AD182" s="363"/>
      <c r="AE182" s="363"/>
      <c r="AF182" s="363"/>
      <c r="AG182" s="363"/>
      <c r="AH182" s="363"/>
      <c r="AI182" s="363"/>
      <c r="AJ182" s="363"/>
      <c r="AK182" s="363"/>
      <c r="AL182" s="363"/>
      <c r="AM182" s="363"/>
      <c r="AN182" s="363"/>
      <c r="AO182" s="363"/>
      <c r="AP182" s="363"/>
      <c r="AQ182" s="363"/>
    </row>
    <row r="183" ht="13.5" customHeight="1">
      <c r="A183" s="53"/>
      <c r="B183" s="54"/>
      <c r="C183" s="54"/>
      <c r="D183" s="54"/>
      <c r="E183" s="54"/>
      <c r="F183" s="54"/>
      <c r="G183" s="54"/>
      <c r="H183" s="54"/>
      <c r="I183" s="54"/>
      <c r="J183" s="364"/>
      <c r="K183" s="364" t="s">
        <v>34</v>
      </c>
      <c r="L183" s="365" t="s">
        <v>679</v>
      </c>
      <c r="M183" s="117"/>
      <c r="N183" s="267"/>
      <c r="O183" s="267"/>
      <c r="P183" s="267"/>
      <c r="Q183" s="267"/>
      <c r="R183" s="267"/>
      <c r="S183" s="267"/>
      <c r="T183" s="267"/>
      <c r="U183" s="267"/>
      <c r="V183" s="267"/>
      <c r="W183" s="267"/>
      <c r="X183" s="267"/>
      <c r="Y183" s="267"/>
      <c r="Z183" s="267"/>
      <c r="AA183" s="267"/>
      <c r="AB183" s="267"/>
      <c r="AC183" s="267"/>
    </row>
    <row r="184" ht="13.5" customHeight="1">
      <c r="A184" s="298"/>
      <c r="B184" s="274" t="s">
        <v>759</v>
      </c>
      <c r="C184" s="299"/>
      <c r="D184" s="299"/>
      <c r="E184" s="300"/>
      <c r="F184" s="299"/>
      <c r="G184" s="366"/>
      <c r="H184" s="95"/>
      <c r="I184" s="301"/>
      <c r="J184" s="302"/>
      <c r="K184" s="302"/>
      <c r="L184" s="367"/>
      <c r="M184" s="117"/>
      <c r="N184" s="368"/>
      <c r="O184" s="368"/>
      <c r="P184" s="368"/>
      <c r="Q184" s="368"/>
      <c r="R184" s="368"/>
      <c r="S184" s="368"/>
      <c r="T184" s="368"/>
      <c r="U184" s="368"/>
      <c r="V184" s="368"/>
      <c r="W184" s="368"/>
      <c r="X184" s="368"/>
      <c r="Y184" s="368"/>
      <c r="Z184" s="368"/>
      <c r="AA184" s="368"/>
      <c r="AB184" s="368"/>
      <c r="AC184" s="368"/>
      <c r="AD184" s="369"/>
      <c r="AE184" s="369"/>
      <c r="AF184" s="369"/>
      <c r="AG184" s="369"/>
      <c r="AH184" s="369"/>
      <c r="AI184" s="369"/>
      <c r="AJ184" s="369"/>
      <c r="AK184" s="369"/>
      <c r="AL184" s="369"/>
      <c r="AM184" s="369"/>
      <c r="AN184" s="369"/>
      <c r="AO184" s="369"/>
      <c r="AP184" s="369"/>
      <c r="AQ184" s="369"/>
    </row>
    <row r="185" ht="13.5" customHeight="1">
      <c r="A185" s="370"/>
      <c r="B185" s="371" t="s">
        <v>760</v>
      </c>
      <c r="C185" s="372">
        <v>1600.0</v>
      </c>
      <c r="D185" s="372"/>
      <c r="E185" s="372">
        <v>1.0</v>
      </c>
      <c r="F185" s="373" t="s">
        <v>761</v>
      </c>
      <c r="G185" s="374">
        <f>C185</f>
        <v>1600</v>
      </c>
      <c r="H185" s="191"/>
      <c r="I185" s="375" t="str">
        <f>F185</f>
        <v>sqft</v>
      </c>
      <c r="J185" s="376"/>
      <c r="K185" s="376">
        <v>18.0</v>
      </c>
      <c r="L185" s="377">
        <f>C185*E185*K185</f>
        <v>28800</v>
      </c>
      <c r="M185" s="378"/>
      <c r="N185" s="267"/>
      <c r="O185" s="267"/>
      <c r="P185" s="267"/>
      <c r="Q185" s="267"/>
      <c r="R185" s="267"/>
      <c r="S185" s="267"/>
      <c r="T185" s="267"/>
      <c r="U185" s="267"/>
      <c r="V185" s="267"/>
      <c r="W185" s="267"/>
      <c r="X185" s="267"/>
      <c r="Y185" s="267"/>
      <c r="Z185" s="267"/>
      <c r="AA185" s="267"/>
      <c r="AB185" s="267"/>
      <c r="AC185" s="267"/>
      <c r="AD185" s="347"/>
      <c r="AE185" s="347"/>
      <c r="AF185" s="347"/>
      <c r="AG185" s="347"/>
      <c r="AH185" s="347"/>
      <c r="AI185" s="347"/>
      <c r="AJ185" s="347"/>
      <c r="AK185" s="347"/>
      <c r="AL185" s="347"/>
      <c r="AM185" s="347"/>
      <c r="AN185" s="347"/>
      <c r="AO185" s="347"/>
      <c r="AP185" s="347"/>
      <c r="AQ185" s="347"/>
    </row>
    <row r="186" ht="13.5" customHeight="1">
      <c r="A186" s="298"/>
      <c r="B186" s="274" t="s">
        <v>682</v>
      </c>
      <c r="C186" s="379"/>
      <c r="D186" s="379"/>
      <c r="E186" s="379"/>
      <c r="F186" s="379"/>
      <c r="G186" s="380"/>
      <c r="H186" s="380"/>
      <c r="I186" s="381"/>
      <c r="J186" s="382"/>
      <c r="K186" s="382"/>
      <c r="L186" s="383"/>
      <c r="M186" s="117"/>
      <c r="N186" s="267"/>
      <c r="O186" s="267"/>
      <c r="P186" s="267"/>
      <c r="Q186" s="267"/>
      <c r="R186" s="267"/>
      <c r="S186" s="267"/>
      <c r="T186" s="267"/>
      <c r="U186" s="267"/>
      <c r="V186" s="267"/>
      <c r="W186" s="267"/>
      <c r="X186" s="267"/>
      <c r="Y186" s="267"/>
      <c r="Z186" s="267"/>
      <c r="AA186" s="267"/>
      <c r="AB186" s="267"/>
      <c r="AC186" s="267"/>
    </row>
    <row r="187" ht="13.5" customHeight="1">
      <c r="A187" s="306"/>
      <c r="B187" s="256" t="s">
        <v>887</v>
      </c>
      <c r="C187" s="379">
        <v>15.0</v>
      </c>
      <c r="D187" s="379"/>
      <c r="E187" s="379">
        <v>1.0</v>
      </c>
      <c r="F187" s="379" t="s">
        <v>767</v>
      </c>
      <c r="G187" s="384">
        <f>C187</f>
        <v>15</v>
      </c>
      <c r="H187" s="95"/>
      <c r="I187" s="385" t="str">
        <f t="shared" ref="I187:I194" si="52">F187</f>
        <v>rft</v>
      </c>
      <c r="J187" s="382"/>
      <c r="K187" s="382">
        <v>579.0</v>
      </c>
      <c r="L187" s="386">
        <f>C187*E187*K187</f>
        <v>8685</v>
      </c>
      <c r="M187" s="117"/>
      <c r="N187" s="279"/>
      <c r="O187" s="279"/>
      <c r="P187" s="279"/>
      <c r="Q187" s="279"/>
      <c r="R187" s="279"/>
      <c r="S187" s="279"/>
      <c r="T187" s="279"/>
      <c r="U187" s="279"/>
      <c r="V187" s="279"/>
      <c r="W187" s="279"/>
      <c r="X187" s="279"/>
      <c r="Y187" s="279"/>
      <c r="Z187" s="279"/>
      <c r="AA187" s="279"/>
      <c r="AB187" s="279"/>
      <c r="AC187" s="279"/>
      <c r="AD187" s="387"/>
      <c r="AE187" s="387"/>
    </row>
    <row r="188" ht="13.5" customHeight="1">
      <c r="A188" s="306"/>
      <c r="B188" s="256" t="s">
        <v>784</v>
      </c>
      <c r="C188" s="379">
        <v>1.0</v>
      </c>
      <c r="D188" s="379"/>
      <c r="E188" s="379">
        <v>1.0</v>
      </c>
      <c r="F188" s="388" t="s">
        <v>764</v>
      </c>
      <c r="G188" s="384">
        <v>2.0</v>
      </c>
      <c r="H188" s="95"/>
      <c r="I188" s="389" t="str">
        <f t="shared" si="52"/>
        <v>nos</v>
      </c>
      <c r="J188" s="382"/>
      <c r="K188" s="382">
        <v>1500.0</v>
      </c>
      <c r="L188" s="386">
        <f t="shared" ref="L188:L193" si="53">K188*E188*C188</f>
        <v>1500</v>
      </c>
      <c r="M188" s="117"/>
      <c r="N188" s="267"/>
      <c r="O188" s="267"/>
      <c r="P188" s="267"/>
      <c r="Q188" s="267"/>
      <c r="R188" s="267"/>
      <c r="S188" s="267"/>
      <c r="T188" s="267"/>
      <c r="U188" s="267"/>
      <c r="V188" s="267"/>
      <c r="W188" s="267"/>
      <c r="X188" s="267"/>
      <c r="Y188" s="267"/>
      <c r="Z188" s="267"/>
      <c r="AA188" s="267"/>
      <c r="AB188" s="267"/>
      <c r="AC188" s="267"/>
      <c r="AD188" s="293"/>
      <c r="AE188" s="293"/>
      <c r="AF188" s="293"/>
      <c r="AG188" s="293"/>
      <c r="AH188" s="293"/>
      <c r="AI188" s="293"/>
      <c r="AJ188" s="293"/>
      <c r="AK188" s="293"/>
      <c r="AL188" s="293"/>
      <c r="AM188" s="293"/>
      <c r="AN188" s="293"/>
      <c r="AO188" s="293"/>
      <c r="AP188" s="293"/>
      <c r="AQ188" s="293"/>
    </row>
    <row r="189" ht="13.5" customHeight="1">
      <c r="A189" s="306"/>
      <c r="B189" s="256" t="s">
        <v>772</v>
      </c>
      <c r="C189" s="379">
        <v>1.0</v>
      </c>
      <c r="D189" s="379"/>
      <c r="E189" s="379">
        <v>1.0</v>
      </c>
      <c r="F189" s="388" t="s">
        <v>764</v>
      </c>
      <c r="G189" s="384">
        <v>1.0</v>
      </c>
      <c r="H189" s="95"/>
      <c r="I189" s="389" t="str">
        <f t="shared" si="52"/>
        <v>nos</v>
      </c>
      <c r="J189" s="382"/>
      <c r="K189" s="382">
        <v>2574.0</v>
      </c>
      <c r="L189" s="386">
        <f t="shared" si="53"/>
        <v>2574</v>
      </c>
      <c r="M189" s="117"/>
      <c r="N189" s="267"/>
      <c r="O189" s="267"/>
      <c r="P189" s="267"/>
      <c r="Q189" s="267"/>
      <c r="R189" s="267"/>
      <c r="S189" s="267"/>
      <c r="T189" s="267"/>
      <c r="U189" s="267"/>
      <c r="V189" s="267"/>
      <c r="W189" s="267"/>
      <c r="X189" s="267"/>
      <c r="Y189" s="267"/>
      <c r="Z189" s="267"/>
      <c r="AA189" s="267"/>
      <c r="AB189" s="267"/>
      <c r="AC189" s="267"/>
      <c r="AD189" s="293"/>
      <c r="AE189" s="293"/>
      <c r="AF189" s="293"/>
      <c r="AG189" s="293"/>
      <c r="AH189" s="293"/>
      <c r="AI189" s="293"/>
      <c r="AJ189" s="293"/>
      <c r="AK189" s="293"/>
      <c r="AL189" s="293"/>
      <c r="AM189" s="293"/>
      <c r="AN189" s="293"/>
      <c r="AO189" s="293"/>
      <c r="AP189" s="293"/>
      <c r="AQ189" s="293"/>
    </row>
    <row r="190" ht="13.5" customHeight="1">
      <c r="A190" s="306"/>
      <c r="B190" s="256" t="s">
        <v>888</v>
      </c>
      <c r="C190" s="379">
        <v>1.0</v>
      </c>
      <c r="D190" s="379"/>
      <c r="E190" s="379">
        <v>1.0</v>
      </c>
      <c r="F190" s="388" t="s">
        <v>764</v>
      </c>
      <c r="G190" s="384">
        <v>1.0</v>
      </c>
      <c r="H190" s="95"/>
      <c r="I190" s="389" t="str">
        <f t="shared" si="52"/>
        <v>nos</v>
      </c>
      <c r="J190" s="382"/>
      <c r="K190" s="382">
        <v>2574.0</v>
      </c>
      <c r="L190" s="386">
        <f t="shared" si="53"/>
        <v>2574</v>
      </c>
      <c r="M190" s="117"/>
      <c r="N190" s="267"/>
      <c r="O190" s="267"/>
      <c r="P190" s="267"/>
      <c r="Q190" s="267"/>
      <c r="R190" s="267"/>
      <c r="S190" s="267"/>
      <c r="T190" s="267"/>
      <c r="U190" s="267"/>
      <c r="V190" s="267"/>
      <c r="W190" s="267"/>
      <c r="X190" s="267"/>
      <c r="Y190" s="267"/>
      <c r="Z190" s="267"/>
      <c r="AA190" s="267"/>
      <c r="AB190" s="267"/>
      <c r="AC190" s="267"/>
      <c r="AD190" s="293"/>
      <c r="AE190" s="293"/>
      <c r="AF190" s="293"/>
      <c r="AG190" s="293"/>
      <c r="AH190" s="293"/>
      <c r="AI190" s="293"/>
      <c r="AJ190" s="293"/>
      <c r="AK190" s="293"/>
      <c r="AL190" s="293"/>
      <c r="AM190" s="293"/>
      <c r="AN190" s="293"/>
      <c r="AO190" s="293"/>
      <c r="AP190" s="293"/>
      <c r="AQ190" s="293"/>
    </row>
    <row r="191" ht="13.5" customHeight="1">
      <c r="A191" s="306"/>
      <c r="B191" s="256" t="s">
        <v>774</v>
      </c>
      <c r="C191" s="379">
        <v>2.0</v>
      </c>
      <c r="D191" s="379"/>
      <c r="E191" s="379">
        <v>1.0</v>
      </c>
      <c r="F191" s="388" t="s">
        <v>764</v>
      </c>
      <c r="G191" s="384">
        <v>2.0</v>
      </c>
      <c r="H191" s="95"/>
      <c r="I191" s="389" t="str">
        <f t="shared" si="52"/>
        <v>nos</v>
      </c>
      <c r="J191" s="382"/>
      <c r="K191" s="382">
        <v>1430.0</v>
      </c>
      <c r="L191" s="386">
        <f t="shared" si="53"/>
        <v>2860</v>
      </c>
      <c r="M191" s="117"/>
      <c r="N191" s="267"/>
      <c r="O191" s="267"/>
      <c r="P191" s="267"/>
      <c r="Q191" s="267"/>
      <c r="R191" s="267"/>
      <c r="S191" s="267"/>
      <c r="T191" s="267"/>
      <c r="U191" s="267"/>
      <c r="V191" s="267"/>
      <c r="W191" s="267"/>
      <c r="X191" s="267"/>
      <c r="Y191" s="267"/>
      <c r="Z191" s="267"/>
      <c r="AA191" s="267"/>
      <c r="AB191" s="267"/>
      <c r="AC191" s="267"/>
      <c r="AD191" s="293"/>
      <c r="AE191" s="293"/>
      <c r="AF191" s="293"/>
      <c r="AG191" s="293"/>
      <c r="AH191" s="293"/>
      <c r="AI191" s="293"/>
      <c r="AJ191" s="293"/>
      <c r="AK191" s="293"/>
      <c r="AL191" s="293"/>
      <c r="AM191" s="293"/>
      <c r="AN191" s="293"/>
      <c r="AO191" s="293"/>
      <c r="AP191" s="293"/>
      <c r="AQ191" s="293"/>
    </row>
    <row r="192" ht="13.5" customHeight="1">
      <c r="A192" s="306"/>
      <c r="B192" s="256" t="s">
        <v>775</v>
      </c>
      <c r="C192" s="379">
        <v>1.0</v>
      </c>
      <c r="D192" s="379"/>
      <c r="E192" s="379">
        <v>1.0</v>
      </c>
      <c r="F192" s="388" t="s">
        <v>764</v>
      </c>
      <c r="G192" s="384">
        <v>1.0</v>
      </c>
      <c r="H192" s="95"/>
      <c r="I192" s="389" t="str">
        <f t="shared" si="52"/>
        <v>nos</v>
      </c>
      <c r="J192" s="382"/>
      <c r="K192" s="382">
        <v>2002.0</v>
      </c>
      <c r="L192" s="386">
        <f t="shared" si="53"/>
        <v>2002</v>
      </c>
      <c r="M192" s="117"/>
      <c r="N192" s="267"/>
      <c r="O192" s="267"/>
      <c r="P192" s="267"/>
      <c r="Q192" s="267"/>
      <c r="R192" s="267"/>
      <c r="S192" s="267"/>
      <c r="T192" s="267"/>
      <c r="U192" s="267"/>
      <c r="V192" s="267"/>
      <c r="W192" s="267"/>
      <c r="X192" s="267"/>
      <c r="Y192" s="267"/>
      <c r="Z192" s="267"/>
      <c r="AA192" s="267"/>
      <c r="AB192" s="267"/>
      <c r="AC192" s="267"/>
      <c r="AD192" s="293"/>
      <c r="AE192" s="293"/>
      <c r="AF192" s="293"/>
      <c r="AG192" s="293"/>
      <c r="AH192" s="293"/>
      <c r="AI192" s="293"/>
      <c r="AJ192" s="293"/>
      <c r="AK192" s="293"/>
      <c r="AL192" s="293"/>
      <c r="AM192" s="293"/>
      <c r="AN192" s="293"/>
      <c r="AO192" s="293"/>
      <c r="AP192" s="293"/>
      <c r="AQ192" s="293"/>
    </row>
    <row r="193" ht="13.5" customHeight="1">
      <c r="A193" s="306"/>
      <c r="B193" s="256" t="s">
        <v>792</v>
      </c>
      <c r="C193" s="379">
        <v>2.0</v>
      </c>
      <c r="D193" s="379"/>
      <c r="E193" s="379">
        <v>1.0</v>
      </c>
      <c r="F193" s="388" t="s">
        <v>764</v>
      </c>
      <c r="G193" s="384">
        <v>2.0</v>
      </c>
      <c r="H193" s="95"/>
      <c r="I193" s="389" t="str">
        <f t="shared" si="52"/>
        <v>nos</v>
      </c>
      <c r="J193" s="382"/>
      <c r="K193" s="382">
        <v>2288.0</v>
      </c>
      <c r="L193" s="386">
        <f t="shared" si="53"/>
        <v>4576</v>
      </c>
      <c r="M193" s="117"/>
      <c r="N193" s="267"/>
      <c r="O193" s="267"/>
      <c r="P193" s="267"/>
      <c r="Q193" s="267"/>
      <c r="R193" s="267"/>
      <c r="S193" s="267"/>
      <c r="T193" s="267"/>
      <c r="U193" s="267"/>
      <c r="V193" s="267"/>
      <c r="W193" s="267"/>
      <c r="X193" s="267"/>
      <c r="Y193" s="267"/>
      <c r="Z193" s="267"/>
      <c r="AA193" s="267"/>
      <c r="AB193" s="267"/>
      <c r="AC193" s="267"/>
      <c r="AD193" s="293"/>
      <c r="AE193" s="293"/>
      <c r="AF193" s="293"/>
      <c r="AG193" s="293"/>
      <c r="AH193" s="293"/>
      <c r="AI193" s="293"/>
      <c r="AJ193" s="293"/>
      <c r="AK193" s="293"/>
      <c r="AL193" s="293"/>
      <c r="AM193" s="293"/>
      <c r="AN193" s="293"/>
      <c r="AO193" s="293"/>
      <c r="AP193" s="293"/>
      <c r="AQ193" s="293"/>
    </row>
    <row r="194" ht="13.5" customHeight="1">
      <c r="A194" s="306"/>
      <c r="B194" s="256" t="s">
        <v>861</v>
      </c>
      <c r="C194" s="379">
        <v>200.0</v>
      </c>
      <c r="D194" s="379"/>
      <c r="E194" s="379">
        <v>1.0</v>
      </c>
      <c r="F194" s="388" t="s">
        <v>761</v>
      </c>
      <c r="G194" s="384">
        <f>C194</f>
        <v>200</v>
      </c>
      <c r="H194" s="95"/>
      <c r="I194" s="389" t="str">
        <f t="shared" si="52"/>
        <v>sqft</v>
      </c>
      <c r="J194" s="382"/>
      <c r="K194" s="382">
        <v>121.0</v>
      </c>
      <c r="L194" s="386">
        <f>C194*E194*K194</f>
        <v>24200</v>
      </c>
      <c r="M194" s="117"/>
      <c r="N194" s="267"/>
      <c r="O194" s="267"/>
      <c r="P194" s="267"/>
      <c r="Q194" s="267"/>
      <c r="R194" s="267"/>
      <c r="S194" s="267"/>
      <c r="T194" s="267"/>
      <c r="U194" s="267"/>
      <c r="V194" s="267"/>
      <c r="W194" s="267"/>
      <c r="X194" s="267"/>
      <c r="Y194" s="267"/>
      <c r="Z194" s="267"/>
      <c r="AA194" s="267"/>
      <c r="AB194" s="267"/>
      <c r="AC194" s="267"/>
      <c r="AD194" s="293"/>
      <c r="AE194" s="293"/>
      <c r="AF194" s="293"/>
      <c r="AG194" s="293"/>
      <c r="AH194" s="293"/>
      <c r="AI194" s="293"/>
      <c r="AJ194" s="293"/>
      <c r="AK194" s="293"/>
      <c r="AL194" s="293"/>
      <c r="AM194" s="293"/>
      <c r="AN194" s="293"/>
      <c r="AO194" s="293"/>
      <c r="AP194" s="293"/>
      <c r="AQ194" s="293"/>
    </row>
    <row r="195" ht="13.5" customHeight="1">
      <c r="A195" s="298"/>
      <c r="B195" s="274" t="s">
        <v>688</v>
      </c>
      <c r="C195" s="379"/>
      <c r="D195" s="379"/>
      <c r="E195" s="379"/>
      <c r="F195" s="379"/>
      <c r="G195" s="380"/>
      <c r="H195" s="380"/>
      <c r="I195" s="381"/>
      <c r="J195" s="382"/>
      <c r="K195" s="382"/>
      <c r="L195" s="383"/>
      <c r="M195" s="117"/>
      <c r="N195" s="267"/>
      <c r="O195" s="267"/>
      <c r="P195" s="267"/>
      <c r="Q195" s="267"/>
      <c r="R195" s="267"/>
      <c r="S195" s="267"/>
      <c r="T195" s="267"/>
      <c r="U195" s="267"/>
      <c r="V195" s="267"/>
      <c r="W195" s="267"/>
      <c r="X195" s="267"/>
      <c r="Y195" s="267"/>
      <c r="Z195" s="267"/>
      <c r="AA195" s="267"/>
      <c r="AB195" s="267"/>
      <c r="AC195" s="267"/>
      <c r="AD195" s="293"/>
      <c r="AE195" s="293"/>
      <c r="AF195" s="293"/>
      <c r="AG195" s="293"/>
      <c r="AH195" s="293"/>
      <c r="AI195" s="293"/>
      <c r="AJ195" s="293"/>
      <c r="AK195" s="293"/>
      <c r="AL195" s="293"/>
      <c r="AM195" s="293"/>
      <c r="AN195" s="293"/>
      <c r="AO195" s="293"/>
      <c r="AP195" s="293"/>
      <c r="AQ195" s="293"/>
    </row>
    <row r="196" ht="13.5" customHeight="1">
      <c r="A196" s="306"/>
      <c r="B196" s="256" t="s">
        <v>778</v>
      </c>
      <c r="C196" s="379">
        <v>15.0</v>
      </c>
      <c r="D196" s="379"/>
      <c r="E196" s="379">
        <v>1.0</v>
      </c>
      <c r="F196" s="435" t="s">
        <v>767</v>
      </c>
      <c r="G196" s="384">
        <f t="shared" ref="G196:G202" si="54">C196</f>
        <v>15</v>
      </c>
      <c r="H196" s="95"/>
      <c r="I196" s="389" t="s">
        <v>767</v>
      </c>
      <c r="J196" s="382"/>
      <c r="K196" s="382">
        <v>579.0</v>
      </c>
      <c r="L196" s="386">
        <f t="shared" ref="L196:L198" si="55">C196*E196*K196</f>
        <v>8685</v>
      </c>
      <c r="M196" s="117"/>
      <c r="N196" s="267"/>
      <c r="O196" s="267"/>
      <c r="P196" s="267"/>
      <c r="Q196" s="267"/>
      <c r="R196" s="267"/>
      <c r="S196" s="267"/>
      <c r="T196" s="267"/>
      <c r="U196" s="267"/>
      <c r="V196" s="267"/>
      <c r="W196" s="267"/>
      <c r="X196" s="267"/>
      <c r="Y196" s="267"/>
      <c r="Z196" s="267"/>
      <c r="AA196" s="267"/>
      <c r="AB196" s="267"/>
      <c r="AC196" s="267"/>
      <c r="AD196" s="293"/>
      <c r="AE196" s="293"/>
      <c r="AF196" s="293"/>
      <c r="AG196" s="293"/>
      <c r="AH196" s="293"/>
      <c r="AI196" s="293"/>
      <c r="AJ196" s="293"/>
      <c r="AK196" s="293"/>
      <c r="AL196" s="293"/>
      <c r="AM196" s="293"/>
      <c r="AN196" s="293"/>
      <c r="AO196" s="293"/>
      <c r="AP196" s="293"/>
      <c r="AQ196" s="293"/>
    </row>
    <row r="197" ht="13.5" customHeight="1">
      <c r="A197" s="306"/>
      <c r="B197" s="256" t="s">
        <v>779</v>
      </c>
      <c r="C197" s="379">
        <v>60.0</v>
      </c>
      <c r="D197" s="379"/>
      <c r="E197" s="379">
        <v>1.0</v>
      </c>
      <c r="F197" s="435" t="s">
        <v>761</v>
      </c>
      <c r="G197" s="384">
        <f t="shared" si="54"/>
        <v>60</v>
      </c>
      <c r="H197" s="95"/>
      <c r="I197" s="389" t="str">
        <f t="shared" ref="I197:I210" si="56">F197</f>
        <v>sqft</v>
      </c>
      <c r="J197" s="382"/>
      <c r="K197" s="382">
        <v>168.0</v>
      </c>
      <c r="L197" s="386">
        <f t="shared" si="55"/>
        <v>10080</v>
      </c>
      <c r="M197" s="117"/>
      <c r="N197" s="267"/>
      <c r="O197" s="267"/>
      <c r="P197" s="267"/>
      <c r="Q197" s="267"/>
      <c r="R197" s="267"/>
      <c r="S197" s="267"/>
      <c r="T197" s="267"/>
      <c r="U197" s="267"/>
      <c r="V197" s="267"/>
      <c r="W197" s="267"/>
      <c r="X197" s="267"/>
      <c r="Y197" s="267"/>
      <c r="Z197" s="267"/>
      <c r="AA197" s="267"/>
      <c r="AB197" s="267"/>
      <c r="AC197" s="267"/>
      <c r="AD197" s="293"/>
      <c r="AE197" s="293"/>
      <c r="AF197" s="293"/>
      <c r="AG197" s="293"/>
      <c r="AH197" s="293"/>
      <c r="AI197" s="293"/>
      <c r="AJ197" s="293"/>
      <c r="AK197" s="293"/>
      <c r="AL197" s="293"/>
      <c r="AM197" s="293"/>
      <c r="AN197" s="293"/>
      <c r="AO197" s="293"/>
      <c r="AP197" s="293"/>
      <c r="AQ197" s="293"/>
    </row>
    <row r="198" ht="13.5" customHeight="1">
      <c r="A198" s="306"/>
      <c r="B198" s="256" t="s">
        <v>862</v>
      </c>
      <c r="C198" s="379">
        <v>60.0</v>
      </c>
      <c r="D198" s="379"/>
      <c r="E198" s="379">
        <v>1.0</v>
      </c>
      <c r="F198" s="435" t="s">
        <v>761</v>
      </c>
      <c r="G198" s="384">
        <f t="shared" si="54"/>
        <v>60</v>
      </c>
      <c r="H198" s="95"/>
      <c r="I198" s="389" t="str">
        <f t="shared" si="56"/>
        <v>sqft</v>
      </c>
      <c r="J198" s="382"/>
      <c r="K198" s="382">
        <v>358.0</v>
      </c>
      <c r="L198" s="386">
        <f t="shared" si="55"/>
        <v>21480</v>
      </c>
      <c r="M198" s="117"/>
      <c r="N198" s="267"/>
      <c r="O198" s="267"/>
      <c r="P198" s="267"/>
      <c r="Q198" s="267"/>
      <c r="R198" s="267"/>
      <c r="S198" s="267"/>
      <c r="T198" s="267"/>
      <c r="U198" s="267"/>
      <c r="V198" s="267"/>
      <c r="W198" s="267"/>
      <c r="X198" s="267"/>
      <c r="Y198" s="267"/>
      <c r="Z198" s="267"/>
      <c r="AA198" s="267"/>
      <c r="AB198" s="267"/>
      <c r="AC198" s="267"/>
      <c r="AD198" s="293"/>
      <c r="AE198" s="293"/>
      <c r="AF198" s="293"/>
      <c r="AG198" s="293"/>
      <c r="AH198" s="293"/>
      <c r="AI198" s="293"/>
      <c r="AJ198" s="293"/>
      <c r="AK198" s="293"/>
      <c r="AL198" s="293"/>
      <c r="AM198" s="293"/>
      <c r="AN198" s="293"/>
      <c r="AO198" s="293"/>
      <c r="AP198" s="293"/>
      <c r="AQ198" s="293"/>
    </row>
    <row r="199" ht="13.5" customHeight="1">
      <c r="A199" s="306"/>
      <c r="B199" s="256" t="s">
        <v>863</v>
      </c>
      <c r="C199" s="379">
        <v>40.0</v>
      </c>
      <c r="D199" s="379"/>
      <c r="E199" s="379">
        <v>1.0</v>
      </c>
      <c r="F199" s="435" t="s">
        <v>767</v>
      </c>
      <c r="G199" s="384">
        <f t="shared" si="54"/>
        <v>40</v>
      </c>
      <c r="H199" s="95"/>
      <c r="I199" s="389" t="str">
        <f t="shared" si="56"/>
        <v>rft</v>
      </c>
      <c r="J199" s="382"/>
      <c r="K199" s="382">
        <v>358.0</v>
      </c>
      <c r="L199" s="386">
        <f t="shared" ref="L199:L210" si="57">K199*E199*C199</f>
        <v>14320</v>
      </c>
      <c r="M199" s="117"/>
      <c r="N199" s="267"/>
      <c r="O199" s="267"/>
      <c r="P199" s="267"/>
      <c r="Q199" s="267"/>
      <c r="R199" s="267"/>
      <c r="S199" s="267"/>
      <c r="T199" s="267"/>
      <c r="U199" s="267"/>
      <c r="V199" s="267"/>
      <c r="W199" s="267"/>
      <c r="X199" s="267"/>
      <c r="Y199" s="267"/>
      <c r="Z199" s="267"/>
      <c r="AA199" s="267"/>
      <c r="AB199" s="267"/>
      <c r="AC199" s="267"/>
      <c r="AD199" s="293"/>
      <c r="AE199" s="293"/>
      <c r="AF199" s="293"/>
      <c r="AG199" s="293"/>
      <c r="AH199" s="293"/>
      <c r="AI199" s="293"/>
      <c r="AJ199" s="293"/>
      <c r="AK199" s="293"/>
      <c r="AL199" s="293"/>
      <c r="AM199" s="293"/>
      <c r="AN199" s="293"/>
      <c r="AO199" s="293"/>
      <c r="AP199" s="293"/>
      <c r="AQ199" s="293"/>
    </row>
    <row r="200" ht="13.5" customHeight="1">
      <c r="A200" s="306"/>
      <c r="B200" s="256" t="s">
        <v>864</v>
      </c>
      <c r="C200" s="379">
        <v>40.0</v>
      </c>
      <c r="D200" s="379"/>
      <c r="E200" s="379">
        <v>1.0</v>
      </c>
      <c r="F200" s="435" t="s">
        <v>767</v>
      </c>
      <c r="G200" s="384">
        <f t="shared" si="54"/>
        <v>40</v>
      </c>
      <c r="H200" s="95"/>
      <c r="I200" s="389" t="str">
        <f t="shared" si="56"/>
        <v>rft</v>
      </c>
      <c r="J200" s="382"/>
      <c r="K200" s="382">
        <v>358.0</v>
      </c>
      <c r="L200" s="386">
        <f t="shared" si="57"/>
        <v>14320</v>
      </c>
      <c r="M200" s="117"/>
      <c r="N200" s="267"/>
      <c r="O200" s="267"/>
      <c r="P200" s="267"/>
      <c r="Q200" s="267"/>
      <c r="R200" s="267"/>
      <c r="S200" s="267"/>
      <c r="T200" s="267"/>
      <c r="U200" s="267"/>
      <c r="V200" s="267"/>
      <c r="W200" s="267"/>
      <c r="X200" s="267"/>
      <c r="Y200" s="267"/>
      <c r="Z200" s="267"/>
      <c r="AA200" s="267"/>
      <c r="AB200" s="267"/>
      <c r="AC200" s="267"/>
      <c r="AD200" s="293"/>
      <c r="AE200" s="293"/>
      <c r="AF200" s="293"/>
      <c r="AG200" s="293"/>
      <c r="AH200" s="293"/>
      <c r="AI200" s="293"/>
      <c r="AJ200" s="293"/>
      <c r="AK200" s="293"/>
      <c r="AL200" s="293"/>
      <c r="AM200" s="293"/>
      <c r="AN200" s="293"/>
      <c r="AO200" s="293"/>
      <c r="AP200" s="293"/>
      <c r="AQ200" s="293"/>
    </row>
    <row r="201" ht="13.5" customHeight="1">
      <c r="A201" s="306"/>
      <c r="B201" s="256" t="s">
        <v>889</v>
      </c>
      <c r="C201" s="379">
        <v>1.0</v>
      </c>
      <c r="D201" s="379"/>
      <c r="E201" s="379">
        <v>1.0</v>
      </c>
      <c r="F201" s="435" t="s">
        <v>767</v>
      </c>
      <c r="G201" s="384">
        <f t="shared" si="54"/>
        <v>1</v>
      </c>
      <c r="H201" s="95"/>
      <c r="I201" s="389" t="str">
        <f t="shared" si="56"/>
        <v>rft</v>
      </c>
      <c r="J201" s="382"/>
      <c r="K201" s="382">
        <v>5005.0</v>
      </c>
      <c r="L201" s="386">
        <f t="shared" si="57"/>
        <v>5005</v>
      </c>
      <c r="M201" s="117"/>
      <c r="N201" s="267"/>
      <c r="O201" s="267"/>
      <c r="P201" s="267"/>
      <c r="Q201" s="267"/>
      <c r="R201" s="267"/>
      <c r="S201" s="267"/>
      <c r="T201" s="267"/>
      <c r="U201" s="267"/>
      <c r="V201" s="267"/>
      <c r="W201" s="267"/>
      <c r="X201" s="267"/>
      <c r="Y201" s="267"/>
      <c r="Z201" s="267"/>
      <c r="AA201" s="267"/>
      <c r="AB201" s="267"/>
      <c r="AC201" s="267"/>
      <c r="AD201" s="293"/>
      <c r="AE201" s="293"/>
      <c r="AF201" s="293"/>
      <c r="AG201" s="293"/>
      <c r="AH201" s="293"/>
      <c r="AI201" s="293"/>
      <c r="AJ201" s="293"/>
      <c r="AK201" s="293"/>
      <c r="AL201" s="293"/>
      <c r="AM201" s="293"/>
      <c r="AN201" s="293"/>
      <c r="AO201" s="293"/>
      <c r="AP201" s="293"/>
      <c r="AQ201" s="293"/>
    </row>
    <row r="202" ht="13.5" customHeight="1">
      <c r="A202" s="306"/>
      <c r="B202" s="256" t="s">
        <v>890</v>
      </c>
      <c r="C202" s="379">
        <v>1.0</v>
      </c>
      <c r="D202" s="379"/>
      <c r="E202" s="379">
        <v>1.0</v>
      </c>
      <c r="F202" s="435" t="s">
        <v>767</v>
      </c>
      <c r="G202" s="384">
        <f t="shared" si="54"/>
        <v>1</v>
      </c>
      <c r="H202" s="95"/>
      <c r="I202" s="389" t="str">
        <f t="shared" si="56"/>
        <v>rft</v>
      </c>
      <c r="J202" s="382"/>
      <c r="K202" s="382">
        <v>700.0</v>
      </c>
      <c r="L202" s="386">
        <f t="shared" si="57"/>
        <v>700</v>
      </c>
      <c r="M202" s="117"/>
      <c r="N202" s="267"/>
      <c r="O202" s="267"/>
      <c r="P202" s="267"/>
      <c r="Q202" s="267"/>
      <c r="R202" s="267"/>
      <c r="S202" s="267"/>
      <c r="T202" s="267"/>
      <c r="U202" s="267"/>
      <c r="V202" s="267"/>
      <c r="W202" s="267"/>
      <c r="X202" s="267"/>
      <c r="Y202" s="267"/>
      <c r="Z202" s="267"/>
      <c r="AA202" s="267"/>
      <c r="AB202" s="267"/>
      <c r="AC202" s="267"/>
      <c r="AD202" s="293"/>
      <c r="AE202" s="293"/>
      <c r="AF202" s="293"/>
      <c r="AG202" s="293"/>
      <c r="AH202" s="293"/>
      <c r="AI202" s="293"/>
      <c r="AJ202" s="293"/>
      <c r="AK202" s="293"/>
      <c r="AL202" s="293"/>
      <c r="AM202" s="293"/>
      <c r="AN202" s="293"/>
      <c r="AO202" s="293"/>
      <c r="AP202" s="293"/>
      <c r="AQ202" s="293"/>
    </row>
    <row r="203" ht="13.5" customHeight="1">
      <c r="A203" s="306"/>
      <c r="B203" s="256" t="s">
        <v>774</v>
      </c>
      <c r="C203" s="379">
        <v>1.0</v>
      </c>
      <c r="D203" s="379"/>
      <c r="E203" s="379">
        <v>1.0</v>
      </c>
      <c r="F203" s="435" t="s">
        <v>764</v>
      </c>
      <c r="G203" s="384">
        <v>1.0</v>
      </c>
      <c r="H203" s="95"/>
      <c r="I203" s="389" t="str">
        <f t="shared" si="56"/>
        <v>nos</v>
      </c>
      <c r="J203" s="382"/>
      <c r="K203" s="382">
        <v>1430.0</v>
      </c>
      <c r="L203" s="386">
        <f t="shared" si="57"/>
        <v>1430</v>
      </c>
      <c r="M203" s="117"/>
      <c r="N203" s="267"/>
      <c r="O203" s="267"/>
      <c r="P203" s="267"/>
      <c r="Q203" s="267"/>
      <c r="R203" s="267"/>
      <c r="S203" s="267"/>
      <c r="T203" s="267"/>
      <c r="U203" s="267"/>
      <c r="V203" s="267"/>
      <c r="W203" s="267"/>
      <c r="X203" s="267"/>
      <c r="Y203" s="267"/>
      <c r="Z203" s="267"/>
      <c r="AA203" s="267"/>
      <c r="AB203" s="267"/>
      <c r="AC203" s="267"/>
      <c r="AD203" s="293"/>
      <c r="AE203" s="293"/>
      <c r="AF203" s="293"/>
      <c r="AG203" s="293"/>
      <c r="AH203" s="293"/>
      <c r="AI203" s="293"/>
      <c r="AJ203" s="293"/>
      <c r="AK203" s="293"/>
      <c r="AL203" s="293"/>
      <c r="AM203" s="293"/>
      <c r="AN203" s="293"/>
      <c r="AO203" s="293"/>
      <c r="AP203" s="293"/>
      <c r="AQ203" s="293"/>
    </row>
    <row r="204" ht="13.5" customHeight="1">
      <c r="A204" s="306"/>
      <c r="B204" s="256" t="s">
        <v>888</v>
      </c>
      <c r="C204" s="379">
        <v>2.0</v>
      </c>
      <c r="D204" s="379"/>
      <c r="E204" s="379">
        <v>1.0</v>
      </c>
      <c r="F204" s="435" t="s">
        <v>764</v>
      </c>
      <c r="G204" s="384">
        <v>2.0</v>
      </c>
      <c r="H204" s="95"/>
      <c r="I204" s="389" t="str">
        <f t="shared" si="56"/>
        <v>nos</v>
      </c>
      <c r="J204" s="382"/>
      <c r="K204" s="382">
        <v>2574.0</v>
      </c>
      <c r="L204" s="386">
        <f t="shared" si="57"/>
        <v>5148</v>
      </c>
      <c r="M204" s="117"/>
      <c r="N204" s="267"/>
      <c r="O204" s="267"/>
      <c r="P204" s="267"/>
      <c r="Q204" s="267"/>
      <c r="R204" s="267"/>
      <c r="S204" s="267"/>
      <c r="T204" s="267"/>
      <c r="U204" s="267"/>
      <c r="V204" s="267"/>
      <c r="W204" s="267"/>
      <c r="X204" s="267"/>
      <c r="Y204" s="267"/>
      <c r="Z204" s="267"/>
      <c r="AA204" s="267"/>
      <c r="AB204" s="267"/>
      <c r="AC204" s="267"/>
      <c r="AD204" s="293"/>
      <c r="AE204" s="293"/>
      <c r="AF204" s="293"/>
      <c r="AG204" s="293"/>
      <c r="AH204" s="293"/>
      <c r="AI204" s="293"/>
      <c r="AJ204" s="293"/>
      <c r="AK204" s="293"/>
      <c r="AL204" s="293"/>
      <c r="AM204" s="293"/>
      <c r="AN204" s="293"/>
      <c r="AO204" s="293"/>
      <c r="AP204" s="293"/>
      <c r="AQ204" s="293"/>
    </row>
    <row r="205" ht="13.5" customHeight="1">
      <c r="A205" s="306"/>
      <c r="B205" s="256" t="s">
        <v>765</v>
      </c>
      <c r="C205" s="379">
        <v>1.0</v>
      </c>
      <c r="D205" s="379"/>
      <c r="E205" s="379">
        <v>1.0</v>
      </c>
      <c r="F205" s="435" t="s">
        <v>764</v>
      </c>
      <c r="G205" s="384">
        <v>1.0</v>
      </c>
      <c r="H205" s="95"/>
      <c r="I205" s="389" t="str">
        <f t="shared" si="56"/>
        <v>nos</v>
      </c>
      <c r="J205" s="382"/>
      <c r="K205" s="382">
        <v>2574.0</v>
      </c>
      <c r="L205" s="386">
        <f t="shared" si="57"/>
        <v>2574</v>
      </c>
      <c r="M205" s="117"/>
      <c r="N205" s="267"/>
      <c r="O205" s="267"/>
      <c r="P205" s="267"/>
      <c r="Q205" s="267"/>
      <c r="R205" s="267"/>
      <c r="S205" s="267"/>
      <c r="T205" s="267"/>
      <c r="U205" s="267"/>
      <c r="V205" s="267"/>
      <c r="W205" s="267"/>
      <c r="X205" s="267"/>
      <c r="Y205" s="267"/>
      <c r="Z205" s="267"/>
      <c r="AA205" s="267"/>
      <c r="AB205" s="267"/>
      <c r="AC205" s="267"/>
      <c r="AD205" s="293"/>
      <c r="AE205" s="293"/>
      <c r="AF205" s="293"/>
      <c r="AG205" s="293"/>
      <c r="AH205" s="293"/>
      <c r="AI205" s="293"/>
      <c r="AJ205" s="293"/>
      <c r="AK205" s="293"/>
      <c r="AL205" s="293"/>
      <c r="AM205" s="293"/>
      <c r="AN205" s="293"/>
      <c r="AO205" s="293"/>
      <c r="AP205" s="293"/>
      <c r="AQ205" s="293"/>
    </row>
    <row r="206" ht="13.5" customHeight="1">
      <c r="A206" s="306"/>
      <c r="B206" s="256" t="s">
        <v>773</v>
      </c>
      <c r="C206" s="379">
        <v>1.0</v>
      </c>
      <c r="D206" s="379"/>
      <c r="E206" s="379">
        <v>1.0</v>
      </c>
      <c r="F206" s="435" t="s">
        <v>764</v>
      </c>
      <c r="G206" s="384">
        <v>1.0</v>
      </c>
      <c r="H206" s="95"/>
      <c r="I206" s="389" t="str">
        <f t="shared" si="56"/>
        <v>nos</v>
      </c>
      <c r="J206" s="382"/>
      <c r="K206" s="382">
        <v>2574.0</v>
      </c>
      <c r="L206" s="386">
        <f t="shared" si="57"/>
        <v>2574</v>
      </c>
      <c r="M206" s="117"/>
      <c r="N206" s="267"/>
      <c r="O206" s="267"/>
      <c r="P206" s="267"/>
      <c r="Q206" s="267"/>
      <c r="R206" s="267"/>
      <c r="S206" s="267"/>
      <c r="T206" s="267"/>
      <c r="U206" s="267"/>
      <c r="V206" s="267"/>
      <c r="W206" s="267"/>
      <c r="X206" s="267"/>
      <c r="Y206" s="267"/>
      <c r="Z206" s="267"/>
      <c r="AA206" s="267"/>
      <c r="AB206" s="267"/>
      <c r="AC206" s="267"/>
      <c r="AD206" s="293"/>
      <c r="AE206" s="293"/>
      <c r="AF206" s="293"/>
      <c r="AG206" s="293"/>
      <c r="AH206" s="293"/>
      <c r="AI206" s="293"/>
      <c r="AJ206" s="293"/>
      <c r="AK206" s="293"/>
      <c r="AL206" s="293"/>
      <c r="AM206" s="293"/>
      <c r="AN206" s="293"/>
      <c r="AO206" s="293"/>
      <c r="AP206" s="293"/>
      <c r="AQ206" s="293"/>
    </row>
    <row r="207" ht="13.5" customHeight="1">
      <c r="A207" s="306"/>
      <c r="B207" s="256" t="s">
        <v>891</v>
      </c>
      <c r="C207" s="379">
        <v>1.0</v>
      </c>
      <c r="D207" s="379"/>
      <c r="E207" s="379">
        <v>1.0</v>
      </c>
      <c r="F207" s="435" t="s">
        <v>764</v>
      </c>
      <c r="G207" s="384">
        <v>1.0</v>
      </c>
      <c r="H207" s="95"/>
      <c r="I207" s="389" t="str">
        <f t="shared" si="56"/>
        <v>nos</v>
      </c>
      <c r="J207" s="382"/>
      <c r="K207" s="382">
        <v>286.0</v>
      </c>
      <c r="L207" s="386">
        <f t="shared" si="57"/>
        <v>286</v>
      </c>
      <c r="M207" s="117"/>
      <c r="N207" s="267"/>
      <c r="O207" s="267"/>
      <c r="P207" s="267"/>
      <c r="Q207" s="267"/>
      <c r="R207" s="267"/>
      <c r="S207" s="267"/>
      <c r="T207" s="267"/>
      <c r="U207" s="267"/>
      <c r="V207" s="267"/>
      <c r="W207" s="267"/>
      <c r="X207" s="267"/>
      <c r="Y207" s="267"/>
      <c r="Z207" s="267"/>
      <c r="AA207" s="267"/>
      <c r="AB207" s="267"/>
      <c r="AC207" s="267"/>
      <c r="AD207" s="293"/>
      <c r="AE207" s="293"/>
      <c r="AF207" s="293"/>
      <c r="AG207" s="293"/>
      <c r="AH207" s="293"/>
      <c r="AI207" s="293"/>
      <c r="AJ207" s="293"/>
      <c r="AK207" s="293"/>
      <c r="AL207" s="293"/>
      <c r="AM207" s="293"/>
      <c r="AN207" s="293"/>
      <c r="AO207" s="293"/>
      <c r="AP207" s="293"/>
      <c r="AQ207" s="293"/>
    </row>
    <row r="208" ht="13.5" customHeight="1">
      <c r="A208" s="306"/>
      <c r="B208" s="256" t="s">
        <v>892</v>
      </c>
      <c r="C208" s="379">
        <v>1.0</v>
      </c>
      <c r="D208" s="379"/>
      <c r="E208" s="379">
        <v>1.0</v>
      </c>
      <c r="F208" s="435" t="s">
        <v>764</v>
      </c>
      <c r="G208" s="384">
        <v>1.0</v>
      </c>
      <c r="H208" s="95"/>
      <c r="I208" s="389" t="str">
        <f t="shared" si="56"/>
        <v>nos</v>
      </c>
      <c r="J208" s="382"/>
      <c r="K208" s="382">
        <v>8500.0</v>
      </c>
      <c r="L208" s="386">
        <f t="shared" si="57"/>
        <v>8500</v>
      </c>
      <c r="M208" s="117"/>
      <c r="N208" s="267"/>
      <c r="O208" s="267"/>
      <c r="P208" s="267"/>
      <c r="Q208" s="267"/>
      <c r="R208" s="267"/>
      <c r="S208" s="267"/>
      <c r="T208" s="267"/>
      <c r="U208" s="267"/>
      <c r="V208" s="267"/>
      <c r="W208" s="267"/>
      <c r="X208" s="267"/>
      <c r="Y208" s="267"/>
      <c r="Z208" s="267"/>
      <c r="AA208" s="267"/>
      <c r="AB208" s="267"/>
      <c r="AC208" s="267"/>
      <c r="AD208" s="293"/>
      <c r="AE208" s="293"/>
      <c r="AF208" s="293"/>
      <c r="AG208" s="293"/>
      <c r="AH208" s="293"/>
      <c r="AI208" s="293"/>
      <c r="AJ208" s="293"/>
      <c r="AK208" s="293"/>
      <c r="AL208" s="293"/>
      <c r="AM208" s="293"/>
      <c r="AN208" s="293"/>
      <c r="AO208" s="293"/>
      <c r="AP208" s="293"/>
      <c r="AQ208" s="293"/>
    </row>
    <row r="209" ht="13.5" customHeight="1">
      <c r="A209" s="306"/>
      <c r="B209" s="256" t="s">
        <v>784</v>
      </c>
      <c r="C209" s="379">
        <v>2.0</v>
      </c>
      <c r="D209" s="379"/>
      <c r="E209" s="379">
        <v>1.0</v>
      </c>
      <c r="F209" s="435" t="s">
        <v>764</v>
      </c>
      <c r="G209" s="384">
        <v>2.0</v>
      </c>
      <c r="H209" s="95"/>
      <c r="I209" s="389" t="str">
        <f t="shared" si="56"/>
        <v>nos</v>
      </c>
      <c r="J209" s="382"/>
      <c r="K209" s="382">
        <v>1500.0</v>
      </c>
      <c r="L209" s="386">
        <f t="shared" si="57"/>
        <v>3000</v>
      </c>
      <c r="M209" s="117"/>
      <c r="N209" s="267"/>
      <c r="O209" s="267"/>
      <c r="P209" s="267"/>
      <c r="Q209" s="267"/>
      <c r="R209" s="267"/>
      <c r="S209" s="267"/>
      <c r="T209" s="267"/>
      <c r="U209" s="267"/>
      <c r="V209" s="267"/>
      <c r="W209" s="267"/>
      <c r="X209" s="267"/>
      <c r="Y209" s="267"/>
      <c r="Z209" s="267"/>
      <c r="AA209" s="267"/>
      <c r="AB209" s="267"/>
      <c r="AC209" s="267"/>
      <c r="AD209" s="293"/>
      <c r="AE209" s="293"/>
      <c r="AF209" s="293"/>
      <c r="AG209" s="293"/>
      <c r="AH209" s="293"/>
      <c r="AI209" s="293"/>
      <c r="AJ209" s="293"/>
      <c r="AK209" s="293"/>
      <c r="AL209" s="293"/>
      <c r="AM209" s="293"/>
      <c r="AN209" s="293"/>
      <c r="AO209" s="293"/>
      <c r="AP209" s="293"/>
      <c r="AQ209" s="293"/>
    </row>
    <row r="210" ht="13.5" customHeight="1">
      <c r="A210" s="306"/>
      <c r="B210" s="256" t="s">
        <v>785</v>
      </c>
      <c r="C210" s="379">
        <v>1.0</v>
      </c>
      <c r="D210" s="379"/>
      <c r="E210" s="379">
        <v>1.0</v>
      </c>
      <c r="F210" s="435" t="s">
        <v>764</v>
      </c>
      <c r="G210" s="384">
        <v>1.0</v>
      </c>
      <c r="H210" s="95"/>
      <c r="I210" s="389" t="str">
        <f t="shared" si="56"/>
        <v>nos</v>
      </c>
      <c r="J210" s="382"/>
      <c r="K210" s="382">
        <v>2145.0</v>
      </c>
      <c r="L210" s="386">
        <f t="shared" si="57"/>
        <v>2145</v>
      </c>
      <c r="M210" s="117"/>
      <c r="N210" s="267"/>
      <c r="O210" s="267"/>
      <c r="P210" s="267"/>
      <c r="Q210" s="267"/>
      <c r="R210" s="267"/>
      <c r="S210" s="267"/>
      <c r="T210" s="267"/>
      <c r="U210" s="267"/>
      <c r="V210" s="267"/>
      <c r="W210" s="267"/>
      <c r="X210" s="267"/>
      <c r="Y210" s="267"/>
      <c r="Z210" s="267"/>
      <c r="AA210" s="267"/>
      <c r="AB210" s="267"/>
      <c r="AC210" s="267"/>
      <c r="AD210" s="293"/>
      <c r="AE210" s="293"/>
      <c r="AF210" s="293"/>
      <c r="AG210" s="293"/>
      <c r="AH210" s="293"/>
      <c r="AI210" s="293"/>
      <c r="AJ210" s="293"/>
      <c r="AK210" s="293"/>
      <c r="AL210" s="293"/>
      <c r="AM210" s="293"/>
      <c r="AN210" s="293"/>
      <c r="AO210" s="293"/>
      <c r="AP210" s="293"/>
      <c r="AQ210" s="293"/>
    </row>
    <row r="211" ht="13.5" customHeight="1">
      <c r="A211" s="298"/>
      <c r="B211" s="274" t="s">
        <v>692</v>
      </c>
      <c r="C211" s="379"/>
      <c r="D211" s="379"/>
      <c r="E211" s="379"/>
      <c r="F211" s="379"/>
      <c r="G211" s="380"/>
      <c r="H211" s="380"/>
      <c r="I211" s="381"/>
      <c r="J211" s="382"/>
      <c r="K211" s="382"/>
      <c r="L211" s="383"/>
      <c r="M211" s="117"/>
      <c r="N211" s="267"/>
      <c r="O211" s="267"/>
      <c r="P211" s="267"/>
      <c r="Q211" s="267"/>
      <c r="R211" s="267"/>
      <c r="S211" s="267"/>
      <c r="T211" s="267"/>
      <c r="U211" s="267"/>
      <c r="V211" s="267"/>
      <c r="W211" s="267"/>
      <c r="X211" s="267"/>
      <c r="Y211" s="267"/>
      <c r="Z211" s="267"/>
      <c r="AA211" s="267"/>
      <c r="AB211" s="267"/>
      <c r="AC211" s="267"/>
      <c r="AD211" s="293"/>
      <c r="AE211" s="293"/>
      <c r="AF211" s="293"/>
      <c r="AG211" s="293"/>
      <c r="AH211" s="293"/>
      <c r="AI211" s="293"/>
      <c r="AJ211" s="293"/>
      <c r="AK211" s="293"/>
      <c r="AL211" s="293"/>
      <c r="AM211" s="293"/>
      <c r="AN211" s="293"/>
      <c r="AO211" s="293"/>
      <c r="AP211" s="293"/>
      <c r="AQ211" s="293"/>
    </row>
    <row r="212" ht="13.5" customHeight="1">
      <c r="A212" s="306"/>
      <c r="B212" s="256" t="s">
        <v>865</v>
      </c>
      <c r="C212" s="379">
        <v>50.0</v>
      </c>
      <c r="D212" s="379"/>
      <c r="E212" s="379">
        <v>1.0</v>
      </c>
      <c r="F212" s="379" t="s">
        <v>767</v>
      </c>
      <c r="G212" s="384">
        <f t="shared" ref="G212:G218" si="58">C212</f>
        <v>50</v>
      </c>
      <c r="H212" s="95"/>
      <c r="I212" s="389" t="str">
        <f t="shared" ref="I212:I218" si="59">F212</f>
        <v>rft</v>
      </c>
      <c r="J212" s="382"/>
      <c r="K212" s="382">
        <v>136.0</v>
      </c>
      <c r="L212" s="386">
        <f t="shared" ref="L212:L218" si="60">C212*E212*K212</f>
        <v>6800</v>
      </c>
      <c r="M212" s="117"/>
      <c r="N212" s="279"/>
      <c r="O212" s="279"/>
      <c r="P212" s="279"/>
      <c r="Q212" s="279"/>
      <c r="R212" s="279"/>
      <c r="S212" s="279"/>
      <c r="T212" s="279"/>
      <c r="U212" s="279"/>
      <c r="V212" s="279"/>
      <c r="W212" s="279"/>
      <c r="X212" s="279"/>
      <c r="Y212" s="279"/>
      <c r="Z212" s="279"/>
      <c r="AA212" s="279"/>
      <c r="AB212" s="279"/>
      <c r="AC212" s="279"/>
      <c r="AD212" s="387"/>
      <c r="AE212" s="387"/>
      <c r="AF212" s="293"/>
      <c r="AG212" s="293"/>
      <c r="AH212" s="293"/>
      <c r="AI212" s="293"/>
      <c r="AJ212" s="293"/>
      <c r="AK212" s="293"/>
      <c r="AL212" s="293"/>
      <c r="AM212" s="293"/>
      <c r="AN212" s="293"/>
      <c r="AO212" s="293"/>
      <c r="AP212" s="293"/>
      <c r="AQ212" s="293"/>
    </row>
    <row r="213" ht="13.5" customHeight="1">
      <c r="A213" s="306"/>
      <c r="B213" s="256" t="s">
        <v>866</v>
      </c>
      <c r="C213" s="379">
        <v>4.0</v>
      </c>
      <c r="D213" s="379"/>
      <c r="E213" s="379">
        <v>1.0</v>
      </c>
      <c r="F213" s="379" t="s">
        <v>764</v>
      </c>
      <c r="G213" s="384">
        <f t="shared" si="58"/>
        <v>4</v>
      </c>
      <c r="H213" s="95"/>
      <c r="I213" s="389" t="str">
        <f t="shared" si="59"/>
        <v>nos</v>
      </c>
      <c r="J213" s="382"/>
      <c r="K213" s="382">
        <v>1700.0</v>
      </c>
      <c r="L213" s="386">
        <f t="shared" si="60"/>
        <v>6800</v>
      </c>
      <c r="M213" s="117"/>
      <c r="N213" s="279"/>
      <c r="O213" s="279"/>
      <c r="P213" s="279"/>
      <c r="Q213" s="279"/>
      <c r="R213" s="279"/>
      <c r="S213" s="279"/>
      <c r="T213" s="279"/>
      <c r="U213" s="279"/>
      <c r="V213" s="279"/>
      <c r="W213" s="279"/>
      <c r="X213" s="279"/>
      <c r="Y213" s="279"/>
      <c r="Z213" s="279"/>
      <c r="AA213" s="279"/>
      <c r="AB213" s="279"/>
      <c r="AC213" s="279"/>
      <c r="AD213" s="387"/>
      <c r="AE213" s="387"/>
      <c r="AF213" s="293"/>
      <c r="AG213" s="293"/>
      <c r="AH213" s="293"/>
      <c r="AI213" s="293"/>
      <c r="AJ213" s="293"/>
      <c r="AK213" s="293"/>
      <c r="AL213" s="293"/>
      <c r="AM213" s="293"/>
      <c r="AN213" s="293"/>
      <c r="AO213" s="293"/>
      <c r="AP213" s="293"/>
      <c r="AQ213" s="293"/>
    </row>
    <row r="214" ht="13.5" customHeight="1">
      <c r="A214" s="306"/>
      <c r="B214" s="256" t="s">
        <v>867</v>
      </c>
      <c r="C214" s="379">
        <v>100.0</v>
      </c>
      <c r="D214" s="379"/>
      <c r="E214" s="379">
        <v>1.0</v>
      </c>
      <c r="F214" s="379" t="s">
        <v>767</v>
      </c>
      <c r="G214" s="384">
        <f t="shared" si="58"/>
        <v>100</v>
      </c>
      <c r="H214" s="95"/>
      <c r="I214" s="389" t="str">
        <f t="shared" si="59"/>
        <v>rft</v>
      </c>
      <c r="J214" s="382"/>
      <c r="K214" s="382">
        <v>170.0</v>
      </c>
      <c r="L214" s="386">
        <f t="shared" si="60"/>
        <v>17000</v>
      </c>
      <c r="M214" s="117"/>
      <c r="N214" s="279"/>
      <c r="O214" s="279"/>
      <c r="P214" s="279"/>
      <c r="Q214" s="279"/>
      <c r="R214" s="279"/>
      <c r="S214" s="279"/>
      <c r="T214" s="279"/>
      <c r="U214" s="279"/>
      <c r="V214" s="279"/>
      <c r="W214" s="279"/>
      <c r="X214" s="279"/>
      <c r="Y214" s="279"/>
      <c r="Z214" s="279"/>
      <c r="AA214" s="279"/>
      <c r="AB214" s="279"/>
      <c r="AC214" s="279"/>
      <c r="AD214" s="387"/>
      <c r="AE214" s="387"/>
      <c r="AF214" s="293"/>
      <c r="AG214" s="293"/>
      <c r="AH214" s="293"/>
      <c r="AI214" s="293"/>
      <c r="AJ214" s="293"/>
      <c r="AK214" s="293"/>
      <c r="AL214" s="293"/>
      <c r="AM214" s="293"/>
      <c r="AN214" s="293"/>
      <c r="AO214" s="293"/>
      <c r="AP214" s="293"/>
      <c r="AQ214" s="293"/>
    </row>
    <row r="215" ht="13.5" customHeight="1">
      <c r="A215" s="306"/>
      <c r="B215" s="256" t="s">
        <v>868</v>
      </c>
      <c r="C215" s="379">
        <v>21.0</v>
      </c>
      <c r="D215" s="379"/>
      <c r="E215" s="379">
        <v>1.0</v>
      </c>
      <c r="F215" s="379" t="s">
        <v>761</v>
      </c>
      <c r="G215" s="384">
        <f t="shared" si="58"/>
        <v>21</v>
      </c>
      <c r="H215" s="95"/>
      <c r="I215" s="389" t="str">
        <f t="shared" si="59"/>
        <v>sqft</v>
      </c>
      <c r="J215" s="382"/>
      <c r="K215" s="382">
        <v>2310.0</v>
      </c>
      <c r="L215" s="386">
        <f t="shared" si="60"/>
        <v>48510</v>
      </c>
      <c r="M215" s="117"/>
      <c r="N215" s="279"/>
      <c r="O215" s="279"/>
      <c r="P215" s="279"/>
      <c r="Q215" s="279"/>
      <c r="R215" s="279"/>
      <c r="S215" s="279"/>
      <c r="T215" s="279"/>
      <c r="U215" s="279"/>
      <c r="V215" s="279"/>
      <c r="W215" s="279"/>
      <c r="X215" s="279"/>
      <c r="Y215" s="279"/>
      <c r="Z215" s="279"/>
      <c r="AA215" s="279"/>
      <c r="AB215" s="279"/>
      <c r="AC215" s="279"/>
      <c r="AD215" s="387"/>
      <c r="AE215" s="387"/>
      <c r="AF215" s="293"/>
      <c r="AG215" s="293"/>
      <c r="AH215" s="293"/>
      <c r="AI215" s="293"/>
      <c r="AJ215" s="293"/>
      <c r="AK215" s="293"/>
      <c r="AL215" s="293"/>
      <c r="AM215" s="293"/>
      <c r="AN215" s="293"/>
      <c r="AO215" s="293"/>
      <c r="AP215" s="293"/>
      <c r="AQ215" s="293"/>
    </row>
    <row r="216" ht="13.5" customHeight="1">
      <c r="A216" s="306"/>
      <c r="B216" s="256" t="s">
        <v>869</v>
      </c>
      <c r="C216" s="379">
        <v>60.0</v>
      </c>
      <c r="D216" s="379"/>
      <c r="E216" s="379">
        <v>1.0</v>
      </c>
      <c r="F216" s="379" t="s">
        <v>761</v>
      </c>
      <c r="G216" s="384">
        <f t="shared" si="58"/>
        <v>60</v>
      </c>
      <c r="H216" s="95"/>
      <c r="I216" s="389" t="str">
        <f t="shared" si="59"/>
        <v>sqft</v>
      </c>
      <c r="J216" s="382"/>
      <c r="K216" s="382">
        <v>2661.0</v>
      </c>
      <c r="L216" s="386">
        <f t="shared" si="60"/>
        <v>159660</v>
      </c>
      <c r="M216" s="117"/>
      <c r="N216" s="279"/>
      <c r="O216" s="279"/>
      <c r="P216" s="279"/>
      <c r="Q216" s="279"/>
      <c r="R216" s="279"/>
      <c r="S216" s="279"/>
      <c r="T216" s="279"/>
      <c r="U216" s="279"/>
      <c r="V216" s="279"/>
      <c r="W216" s="279"/>
      <c r="X216" s="279"/>
      <c r="Y216" s="279"/>
      <c r="Z216" s="279"/>
      <c r="AA216" s="279"/>
      <c r="AB216" s="279"/>
      <c r="AC216" s="279"/>
      <c r="AD216" s="387"/>
      <c r="AE216" s="387"/>
      <c r="AF216" s="293"/>
      <c r="AG216" s="293"/>
      <c r="AH216" s="293"/>
      <c r="AI216" s="293"/>
      <c r="AJ216" s="293"/>
      <c r="AK216" s="293"/>
      <c r="AL216" s="293"/>
      <c r="AM216" s="293"/>
      <c r="AN216" s="293"/>
      <c r="AO216" s="293"/>
      <c r="AP216" s="293"/>
      <c r="AQ216" s="293"/>
    </row>
    <row r="217" ht="13.5" customHeight="1">
      <c r="A217" s="306"/>
      <c r="B217" s="256" t="s">
        <v>870</v>
      </c>
      <c r="C217" s="379">
        <v>2.0</v>
      </c>
      <c r="D217" s="379"/>
      <c r="E217" s="379">
        <v>1.0</v>
      </c>
      <c r="F217" s="379" t="s">
        <v>761</v>
      </c>
      <c r="G217" s="384">
        <f t="shared" si="58"/>
        <v>2</v>
      </c>
      <c r="H217" s="95"/>
      <c r="I217" s="389" t="str">
        <f t="shared" si="59"/>
        <v>sqft</v>
      </c>
      <c r="J217" s="382"/>
      <c r="K217" s="382">
        <v>4303.0</v>
      </c>
      <c r="L217" s="386">
        <f t="shared" si="60"/>
        <v>8606</v>
      </c>
      <c r="M217" s="117"/>
      <c r="N217" s="279"/>
      <c r="O217" s="279"/>
      <c r="P217" s="279"/>
      <c r="Q217" s="279"/>
      <c r="R217" s="279"/>
      <c r="S217" s="279"/>
      <c r="T217" s="279"/>
      <c r="U217" s="279"/>
      <c r="V217" s="279"/>
      <c r="W217" s="279"/>
      <c r="X217" s="279"/>
      <c r="Y217" s="279"/>
      <c r="Z217" s="279"/>
      <c r="AA217" s="279"/>
      <c r="AB217" s="279"/>
      <c r="AC217" s="279"/>
      <c r="AD217" s="387"/>
      <c r="AE217" s="387"/>
      <c r="AF217" s="293"/>
      <c r="AG217" s="293"/>
      <c r="AH217" s="293"/>
      <c r="AI217" s="293"/>
      <c r="AJ217" s="293"/>
      <c r="AK217" s="293"/>
      <c r="AL217" s="293"/>
      <c r="AM217" s="293"/>
      <c r="AN217" s="293"/>
      <c r="AO217" s="293"/>
      <c r="AP217" s="293"/>
      <c r="AQ217" s="293"/>
    </row>
    <row r="218" ht="13.5" customHeight="1">
      <c r="A218" s="306"/>
      <c r="B218" s="256" t="s">
        <v>871</v>
      </c>
      <c r="C218" s="379">
        <v>4.0</v>
      </c>
      <c r="D218" s="379"/>
      <c r="E218" s="379">
        <v>1.0</v>
      </c>
      <c r="F218" s="379" t="s">
        <v>761</v>
      </c>
      <c r="G218" s="384">
        <f t="shared" si="58"/>
        <v>4</v>
      </c>
      <c r="H218" s="95"/>
      <c r="I218" s="389" t="str">
        <f t="shared" si="59"/>
        <v>sqft</v>
      </c>
      <c r="J218" s="382"/>
      <c r="K218" s="382">
        <v>4303.0</v>
      </c>
      <c r="L218" s="386">
        <f t="shared" si="60"/>
        <v>17212</v>
      </c>
      <c r="M218" s="117"/>
      <c r="N218" s="279"/>
      <c r="O218" s="279"/>
      <c r="P218" s="279"/>
      <c r="Q218" s="279"/>
      <c r="R218" s="279"/>
      <c r="S218" s="279"/>
      <c r="T218" s="279"/>
      <c r="U218" s="279"/>
      <c r="V218" s="279"/>
      <c r="W218" s="279"/>
      <c r="X218" s="279"/>
      <c r="Y218" s="279"/>
      <c r="Z218" s="279"/>
      <c r="AA218" s="279"/>
      <c r="AB218" s="279"/>
      <c r="AC218" s="279"/>
      <c r="AD218" s="387"/>
      <c r="AE218" s="387"/>
      <c r="AF218" s="293"/>
      <c r="AG218" s="293"/>
      <c r="AH218" s="293"/>
      <c r="AI218" s="293"/>
      <c r="AJ218" s="293"/>
      <c r="AK218" s="293"/>
      <c r="AL218" s="293"/>
      <c r="AM218" s="293"/>
      <c r="AN218" s="293"/>
      <c r="AO218" s="293"/>
      <c r="AP218" s="293"/>
      <c r="AQ218" s="293"/>
    </row>
    <row r="219" ht="13.5" customHeight="1">
      <c r="A219" s="298"/>
      <c r="B219" s="274" t="s">
        <v>853</v>
      </c>
      <c r="C219" s="379"/>
      <c r="D219" s="379"/>
      <c r="E219" s="379"/>
      <c r="F219" s="379"/>
      <c r="G219" s="380"/>
      <c r="H219" s="380"/>
      <c r="I219" s="381"/>
      <c r="J219" s="382"/>
      <c r="K219" s="382"/>
      <c r="L219" s="383"/>
      <c r="M219" s="117"/>
      <c r="N219" s="267"/>
      <c r="O219" s="267"/>
      <c r="P219" s="267"/>
      <c r="Q219" s="267"/>
      <c r="R219" s="267"/>
      <c r="S219" s="267"/>
      <c r="T219" s="267"/>
      <c r="U219" s="267"/>
      <c r="V219" s="267"/>
      <c r="W219" s="267"/>
      <c r="X219" s="267"/>
      <c r="Y219" s="267"/>
      <c r="Z219" s="267"/>
      <c r="AA219" s="267"/>
      <c r="AB219" s="267"/>
      <c r="AC219" s="267"/>
      <c r="AD219" s="293"/>
      <c r="AE219" s="293"/>
      <c r="AF219" s="293"/>
      <c r="AG219" s="293"/>
      <c r="AH219" s="293"/>
      <c r="AI219" s="293"/>
      <c r="AJ219" s="293"/>
      <c r="AK219" s="293"/>
      <c r="AL219" s="293"/>
      <c r="AM219" s="293"/>
      <c r="AN219" s="293"/>
      <c r="AO219" s="293"/>
      <c r="AP219" s="293"/>
      <c r="AQ219" s="293"/>
    </row>
    <row r="220" ht="13.5" customHeight="1">
      <c r="A220" s="306"/>
      <c r="B220" s="256" t="s">
        <v>765</v>
      </c>
      <c r="C220" s="379">
        <v>1.0</v>
      </c>
      <c r="D220" s="379"/>
      <c r="E220" s="379">
        <v>1.0</v>
      </c>
      <c r="F220" s="388" t="s">
        <v>764</v>
      </c>
      <c r="G220" s="384">
        <v>1.0</v>
      </c>
      <c r="H220" s="95"/>
      <c r="I220" s="389" t="str">
        <f t="shared" ref="I220:I223" si="61">F220</f>
        <v>nos</v>
      </c>
      <c r="J220" s="382"/>
      <c r="K220" s="382">
        <v>2574.0</v>
      </c>
      <c r="L220" s="386">
        <f>K220*E220*C220</f>
        <v>2574</v>
      </c>
      <c r="M220" s="117"/>
      <c r="N220" s="267"/>
      <c r="O220" s="267"/>
      <c r="P220" s="267"/>
      <c r="Q220" s="267"/>
      <c r="R220" s="267"/>
      <c r="S220" s="267"/>
      <c r="T220" s="267"/>
      <c r="U220" s="267"/>
      <c r="V220" s="267"/>
      <c r="W220" s="267"/>
      <c r="X220" s="267"/>
      <c r="Y220" s="267"/>
      <c r="Z220" s="267"/>
      <c r="AA220" s="267"/>
      <c r="AB220" s="267"/>
      <c r="AC220" s="267"/>
      <c r="AD220" s="293"/>
      <c r="AE220" s="293"/>
      <c r="AF220" s="293"/>
      <c r="AG220" s="293"/>
      <c r="AH220" s="293"/>
      <c r="AI220" s="293"/>
      <c r="AJ220" s="293"/>
      <c r="AK220" s="293"/>
      <c r="AL220" s="293"/>
      <c r="AM220" s="293"/>
      <c r="AN220" s="293"/>
      <c r="AO220" s="293"/>
      <c r="AP220" s="293"/>
      <c r="AQ220" s="293"/>
    </row>
    <row r="221" ht="13.5" customHeight="1">
      <c r="A221" s="306"/>
      <c r="B221" s="256" t="s">
        <v>872</v>
      </c>
      <c r="C221" s="379">
        <v>60.0</v>
      </c>
      <c r="D221" s="379"/>
      <c r="E221" s="379">
        <v>1.0</v>
      </c>
      <c r="F221" s="379" t="s">
        <v>761</v>
      </c>
      <c r="G221" s="384">
        <f t="shared" ref="G221:G222" si="62">C221</f>
        <v>60</v>
      </c>
      <c r="H221" s="95"/>
      <c r="I221" s="389" t="str">
        <f t="shared" si="61"/>
        <v>sqft</v>
      </c>
      <c r="J221" s="382"/>
      <c r="K221" s="382">
        <v>2310.0</v>
      </c>
      <c r="L221" s="386">
        <f t="shared" ref="L221:L222" si="63">C221*E221*K221</f>
        <v>138600</v>
      </c>
      <c r="M221" s="117"/>
      <c r="N221" s="279"/>
      <c r="O221" s="279"/>
      <c r="P221" s="279"/>
      <c r="Q221" s="279"/>
      <c r="R221" s="279"/>
      <c r="S221" s="279"/>
      <c r="T221" s="279"/>
      <c r="U221" s="279"/>
      <c r="V221" s="279"/>
      <c r="W221" s="279"/>
      <c r="X221" s="279"/>
      <c r="Y221" s="279"/>
      <c r="Z221" s="279"/>
      <c r="AA221" s="279"/>
      <c r="AB221" s="279"/>
      <c r="AC221" s="279"/>
      <c r="AD221" s="387"/>
      <c r="AE221" s="387"/>
      <c r="AF221" s="293"/>
      <c r="AG221" s="293"/>
      <c r="AH221" s="293"/>
      <c r="AI221" s="293"/>
      <c r="AJ221" s="293"/>
      <c r="AK221" s="293"/>
      <c r="AL221" s="293"/>
      <c r="AM221" s="293"/>
      <c r="AN221" s="293"/>
      <c r="AO221" s="293"/>
      <c r="AP221" s="293"/>
      <c r="AQ221" s="293"/>
    </row>
    <row r="222" ht="13.5" customHeight="1">
      <c r="A222" s="306"/>
      <c r="B222" s="256" t="s">
        <v>778</v>
      </c>
      <c r="C222" s="379">
        <v>15.0</v>
      </c>
      <c r="D222" s="379"/>
      <c r="E222" s="379">
        <v>1.0</v>
      </c>
      <c r="F222" s="379" t="s">
        <v>767</v>
      </c>
      <c r="G222" s="384">
        <f t="shared" si="62"/>
        <v>15</v>
      </c>
      <c r="H222" s="95"/>
      <c r="I222" s="385" t="str">
        <f t="shared" si="61"/>
        <v>rft</v>
      </c>
      <c r="J222" s="382"/>
      <c r="K222" s="382">
        <v>579.0</v>
      </c>
      <c r="L222" s="386">
        <f t="shared" si="63"/>
        <v>8685</v>
      </c>
      <c r="M222" s="117"/>
      <c r="N222" s="279"/>
      <c r="O222" s="279"/>
      <c r="P222" s="279"/>
      <c r="Q222" s="279"/>
      <c r="R222" s="279"/>
      <c r="S222" s="279"/>
      <c r="T222" s="279"/>
      <c r="U222" s="279"/>
      <c r="V222" s="279"/>
      <c r="W222" s="279"/>
      <c r="X222" s="279"/>
      <c r="Y222" s="279"/>
      <c r="Z222" s="279"/>
      <c r="AA222" s="279"/>
      <c r="AB222" s="279"/>
      <c r="AC222" s="279"/>
      <c r="AD222" s="387"/>
      <c r="AE222" s="387"/>
      <c r="AF222" s="293"/>
      <c r="AG222" s="293"/>
      <c r="AH222" s="293"/>
      <c r="AI222" s="293"/>
      <c r="AJ222" s="293"/>
      <c r="AK222" s="293"/>
      <c r="AL222" s="293"/>
      <c r="AM222" s="293"/>
      <c r="AN222" s="293"/>
      <c r="AO222" s="293"/>
      <c r="AP222" s="293"/>
      <c r="AQ222" s="293"/>
    </row>
    <row r="223" ht="13.5" customHeight="1">
      <c r="A223" s="306"/>
      <c r="B223" s="256" t="s">
        <v>772</v>
      </c>
      <c r="C223" s="379">
        <v>1.0</v>
      </c>
      <c r="D223" s="379"/>
      <c r="E223" s="379">
        <v>1.0</v>
      </c>
      <c r="F223" s="388" t="s">
        <v>764</v>
      </c>
      <c r="G223" s="384">
        <v>1.0</v>
      </c>
      <c r="H223" s="95"/>
      <c r="I223" s="389" t="str">
        <f t="shared" si="61"/>
        <v>nos</v>
      </c>
      <c r="J223" s="382"/>
      <c r="K223" s="436">
        <v>2574.0</v>
      </c>
      <c r="L223" s="386">
        <f>K223*E223*C223</f>
        <v>2574</v>
      </c>
      <c r="M223" s="117"/>
      <c r="N223" s="267"/>
      <c r="O223" s="267"/>
      <c r="P223" s="267"/>
      <c r="Q223" s="267"/>
      <c r="R223" s="267"/>
      <c r="S223" s="267"/>
      <c r="T223" s="267"/>
      <c r="U223" s="267"/>
      <c r="V223" s="267"/>
      <c r="W223" s="267"/>
      <c r="X223" s="267"/>
      <c r="Y223" s="267"/>
      <c r="Z223" s="267"/>
      <c r="AA223" s="267"/>
      <c r="AB223" s="267"/>
      <c r="AC223" s="267"/>
      <c r="AD223" s="293"/>
      <c r="AE223" s="293"/>
      <c r="AF223" s="293"/>
      <c r="AG223" s="293"/>
      <c r="AH223" s="293"/>
      <c r="AI223" s="293"/>
      <c r="AJ223" s="293"/>
      <c r="AK223" s="293"/>
      <c r="AL223" s="293"/>
      <c r="AM223" s="293"/>
      <c r="AN223" s="293"/>
      <c r="AO223" s="293"/>
      <c r="AP223" s="293"/>
      <c r="AQ223" s="293"/>
    </row>
    <row r="224" ht="13.5" customHeight="1">
      <c r="A224" s="298"/>
      <c r="B224" s="274" t="s">
        <v>735</v>
      </c>
      <c r="C224" s="379"/>
      <c r="D224" s="379"/>
      <c r="E224" s="379"/>
      <c r="F224" s="379"/>
      <c r="G224" s="380"/>
      <c r="H224" s="380"/>
      <c r="I224" s="381"/>
      <c r="J224" s="382"/>
      <c r="K224" s="382"/>
      <c r="L224" s="383"/>
      <c r="M224" s="117"/>
      <c r="N224" s="267"/>
      <c r="O224" s="267"/>
      <c r="P224" s="267"/>
      <c r="Q224" s="267"/>
      <c r="R224" s="267"/>
      <c r="S224" s="267"/>
      <c r="T224" s="267"/>
      <c r="U224" s="267"/>
      <c r="V224" s="267"/>
      <c r="W224" s="267"/>
      <c r="X224" s="267"/>
      <c r="Y224" s="267"/>
      <c r="Z224" s="267"/>
      <c r="AA224" s="267"/>
      <c r="AB224" s="267"/>
      <c r="AC224" s="267"/>
      <c r="AD224" s="293"/>
      <c r="AE224" s="293"/>
      <c r="AF224" s="293"/>
      <c r="AG224" s="293"/>
      <c r="AH224" s="293"/>
      <c r="AI224" s="293"/>
      <c r="AJ224" s="293"/>
      <c r="AK224" s="293"/>
      <c r="AL224" s="293"/>
      <c r="AM224" s="293"/>
      <c r="AN224" s="293"/>
      <c r="AO224" s="293"/>
      <c r="AP224" s="293"/>
      <c r="AQ224" s="293"/>
    </row>
    <row r="225" ht="13.5" customHeight="1">
      <c r="A225" s="306"/>
      <c r="B225" s="256" t="s">
        <v>873</v>
      </c>
      <c r="C225" s="379">
        <v>6.0</v>
      </c>
      <c r="D225" s="379"/>
      <c r="E225" s="379">
        <v>1.0</v>
      </c>
      <c r="F225" s="388" t="s">
        <v>761</v>
      </c>
      <c r="G225" s="384">
        <f t="shared" ref="G225:G227" si="64">C225</f>
        <v>6</v>
      </c>
      <c r="H225" s="95"/>
      <c r="I225" s="389" t="str">
        <f t="shared" ref="I225:I227" si="65">F225</f>
        <v>sqft</v>
      </c>
      <c r="J225" s="382"/>
      <c r="K225" s="382">
        <v>620.0</v>
      </c>
      <c r="L225" s="386">
        <f t="shared" ref="L225:L227" si="66">C225*E225*K225</f>
        <v>3720</v>
      </c>
      <c r="M225" s="117"/>
      <c r="N225" s="267"/>
      <c r="O225" s="267"/>
      <c r="P225" s="267"/>
      <c r="Q225" s="267"/>
      <c r="R225" s="267"/>
      <c r="S225" s="267"/>
      <c r="T225" s="267"/>
      <c r="U225" s="267"/>
      <c r="V225" s="267"/>
      <c r="W225" s="267"/>
      <c r="X225" s="267"/>
      <c r="Y225" s="267"/>
      <c r="Z225" s="267"/>
      <c r="AA225" s="267"/>
      <c r="AB225" s="267"/>
      <c r="AC225" s="267"/>
      <c r="AD225" s="293"/>
      <c r="AE225" s="293"/>
      <c r="AF225" s="293"/>
      <c r="AG225" s="293"/>
      <c r="AH225" s="293"/>
      <c r="AI225" s="293"/>
      <c r="AJ225" s="293"/>
      <c r="AK225" s="293"/>
      <c r="AL225" s="293"/>
      <c r="AM225" s="293"/>
      <c r="AN225" s="293"/>
      <c r="AO225" s="293"/>
      <c r="AP225" s="293"/>
      <c r="AQ225" s="293"/>
    </row>
    <row r="226" ht="13.5" customHeight="1">
      <c r="A226" s="306"/>
      <c r="B226" s="256" t="s">
        <v>874</v>
      </c>
      <c r="C226" s="379">
        <v>2.0</v>
      </c>
      <c r="D226" s="379"/>
      <c r="E226" s="379">
        <v>1.0</v>
      </c>
      <c r="F226" s="388" t="s">
        <v>761</v>
      </c>
      <c r="G226" s="384">
        <f t="shared" si="64"/>
        <v>2</v>
      </c>
      <c r="H226" s="95"/>
      <c r="I226" s="389" t="str">
        <f t="shared" si="65"/>
        <v>sqft</v>
      </c>
      <c r="J226" s="382"/>
      <c r="K226" s="390">
        <v>3500.0</v>
      </c>
      <c r="L226" s="386">
        <f t="shared" si="66"/>
        <v>7000</v>
      </c>
      <c r="M226" s="117"/>
      <c r="N226" s="267"/>
      <c r="O226" s="267"/>
      <c r="P226" s="267"/>
      <c r="Q226" s="267"/>
      <c r="R226" s="267"/>
      <c r="S226" s="267"/>
      <c r="T226" s="267"/>
      <c r="U226" s="267"/>
      <c r="V226" s="267"/>
      <c r="W226" s="267"/>
      <c r="X226" s="267"/>
      <c r="Y226" s="267"/>
      <c r="Z226" s="267"/>
      <c r="AA226" s="267"/>
      <c r="AB226" s="267"/>
      <c r="AC226" s="267"/>
      <c r="AD226" s="293"/>
      <c r="AE226" s="293"/>
      <c r="AF226" s="293"/>
      <c r="AG226" s="293"/>
      <c r="AH226" s="293"/>
      <c r="AI226" s="293"/>
      <c r="AJ226" s="293"/>
      <c r="AK226" s="293"/>
      <c r="AL226" s="293"/>
      <c r="AM226" s="293"/>
      <c r="AN226" s="293"/>
      <c r="AO226" s="293"/>
      <c r="AP226" s="293"/>
      <c r="AQ226" s="293"/>
    </row>
    <row r="227" ht="13.5" customHeight="1">
      <c r="A227" s="306"/>
      <c r="B227" s="256" t="s">
        <v>893</v>
      </c>
      <c r="C227" s="379">
        <v>2.0</v>
      </c>
      <c r="D227" s="379"/>
      <c r="E227" s="379">
        <v>1.0</v>
      </c>
      <c r="F227" s="388" t="s">
        <v>761</v>
      </c>
      <c r="G227" s="384">
        <f t="shared" si="64"/>
        <v>2</v>
      </c>
      <c r="H227" s="95"/>
      <c r="I227" s="389" t="str">
        <f t="shared" si="65"/>
        <v>sqft</v>
      </c>
      <c r="J227" s="382"/>
      <c r="K227" s="436">
        <v>3234.0</v>
      </c>
      <c r="L227" s="386">
        <f t="shared" si="66"/>
        <v>6468</v>
      </c>
      <c r="M227" s="117"/>
      <c r="N227" s="267"/>
      <c r="O227" s="267"/>
      <c r="P227" s="267"/>
      <c r="Q227" s="267"/>
      <c r="R227" s="267"/>
      <c r="S227" s="267"/>
      <c r="T227" s="267"/>
      <c r="U227" s="267"/>
      <c r="V227" s="267"/>
      <c r="W227" s="267"/>
      <c r="X227" s="267"/>
      <c r="Y227" s="267"/>
      <c r="Z227" s="267"/>
      <c r="AA227" s="267"/>
      <c r="AB227" s="267"/>
      <c r="AC227" s="267"/>
      <c r="AD227" s="293"/>
      <c r="AE227" s="293"/>
      <c r="AF227" s="293"/>
      <c r="AG227" s="293"/>
      <c r="AH227" s="293"/>
      <c r="AI227" s="293"/>
      <c r="AJ227" s="293"/>
      <c r="AK227" s="293"/>
      <c r="AL227" s="293"/>
      <c r="AM227" s="293"/>
      <c r="AN227" s="293"/>
      <c r="AO227" s="293"/>
      <c r="AP227" s="293"/>
      <c r="AQ227" s="293"/>
    </row>
    <row r="228" ht="13.5" customHeight="1">
      <c r="A228" s="298"/>
      <c r="B228" s="274" t="s">
        <v>797</v>
      </c>
      <c r="C228" s="379"/>
      <c r="D228" s="379"/>
      <c r="E228" s="379"/>
      <c r="F228" s="379"/>
      <c r="G228" s="380"/>
      <c r="H228" s="380"/>
      <c r="I228" s="381"/>
      <c r="J228" s="382"/>
      <c r="K228" s="382"/>
      <c r="L228" s="383"/>
      <c r="M228" s="117"/>
      <c r="N228" s="267"/>
      <c r="O228" s="267"/>
      <c r="P228" s="267"/>
      <c r="Q228" s="267" t="s">
        <v>798</v>
      </c>
      <c r="R228" s="267"/>
      <c r="S228" s="267"/>
      <c r="T228" s="267"/>
      <c r="U228" s="267"/>
      <c r="V228" s="267"/>
      <c r="W228" s="267"/>
      <c r="X228" s="267"/>
      <c r="Y228" s="267"/>
      <c r="Z228" s="267"/>
      <c r="AA228" s="267"/>
      <c r="AB228" s="267"/>
      <c r="AC228" s="267"/>
      <c r="AD228" s="293"/>
      <c r="AE228" s="293"/>
      <c r="AF228" s="293"/>
      <c r="AG228" s="293"/>
      <c r="AH228" s="293"/>
      <c r="AI228" s="293"/>
      <c r="AJ228" s="293"/>
      <c r="AK228" s="293"/>
      <c r="AL228" s="293"/>
      <c r="AM228" s="293"/>
      <c r="AN228" s="293"/>
      <c r="AO228" s="293"/>
      <c r="AP228" s="293"/>
      <c r="AQ228" s="293"/>
    </row>
    <row r="229" ht="13.5" customHeight="1">
      <c r="A229" s="306"/>
      <c r="B229" s="256" t="s">
        <v>799</v>
      </c>
      <c r="C229" s="379">
        <v>600.0</v>
      </c>
      <c r="D229" s="379"/>
      <c r="E229" s="379">
        <v>1.0</v>
      </c>
      <c r="F229" s="388" t="s">
        <v>761</v>
      </c>
      <c r="G229" s="384">
        <f t="shared" ref="G229:G236" si="67">C229</f>
        <v>600</v>
      </c>
      <c r="H229" s="95"/>
      <c r="I229" s="389" t="str">
        <f t="shared" ref="I229:I234" si="68">F229</f>
        <v>sqft</v>
      </c>
      <c r="J229" s="382"/>
      <c r="K229" s="382">
        <v>82.0</v>
      </c>
      <c r="L229" s="386">
        <f t="shared" ref="L229:L231" si="69">K229*E229*C229</f>
        <v>49200</v>
      </c>
      <c r="M229" s="117"/>
      <c r="N229" s="267"/>
      <c r="O229" s="267"/>
      <c r="P229" s="267"/>
      <c r="Q229" s="267"/>
      <c r="R229" s="267"/>
      <c r="S229" s="267"/>
      <c r="T229" s="267"/>
      <c r="U229" s="267"/>
      <c r="V229" s="267"/>
      <c r="W229" s="267"/>
      <c r="X229" s="267"/>
      <c r="Y229" s="267"/>
      <c r="Z229" s="267"/>
      <c r="AA229" s="267"/>
      <c r="AB229" s="267"/>
      <c r="AC229" s="267"/>
      <c r="AD229" s="293"/>
      <c r="AE229" s="293"/>
      <c r="AF229" s="293"/>
      <c r="AG229" s="293"/>
      <c r="AH229" s="293"/>
      <c r="AI229" s="293"/>
      <c r="AJ229" s="293"/>
      <c r="AK229" s="293"/>
      <c r="AL229" s="293"/>
      <c r="AM229" s="293"/>
      <c r="AN229" s="293"/>
      <c r="AO229" s="293"/>
      <c r="AP229" s="293"/>
      <c r="AQ229" s="293"/>
    </row>
    <row r="230" ht="13.5" customHeight="1">
      <c r="A230" s="306"/>
      <c r="B230" s="256" t="s">
        <v>800</v>
      </c>
      <c r="C230" s="379">
        <v>600.0</v>
      </c>
      <c r="D230" s="379"/>
      <c r="E230" s="379">
        <v>1.0</v>
      </c>
      <c r="F230" s="388" t="s">
        <v>761</v>
      </c>
      <c r="G230" s="384">
        <f t="shared" si="67"/>
        <v>600</v>
      </c>
      <c r="H230" s="95"/>
      <c r="I230" s="389" t="str">
        <f t="shared" si="68"/>
        <v>sqft</v>
      </c>
      <c r="J230" s="382"/>
      <c r="K230" s="382">
        <v>82.0</v>
      </c>
      <c r="L230" s="386">
        <f t="shared" si="69"/>
        <v>49200</v>
      </c>
      <c r="M230" s="117"/>
      <c r="N230" s="267"/>
      <c r="O230" s="267"/>
      <c r="P230" s="267"/>
      <c r="Q230" s="267"/>
      <c r="R230" s="267"/>
      <c r="S230" s="267"/>
      <c r="T230" s="267"/>
      <c r="U230" s="267"/>
      <c r="V230" s="267"/>
      <c r="W230" s="267"/>
      <c r="X230" s="267"/>
      <c r="Y230" s="267"/>
      <c r="Z230" s="267"/>
      <c r="AA230" s="267"/>
      <c r="AB230" s="267"/>
      <c r="AC230" s="267"/>
      <c r="AD230" s="293"/>
      <c r="AE230" s="293"/>
      <c r="AF230" s="293"/>
      <c r="AG230" s="293"/>
      <c r="AH230" s="293"/>
      <c r="AI230" s="293"/>
      <c r="AJ230" s="293"/>
      <c r="AK230" s="293"/>
      <c r="AL230" s="293"/>
      <c r="AM230" s="293"/>
      <c r="AN230" s="293"/>
      <c r="AO230" s="293"/>
      <c r="AP230" s="293"/>
      <c r="AQ230" s="293"/>
    </row>
    <row r="231" ht="13.5" customHeight="1">
      <c r="A231" s="306"/>
      <c r="B231" s="256" t="s">
        <v>801</v>
      </c>
      <c r="C231" s="379">
        <v>600.0</v>
      </c>
      <c r="D231" s="379"/>
      <c r="E231" s="379">
        <v>1.0</v>
      </c>
      <c r="F231" s="388" t="s">
        <v>761</v>
      </c>
      <c r="G231" s="384">
        <f t="shared" si="67"/>
        <v>600</v>
      </c>
      <c r="H231" s="95"/>
      <c r="I231" s="389" t="str">
        <f t="shared" si="68"/>
        <v>sqft</v>
      </c>
      <c r="J231" s="382"/>
      <c r="K231" s="382">
        <v>29.0</v>
      </c>
      <c r="L231" s="386">
        <f t="shared" si="69"/>
        <v>17400</v>
      </c>
      <c r="M231" s="117"/>
      <c r="N231" s="267"/>
      <c r="O231" s="267"/>
      <c r="P231" s="267"/>
      <c r="Q231" s="267"/>
      <c r="R231" s="267"/>
      <c r="S231" s="267"/>
      <c r="T231" s="267"/>
      <c r="U231" s="267"/>
      <c r="V231" s="267"/>
      <c r="W231" s="267"/>
      <c r="X231" s="267"/>
      <c r="Y231" s="267"/>
      <c r="Z231" s="267"/>
      <c r="AA231" s="267"/>
      <c r="AB231" s="267"/>
      <c r="AC231" s="267"/>
      <c r="AD231" s="293"/>
      <c r="AE231" s="293"/>
      <c r="AF231" s="293"/>
      <c r="AG231" s="293"/>
      <c r="AH231" s="293"/>
      <c r="AI231" s="293"/>
      <c r="AJ231" s="293"/>
      <c r="AK231" s="293"/>
      <c r="AL231" s="293"/>
      <c r="AM231" s="293"/>
      <c r="AN231" s="293"/>
      <c r="AO231" s="293"/>
      <c r="AP231" s="293"/>
      <c r="AQ231" s="293"/>
    </row>
    <row r="232" ht="13.5" customHeight="1">
      <c r="A232" s="306"/>
      <c r="B232" s="256" t="s">
        <v>802</v>
      </c>
      <c r="C232" s="379">
        <v>75.0</v>
      </c>
      <c r="D232" s="379"/>
      <c r="E232" s="379">
        <v>1.0</v>
      </c>
      <c r="F232" s="379" t="s">
        <v>767</v>
      </c>
      <c r="G232" s="384">
        <f t="shared" si="67"/>
        <v>75</v>
      </c>
      <c r="H232" s="95"/>
      <c r="I232" s="389" t="str">
        <f t="shared" si="68"/>
        <v>rft</v>
      </c>
      <c r="J232" s="382"/>
      <c r="K232" s="382">
        <v>479.0</v>
      </c>
      <c r="L232" s="386">
        <f t="shared" ref="L232:L235" si="70">C232*E232*K232</f>
        <v>35925</v>
      </c>
      <c r="M232" s="117"/>
      <c r="N232" s="279"/>
      <c r="O232" s="279"/>
      <c r="P232" s="279"/>
      <c r="Q232" s="279"/>
      <c r="R232" s="279"/>
      <c r="S232" s="279"/>
      <c r="T232" s="279"/>
      <c r="U232" s="279"/>
      <c r="V232" s="279"/>
      <c r="W232" s="279"/>
      <c r="X232" s="279"/>
      <c r="Y232" s="279"/>
      <c r="Z232" s="279"/>
      <c r="AA232" s="279"/>
      <c r="AB232" s="279"/>
      <c r="AC232" s="279"/>
      <c r="AD232" s="387"/>
      <c r="AE232" s="387"/>
      <c r="AF232" s="293"/>
      <c r="AG232" s="293"/>
      <c r="AH232" s="293"/>
      <c r="AI232" s="293"/>
      <c r="AJ232" s="293"/>
      <c r="AK232" s="293"/>
      <c r="AL232" s="293"/>
      <c r="AM232" s="293"/>
      <c r="AN232" s="293"/>
      <c r="AO232" s="293"/>
      <c r="AP232" s="293"/>
      <c r="AQ232" s="293"/>
    </row>
    <row r="233" ht="13.5" customHeight="1">
      <c r="A233" s="306"/>
      <c r="B233" s="256" t="s">
        <v>803</v>
      </c>
      <c r="C233" s="379">
        <v>12.0</v>
      </c>
      <c r="D233" s="379"/>
      <c r="E233" s="379">
        <v>1.0</v>
      </c>
      <c r="F233" s="379" t="s">
        <v>764</v>
      </c>
      <c r="G233" s="384">
        <f t="shared" si="67"/>
        <v>12</v>
      </c>
      <c r="H233" s="95"/>
      <c r="I233" s="389" t="str">
        <f t="shared" si="68"/>
        <v>nos</v>
      </c>
      <c r="J233" s="382"/>
      <c r="K233" s="382">
        <v>1595.0</v>
      </c>
      <c r="L233" s="386">
        <f t="shared" si="70"/>
        <v>19140</v>
      </c>
      <c r="M233" s="117"/>
      <c r="N233" s="279"/>
      <c r="O233" s="279"/>
      <c r="P233" s="279"/>
      <c r="Q233" s="279"/>
      <c r="R233" s="279"/>
      <c r="S233" s="279"/>
      <c r="T233" s="279"/>
      <c r="U233" s="279"/>
      <c r="V233" s="279"/>
      <c r="W233" s="279"/>
      <c r="X233" s="279"/>
      <c r="Y233" s="279"/>
      <c r="Z233" s="279"/>
      <c r="AA233" s="279"/>
      <c r="AB233" s="279"/>
      <c r="AC233" s="279"/>
      <c r="AD233" s="387"/>
      <c r="AE233" s="387"/>
      <c r="AF233" s="293"/>
      <c r="AG233" s="293"/>
      <c r="AH233" s="293"/>
      <c r="AI233" s="293"/>
      <c r="AJ233" s="293"/>
      <c r="AK233" s="293"/>
      <c r="AL233" s="293"/>
      <c r="AM233" s="293"/>
      <c r="AN233" s="293"/>
      <c r="AO233" s="293"/>
      <c r="AP233" s="293"/>
      <c r="AQ233" s="293"/>
    </row>
    <row r="234" ht="13.5" customHeight="1">
      <c r="A234" s="306"/>
      <c r="B234" s="256" t="s">
        <v>804</v>
      </c>
      <c r="C234" s="379">
        <v>3.0</v>
      </c>
      <c r="D234" s="379"/>
      <c r="E234" s="379">
        <v>1.0</v>
      </c>
      <c r="F234" s="379" t="s">
        <v>764</v>
      </c>
      <c r="G234" s="384">
        <f t="shared" si="67"/>
        <v>3</v>
      </c>
      <c r="H234" s="95"/>
      <c r="I234" s="389" t="str">
        <f t="shared" si="68"/>
        <v>nos</v>
      </c>
      <c r="J234" s="382"/>
      <c r="K234" s="382">
        <v>1672.0</v>
      </c>
      <c r="L234" s="386">
        <f t="shared" si="70"/>
        <v>5016</v>
      </c>
      <c r="M234" s="117"/>
      <c r="N234" s="279"/>
      <c r="O234" s="279"/>
      <c r="P234" s="279"/>
      <c r="Q234" s="279"/>
      <c r="R234" s="279"/>
      <c r="S234" s="279"/>
      <c r="T234" s="279"/>
      <c r="U234" s="279"/>
      <c r="V234" s="279"/>
      <c r="W234" s="279"/>
      <c r="X234" s="279"/>
      <c r="Y234" s="279"/>
      <c r="Z234" s="279"/>
      <c r="AA234" s="279"/>
      <c r="AB234" s="279"/>
      <c r="AC234" s="279"/>
      <c r="AD234" s="387"/>
      <c r="AE234" s="387"/>
      <c r="AF234" s="293"/>
      <c r="AG234" s="293"/>
      <c r="AH234" s="293"/>
      <c r="AI234" s="293"/>
      <c r="AJ234" s="293"/>
      <c r="AK234" s="293"/>
      <c r="AL234" s="293"/>
      <c r="AM234" s="293"/>
      <c r="AN234" s="293"/>
      <c r="AO234" s="293"/>
      <c r="AP234" s="293"/>
      <c r="AQ234" s="293"/>
    </row>
    <row r="235" ht="13.5" customHeight="1">
      <c r="A235" s="306"/>
      <c r="B235" s="256" t="s">
        <v>875</v>
      </c>
      <c r="C235" s="379">
        <v>100.0</v>
      </c>
      <c r="D235" s="379"/>
      <c r="E235" s="379">
        <v>1.0</v>
      </c>
      <c r="F235" s="379" t="s">
        <v>764</v>
      </c>
      <c r="G235" s="384">
        <f t="shared" si="67"/>
        <v>100</v>
      </c>
      <c r="H235" s="95"/>
      <c r="I235" s="389" t="s">
        <v>761</v>
      </c>
      <c r="J235" s="382"/>
      <c r="K235" s="382">
        <v>515.0</v>
      </c>
      <c r="L235" s="386">
        <f t="shared" si="70"/>
        <v>51500</v>
      </c>
      <c r="M235" s="117"/>
      <c r="N235" s="279"/>
      <c r="O235" s="279"/>
      <c r="P235" s="279"/>
      <c r="Q235" s="279"/>
      <c r="R235" s="279"/>
      <c r="S235" s="279"/>
      <c r="T235" s="279"/>
      <c r="U235" s="279"/>
      <c r="V235" s="279"/>
      <c r="W235" s="279"/>
      <c r="X235" s="279"/>
      <c r="Y235" s="279"/>
      <c r="Z235" s="279"/>
      <c r="AA235" s="279"/>
      <c r="AB235" s="279"/>
      <c r="AC235" s="279"/>
      <c r="AD235" s="387"/>
      <c r="AE235" s="387"/>
      <c r="AF235" s="293"/>
      <c r="AG235" s="293"/>
      <c r="AH235" s="293"/>
      <c r="AI235" s="293"/>
      <c r="AJ235" s="293"/>
      <c r="AK235" s="293"/>
      <c r="AL235" s="293"/>
      <c r="AM235" s="293"/>
      <c r="AN235" s="293"/>
      <c r="AO235" s="293"/>
      <c r="AP235" s="293"/>
      <c r="AQ235" s="293"/>
    </row>
    <row r="236" ht="13.5" customHeight="1">
      <c r="A236" s="391"/>
      <c r="B236" s="309" t="s">
        <v>806</v>
      </c>
      <c r="C236" s="392"/>
      <c r="D236" s="392"/>
      <c r="E236" s="393"/>
      <c r="F236" s="394"/>
      <c r="G236" s="384" t="str">
        <f t="shared" si="67"/>
        <v/>
      </c>
      <c r="H236" s="95"/>
      <c r="I236" s="389" t="str">
        <f>F236</f>
        <v/>
      </c>
      <c r="J236" s="395"/>
      <c r="K236" s="395"/>
      <c r="L236" s="396">
        <f>SUM(L185:M235)</f>
        <v>839608</v>
      </c>
      <c r="M236" s="117"/>
      <c r="N236" s="250"/>
      <c r="O236" s="250"/>
      <c r="P236" s="250"/>
      <c r="Q236" s="250"/>
      <c r="R236" s="250"/>
      <c r="S236" s="250"/>
      <c r="T236" s="250"/>
      <c r="U236" s="250"/>
      <c r="V236" s="250"/>
      <c r="W236" s="250"/>
      <c r="X236" s="250"/>
      <c r="Y236" s="250"/>
      <c r="Z236" s="250"/>
      <c r="AA236" s="250"/>
      <c r="AB236" s="250"/>
      <c r="AC236" s="250"/>
      <c r="AD236" s="397"/>
      <c r="AE236" s="397"/>
      <c r="AF236" s="397"/>
      <c r="AG236" s="397"/>
      <c r="AH236" s="397"/>
      <c r="AI236" s="397"/>
      <c r="AJ236" s="397"/>
      <c r="AK236" s="397"/>
      <c r="AL236" s="397"/>
      <c r="AM236" s="397"/>
      <c r="AN236" s="397"/>
      <c r="AO236" s="397"/>
      <c r="AP236" s="397"/>
      <c r="AQ236" s="397"/>
    </row>
    <row r="237" ht="13.5" customHeight="1">
      <c r="A237" s="398"/>
      <c r="B237" s="274" t="s">
        <v>705</v>
      </c>
      <c r="C237" s="299"/>
      <c r="D237" s="299"/>
      <c r="E237" s="299"/>
      <c r="F237" s="299"/>
      <c r="G237" s="366"/>
      <c r="H237" s="94"/>
      <c r="I237" s="95"/>
      <c r="J237" s="299"/>
      <c r="K237" s="299"/>
      <c r="L237" s="399">
        <f>L236*18%</f>
        <v>151129.44</v>
      </c>
      <c r="M237" s="117"/>
      <c r="N237" s="267"/>
      <c r="O237" s="267"/>
      <c r="P237" s="267"/>
      <c r="Q237" s="267"/>
      <c r="R237" s="267"/>
      <c r="S237" s="267"/>
      <c r="T237" s="267"/>
      <c r="U237" s="267"/>
      <c r="V237" s="267"/>
      <c r="W237" s="267"/>
      <c r="X237" s="267"/>
      <c r="Y237" s="267"/>
      <c r="Z237" s="267"/>
      <c r="AA237" s="267"/>
      <c r="AB237" s="267"/>
      <c r="AC237" s="267"/>
    </row>
    <row r="238" ht="13.5" customHeight="1">
      <c r="A238" s="400"/>
      <c r="B238" s="401" t="s">
        <v>706</v>
      </c>
      <c r="C238" s="402"/>
      <c r="D238" s="402"/>
      <c r="E238" s="402"/>
      <c r="F238" s="402"/>
      <c r="G238" s="403"/>
      <c r="H238" s="130"/>
      <c r="I238" s="136"/>
      <c r="J238" s="402"/>
      <c r="K238" s="402"/>
      <c r="L238" s="404">
        <f>L236+L237</f>
        <v>990737.44</v>
      </c>
      <c r="M238" s="131"/>
      <c r="N238" s="267"/>
      <c r="O238" s="267"/>
      <c r="P238" s="267"/>
      <c r="Q238" s="267"/>
      <c r="R238" s="267"/>
      <c r="S238" s="267"/>
      <c r="T238" s="267"/>
      <c r="U238" s="267"/>
      <c r="V238" s="267"/>
      <c r="W238" s="267"/>
      <c r="X238" s="267"/>
      <c r="Y238" s="267"/>
      <c r="Z238" s="267"/>
      <c r="AA238" s="267"/>
      <c r="AB238" s="267"/>
      <c r="AC238" s="267"/>
    </row>
    <row r="239" ht="13.5" customHeight="1">
      <c r="A239" s="332"/>
      <c r="B239" s="346"/>
      <c r="C239" s="405"/>
      <c r="D239" s="405"/>
      <c r="E239" s="405"/>
      <c r="F239" s="405"/>
      <c r="G239" s="346"/>
      <c r="H239" s="346"/>
      <c r="I239" s="346"/>
      <c r="J239" s="405"/>
      <c r="K239" s="405"/>
      <c r="L239" s="406"/>
      <c r="M239" s="332"/>
      <c r="N239" s="267"/>
      <c r="O239" s="267"/>
      <c r="P239" s="267"/>
      <c r="Q239" s="267"/>
      <c r="R239" s="267"/>
      <c r="S239" s="267"/>
      <c r="T239" s="267"/>
      <c r="U239" s="267"/>
      <c r="V239" s="267"/>
      <c r="W239" s="267"/>
      <c r="X239" s="267"/>
      <c r="Y239" s="267"/>
      <c r="Z239" s="267"/>
      <c r="AA239" s="267"/>
      <c r="AB239" s="267"/>
      <c r="AC239" s="267"/>
    </row>
    <row r="240" ht="13.5" customHeight="1">
      <c r="A240" s="325"/>
      <c r="B240" s="407" t="s">
        <v>807</v>
      </c>
      <c r="C240" s="408"/>
      <c r="D240" s="408"/>
      <c r="E240" s="409"/>
      <c r="F240" s="409"/>
      <c r="G240" s="410"/>
      <c r="H240" s="411"/>
      <c r="I240" s="412"/>
      <c r="J240" s="409"/>
      <c r="K240" s="409"/>
      <c r="L240" s="413" t="s">
        <v>808</v>
      </c>
      <c r="M240" s="332"/>
    </row>
    <row r="241" ht="13.5" customHeight="1">
      <c r="A241" s="325"/>
      <c r="B241" s="414" t="s">
        <v>809</v>
      </c>
      <c r="C241" s="275"/>
      <c r="D241" s="275"/>
      <c r="E241" s="275"/>
      <c r="F241" s="275"/>
      <c r="G241" s="295"/>
      <c r="H241" s="415"/>
      <c r="I241" s="416"/>
      <c r="J241" s="275"/>
      <c r="K241" s="275"/>
      <c r="L241" s="417">
        <f>M166</f>
        <v>2163266.285</v>
      </c>
      <c r="M241" s="332"/>
    </row>
    <row r="242" ht="13.5" customHeight="1">
      <c r="A242" s="325"/>
      <c r="B242" s="414" t="s">
        <v>810</v>
      </c>
      <c r="C242" s="275"/>
      <c r="D242" s="275"/>
      <c r="E242" s="275"/>
      <c r="F242" s="275"/>
      <c r="G242" s="295"/>
      <c r="H242" s="415"/>
      <c r="I242" s="416"/>
      <c r="J242" s="275"/>
      <c r="K242" s="275"/>
      <c r="L242" s="417">
        <f>I178</f>
        <v>86297</v>
      </c>
      <c r="M242" s="332"/>
    </row>
    <row r="243" ht="13.5" customHeight="1">
      <c r="A243" s="325"/>
      <c r="B243" s="414" t="s">
        <v>811</v>
      </c>
      <c r="C243" s="275"/>
      <c r="D243" s="275"/>
      <c r="E243" s="275"/>
      <c r="F243" s="275"/>
      <c r="G243" s="295"/>
      <c r="H243" s="415"/>
      <c r="I243" s="416"/>
      <c r="J243" s="275"/>
      <c r="K243" s="275"/>
      <c r="L243" s="417">
        <f>L238</f>
        <v>990737.44</v>
      </c>
      <c r="M243" s="332"/>
    </row>
    <row r="244" ht="13.5" customHeight="1">
      <c r="A244" s="325"/>
      <c r="B244" s="414" t="s">
        <v>812</v>
      </c>
      <c r="C244" s="275"/>
      <c r="D244" s="275"/>
      <c r="E244" s="275"/>
      <c r="F244" s="275"/>
      <c r="G244" s="295"/>
      <c r="H244" s="415"/>
      <c r="I244" s="416"/>
      <c r="J244" s="275"/>
      <c r="K244" s="275"/>
      <c r="L244" s="417">
        <v>50000.0</v>
      </c>
      <c r="M244" s="332"/>
    </row>
    <row r="245" ht="13.5" customHeight="1">
      <c r="A245" s="325"/>
      <c r="B245" s="418" t="s">
        <v>704</v>
      </c>
      <c r="C245" s="419"/>
      <c r="D245" s="419"/>
      <c r="E245" s="420"/>
      <c r="F245" s="420"/>
      <c r="G245" s="421"/>
      <c r="H245" s="422"/>
      <c r="I245" s="423"/>
      <c r="J245" s="420"/>
      <c r="K245" s="420"/>
      <c r="L245" s="424">
        <f>SUM(L241:L243)-L244</f>
        <v>3190300.725</v>
      </c>
      <c r="M245" s="332"/>
      <c r="N245" s="293"/>
    </row>
    <row r="246" ht="13.5" customHeight="1">
      <c r="A246" s="332"/>
      <c r="B246" s="346"/>
      <c r="C246" s="405"/>
      <c r="D246" s="405"/>
      <c r="E246" s="405"/>
      <c r="F246" s="405"/>
      <c r="G246" s="346"/>
      <c r="H246" s="346"/>
      <c r="I246" s="346"/>
      <c r="J246" s="405"/>
      <c r="K246" s="405"/>
      <c r="L246" s="406"/>
      <c r="M246" s="332"/>
      <c r="N246" s="267"/>
      <c r="O246" s="267"/>
      <c r="P246" s="267"/>
      <c r="Q246" s="267"/>
      <c r="R246" s="267"/>
      <c r="S246" s="267"/>
      <c r="T246" s="267"/>
      <c r="U246" s="267"/>
      <c r="V246" s="267"/>
      <c r="W246" s="267"/>
      <c r="X246" s="267"/>
      <c r="Y246" s="267"/>
      <c r="Z246" s="267"/>
      <c r="AA246" s="267"/>
      <c r="AB246" s="267"/>
      <c r="AC246" s="267"/>
    </row>
    <row r="247" ht="13.5" customHeight="1">
      <c r="A247" s="332"/>
      <c r="B247" s="407" t="s">
        <v>813</v>
      </c>
      <c r="C247" s="408"/>
      <c r="D247" s="408"/>
      <c r="E247" s="409"/>
      <c r="F247" s="409"/>
      <c r="G247" s="410"/>
      <c r="H247" s="411"/>
      <c r="I247" s="412"/>
      <c r="J247" s="409"/>
      <c r="K247" s="409"/>
      <c r="L247" s="413" t="s">
        <v>808</v>
      </c>
      <c r="M247" s="332"/>
      <c r="N247" s="267"/>
      <c r="O247" s="267"/>
      <c r="P247" s="267"/>
      <c r="Q247" s="267"/>
      <c r="R247" s="267"/>
      <c r="S247" s="267"/>
      <c r="T247" s="267"/>
      <c r="U247" s="267"/>
      <c r="V247" s="267"/>
      <c r="W247" s="267"/>
      <c r="X247" s="267"/>
      <c r="Y247" s="267"/>
      <c r="Z247" s="267"/>
      <c r="AA247" s="267"/>
      <c r="AB247" s="267"/>
      <c r="AC247" s="267"/>
    </row>
    <row r="248" ht="13.5" customHeight="1">
      <c r="A248" s="332"/>
      <c r="B248" s="414" t="s">
        <v>814</v>
      </c>
      <c r="C248" s="275"/>
      <c r="D248" s="275"/>
      <c r="E248" s="275"/>
      <c r="F248" s="275"/>
      <c r="G248" s="295"/>
      <c r="H248" s="415"/>
      <c r="I248" s="416"/>
      <c r="J248" s="275"/>
      <c r="K248" s="275"/>
      <c r="L248" s="417">
        <f>L245*10%</f>
        <v>319030.0725</v>
      </c>
      <c r="M248" s="332"/>
      <c r="N248" s="267"/>
      <c r="O248" s="267"/>
      <c r="P248" s="267"/>
      <c r="Q248" s="267"/>
      <c r="R248" s="267"/>
      <c r="S248" s="267"/>
      <c r="T248" s="267"/>
      <c r="U248" s="267"/>
      <c r="V248" s="267"/>
      <c r="W248" s="267"/>
      <c r="X248" s="267"/>
      <c r="Y248" s="267"/>
      <c r="Z248" s="267"/>
      <c r="AA248" s="267"/>
      <c r="AB248" s="267"/>
      <c r="AC248" s="267"/>
    </row>
    <row r="249" ht="13.5" customHeight="1">
      <c r="A249" s="332"/>
      <c r="B249" s="414" t="s">
        <v>815</v>
      </c>
      <c r="C249" s="425"/>
      <c r="D249" s="425"/>
      <c r="E249" s="275"/>
      <c r="F249" s="275"/>
      <c r="G249" s="426"/>
      <c r="H249" s="415"/>
      <c r="I249" s="416"/>
      <c r="J249" s="275"/>
      <c r="K249" s="275"/>
      <c r="L249" s="417">
        <f>L245*25%</f>
        <v>797575.1812</v>
      </c>
      <c r="M249" s="332"/>
      <c r="N249" s="267"/>
      <c r="O249" s="267"/>
      <c r="P249" s="267"/>
      <c r="Q249" s="267"/>
      <c r="R249" s="267"/>
      <c r="S249" s="267"/>
      <c r="T249" s="267"/>
      <c r="U249" s="267"/>
      <c r="V249" s="267"/>
      <c r="W249" s="267"/>
      <c r="X249" s="267"/>
      <c r="Y249" s="267"/>
      <c r="Z249" s="267"/>
      <c r="AA249" s="267"/>
      <c r="AB249" s="267"/>
      <c r="AC249" s="267"/>
    </row>
    <row r="250" ht="13.5" customHeight="1">
      <c r="A250" s="332"/>
      <c r="B250" s="414" t="s">
        <v>816</v>
      </c>
      <c r="C250" s="425"/>
      <c r="D250" s="425"/>
      <c r="E250" s="275"/>
      <c r="F250" s="275"/>
      <c r="G250" s="426"/>
      <c r="H250" s="415"/>
      <c r="I250" s="416"/>
      <c r="J250" s="275"/>
      <c r="K250" s="275"/>
      <c r="L250" s="417">
        <f>L245*25%</f>
        <v>797575.1812</v>
      </c>
      <c r="M250" s="332"/>
      <c r="N250" s="267"/>
      <c r="O250" s="267"/>
      <c r="P250" s="267"/>
      <c r="Q250" s="267"/>
      <c r="R250" s="267"/>
      <c r="S250" s="267"/>
      <c r="T250" s="267"/>
      <c r="U250" s="267"/>
      <c r="V250" s="267"/>
      <c r="W250" s="267"/>
      <c r="X250" s="267"/>
      <c r="Y250" s="267"/>
      <c r="Z250" s="267"/>
      <c r="AA250" s="267"/>
      <c r="AB250" s="267"/>
      <c r="AC250" s="267"/>
    </row>
    <row r="251" ht="13.5" customHeight="1">
      <c r="A251" s="332"/>
      <c r="B251" s="414" t="s">
        <v>817</v>
      </c>
      <c r="C251" s="425"/>
      <c r="D251" s="425"/>
      <c r="E251" s="275"/>
      <c r="F251" s="275"/>
      <c r="G251" s="426"/>
      <c r="H251" s="415"/>
      <c r="I251" s="416"/>
      <c r="J251" s="275"/>
      <c r="K251" s="275"/>
      <c r="L251" s="417">
        <f>L245*40%</f>
        <v>1276120.29</v>
      </c>
      <c r="M251" s="332"/>
      <c r="N251" s="267"/>
      <c r="O251" s="267"/>
      <c r="P251" s="267"/>
      <c r="Q251" s="267"/>
      <c r="R251" s="267"/>
      <c r="S251" s="267"/>
      <c r="T251" s="267"/>
      <c r="U251" s="267"/>
      <c r="V251" s="267"/>
      <c r="W251" s="267"/>
      <c r="X251" s="267"/>
      <c r="Y251" s="267"/>
      <c r="Z251" s="267"/>
      <c r="AA251" s="267"/>
      <c r="AB251" s="267"/>
      <c r="AC251" s="267"/>
    </row>
    <row r="252" ht="13.5" customHeight="1">
      <c r="A252" s="332"/>
      <c r="B252" s="418" t="s">
        <v>704</v>
      </c>
      <c r="C252" s="419"/>
      <c r="D252" s="419"/>
      <c r="E252" s="420"/>
      <c r="F252" s="420"/>
      <c r="G252" s="421"/>
      <c r="H252" s="422"/>
      <c r="I252" s="423"/>
      <c r="J252" s="420"/>
      <c r="K252" s="420"/>
      <c r="L252" s="424">
        <f>SUM(L248:L251)</f>
        <v>3190300.725</v>
      </c>
      <c r="M252" s="332"/>
      <c r="N252" s="267"/>
      <c r="O252" s="267"/>
      <c r="P252" s="267"/>
      <c r="Q252" s="267"/>
      <c r="R252" s="267"/>
      <c r="S252" s="267"/>
      <c r="T252" s="267"/>
      <c r="U252" s="267"/>
      <c r="V252" s="267"/>
      <c r="W252" s="267"/>
      <c r="X252" s="267"/>
      <c r="Y252" s="267"/>
      <c r="Z252" s="267"/>
      <c r="AA252" s="267"/>
      <c r="AB252" s="267"/>
      <c r="AC252" s="267"/>
    </row>
    <row r="253" ht="13.5" customHeight="1">
      <c r="A253" s="332"/>
      <c r="B253" s="427"/>
      <c r="C253" s="428"/>
      <c r="D253" s="428"/>
      <c r="E253" s="428"/>
      <c r="F253" s="428"/>
      <c r="G253" s="427"/>
      <c r="H253" s="427"/>
      <c r="I253" s="427"/>
      <c r="J253" s="428"/>
      <c r="K253" s="428"/>
      <c r="L253" s="429"/>
      <c r="M253" s="332"/>
      <c r="N253" s="267"/>
      <c r="O253" s="267"/>
      <c r="P253" s="267"/>
      <c r="Q253" s="267"/>
      <c r="R253" s="267"/>
      <c r="S253" s="267"/>
      <c r="T253" s="267"/>
      <c r="U253" s="267"/>
      <c r="V253" s="267"/>
      <c r="W253" s="267"/>
      <c r="X253" s="267"/>
      <c r="Y253" s="267"/>
      <c r="Z253" s="267"/>
      <c r="AA253" s="267"/>
      <c r="AB253" s="267"/>
      <c r="AC253" s="267"/>
    </row>
    <row r="254" ht="13.5" customHeight="1">
      <c r="A254" s="332"/>
      <c r="B254" s="427"/>
      <c r="C254" s="428"/>
      <c r="D254" s="428"/>
      <c r="E254" s="428"/>
      <c r="F254" s="428"/>
      <c r="G254" s="427"/>
      <c r="H254" s="427"/>
      <c r="I254" s="427"/>
      <c r="J254" s="428"/>
      <c r="K254" s="428"/>
      <c r="L254" s="429"/>
      <c r="M254" s="332"/>
      <c r="N254" s="267"/>
      <c r="O254" s="267"/>
      <c r="P254" s="267"/>
      <c r="Q254" s="267"/>
      <c r="R254" s="267"/>
      <c r="S254" s="267"/>
      <c r="T254" s="267"/>
      <c r="U254" s="267"/>
      <c r="V254" s="267"/>
      <c r="W254" s="267"/>
      <c r="X254" s="267"/>
      <c r="Y254" s="267"/>
      <c r="Z254" s="267"/>
      <c r="AA254" s="267"/>
      <c r="AB254" s="267"/>
      <c r="AC254" s="267"/>
    </row>
    <row r="255" ht="13.5" customHeight="1">
      <c r="A255" s="332"/>
      <c r="B255" s="427"/>
      <c r="C255" s="428"/>
      <c r="D255" s="428"/>
      <c r="E255" s="428"/>
      <c r="F255" s="428"/>
      <c r="G255" s="427"/>
      <c r="H255" s="427"/>
      <c r="I255" s="427"/>
      <c r="J255" s="428"/>
      <c r="K255" s="428"/>
      <c r="L255" s="429"/>
      <c r="M255" s="332"/>
      <c r="N255" s="267"/>
      <c r="O255" s="267"/>
      <c r="P255" s="267"/>
      <c r="Q255" s="267"/>
      <c r="R255" s="267"/>
      <c r="S255" s="267"/>
      <c r="T255" s="267"/>
      <c r="U255" s="267"/>
      <c r="V255" s="267"/>
      <c r="W255" s="267"/>
      <c r="X255" s="267"/>
      <c r="Y255" s="267"/>
      <c r="Z255" s="267"/>
      <c r="AA255" s="267"/>
      <c r="AB255" s="267"/>
      <c r="AC255" s="267"/>
    </row>
    <row r="256" ht="13.5" customHeight="1">
      <c r="A256" s="332"/>
      <c r="B256" s="427"/>
      <c r="C256" s="428"/>
      <c r="D256" s="428"/>
      <c r="E256" s="428"/>
      <c r="F256" s="428"/>
      <c r="G256" s="427"/>
      <c r="H256" s="427"/>
      <c r="I256" s="427"/>
      <c r="J256" s="428"/>
      <c r="K256" s="428"/>
      <c r="L256" s="429"/>
      <c r="M256" s="332"/>
      <c r="N256" s="267"/>
      <c r="O256" s="267"/>
      <c r="P256" s="267"/>
      <c r="Q256" s="267"/>
      <c r="R256" s="267"/>
      <c r="S256" s="267"/>
      <c r="T256" s="267"/>
      <c r="U256" s="267"/>
      <c r="V256" s="267"/>
      <c r="W256" s="267"/>
      <c r="X256" s="267"/>
      <c r="Y256" s="267"/>
      <c r="Z256" s="267"/>
      <c r="AA256" s="267"/>
      <c r="AB256" s="267"/>
      <c r="AC256" s="267"/>
    </row>
    <row r="257" ht="13.5" customHeight="1">
      <c r="A257" s="430" t="s">
        <v>894</v>
      </c>
      <c r="N257" s="267"/>
      <c r="O257" s="267"/>
      <c r="P257" s="267"/>
      <c r="Q257" s="267"/>
      <c r="R257" s="267"/>
      <c r="S257" s="267"/>
      <c r="T257" s="267"/>
      <c r="U257" s="267"/>
      <c r="V257" s="267"/>
      <c r="W257" s="267"/>
      <c r="X257" s="267"/>
      <c r="Y257" s="267"/>
      <c r="Z257" s="267"/>
      <c r="AA257" s="267"/>
      <c r="AB257" s="267"/>
      <c r="AC257" s="267"/>
    </row>
    <row r="258" ht="13.5" customHeight="1">
      <c r="N258" s="267"/>
      <c r="O258" s="267"/>
      <c r="P258" s="267"/>
      <c r="Q258" s="267"/>
      <c r="R258" s="267"/>
      <c r="S258" s="267"/>
      <c r="T258" s="267"/>
      <c r="U258" s="267"/>
      <c r="V258" s="267"/>
      <c r="W258" s="267"/>
      <c r="X258" s="267"/>
      <c r="Y258" s="267"/>
      <c r="Z258" s="267"/>
      <c r="AA258" s="267"/>
      <c r="AB258" s="267"/>
      <c r="AC258" s="267"/>
    </row>
    <row r="259" ht="13.5" customHeight="1">
      <c r="N259" s="267"/>
      <c r="O259" s="267"/>
      <c r="P259" s="267"/>
      <c r="Q259" s="267"/>
      <c r="R259" s="267"/>
      <c r="S259" s="267"/>
      <c r="T259" s="267"/>
      <c r="U259" s="267"/>
      <c r="V259" s="267"/>
      <c r="W259" s="267"/>
      <c r="X259" s="267"/>
      <c r="Y259" s="267"/>
      <c r="Z259" s="267"/>
      <c r="AA259" s="267"/>
      <c r="AB259" s="267"/>
      <c r="AC259" s="267"/>
    </row>
    <row r="260" ht="13.5" customHeight="1">
      <c r="N260" s="267"/>
      <c r="O260" s="267"/>
      <c r="P260" s="267"/>
      <c r="Q260" s="267"/>
      <c r="R260" s="267"/>
      <c r="S260" s="267"/>
      <c r="T260" s="267"/>
      <c r="U260" s="267"/>
      <c r="V260" s="267"/>
      <c r="W260" s="267"/>
      <c r="X260" s="267"/>
      <c r="Y260" s="267"/>
      <c r="Z260" s="267"/>
      <c r="AA260" s="267"/>
      <c r="AB260" s="267"/>
      <c r="AC260" s="267"/>
    </row>
    <row r="261" ht="13.5" customHeight="1">
      <c r="N261" s="267"/>
      <c r="O261" s="267"/>
      <c r="P261" s="267"/>
      <c r="Q261" s="267"/>
      <c r="R261" s="267"/>
      <c r="S261" s="267"/>
      <c r="T261" s="267"/>
      <c r="U261" s="267"/>
      <c r="V261" s="267"/>
      <c r="W261" s="267"/>
      <c r="X261" s="267"/>
      <c r="Y261" s="267"/>
      <c r="Z261" s="267"/>
      <c r="AA261" s="267"/>
      <c r="AB261" s="267"/>
      <c r="AC261" s="267"/>
    </row>
    <row r="262" ht="13.5" customHeight="1">
      <c r="N262" s="267"/>
      <c r="O262" s="267"/>
      <c r="P262" s="267"/>
      <c r="Q262" s="267"/>
      <c r="R262" s="267"/>
      <c r="S262" s="267"/>
      <c r="T262" s="267"/>
      <c r="U262" s="267"/>
      <c r="V262" s="267"/>
      <c r="W262" s="267"/>
      <c r="X262" s="267"/>
      <c r="Y262" s="267"/>
      <c r="Z262" s="267"/>
      <c r="AA262" s="267"/>
      <c r="AB262" s="267"/>
      <c r="AC262" s="267"/>
    </row>
    <row r="263" ht="13.5" customHeight="1">
      <c r="N263" s="267"/>
      <c r="O263" s="267"/>
      <c r="P263" s="267"/>
      <c r="Q263" s="267"/>
      <c r="R263" s="267"/>
      <c r="S263" s="267"/>
      <c r="T263" s="267"/>
      <c r="U263" s="267"/>
      <c r="V263" s="267"/>
      <c r="W263" s="267"/>
      <c r="X263" s="267"/>
      <c r="Y263" s="267"/>
      <c r="Z263" s="267"/>
      <c r="AA263" s="267"/>
      <c r="AB263" s="267"/>
      <c r="AC263" s="267"/>
    </row>
    <row r="264" ht="13.5" customHeight="1">
      <c r="N264" s="267"/>
      <c r="O264" s="267"/>
      <c r="P264" s="267"/>
      <c r="Q264" s="267"/>
      <c r="R264" s="267"/>
      <c r="S264" s="267"/>
      <c r="T264" s="267"/>
      <c r="U264" s="267"/>
      <c r="V264" s="267"/>
      <c r="W264" s="267"/>
      <c r="X264" s="267"/>
      <c r="Y264" s="267"/>
      <c r="Z264" s="267"/>
      <c r="AA264" s="267"/>
      <c r="AB264" s="267"/>
      <c r="AC264" s="267"/>
    </row>
    <row r="265" ht="13.5" customHeight="1">
      <c r="N265" s="267"/>
      <c r="O265" s="267"/>
      <c r="P265" s="267"/>
      <c r="Q265" s="267"/>
      <c r="R265" s="267"/>
      <c r="S265" s="267"/>
      <c r="T265" s="267"/>
      <c r="U265" s="267"/>
      <c r="V265" s="267"/>
      <c r="W265" s="267"/>
      <c r="X265" s="267"/>
      <c r="Y265" s="267"/>
      <c r="Z265" s="267"/>
      <c r="AA265" s="267"/>
      <c r="AB265" s="267"/>
      <c r="AC265" s="267"/>
    </row>
    <row r="266" ht="13.5" customHeight="1">
      <c r="N266" s="267"/>
      <c r="O266" s="267"/>
      <c r="P266" s="267"/>
      <c r="Q266" s="267"/>
      <c r="R266" s="267"/>
      <c r="S266" s="267"/>
      <c r="T266" s="267"/>
      <c r="U266" s="267"/>
      <c r="V266" s="267"/>
      <c r="W266" s="267"/>
      <c r="X266" s="267"/>
      <c r="Y266" s="267"/>
      <c r="Z266" s="267"/>
      <c r="AA266" s="267"/>
      <c r="AB266" s="267"/>
      <c r="AC266" s="267"/>
    </row>
    <row r="267" ht="13.5" customHeight="1">
      <c r="N267" s="267"/>
      <c r="O267" s="267"/>
      <c r="P267" s="267"/>
      <c r="Q267" s="267"/>
      <c r="R267" s="267"/>
      <c r="S267" s="267"/>
      <c r="T267" s="267"/>
      <c r="U267" s="267"/>
      <c r="V267" s="267"/>
      <c r="W267" s="267"/>
      <c r="X267" s="267"/>
      <c r="Y267" s="267"/>
      <c r="Z267" s="267"/>
      <c r="AA267" s="267"/>
      <c r="AB267" s="267"/>
      <c r="AC267" s="267"/>
    </row>
    <row r="268" ht="13.5" customHeight="1">
      <c r="N268" s="267"/>
      <c r="O268" s="267"/>
      <c r="P268" s="267"/>
      <c r="Q268" s="267"/>
      <c r="R268" s="267"/>
      <c r="S268" s="267"/>
      <c r="T268" s="267"/>
      <c r="U268" s="267"/>
      <c r="V268" s="267"/>
      <c r="W268" s="267"/>
      <c r="X268" s="267"/>
      <c r="Y268" s="267"/>
      <c r="Z268" s="267"/>
      <c r="AA268" s="267"/>
      <c r="AB268" s="267"/>
      <c r="AC268" s="267"/>
    </row>
    <row r="269" ht="13.5" customHeight="1">
      <c r="A269" s="430" t="s">
        <v>895</v>
      </c>
      <c r="N269" s="267"/>
      <c r="O269" s="267"/>
      <c r="P269" s="267"/>
      <c r="Q269" s="267"/>
      <c r="R269" s="267"/>
      <c r="S269" s="267"/>
      <c r="T269" s="267"/>
      <c r="U269" s="267"/>
      <c r="V269" s="267"/>
      <c r="W269" s="267"/>
      <c r="X269" s="267"/>
      <c r="Y269" s="267"/>
      <c r="Z269" s="267"/>
      <c r="AA269" s="267"/>
      <c r="AB269" s="267"/>
      <c r="AC269" s="267"/>
    </row>
    <row r="270" ht="13.5" customHeight="1">
      <c r="N270" s="267"/>
      <c r="O270" s="267"/>
      <c r="P270" s="267"/>
      <c r="Q270" s="267"/>
      <c r="R270" s="267"/>
      <c r="S270" s="267"/>
      <c r="T270" s="267"/>
      <c r="U270" s="267"/>
      <c r="V270" s="267"/>
      <c r="W270" s="267"/>
      <c r="X270" s="267"/>
      <c r="Y270" s="267"/>
      <c r="Z270" s="267"/>
      <c r="AA270" s="267"/>
      <c r="AB270" s="267"/>
      <c r="AC270" s="267"/>
    </row>
    <row r="271" ht="13.5" customHeight="1">
      <c r="N271" s="267"/>
      <c r="O271" s="267"/>
      <c r="P271" s="267"/>
      <c r="Q271" s="267"/>
      <c r="R271" s="267"/>
      <c r="S271" s="267"/>
      <c r="T271" s="267"/>
      <c r="U271" s="267"/>
      <c r="V271" s="267"/>
      <c r="W271" s="267"/>
      <c r="X271" s="267"/>
      <c r="Y271" s="267"/>
      <c r="Z271" s="267"/>
      <c r="AA271" s="267"/>
      <c r="AB271" s="267"/>
      <c r="AC271" s="267"/>
    </row>
    <row r="272" ht="13.5" customHeight="1">
      <c r="N272" s="267"/>
      <c r="O272" s="267"/>
      <c r="P272" s="267"/>
      <c r="Q272" s="267"/>
      <c r="R272" s="267"/>
      <c r="S272" s="267"/>
      <c r="T272" s="267"/>
      <c r="U272" s="267"/>
      <c r="V272" s="267"/>
      <c r="W272" s="267"/>
      <c r="X272" s="267"/>
      <c r="Y272" s="267"/>
      <c r="Z272" s="267"/>
      <c r="AA272" s="267"/>
      <c r="AB272" s="267"/>
      <c r="AC272" s="267"/>
    </row>
    <row r="273" ht="13.5" customHeight="1">
      <c r="N273" s="267"/>
      <c r="O273" s="267"/>
      <c r="P273" s="267"/>
      <c r="Q273" s="267"/>
      <c r="R273" s="267"/>
      <c r="S273" s="267"/>
      <c r="T273" s="267"/>
      <c r="U273" s="267"/>
      <c r="V273" s="267"/>
      <c r="W273" s="267"/>
      <c r="X273" s="267"/>
      <c r="Y273" s="267"/>
      <c r="Z273" s="267"/>
      <c r="AA273" s="267"/>
      <c r="AB273" s="267"/>
      <c r="AC273" s="267"/>
    </row>
    <row r="274" ht="13.5" customHeight="1">
      <c r="N274" s="267"/>
      <c r="O274" s="267"/>
      <c r="P274" s="267"/>
      <c r="Q274" s="267"/>
      <c r="R274" s="267"/>
      <c r="S274" s="267"/>
      <c r="T274" s="267"/>
      <c r="U274" s="267"/>
      <c r="V274" s="267"/>
      <c r="W274" s="267"/>
      <c r="X274" s="267"/>
      <c r="Y274" s="267"/>
      <c r="Z274" s="267"/>
      <c r="AA274" s="267"/>
      <c r="AB274" s="267"/>
      <c r="AC274" s="267"/>
    </row>
    <row r="275" ht="13.5" customHeight="1">
      <c r="N275" s="267"/>
      <c r="O275" s="267"/>
      <c r="P275" s="267"/>
      <c r="Q275" s="267"/>
      <c r="R275" s="267"/>
      <c r="S275" s="267"/>
      <c r="T275" s="267"/>
      <c r="U275" s="267"/>
      <c r="V275" s="267"/>
      <c r="W275" s="267"/>
      <c r="X275" s="267"/>
      <c r="Y275" s="267"/>
      <c r="Z275" s="267"/>
      <c r="AA275" s="267"/>
      <c r="AB275" s="267"/>
      <c r="AC275" s="267"/>
    </row>
    <row r="276" ht="13.5" customHeight="1">
      <c r="N276" s="267"/>
      <c r="O276" s="267"/>
      <c r="P276" s="267"/>
      <c r="Q276" s="267"/>
      <c r="R276" s="267"/>
      <c r="S276" s="267"/>
      <c r="T276" s="267"/>
      <c r="U276" s="267"/>
      <c r="V276" s="267"/>
      <c r="W276" s="267"/>
      <c r="X276" s="267"/>
      <c r="Y276" s="267"/>
      <c r="Z276" s="267"/>
      <c r="AA276" s="267"/>
      <c r="AB276" s="267"/>
      <c r="AC276" s="267"/>
    </row>
    <row r="277" ht="13.5" customHeight="1">
      <c r="N277" s="267"/>
      <c r="O277" s="267"/>
      <c r="P277" s="267"/>
      <c r="Q277" s="267"/>
      <c r="R277" s="267"/>
      <c r="S277" s="267"/>
      <c r="T277" s="267"/>
      <c r="U277" s="267"/>
      <c r="V277" s="267"/>
      <c r="W277" s="267"/>
      <c r="X277" s="267"/>
      <c r="Y277" s="267"/>
      <c r="Z277" s="267"/>
      <c r="AA277" s="267"/>
      <c r="AB277" s="267"/>
      <c r="AC277" s="267"/>
    </row>
    <row r="278" ht="13.5" customHeight="1">
      <c r="N278" s="267"/>
      <c r="O278" s="267"/>
      <c r="P278" s="267"/>
      <c r="Q278" s="267"/>
      <c r="R278" s="267"/>
      <c r="S278" s="267"/>
      <c r="T278" s="267"/>
      <c r="U278" s="267"/>
      <c r="V278" s="267"/>
      <c r="W278" s="267"/>
      <c r="X278" s="267"/>
      <c r="Y278" s="267"/>
      <c r="Z278" s="267"/>
      <c r="AA278" s="267"/>
      <c r="AB278" s="267"/>
      <c r="AC278" s="267"/>
    </row>
    <row r="279" ht="13.5" customHeight="1">
      <c r="N279" s="267"/>
      <c r="O279" s="267"/>
      <c r="P279" s="267"/>
      <c r="Q279" s="267"/>
      <c r="R279" s="267"/>
      <c r="S279" s="267"/>
      <c r="T279" s="267"/>
      <c r="U279" s="267"/>
      <c r="V279" s="267"/>
      <c r="W279" s="267"/>
      <c r="X279" s="267"/>
      <c r="Y279" s="267"/>
      <c r="Z279" s="267"/>
      <c r="AA279" s="267"/>
      <c r="AB279" s="267"/>
      <c r="AC279" s="267"/>
    </row>
    <row r="280" ht="13.5" customHeight="1">
      <c r="A280" s="430" t="s">
        <v>896</v>
      </c>
      <c r="N280" s="267"/>
      <c r="O280" s="267"/>
      <c r="P280" s="267"/>
      <c r="Q280" s="267"/>
      <c r="R280" s="267"/>
      <c r="S280" s="267"/>
      <c r="T280" s="267"/>
      <c r="U280" s="267"/>
      <c r="V280" s="267"/>
      <c r="W280" s="267"/>
      <c r="X280" s="267"/>
      <c r="Y280" s="267"/>
      <c r="Z280" s="267"/>
      <c r="AA280" s="267"/>
      <c r="AB280" s="267"/>
      <c r="AC280" s="267"/>
    </row>
    <row r="281" ht="13.5" customHeight="1">
      <c r="N281" s="267"/>
      <c r="O281" s="267"/>
      <c r="P281" s="267"/>
      <c r="Q281" s="267"/>
      <c r="R281" s="267"/>
      <c r="S281" s="267"/>
      <c r="T281" s="267"/>
      <c r="U281" s="267"/>
      <c r="V281" s="267"/>
      <c r="W281" s="267"/>
      <c r="X281" s="267"/>
      <c r="Y281" s="267"/>
      <c r="Z281" s="267"/>
      <c r="AA281" s="267"/>
      <c r="AB281" s="267"/>
      <c r="AC281" s="267"/>
    </row>
    <row r="282" ht="13.5" customHeight="1">
      <c r="A282" s="430" t="s">
        <v>897</v>
      </c>
      <c r="N282" s="267"/>
      <c r="O282" s="267"/>
      <c r="P282" s="267"/>
      <c r="Q282" s="267"/>
      <c r="R282" s="267"/>
      <c r="S282" s="267"/>
      <c r="T282" s="267"/>
      <c r="U282" s="267"/>
      <c r="V282" s="267"/>
      <c r="W282" s="267"/>
      <c r="X282" s="267"/>
      <c r="Y282" s="267"/>
      <c r="Z282" s="267"/>
      <c r="AA282" s="267"/>
      <c r="AB282" s="267"/>
      <c r="AC282" s="267"/>
    </row>
    <row r="283" ht="13.5" customHeight="1">
      <c r="N283" s="267"/>
      <c r="O283" s="267"/>
      <c r="P283" s="267"/>
      <c r="Q283" s="267"/>
      <c r="R283" s="267"/>
      <c r="S283" s="267"/>
      <c r="T283" s="267"/>
      <c r="U283" s="267"/>
      <c r="V283" s="267"/>
      <c r="W283" s="267"/>
      <c r="X283" s="267"/>
      <c r="Y283" s="267"/>
      <c r="Z283" s="267"/>
      <c r="AA283" s="267"/>
      <c r="AB283" s="267"/>
      <c r="AC283" s="267"/>
    </row>
    <row r="284" ht="13.5" customHeight="1">
      <c r="N284" s="267"/>
      <c r="O284" s="267"/>
      <c r="P284" s="267"/>
      <c r="Q284" s="267"/>
      <c r="R284" s="267"/>
      <c r="S284" s="267"/>
      <c r="T284" s="267"/>
      <c r="U284" s="267"/>
      <c r="V284" s="267"/>
      <c r="W284" s="267"/>
      <c r="X284" s="267"/>
      <c r="Y284" s="267"/>
      <c r="Z284" s="267"/>
      <c r="AA284" s="267"/>
      <c r="AB284" s="267"/>
      <c r="AC284" s="267"/>
    </row>
    <row r="285" ht="13.5" customHeight="1">
      <c r="N285" s="267"/>
      <c r="O285" s="267"/>
      <c r="P285" s="267"/>
      <c r="Q285" s="267"/>
      <c r="R285" s="267"/>
      <c r="S285" s="267"/>
      <c r="T285" s="267"/>
      <c r="U285" s="267"/>
      <c r="V285" s="267"/>
      <c r="W285" s="267"/>
      <c r="X285" s="267"/>
      <c r="Y285" s="267"/>
      <c r="Z285" s="267"/>
      <c r="AA285" s="267"/>
      <c r="AB285" s="267"/>
      <c r="AC285" s="267"/>
    </row>
    <row r="286" ht="13.5" customHeight="1">
      <c r="N286" s="267"/>
      <c r="O286" s="267"/>
      <c r="P286" s="267"/>
      <c r="Q286" s="267"/>
      <c r="R286" s="267"/>
      <c r="S286" s="267"/>
      <c r="T286" s="267"/>
      <c r="U286" s="267"/>
      <c r="V286" s="267"/>
      <c r="W286" s="267"/>
      <c r="X286" s="267"/>
      <c r="Y286" s="267"/>
      <c r="Z286" s="267"/>
      <c r="AA286" s="267"/>
      <c r="AB286" s="267"/>
      <c r="AC286" s="267"/>
    </row>
    <row r="287" ht="13.5" customHeight="1">
      <c r="N287" s="267"/>
      <c r="O287" s="267"/>
      <c r="P287" s="267"/>
      <c r="Q287" s="267"/>
      <c r="R287" s="267"/>
      <c r="S287" s="267"/>
      <c r="T287" s="267"/>
      <c r="U287" s="267"/>
      <c r="V287" s="267"/>
      <c r="W287" s="267"/>
      <c r="X287" s="267"/>
      <c r="Y287" s="267"/>
      <c r="Z287" s="267"/>
      <c r="AA287" s="267"/>
      <c r="AB287" s="267"/>
      <c r="AC287" s="267"/>
    </row>
    <row r="288" ht="13.5" customHeight="1">
      <c r="N288" s="267"/>
      <c r="O288" s="267"/>
      <c r="P288" s="267"/>
      <c r="Q288" s="267"/>
      <c r="R288" s="267"/>
      <c r="S288" s="267"/>
      <c r="T288" s="267"/>
      <c r="U288" s="267"/>
      <c r="V288" s="267"/>
      <c r="W288" s="267"/>
      <c r="X288" s="267"/>
      <c r="Y288" s="267"/>
      <c r="Z288" s="267"/>
      <c r="AA288" s="267"/>
      <c r="AB288" s="267"/>
      <c r="AC288" s="267"/>
    </row>
    <row r="289" ht="13.5" customHeight="1">
      <c r="N289" s="267"/>
      <c r="O289" s="267"/>
      <c r="P289" s="267"/>
      <c r="Q289" s="267"/>
      <c r="R289" s="267"/>
      <c r="S289" s="267"/>
      <c r="T289" s="267"/>
      <c r="U289" s="267"/>
      <c r="V289" s="267"/>
      <c r="W289" s="267"/>
      <c r="X289" s="267"/>
      <c r="Y289" s="267"/>
      <c r="Z289" s="267"/>
      <c r="AA289" s="267"/>
      <c r="AB289" s="267"/>
      <c r="AC289" s="267"/>
    </row>
    <row r="290" ht="13.5" customHeight="1">
      <c r="N290" s="267"/>
      <c r="O290" s="267"/>
      <c r="P290" s="267"/>
      <c r="Q290" s="267"/>
      <c r="R290" s="267"/>
      <c r="S290" s="267"/>
      <c r="T290" s="267"/>
      <c r="U290" s="267"/>
      <c r="V290" s="267"/>
      <c r="W290" s="267"/>
      <c r="X290" s="267"/>
      <c r="Y290" s="267"/>
      <c r="Z290" s="267"/>
      <c r="AA290" s="267"/>
      <c r="AB290" s="267"/>
      <c r="AC290" s="267"/>
    </row>
    <row r="291" ht="13.5" customHeight="1">
      <c r="N291" s="267"/>
      <c r="O291" s="267"/>
      <c r="P291" s="267"/>
      <c r="Q291" s="267"/>
      <c r="R291" s="267"/>
      <c r="S291" s="267"/>
      <c r="T291" s="267"/>
      <c r="U291" s="267"/>
      <c r="V291" s="267"/>
      <c r="W291" s="267"/>
      <c r="X291" s="267"/>
      <c r="Y291" s="267"/>
      <c r="Z291" s="267"/>
      <c r="AA291" s="267"/>
      <c r="AB291" s="267"/>
      <c r="AC291" s="267"/>
    </row>
    <row r="292" ht="13.5" customHeight="1">
      <c r="N292" s="267"/>
      <c r="O292" s="267"/>
      <c r="P292" s="267"/>
      <c r="Q292" s="267"/>
      <c r="R292" s="267"/>
      <c r="S292" s="267"/>
      <c r="T292" s="267"/>
      <c r="U292" s="267"/>
      <c r="V292" s="267"/>
      <c r="W292" s="267"/>
      <c r="X292" s="267"/>
      <c r="Y292" s="267"/>
      <c r="Z292" s="267"/>
      <c r="AA292" s="267"/>
      <c r="AB292" s="267"/>
      <c r="AC292" s="267"/>
    </row>
    <row r="293" ht="13.5" customHeight="1">
      <c r="N293" s="267"/>
      <c r="O293" s="267"/>
      <c r="P293" s="267"/>
      <c r="Q293" s="267"/>
      <c r="R293" s="267"/>
      <c r="S293" s="267"/>
      <c r="T293" s="267"/>
      <c r="U293" s="267"/>
      <c r="V293" s="267"/>
      <c r="W293" s="267"/>
      <c r="X293" s="267"/>
      <c r="Y293" s="267"/>
      <c r="Z293" s="267"/>
      <c r="AA293" s="267"/>
      <c r="AB293" s="267"/>
      <c r="AC293" s="267"/>
    </row>
    <row r="294" ht="13.5" customHeight="1">
      <c r="N294" s="267"/>
      <c r="O294" s="267"/>
      <c r="P294" s="267"/>
      <c r="Q294" s="267"/>
      <c r="R294" s="267"/>
      <c r="S294" s="267"/>
      <c r="T294" s="267"/>
      <c r="U294" s="267"/>
      <c r="V294" s="267"/>
      <c r="W294" s="267"/>
      <c r="X294" s="267"/>
      <c r="Y294" s="267"/>
      <c r="Z294" s="267"/>
      <c r="AA294" s="267"/>
      <c r="AB294" s="267"/>
      <c r="AC294" s="267"/>
    </row>
    <row r="295" ht="13.5" customHeight="1">
      <c r="N295" s="267"/>
      <c r="O295" s="267"/>
      <c r="P295" s="267"/>
      <c r="Q295" s="267"/>
      <c r="R295" s="267"/>
      <c r="S295" s="267"/>
      <c r="T295" s="267"/>
      <c r="U295" s="267"/>
      <c r="V295" s="267"/>
      <c r="W295" s="267"/>
      <c r="X295" s="267"/>
      <c r="Y295" s="267"/>
      <c r="Z295" s="267"/>
      <c r="AA295" s="267"/>
      <c r="AB295" s="267"/>
      <c r="AC295" s="267"/>
    </row>
    <row r="296" ht="13.5" customHeight="1">
      <c r="N296" s="267"/>
      <c r="O296" s="267"/>
      <c r="P296" s="267"/>
      <c r="Q296" s="267"/>
      <c r="R296" s="267"/>
      <c r="S296" s="267"/>
      <c r="T296" s="267"/>
      <c r="U296" s="267"/>
      <c r="V296" s="267"/>
      <c r="W296" s="267"/>
      <c r="X296" s="267"/>
      <c r="Y296" s="267"/>
      <c r="Z296" s="267"/>
      <c r="AA296" s="267"/>
      <c r="AB296" s="267"/>
      <c r="AC296" s="267"/>
    </row>
    <row r="297" ht="13.5" customHeight="1">
      <c r="N297" s="267"/>
      <c r="O297" s="267"/>
      <c r="P297" s="267"/>
      <c r="Q297" s="267"/>
      <c r="R297" s="267"/>
      <c r="S297" s="267"/>
      <c r="T297" s="267"/>
      <c r="U297" s="267"/>
      <c r="V297" s="267"/>
      <c r="W297" s="267"/>
      <c r="X297" s="267"/>
      <c r="Y297" s="267"/>
      <c r="Z297" s="267"/>
      <c r="AA297" s="267"/>
      <c r="AB297" s="267"/>
      <c r="AC297" s="267"/>
    </row>
    <row r="298" ht="13.5" customHeight="1">
      <c r="N298" s="267"/>
      <c r="O298" s="267"/>
      <c r="P298" s="267"/>
      <c r="Q298" s="267"/>
      <c r="R298" s="267"/>
      <c r="S298" s="267"/>
      <c r="T298" s="267"/>
      <c r="U298" s="267"/>
      <c r="V298" s="267"/>
      <c r="W298" s="267"/>
      <c r="X298" s="267"/>
      <c r="Y298" s="267"/>
      <c r="Z298" s="267"/>
      <c r="AA298" s="267"/>
      <c r="AB298" s="267"/>
      <c r="AC298" s="267"/>
    </row>
    <row r="299" ht="13.5" customHeight="1">
      <c r="N299" s="267"/>
      <c r="O299" s="267"/>
      <c r="P299" s="267"/>
      <c r="Q299" s="267"/>
      <c r="R299" s="267"/>
      <c r="S299" s="267"/>
      <c r="T299" s="267"/>
      <c r="U299" s="267"/>
      <c r="V299" s="267"/>
      <c r="W299" s="267"/>
      <c r="X299" s="267"/>
      <c r="Y299" s="267"/>
      <c r="Z299" s="267"/>
      <c r="AA299" s="267"/>
      <c r="AB299" s="267"/>
      <c r="AC299" s="267"/>
    </row>
    <row r="300" ht="13.5" customHeight="1">
      <c r="A300" s="319" t="s">
        <v>898</v>
      </c>
      <c r="N300" s="267"/>
      <c r="O300" s="267"/>
      <c r="P300" s="267"/>
      <c r="Q300" s="267"/>
      <c r="R300" s="267"/>
      <c r="S300" s="267"/>
      <c r="T300" s="267"/>
      <c r="U300" s="267"/>
      <c r="V300" s="267"/>
      <c r="W300" s="267"/>
      <c r="X300" s="267"/>
      <c r="Y300" s="267"/>
      <c r="Z300" s="267"/>
      <c r="AA300" s="267"/>
      <c r="AB300" s="267"/>
      <c r="AC300" s="267"/>
    </row>
    <row r="301" ht="13.5" customHeight="1">
      <c r="N301" s="267"/>
      <c r="O301" s="267"/>
      <c r="P301" s="267"/>
      <c r="Q301" s="267"/>
      <c r="R301" s="267"/>
      <c r="S301" s="267"/>
      <c r="T301" s="267"/>
      <c r="U301" s="267"/>
      <c r="V301" s="267"/>
      <c r="W301" s="267"/>
      <c r="X301" s="267"/>
      <c r="Y301" s="267"/>
      <c r="Z301" s="267"/>
      <c r="AA301" s="267"/>
      <c r="AB301" s="267"/>
      <c r="AC301" s="267"/>
    </row>
    <row r="302" ht="13.5" customHeight="1">
      <c r="N302" s="267"/>
      <c r="O302" s="267"/>
      <c r="P302" s="267"/>
      <c r="Q302" s="267"/>
      <c r="R302" s="267"/>
      <c r="S302" s="267"/>
      <c r="T302" s="267"/>
      <c r="U302" s="267"/>
      <c r="V302" s="267"/>
      <c r="W302" s="267"/>
      <c r="X302" s="267"/>
      <c r="Y302" s="267"/>
      <c r="Z302" s="267"/>
      <c r="AA302" s="267"/>
      <c r="AB302" s="267"/>
      <c r="AC302" s="267"/>
    </row>
    <row r="303" ht="13.5" customHeight="1">
      <c r="N303" s="267"/>
      <c r="O303" s="267"/>
      <c r="P303" s="267"/>
      <c r="Q303" s="267"/>
      <c r="R303" s="267"/>
      <c r="S303" s="267"/>
      <c r="T303" s="267"/>
      <c r="U303" s="267"/>
      <c r="V303" s="267"/>
      <c r="W303" s="267"/>
      <c r="X303" s="267"/>
      <c r="Y303" s="267"/>
      <c r="Z303" s="267"/>
      <c r="AA303" s="267"/>
      <c r="AB303" s="267"/>
      <c r="AC303" s="267"/>
    </row>
    <row r="304" ht="13.5" customHeight="1">
      <c r="N304" s="267"/>
      <c r="O304" s="267"/>
      <c r="P304" s="267"/>
      <c r="Q304" s="267"/>
      <c r="R304" s="267"/>
      <c r="S304" s="267"/>
      <c r="T304" s="267"/>
      <c r="U304" s="267"/>
      <c r="V304" s="267"/>
      <c r="W304" s="267"/>
      <c r="X304" s="267"/>
      <c r="Y304" s="267"/>
      <c r="Z304" s="267"/>
      <c r="AA304" s="267"/>
      <c r="AB304" s="267"/>
      <c r="AC304" s="267"/>
    </row>
    <row r="305" ht="13.5" customHeight="1">
      <c r="N305" s="267"/>
      <c r="O305" s="267"/>
      <c r="P305" s="267"/>
      <c r="Q305" s="267"/>
      <c r="R305" s="267"/>
      <c r="S305" s="267"/>
      <c r="T305" s="267"/>
      <c r="U305" s="267"/>
      <c r="V305" s="267"/>
      <c r="W305" s="267"/>
      <c r="X305" s="267"/>
      <c r="Y305" s="267"/>
      <c r="Z305" s="267"/>
      <c r="AA305" s="267"/>
      <c r="AB305" s="267"/>
      <c r="AC305" s="267"/>
    </row>
    <row r="306" ht="13.5" customHeight="1">
      <c r="N306" s="267"/>
      <c r="O306" s="267"/>
      <c r="P306" s="267"/>
      <c r="Q306" s="267"/>
      <c r="R306" s="267"/>
      <c r="S306" s="267"/>
      <c r="T306" s="267"/>
      <c r="U306" s="267"/>
      <c r="V306" s="267"/>
      <c r="W306" s="267"/>
      <c r="X306" s="267"/>
      <c r="Y306" s="267"/>
      <c r="Z306" s="267"/>
      <c r="AA306" s="267"/>
      <c r="AB306" s="267"/>
      <c r="AC306" s="267"/>
    </row>
    <row r="307" ht="13.5" customHeight="1">
      <c r="N307" s="267"/>
      <c r="O307" s="267"/>
      <c r="P307" s="267"/>
      <c r="Q307" s="267"/>
      <c r="R307" s="267"/>
      <c r="S307" s="267"/>
      <c r="T307" s="267"/>
      <c r="U307" s="267"/>
      <c r="V307" s="267"/>
      <c r="W307" s="267"/>
      <c r="X307" s="267"/>
      <c r="Y307" s="267"/>
      <c r="Z307" s="267"/>
      <c r="AA307" s="267"/>
      <c r="AB307" s="267"/>
      <c r="AC307" s="267"/>
    </row>
    <row r="308" ht="13.5" customHeight="1">
      <c r="N308" s="267"/>
      <c r="O308" s="267"/>
      <c r="P308" s="267"/>
      <c r="Q308" s="267"/>
      <c r="R308" s="267"/>
      <c r="S308" s="267"/>
      <c r="T308" s="267"/>
      <c r="U308" s="267"/>
      <c r="V308" s="267"/>
      <c r="W308" s="267"/>
      <c r="X308" s="267"/>
      <c r="Y308" s="267"/>
      <c r="Z308" s="267"/>
      <c r="AA308" s="267"/>
      <c r="AB308" s="267"/>
      <c r="AC308" s="267"/>
    </row>
    <row r="309" ht="13.5" customHeight="1">
      <c r="N309" s="267"/>
      <c r="O309" s="267"/>
      <c r="P309" s="267"/>
      <c r="Q309" s="267"/>
      <c r="R309" s="267"/>
      <c r="S309" s="267"/>
      <c r="T309" s="267"/>
      <c r="U309" s="267"/>
      <c r="V309" s="267"/>
      <c r="W309" s="267"/>
      <c r="X309" s="267"/>
      <c r="Y309" s="267"/>
      <c r="Z309" s="267"/>
      <c r="AA309" s="267"/>
      <c r="AB309" s="267"/>
      <c r="AC309" s="267"/>
    </row>
    <row r="310" ht="13.5" customHeight="1">
      <c r="N310" s="267"/>
      <c r="O310" s="267"/>
      <c r="P310" s="267"/>
      <c r="Q310" s="267"/>
      <c r="R310" s="267"/>
      <c r="S310" s="267"/>
      <c r="T310" s="267"/>
      <c r="U310" s="267"/>
      <c r="V310" s="267"/>
      <c r="W310" s="267"/>
      <c r="X310" s="267"/>
      <c r="Y310" s="267"/>
      <c r="Z310" s="267"/>
      <c r="AA310" s="267"/>
      <c r="AB310" s="267"/>
      <c r="AC310" s="267"/>
    </row>
    <row r="311" ht="13.5" customHeight="1">
      <c r="N311" s="267"/>
      <c r="O311" s="267"/>
      <c r="P311" s="267"/>
      <c r="Q311" s="267"/>
      <c r="R311" s="267"/>
      <c r="S311" s="267"/>
      <c r="T311" s="267"/>
      <c r="U311" s="267"/>
      <c r="V311" s="267"/>
      <c r="W311" s="267"/>
      <c r="X311" s="267"/>
      <c r="Y311" s="267"/>
      <c r="Z311" s="267"/>
      <c r="AA311" s="267"/>
      <c r="AB311" s="267"/>
      <c r="AC311" s="267"/>
    </row>
    <row r="312" ht="13.5" customHeight="1">
      <c r="N312" s="267"/>
      <c r="O312" s="267"/>
      <c r="P312" s="267"/>
      <c r="Q312" s="267"/>
      <c r="R312" s="267"/>
      <c r="S312" s="267"/>
      <c r="T312" s="267"/>
      <c r="U312" s="267"/>
      <c r="V312" s="267"/>
      <c r="W312" s="267"/>
      <c r="X312" s="267"/>
      <c r="Y312" s="267"/>
      <c r="Z312" s="267"/>
      <c r="AA312" s="267"/>
      <c r="AB312" s="267"/>
      <c r="AC312" s="267"/>
    </row>
    <row r="313" ht="13.5" customHeight="1">
      <c r="N313" s="267"/>
      <c r="O313" s="267"/>
      <c r="P313" s="267"/>
      <c r="Q313" s="267"/>
      <c r="R313" s="267"/>
      <c r="S313" s="267"/>
      <c r="T313" s="267"/>
      <c r="U313" s="267"/>
      <c r="V313" s="267"/>
      <c r="W313" s="267"/>
      <c r="X313" s="267"/>
      <c r="Y313" s="267"/>
      <c r="Z313" s="267"/>
      <c r="AA313" s="267"/>
      <c r="AB313" s="267"/>
      <c r="AC313" s="267"/>
    </row>
    <row r="314" ht="13.5" customHeight="1">
      <c r="N314" s="267"/>
      <c r="O314" s="267"/>
      <c r="P314" s="267"/>
      <c r="Q314" s="267"/>
      <c r="R314" s="267"/>
      <c r="S314" s="267"/>
      <c r="T314" s="267"/>
      <c r="U314" s="267"/>
      <c r="V314" s="267"/>
      <c r="W314" s="267"/>
      <c r="X314" s="267"/>
      <c r="Y314" s="267"/>
      <c r="Z314" s="267"/>
      <c r="AA314" s="267"/>
      <c r="AB314" s="267"/>
      <c r="AC314" s="267"/>
    </row>
    <row r="315" ht="13.5" customHeight="1">
      <c r="N315" s="267"/>
      <c r="O315" s="267"/>
      <c r="P315" s="267"/>
      <c r="Q315" s="267"/>
      <c r="R315" s="267"/>
      <c r="S315" s="267"/>
      <c r="T315" s="267"/>
      <c r="U315" s="267"/>
      <c r="V315" s="267"/>
      <c r="W315" s="267"/>
      <c r="X315" s="267"/>
      <c r="Y315" s="267"/>
      <c r="Z315" s="267"/>
      <c r="AA315" s="267"/>
      <c r="AB315" s="267"/>
      <c r="AC315" s="267"/>
    </row>
    <row r="316" ht="13.5" customHeight="1">
      <c r="N316" s="267"/>
      <c r="O316" s="267"/>
      <c r="P316" s="267"/>
      <c r="Q316" s="267"/>
      <c r="R316" s="267"/>
      <c r="S316" s="267"/>
      <c r="T316" s="267"/>
      <c r="U316" s="267"/>
      <c r="V316" s="267"/>
      <c r="W316" s="267"/>
      <c r="X316" s="267"/>
      <c r="Y316" s="267"/>
      <c r="Z316" s="267"/>
      <c r="AA316" s="267"/>
      <c r="AB316" s="267"/>
      <c r="AC316" s="267"/>
    </row>
    <row r="317" ht="13.5" customHeight="1">
      <c r="N317" s="267"/>
      <c r="O317" s="267"/>
      <c r="P317" s="267"/>
      <c r="Q317" s="267"/>
      <c r="R317" s="267"/>
      <c r="S317" s="267"/>
      <c r="T317" s="267"/>
      <c r="U317" s="267"/>
      <c r="V317" s="267"/>
      <c r="W317" s="267"/>
      <c r="X317" s="267"/>
      <c r="Y317" s="267"/>
      <c r="Z317" s="267"/>
      <c r="AA317" s="267"/>
      <c r="AB317" s="267"/>
      <c r="AC317" s="267"/>
    </row>
    <row r="318" ht="13.5" customHeight="1">
      <c r="N318" s="267"/>
      <c r="O318" s="267"/>
      <c r="P318" s="267"/>
      <c r="Q318" s="267"/>
      <c r="R318" s="267"/>
      <c r="S318" s="267"/>
      <c r="T318" s="267"/>
      <c r="U318" s="267"/>
      <c r="V318" s="267"/>
      <c r="W318" s="267"/>
      <c r="X318" s="267"/>
      <c r="Y318" s="267"/>
      <c r="Z318" s="267"/>
      <c r="AA318" s="267"/>
      <c r="AB318" s="267"/>
      <c r="AC318" s="267"/>
    </row>
    <row r="319" ht="13.5" customHeight="1">
      <c r="N319" s="267"/>
      <c r="O319" s="267"/>
      <c r="P319" s="267"/>
      <c r="Q319" s="267"/>
      <c r="R319" s="267"/>
      <c r="S319" s="267"/>
      <c r="T319" s="267"/>
      <c r="U319" s="267"/>
      <c r="V319" s="267"/>
      <c r="W319" s="267"/>
      <c r="X319" s="267"/>
      <c r="Y319" s="267"/>
      <c r="Z319" s="267"/>
      <c r="AA319" s="267"/>
      <c r="AB319" s="267"/>
      <c r="AC319" s="267"/>
    </row>
    <row r="320" ht="13.5" customHeight="1">
      <c r="N320" s="267"/>
      <c r="O320" s="267"/>
      <c r="P320" s="267"/>
      <c r="Q320" s="267"/>
      <c r="R320" s="267"/>
      <c r="S320" s="267"/>
      <c r="T320" s="267"/>
      <c r="U320" s="267"/>
      <c r="V320" s="267"/>
      <c r="W320" s="267"/>
      <c r="X320" s="267"/>
      <c r="Y320" s="267"/>
      <c r="Z320" s="267"/>
      <c r="AA320" s="267"/>
      <c r="AB320" s="267"/>
      <c r="AC320" s="267"/>
    </row>
    <row r="321" ht="13.5" customHeight="1">
      <c r="N321" s="267"/>
      <c r="O321" s="267"/>
      <c r="P321" s="267"/>
      <c r="Q321" s="267"/>
      <c r="R321" s="267"/>
      <c r="S321" s="267"/>
      <c r="T321" s="267"/>
      <c r="U321" s="267"/>
      <c r="V321" s="267"/>
      <c r="W321" s="267"/>
      <c r="X321" s="267"/>
      <c r="Y321" s="267"/>
      <c r="Z321" s="267"/>
      <c r="AA321" s="267"/>
      <c r="AB321" s="267"/>
      <c r="AC321" s="267"/>
    </row>
    <row r="322" ht="13.5" customHeight="1">
      <c r="N322" s="267"/>
      <c r="O322" s="267"/>
      <c r="P322" s="267"/>
      <c r="Q322" s="267"/>
      <c r="R322" s="267"/>
      <c r="S322" s="267"/>
      <c r="T322" s="267"/>
      <c r="U322" s="267"/>
      <c r="V322" s="267"/>
      <c r="W322" s="267"/>
      <c r="X322" s="267"/>
      <c r="Y322" s="267"/>
      <c r="Z322" s="267"/>
      <c r="AA322" s="267"/>
      <c r="AB322" s="267"/>
      <c r="AC322" s="267"/>
    </row>
    <row r="323" ht="13.5" customHeight="1">
      <c r="N323" s="267"/>
      <c r="O323" s="267"/>
      <c r="P323" s="267"/>
      <c r="Q323" s="267"/>
      <c r="R323" s="267"/>
      <c r="S323" s="267"/>
      <c r="T323" s="267"/>
      <c r="U323" s="267"/>
      <c r="V323" s="267"/>
      <c r="W323" s="267"/>
      <c r="X323" s="267"/>
      <c r="Y323" s="267"/>
      <c r="Z323" s="267"/>
      <c r="AA323" s="267"/>
      <c r="AB323" s="267"/>
      <c r="AC323" s="267"/>
    </row>
    <row r="324" ht="13.5" customHeight="1">
      <c r="N324" s="267"/>
      <c r="O324" s="267"/>
      <c r="P324" s="267"/>
      <c r="Q324" s="267"/>
      <c r="R324" s="267"/>
      <c r="S324" s="267"/>
      <c r="T324" s="267"/>
      <c r="U324" s="267"/>
      <c r="V324" s="267"/>
      <c r="W324" s="267"/>
      <c r="X324" s="267"/>
      <c r="Y324" s="267"/>
      <c r="Z324" s="267"/>
      <c r="AA324" s="267"/>
      <c r="AB324" s="267"/>
      <c r="AC324" s="267"/>
    </row>
    <row r="325" ht="13.5" customHeight="1">
      <c r="N325" s="267"/>
      <c r="O325" s="267"/>
      <c r="P325" s="267"/>
      <c r="Q325" s="267"/>
      <c r="R325" s="267"/>
      <c r="S325" s="267"/>
      <c r="T325" s="267"/>
      <c r="U325" s="267"/>
      <c r="V325" s="267"/>
      <c r="W325" s="267"/>
      <c r="X325" s="267"/>
      <c r="Y325" s="267"/>
      <c r="Z325" s="267"/>
      <c r="AA325" s="267"/>
      <c r="AB325" s="267"/>
      <c r="AC325" s="267"/>
    </row>
    <row r="326" ht="13.5" customHeight="1">
      <c r="N326" s="267"/>
      <c r="O326" s="267"/>
      <c r="P326" s="267"/>
      <c r="Q326" s="267"/>
      <c r="R326" s="267"/>
      <c r="S326" s="267"/>
      <c r="T326" s="267"/>
      <c r="U326" s="267"/>
      <c r="V326" s="267"/>
      <c r="W326" s="267"/>
      <c r="X326" s="267"/>
      <c r="Y326" s="267"/>
      <c r="Z326" s="267"/>
      <c r="AA326" s="267"/>
      <c r="AB326" s="267"/>
      <c r="AC326" s="267"/>
    </row>
    <row r="327" ht="13.5" customHeight="1">
      <c r="A327" s="431" t="s">
        <v>818</v>
      </c>
      <c r="N327" s="432"/>
      <c r="O327" s="267"/>
      <c r="P327" s="267"/>
      <c r="Q327" s="267"/>
      <c r="R327" s="267"/>
      <c r="S327" s="267"/>
      <c r="T327" s="267"/>
      <c r="U327" s="267"/>
      <c r="V327" s="267"/>
      <c r="W327" s="267"/>
      <c r="X327" s="267"/>
      <c r="Y327" s="267"/>
      <c r="Z327" s="267"/>
      <c r="AA327" s="267"/>
      <c r="AB327" s="267"/>
      <c r="AC327" s="267"/>
    </row>
    <row r="328" ht="13.5" customHeight="1">
      <c r="N328" s="432"/>
      <c r="O328" s="267"/>
      <c r="P328" s="267"/>
      <c r="Q328" s="267"/>
      <c r="R328" s="267"/>
      <c r="S328" s="267"/>
      <c r="T328" s="267"/>
      <c r="U328" s="267"/>
      <c r="V328" s="267"/>
      <c r="W328" s="267"/>
      <c r="X328" s="267"/>
      <c r="Y328" s="267"/>
      <c r="Z328" s="267"/>
      <c r="AA328" s="267"/>
      <c r="AB328" s="267"/>
      <c r="AC328" s="267"/>
    </row>
    <row r="329" ht="13.5" customHeight="1">
      <c r="N329" s="432"/>
      <c r="O329" s="267"/>
      <c r="P329" s="267"/>
      <c r="Q329" s="267"/>
      <c r="R329" s="267"/>
      <c r="S329" s="267"/>
      <c r="T329" s="267"/>
      <c r="U329" s="267"/>
      <c r="V329" s="267"/>
      <c r="W329" s="267"/>
      <c r="X329" s="267"/>
      <c r="Y329" s="267"/>
      <c r="Z329" s="267"/>
      <c r="AA329" s="267"/>
      <c r="AB329" s="267"/>
      <c r="AC329" s="267"/>
    </row>
    <row r="330" ht="13.5" customHeight="1">
      <c r="A330" s="267"/>
      <c r="B330" s="267"/>
      <c r="C330" s="433"/>
      <c r="D330" s="433"/>
      <c r="E330" s="433"/>
      <c r="F330" s="433"/>
      <c r="G330" s="267"/>
      <c r="H330" s="267"/>
      <c r="I330" s="267"/>
      <c r="J330" s="433"/>
      <c r="K330" s="433"/>
      <c r="L330" s="434"/>
      <c r="M330" s="267"/>
      <c r="N330" s="267"/>
      <c r="O330" s="267"/>
      <c r="P330" s="267"/>
      <c r="Q330" s="267"/>
      <c r="R330" s="267"/>
      <c r="S330" s="267"/>
      <c r="T330" s="267"/>
      <c r="U330" s="267"/>
      <c r="V330" s="267"/>
      <c r="W330" s="267"/>
      <c r="X330" s="267"/>
      <c r="Y330" s="267"/>
      <c r="Z330" s="267"/>
      <c r="AA330" s="267"/>
      <c r="AB330" s="267"/>
      <c r="AC330" s="267"/>
    </row>
    <row r="331" ht="13.5" customHeight="1">
      <c r="A331" s="267"/>
      <c r="B331" s="267"/>
      <c r="C331" s="433"/>
      <c r="D331" s="433"/>
      <c r="E331" s="433"/>
      <c r="F331" s="433"/>
      <c r="G331" s="267"/>
      <c r="H331" s="267"/>
      <c r="I331" s="267"/>
      <c r="J331" s="433"/>
      <c r="K331" s="433"/>
      <c r="L331" s="434"/>
      <c r="M331" s="267"/>
      <c r="N331" s="267"/>
      <c r="O331" s="267"/>
      <c r="P331" s="267"/>
      <c r="Q331" s="267"/>
      <c r="R331" s="267"/>
      <c r="S331" s="267"/>
      <c r="T331" s="267"/>
      <c r="U331" s="267"/>
      <c r="V331" s="267"/>
      <c r="W331" s="267"/>
      <c r="X331" s="267"/>
      <c r="Y331" s="267"/>
      <c r="Z331" s="267"/>
      <c r="AA331" s="267"/>
      <c r="AB331" s="267"/>
      <c r="AC331" s="267"/>
    </row>
    <row r="332" ht="13.5" customHeight="1">
      <c r="A332" s="267"/>
      <c r="B332" s="267"/>
      <c r="C332" s="433"/>
      <c r="D332" s="433"/>
      <c r="E332" s="433"/>
      <c r="F332" s="433"/>
      <c r="G332" s="267"/>
      <c r="H332" s="267"/>
      <c r="I332" s="267"/>
      <c r="J332" s="433"/>
      <c r="K332" s="433"/>
      <c r="L332" s="434"/>
      <c r="M332" s="267"/>
      <c r="N332" s="267"/>
      <c r="O332" s="267"/>
      <c r="P332" s="267"/>
      <c r="Q332" s="267"/>
      <c r="R332" s="267"/>
      <c r="S332" s="267"/>
      <c r="T332" s="267"/>
      <c r="U332" s="267"/>
      <c r="V332" s="267"/>
      <c r="W332" s="267"/>
      <c r="X332" s="267"/>
      <c r="Y332" s="267"/>
      <c r="Z332" s="267"/>
      <c r="AA332" s="267"/>
      <c r="AB332" s="267"/>
      <c r="AC332" s="267"/>
    </row>
    <row r="333" ht="13.5" customHeight="1">
      <c r="A333" s="267"/>
      <c r="B333" s="267"/>
      <c r="C333" s="433"/>
      <c r="D333" s="433"/>
      <c r="E333" s="433"/>
      <c r="F333" s="433"/>
      <c r="G333" s="267"/>
      <c r="H333" s="267"/>
      <c r="I333" s="267"/>
      <c r="J333" s="433"/>
      <c r="K333" s="433"/>
      <c r="L333" s="434"/>
      <c r="M333" s="267"/>
      <c r="N333" s="267"/>
      <c r="O333" s="267"/>
      <c r="P333" s="267"/>
      <c r="Q333" s="267"/>
      <c r="R333" s="267"/>
      <c r="S333" s="267"/>
      <c r="T333" s="267"/>
      <c r="U333" s="267"/>
      <c r="V333" s="267"/>
      <c r="W333" s="267"/>
      <c r="X333" s="267"/>
      <c r="Y333" s="267"/>
      <c r="Z333" s="267"/>
      <c r="AA333" s="267"/>
      <c r="AB333" s="267"/>
      <c r="AC333" s="267"/>
    </row>
    <row r="334" ht="13.5" customHeight="1">
      <c r="A334" s="267"/>
      <c r="B334" s="267"/>
      <c r="C334" s="433"/>
      <c r="D334" s="433"/>
      <c r="E334" s="433"/>
      <c r="F334" s="433"/>
      <c r="G334" s="267"/>
      <c r="H334" s="267"/>
      <c r="I334" s="267"/>
      <c r="J334" s="433"/>
      <c r="K334" s="433"/>
      <c r="L334" s="434"/>
      <c r="M334" s="267"/>
      <c r="N334" s="267"/>
      <c r="O334" s="267"/>
      <c r="P334" s="267"/>
      <c r="Q334" s="267"/>
      <c r="R334" s="267"/>
      <c r="S334" s="267"/>
      <c r="T334" s="267"/>
      <c r="U334" s="267"/>
      <c r="V334" s="267"/>
      <c r="W334" s="267"/>
      <c r="X334" s="267"/>
      <c r="Y334" s="267"/>
      <c r="Z334" s="267"/>
      <c r="AA334" s="267"/>
      <c r="AB334" s="267"/>
      <c r="AC334" s="267"/>
    </row>
    <row r="335" ht="13.5" customHeight="1">
      <c r="A335" s="267"/>
      <c r="B335" s="267"/>
      <c r="C335" s="433"/>
      <c r="D335" s="433"/>
      <c r="E335" s="433"/>
      <c r="F335" s="433"/>
      <c r="G335" s="267"/>
      <c r="H335" s="267"/>
      <c r="I335" s="267"/>
      <c r="J335" s="433"/>
      <c r="K335" s="433"/>
      <c r="L335" s="434"/>
      <c r="M335" s="267"/>
      <c r="N335" s="267"/>
      <c r="O335" s="267"/>
      <c r="P335" s="267"/>
      <c r="Q335" s="267"/>
      <c r="R335" s="267"/>
      <c r="S335" s="267"/>
      <c r="T335" s="267"/>
      <c r="U335" s="267"/>
      <c r="V335" s="267"/>
      <c r="W335" s="267"/>
      <c r="X335" s="267"/>
      <c r="Y335" s="267"/>
      <c r="Z335" s="267"/>
      <c r="AA335" s="267"/>
      <c r="AB335" s="267"/>
      <c r="AC335" s="267"/>
    </row>
    <row r="336" ht="13.5" customHeight="1">
      <c r="A336" s="267"/>
      <c r="B336" s="267"/>
      <c r="C336" s="433"/>
      <c r="D336" s="433"/>
      <c r="E336" s="433"/>
      <c r="F336" s="433"/>
      <c r="G336" s="267"/>
      <c r="H336" s="267"/>
      <c r="I336" s="267"/>
      <c r="J336" s="433"/>
      <c r="K336" s="433"/>
      <c r="L336" s="434"/>
      <c r="M336" s="267"/>
      <c r="N336" s="267"/>
      <c r="O336" s="267"/>
      <c r="P336" s="267"/>
      <c r="Q336" s="267"/>
      <c r="R336" s="267"/>
      <c r="S336" s="267"/>
      <c r="T336" s="267"/>
      <c r="U336" s="267"/>
      <c r="V336" s="267"/>
      <c r="W336" s="267"/>
      <c r="X336" s="267"/>
      <c r="Y336" s="267"/>
      <c r="Z336" s="267"/>
      <c r="AA336" s="267"/>
      <c r="AB336" s="267"/>
      <c r="AC336" s="267"/>
    </row>
    <row r="337" ht="13.5" customHeight="1">
      <c r="A337" s="267"/>
      <c r="B337" s="267"/>
      <c r="C337" s="433"/>
      <c r="D337" s="433"/>
      <c r="E337" s="433"/>
      <c r="F337" s="433"/>
      <c r="G337" s="267"/>
      <c r="H337" s="267"/>
      <c r="I337" s="267"/>
      <c r="J337" s="433"/>
      <c r="K337" s="433"/>
      <c r="L337" s="434"/>
      <c r="M337" s="267"/>
      <c r="N337" s="267"/>
      <c r="O337" s="267"/>
      <c r="P337" s="267"/>
      <c r="Q337" s="267"/>
      <c r="R337" s="267"/>
      <c r="S337" s="267"/>
      <c r="T337" s="267"/>
      <c r="U337" s="267"/>
      <c r="V337" s="267"/>
      <c r="W337" s="267"/>
      <c r="X337" s="267"/>
      <c r="Y337" s="267"/>
      <c r="Z337" s="267"/>
      <c r="AA337" s="267"/>
      <c r="AB337" s="267"/>
      <c r="AC337" s="267"/>
    </row>
    <row r="338" ht="13.5" customHeight="1">
      <c r="A338" s="267"/>
      <c r="B338" s="267"/>
      <c r="C338" s="433"/>
      <c r="D338" s="433"/>
      <c r="E338" s="433"/>
      <c r="F338" s="433"/>
      <c r="G338" s="267"/>
      <c r="H338" s="267"/>
      <c r="I338" s="267"/>
      <c r="J338" s="433"/>
      <c r="K338" s="433"/>
      <c r="L338" s="434"/>
      <c r="M338" s="267"/>
      <c r="N338" s="267"/>
      <c r="O338" s="267"/>
      <c r="P338" s="267"/>
      <c r="Q338" s="267"/>
      <c r="R338" s="267"/>
      <c r="S338" s="267"/>
      <c r="T338" s="267"/>
      <c r="U338" s="267"/>
      <c r="V338" s="267"/>
      <c r="W338" s="267"/>
      <c r="X338" s="267"/>
      <c r="Y338" s="267"/>
      <c r="Z338" s="267"/>
      <c r="AA338" s="267"/>
      <c r="AB338" s="267"/>
      <c r="AC338" s="267"/>
    </row>
    <row r="339" ht="13.5" customHeight="1">
      <c r="A339" s="267"/>
      <c r="B339" s="267"/>
      <c r="C339" s="433"/>
      <c r="D339" s="433"/>
      <c r="E339" s="433"/>
      <c r="F339" s="433"/>
      <c r="G339" s="267"/>
      <c r="H339" s="267"/>
      <c r="I339" s="267"/>
      <c r="J339" s="433"/>
      <c r="K339" s="433"/>
      <c r="L339" s="434"/>
      <c r="M339" s="267"/>
      <c r="N339" s="267"/>
      <c r="O339" s="267"/>
      <c r="P339" s="267"/>
      <c r="Q339" s="267"/>
      <c r="R339" s="267"/>
      <c r="S339" s="267"/>
      <c r="T339" s="267"/>
      <c r="U339" s="267"/>
      <c r="V339" s="267"/>
      <c r="W339" s="267"/>
      <c r="X339" s="267"/>
      <c r="Y339" s="267"/>
      <c r="Z339" s="267"/>
      <c r="AA339" s="267"/>
      <c r="AB339" s="267"/>
      <c r="AC339" s="267"/>
    </row>
    <row r="340" ht="13.5" customHeight="1">
      <c r="A340" s="267"/>
      <c r="B340" s="267"/>
      <c r="C340" s="433"/>
      <c r="D340" s="433"/>
      <c r="E340" s="433"/>
      <c r="F340" s="433"/>
      <c r="G340" s="267"/>
      <c r="H340" s="267"/>
      <c r="I340" s="267"/>
      <c r="J340" s="433"/>
      <c r="K340" s="433"/>
      <c r="L340" s="434"/>
      <c r="M340" s="267"/>
      <c r="N340" s="267"/>
      <c r="O340" s="267"/>
      <c r="P340" s="267"/>
      <c r="Q340" s="267"/>
      <c r="R340" s="267"/>
      <c r="S340" s="267"/>
      <c r="T340" s="267"/>
      <c r="U340" s="267"/>
      <c r="V340" s="267"/>
      <c r="W340" s="267"/>
      <c r="X340" s="267"/>
      <c r="Y340" s="267"/>
      <c r="Z340" s="267"/>
      <c r="AA340" s="267"/>
      <c r="AB340" s="267"/>
      <c r="AC340" s="267"/>
    </row>
    <row r="341" ht="13.5" customHeight="1">
      <c r="A341" s="267"/>
      <c r="B341" s="267"/>
      <c r="C341" s="433"/>
      <c r="D341" s="433"/>
      <c r="E341" s="433"/>
      <c r="F341" s="433"/>
      <c r="G341" s="267"/>
      <c r="H341" s="267"/>
      <c r="I341" s="267"/>
      <c r="J341" s="433"/>
      <c r="K341" s="433"/>
      <c r="L341" s="434"/>
      <c r="M341" s="267"/>
      <c r="N341" s="267"/>
      <c r="O341" s="267"/>
      <c r="P341" s="267"/>
      <c r="Q341" s="267"/>
      <c r="R341" s="267"/>
      <c r="S341" s="267"/>
      <c r="T341" s="267"/>
      <c r="U341" s="267"/>
      <c r="V341" s="267"/>
      <c r="W341" s="267"/>
      <c r="X341" s="267"/>
      <c r="Y341" s="267"/>
      <c r="Z341" s="267"/>
      <c r="AA341" s="267"/>
      <c r="AB341" s="267"/>
      <c r="AC341" s="267"/>
    </row>
    <row r="342" ht="13.5" customHeight="1">
      <c r="A342" s="267"/>
      <c r="B342" s="267"/>
      <c r="C342" s="433"/>
      <c r="D342" s="433"/>
      <c r="E342" s="433"/>
      <c r="F342" s="433"/>
      <c r="G342" s="267"/>
      <c r="H342" s="267"/>
      <c r="I342" s="267"/>
      <c r="J342" s="433"/>
      <c r="K342" s="433"/>
      <c r="L342" s="434"/>
      <c r="M342" s="267"/>
      <c r="N342" s="267"/>
      <c r="O342" s="267"/>
      <c r="P342" s="267"/>
      <c r="Q342" s="267"/>
      <c r="R342" s="267"/>
      <c r="S342" s="267"/>
      <c r="T342" s="267"/>
      <c r="U342" s="267"/>
      <c r="V342" s="267"/>
      <c r="W342" s="267"/>
      <c r="X342" s="267"/>
      <c r="Y342" s="267"/>
      <c r="Z342" s="267"/>
      <c r="AA342" s="267"/>
      <c r="AB342" s="267"/>
      <c r="AC342" s="267"/>
    </row>
    <row r="343" ht="13.5" customHeight="1">
      <c r="A343" s="267"/>
      <c r="B343" s="267"/>
      <c r="C343" s="433"/>
      <c r="D343" s="433"/>
      <c r="E343" s="433"/>
      <c r="F343" s="433"/>
      <c r="G343" s="267"/>
      <c r="H343" s="267"/>
      <c r="I343" s="267"/>
      <c r="J343" s="433"/>
      <c r="K343" s="433"/>
      <c r="L343" s="434"/>
      <c r="M343" s="267"/>
      <c r="N343" s="267"/>
      <c r="O343" s="267"/>
      <c r="P343" s="267"/>
      <c r="Q343" s="267"/>
      <c r="R343" s="267"/>
      <c r="S343" s="267"/>
      <c r="T343" s="267"/>
      <c r="U343" s="267"/>
      <c r="V343" s="267"/>
      <c r="W343" s="267"/>
      <c r="X343" s="267"/>
      <c r="Y343" s="267"/>
      <c r="Z343" s="267"/>
      <c r="AA343" s="267"/>
      <c r="AB343" s="267"/>
      <c r="AC343" s="267"/>
    </row>
    <row r="344" ht="13.5" customHeight="1">
      <c r="A344" s="267"/>
      <c r="B344" s="267"/>
      <c r="C344" s="433"/>
      <c r="D344" s="433"/>
      <c r="E344" s="433"/>
      <c r="F344" s="433"/>
      <c r="G344" s="267"/>
      <c r="H344" s="267"/>
      <c r="I344" s="267"/>
      <c r="J344" s="433"/>
      <c r="K344" s="433"/>
      <c r="L344" s="434"/>
      <c r="M344" s="267"/>
      <c r="N344" s="267"/>
      <c r="O344" s="267"/>
      <c r="P344" s="267"/>
      <c r="Q344" s="267"/>
      <c r="R344" s="267"/>
      <c r="S344" s="267"/>
      <c r="T344" s="267"/>
      <c r="U344" s="267"/>
      <c r="V344" s="267"/>
      <c r="W344" s="267"/>
      <c r="X344" s="267"/>
      <c r="Y344" s="267"/>
      <c r="Z344" s="267"/>
      <c r="AA344" s="267"/>
      <c r="AB344" s="267"/>
      <c r="AC344" s="267"/>
    </row>
    <row r="345" ht="13.5" customHeight="1">
      <c r="A345" s="267"/>
      <c r="B345" s="267"/>
      <c r="C345" s="433"/>
      <c r="D345" s="433"/>
      <c r="E345" s="433"/>
      <c r="F345" s="433"/>
      <c r="G345" s="267"/>
      <c r="H345" s="267"/>
      <c r="I345" s="267"/>
      <c r="J345" s="433"/>
      <c r="K345" s="433"/>
      <c r="L345" s="434"/>
      <c r="M345" s="267"/>
      <c r="N345" s="267"/>
      <c r="O345" s="267"/>
      <c r="P345" s="267"/>
      <c r="Q345" s="267"/>
      <c r="R345" s="267"/>
      <c r="S345" s="267"/>
      <c r="T345" s="267"/>
      <c r="U345" s="267"/>
      <c r="V345" s="267"/>
      <c r="W345" s="267"/>
      <c r="X345" s="267"/>
      <c r="Y345" s="267"/>
      <c r="Z345" s="267"/>
      <c r="AA345" s="267"/>
      <c r="AB345" s="267"/>
      <c r="AC345" s="267"/>
    </row>
    <row r="346" ht="13.5" customHeight="1">
      <c r="A346" s="267"/>
      <c r="B346" s="267"/>
      <c r="C346" s="433"/>
      <c r="D346" s="433"/>
      <c r="E346" s="433"/>
      <c r="F346" s="433"/>
      <c r="G346" s="267"/>
      <c r="H346" s="267"/>
      <c r="I346" s="267"/>
      <c r="J346" s="433"/>
      <c r="K346" s="433"/>
      <c r="L346" s="434"/>
      <c r="M346" s="267"/>
      <c r="N346" s="267"/>
      <c r="O346" s="267"/>
      <c r="P346" s="267"/>
      <c r="Q346" s="267"/>
      <c r="R346" s="267"/>
      <c r="S346" s="267"/>
      <c r="T346" s="267"/>
      <c r="U346" s="267"/>
      <c r="V346" s="267"/>
      <c r="W346" s="267"/>
      <c r="X346" s="267"/>
      <c r="Y346" s="267"/>
      <c r="Z346" s="267"/>
      <c r="AA346" s="267"/>
      <c r="AB346" s="267"/>
      <c r="AC346" s="267"/>
    </row>
    <row r="347" ht="13.5" customHeight="1">
      <c r="A347" s="267"/>
      <c r="B347" s="267"/>
      <c r="C347" s="433"/>
      <c r="D347" s="433"/>
      <c r="E347" s="433"/>
      <c r="F347" s="433"/>
      <c r="G347" s="267"/>
      <c r="H347" s="267"/>
      <c r="I347" s="267"/>
      <c r="J347" s="433"/>
      <c r="K347" s="433"/>
      <c r="L347" s="434"/>
      <c r="M347" s="267"/>
      <c r="N347" s="267"/>
      <c r="O347" s="267"/>
      <c r="P347" s="267"/>
      <c r="Q347" s="267"/>
      <c r="R347" s="267"/>
      <c r="S347" s="267"/>
      <c r="T347" s="267"/>
      <c r="U347" s="267"/>
      <c r="V347" s="267"/>
      <c r="W347" s="267"/>
      <c r="X347" s="267"/>
      <c r="Y347" s="267"/>
      <c r="Z347" s="267"/>
      <c r="AA347" s="267"/>
      <c r="AB347" s="267"/>
      <c r="AC347" s="267"/>
    </row>
    <row r="348" ht="13.5" customHeight="1">
      <c r="A348" s="267"/>
      <c r="B348" s="267"/>
      <c r="C348" s="433"/>
      <c r="D348" s="433"/>
      <c r="E348" s="433"/>
      <c r="F348" s="433"/>
      <c r="G348" s="267"/>
      <c r="H348" s="267"/>
      <c r="I348" s="267"/>
      <c r="J348" s="433"/>
      <c r="K348" s="433"/>
      <c r="L348" s="434"/>
      <c r="M348" s="267"/>
      <c r="N348" s="267"/>
      <c r="O348" s="267"/>
      <c r="P348" s="267"/>
      <c r="Q348" s="267"/>
      <c r="R348" s="267"/>
      <c r="S348" s="267"/>
      <c r="T348" s="267"/>
      <c r="U348" s="267"/>
      <c r="V348" s="267"/>
      <c r="W348" s="267"/>
      <c r="X348" s="267"/>
      <c r="Y348" s="267"/>
      <c r="Z348" s="267"/>
      <c r="AA348" s="267"/>
      <c r="AB348" s="267"/>
      <c r="AC348" s="267"/>
    </row>
    <row r="349" ht="13.5" customHeight="1">
      <c r="A349" s="267"/>
      <c r="B349" s="267"/>
      <c r="C349" s="433"/>
      <c r="D349" s="433"/>
      <c r="E349" s="433"/>
      <c r="F349" s="433"/>
      <c r="G349" s="267"/>
      <c r="H349" s="267"/>
      <c r="I349" s="267"/>
      <c r="J349" s="433"/>
      <c r="K349" s="433"/>
      <c r="L349" s="434"/>
      <c r="M349" s="267"/>
      <c r="N349" s="267"/>
      <c r="O349" s="267"/>
      <c r="P349" s="267"/>
      <c r="Q349" s="267"/>
      <c r="R349" s="267"/>
      <c r="S349" s="267"/>
      <c r="T349" s="267"/>
      <c r="U349" s="267"/>
      <c r="V349" s="267"/>
      <c r="W349" s="267"/>
      <c r="X349" s="267"/>
      <c r="Y349" s="267"/>
      <c r="Z349" s="267"/>
      <c r="AA349" s="267"/>
      <c r="AB349" s="267"/>
      <c r="AC349" s="267"/>
    </row>
    <row r="350" ht="13.5" customHeight="1">
      <c r="A350" s="267"/>
      <c r="B350" s="267"/>
      <c r="C350" s="433"/>
      <c r="D350" s="433"/>
      <c r="E350" s="433"/>
      <c r="F350" s="433"/>
      <c r="G350" s="267"/>
      <c r="H350" s="267"/>
      <c r="I350" s="267"/>
      <c r="J350" s="433"/>
      <c r="K350" s="433"/>
      <c r="L350" s="434"/>
      <c r="M350" s="267"/>
      <c r="N350" s="267"/>
      <c r="O350" s="267"/>
      <c r="P350" s="267"/>
      <c r="Q350" s="267"/>
      <c r="R350" s="267"/>
      <c r="S350" s="267"/>
      <c r="T350" s="267"/>
      <c r="U350" s="267"/>
      <c r="V350" s="267"/>
      <c r="W350" s="267"/>
      <c r="X350" s="267"/>
      <c r="Y350" s="267"/>
      <c r="Z350" s="267"/>
      <c r="AA350" s="267"/>
      <c r="AB350" s="267"/>
      <c r="AC350" s="267"/>
    </row>
    <row r="351" ht="13.5" customHeight="1">
      <c r="A351" s="267"/>
      <c r="B351" s="267"/>
      <c r="C351" s="433"/>
      <c r="D351" s="433"/>
      <c r="E351" s="433"/>
      <c r="F351" s="433"/>
      <c r="G351" s="267"/>
      <c r="H351" s="267"/>
      <c r="I351" s="267"/>
      <c r="J351" s="433"/>
      <c r="K351" s="433"/>
      <c r="L351" s="434"/>
      <c r="M351" s="267"/>
      <c r="N351" s="267"/>
      <c r="O351" s="267"/>
      <c r="P351" s="267"/>
      <c r="Q351" s="267"/>
      <c r="R351" s="267"/>
      <c r="S351" s="267"/>
      <c r="T351" s="267"/>
      <c r="U351" s="267"/>
      <c r="V351" s="267"/>
      <c r="W351" s="267"/>
      <c r="X351" s="267"/>
      <c r="Y351" s="267"/>
      <c r="Z351" s="267"/>
      <c r="AA351" s="267"/>
      <c r="AB351" s="267"/>
      <c r="AC351" s="267"/>
    </row>
    <row r="352" ht="13.5" customHeight="1">
      <c r="A352" s="267"/>
      <c r="B352" s="267"/>
      <c r="C352" s="433"/>
      <c r="D352" s="433"/>
      <c r="E352" s="433"/>
      <c r="F352" s="433"/>
      <c r="G352" s="267"/>
      <c r="H352" s="267"/>
      <c r="I352" s="267"/>
      <c r="J352" s="433"/>
      <c r="K352" s="433"/>
      <c r="L352" s="434"/>
      <c r="M352" s="267"/>
      <c r="N352" s="267"/>
      <c r="O352" s="267"/>
      <c r="P352" s="267"/>
      <c r="Q352" s="267"/>
      <c r="R352" s="267"/>
      <c r="S352" s="267"/>
      <c r="T352" s="267"/>
      <c r="U352" s="267"/>
      <c r="V352" s="267"/>
      <c r="W352" s="267"/>
      <c r="X352" s="267"/>
      <c r="Y352" s="267"/>
      <c r="Z352" s="267"/>
      <c r="AA352" s="267"/>
      <c r="AB352" s="267"/>
      <c r="AC352" s="267"/>
    </row>
    <row r="353" ht="13.5" customHeight="1">
      <c r="A353" s="267"/>
      <c r="B353" s="267"/>
      <c r="C353" s="433"/>
      <c r="D353" s="433"/>
      <c r="E353" s="433"/>
      <c r="F353" s="433"/>
      <c r="G353" s="267"/>
      <c r="H353" s="267"/>
      <c r="I353" s="267"/>
      <c r="J353" s="433"/>
      <c r="K353" s="433"/>
      <c r="L353" s="434"/>
      <c r="M353" s="267"/>
      <c r="N353" s="267"/>
      <c r="O353" s="267"/>
      <c r="P353" s="267"/>
      <c r="Q353" s="267"/>
      <c r="R353" s="267"/>
      <c r="S353" s="267"/>
      <c r="T353" s="267"/>
      <c r="U353" s="267"/>
      <c r="V353" s="267"/>
      <c r="W353" s="267"/>
      <c r="X353" s="267"/>
      <c r="Y353" s="267"/>
      <c r="Z353" s="267"/>
      <c r="AA353" s="267"/>
      <c r="AB353" s="267"/>
      <c r="AC353" s="267"/>
    </row>
    <row r="354" ht="13.5" customHeight="1">
      <c r="A354" s="267"/>
      <c r="B354" s="267"/>
      <c r="C354" s="433"/>
      <c r="D354" s="433"/>
      <c r="E354" s="433"/>
      <c r="F354" s="433"/>
      <c r="G354" s="267"/>
      <c r="H354" s="267"/>
      <c r="I354" s="267"/>
      <c r="J354" s="433"/>
      <c r="K354" s="433"/>
      <c r="L354" s="434"/>
      <c r="M354" s="267"/>
      <c r="N354" s="267"/>
      <c r="O354" s="267"/>
      <c r="P354" s="267"/>
      <c r="Q354" s="267"/>
      <c r="R354" s="267"/>
      <c r="S354" s="267"/>
      <c r="T354" s="267"/>
      <c r="U354" s="267"/>
      <c r="V354" s="267"/>
      <c r="W354" s="267"/>
      <c r="X354" s="267"/>
      <c r="Y354" s="267"/>
      <c r="Z354" s="267"/>
      <c r="AA354" s="267"/>
      <c r="AB354" s="267"/>
      <c r="AC354" s="267"/>
    </row>
    <row r="355" ht="13.5" customHeight="1">
      <c r="A355" s="267"/>
      <c r="B355" s="267"/>
      <c r="C355" s="433"/>
      <c r="D355" s="433"/>
      <c r="E355" s="433"/>
      <c r="F355" s="433"/>
      <c r="G355" s="267"/>
      <c r="H355" s="267"/>
      <c r="I355" s="267"/>
      <c r="J355" s="433"/>
      <c r="K355" s="433"/>
      <c r="L355" s="434"/>
      <c r="M355" s="267"/>
      <c r="N355" s="267"/>
      <c r="O355" s="267"/>
      <c r="P355" s="267"/>
      <c r="Q355" s="267"/>
      <c r="R355" s="267"/>
      <c r="S355" s="267"/>
      <c r="T355" s="267"/>
      <c r="U355" s="267"/>
      <c r="V355" s="267"/>
      <c r="W355" s="267"/>
      <c r="X355" s="267"/>
      <c r="Y355" s="267"/>
      <c r="Z355" s="267"/>
      <c r="AA355" s="267"/>
      <c r="AB355" s="267"/>
      <c r="AC355" s="267"/>
    </row>
    <row r="356" ht="13.5" customHeight="1">
      <c r="A356" s="267"/>
      <c r="B356" s="267"/>
      <c r="C356" s="433"/>
      <c r="D356" s="433"/>
      <c r="E356" s="433"/>
      <c r="F356" s="433"/>
      <c r="G356" s="267"/>
      <c r="H356" s="267"/>
      <c r="I356" s="267"/>
      <c r="J356" s="433"/>
      <c r="K356" s="433"/>
      <c r="L356" s="434"/>
      <c r="M356" s="267"/>
      <c r="N356" s="267"/>
      <c r="O356" s="267"/>
      <c r="P356" s="267"/>
      <c r="Q356" s="267"/>
      <c r="R356" s="267"/>
      <c r="S356" s="267"/>
      <c r="T356" s="267"/>
      <c r="U356" s="267"/>
      <c r="V356" s="267"/>
      <c r="W356" s="267"/>
      <c r="X356" s="267"/>
      <c r="Y356" s="267"/>
      <c r="Z356" s="267"/>
      <c r="AA356" s="267"/>
      <c r="AB356" s="267"/>
      <c r="AC356" s="267"/>
    </row>
    <row r="357" ht="13.5" customHeight="1">
      <c r="A357" s="267"/>
      <c r="B357" s="267"/>
      <c r="C357" s="433"/>
      <c r="D357" s="433"/>
      <c r="E357" s="433"/>
      <c r="F357" s="433"/>
      <c r="G357" s="267"/>
      <c r="H357" s="267"/>
      <c r="I357" s="267"/>
      <c r="J357" s="433"/>
      <c r="K357" s="433"/>
      <c r="L357" s="434"/>
      <c r="M357" s="267"/>
      <c r="N357" s="267"/>
      <c r="O357" s="267"/>
      <c r="P357" s="267"/>
      <c r="Q357" s="267"/>
      <c r="R357" s="267"/>
      <c r="S357" s="267"/>
      <c r="T357" s="267"/>
      <c r="U357" s="267"/>
      <c r="V357" s="267"/>
      <c r="W357" s="267"/>
      <c r="X357" s="267"/>
      <c r="Y357" s="267"/>
      <c r="Z357" s="267"/>
      <c r="AA357" s="267"/>
      <c r="AB357" s="267"/>
      <c r="AC357" s="267"/>
    </row>
    <row r="358" ht="13.5" customHeight="1">
      <c r="A358" s="267"/>
      <c r="B358" s="267"/>
      <c r="C358" s="433"/>
      <c r="D358" s="433"/>
      <c r="E358" s="433"/>
      <c r="F358" s="433"/>
      <c r="G358" s="267"/>
      <c r="H358" s="267"/>
      <c r="I358" s="267"/>
      <c r="J358" s="433"/>
      <c r="K358" s="433"/>
      <c r="L358" s="434"/>
      <c r="M358" s="267"/>
      <c r="N358" s="267"/>
      <c r="O358" s="267"/>
      <c r="P358" s="267"/>
      <c r="Q358" s="267"/>
      <c r="R358" s="267"/>
      <c r="S358" s="267"/>
      <c r="T358" s="267"/>
      <c r="U358" s="267"/>
      <c r="V358" s="267"/>
      <c r="W358" s="267"/>
      <c r="X358" s="267"/>
      <c r="Y358" s="267"/>
      <c r="Z358" s="267"/>
      <c r="AA358" s="267"/>
      <c r="AB358" s="267"/>
      <c r="AC358" s="267"/>
    </row>
    <row r="359" ht="13.5" customHeight="1">
      <c r="A359" s="267"/>
      <c r="B359" s="267"/>
      <c r="C359" s="433"/>
      <c r="D359" s="433"/>
      <c r="E359" s="433"/>
      <c r="F359" s="433"/>
      <c r="G359" s="267"/>
      <c r="H359" s="267"/>
      <c r="I359" s="267"/>
      <c r="J359" s="433"/>
      <c r="K359" s="433"/>
      <c r="L359" s="434"/>
      <c r="M359" s="267"/>
      <c r="N359" s="267"/>
      <c r="O359" s="267"/>
      <c r="P359" s="267"/>
      <c r="Q359" s="267"/>
      <c r="R359" s="267"/>
      <c r="S359" s="267"/>
      <c r="T359" s="267"/>
      <c r="U359" s="267"/>
      <c r="V359" s="267"/>
      <c r="W359" s="267"/>
      <c r="X359" s="267"/>
      <c r="Y359" s="267"/>
      <c r="Z359" s="267"/>
      <c r="AA359" s="267"/>
      <c r="AB359" s="267"/>
      <c r="AC359" s="267"/>
    </row>
    <row r="360" ht="13.5" customHeight="1">
      <c r="A360" s="267"/>
      <c r="B360" s="267"/>
      <c r="C360" s="433"/>
      <c r="D360" s="433"/>
      <c r="E360" s="433"/>
      <c r="F360" s="433"/>
      <c r="G360" s="267"/>
      <c r="H360" s="267"/>
      <c r="I360" s="267"/>
      <c r="J360" s="433"/>
      <c r="K360" s="433"/>
      <c r="L360" s="434"/>
      <c r="M360" s="267"/>
      <c r="N360" s="267"/>
      <c r="O360" s="267"/>
      <c r="P360" s="267"/>
      <c r="Q360" s="267"/>
      <c r="R360" s="267"/>
      <c r="S360" s="267"/>
      <c r="T360" s="267"/>
      <c r="U360" s="267"/>
      <c r="V360" s="267"/>
      <c r="W360" s="267"/>
      <c r="X360" s="267"/>
      <c r="Y360" s="267"/>
      <c r="Z360" s="267"/>
      <c r="AA360" s="267"/>
      <c r="AB360" s="267"/>
      <c r="AC360" s="267"/>
    </row>
    <row r="361" ht="13.5" customHeight="1">
      <c r="A361" s="267"/>
      <c r="B361" s="267"/>
      <c r="C361" s="433"/>
      <c r="D361" s="433"/>
      <c r="E361" s="433"/>
      <c r="F361" s="433"/>
      <c r="G361" s="267"/>
      <c r="H361" s="267"/>
      <c r="I361" s="267"/>
      <c r="J361" s="433"/>
      <c r="K361" s="433"/>
      <c r="L361" s="434"/>
      <c r="M361" s="267"/>
      <c r="N361" s="267"/>
      <c r="O361" s="267"/>
      <c r="P361" s="267"/>
      <c r="Q361" s="267"/>
      <c r="R361" s="267"/>
      <c r="S361" s="267"/>
      <c r="T361" s="267"/>
      <c r="U361" s="267"/>
      <c r="V361" s="267"/>
      <c r="W361" s="267"/>
      <c r="X361" s="267"/>
      <c r="Y361" s="267"/>
      <c r="Z361" s="267"/>
      <c r="AA361" s="267"/>
      <c r="AB361" s="267"/>
      <c r="AC361" s="267"/>
    </row>
    <row r="362" ht="13.5" customHeight="1">
      <c r="A362" s="267"/>
      <c r="B362" s="267"/>
      <c r="C362" s="433"/>
      <c r="D362" s="433"/>
      <c r="E362" s="433"/>
      <c r="F362" s="433"/>
      <c r="G362" s="267"/>
      <c r="H362" s="267"/>
      <c r="I362" s="267"/>
      <c r="J362" s="433"/>
      <c r="K362" s="433"/>
      <c r="L362" s="434"/>
      <c r="M362" s="267"/>
      <c r="N362" s="267"/>
      <c r="O362" s="267"/>
      <c r="P362" s="267"/>
      <c r="Q362" s="267"/>
      <c r="R362" s="267"/>
      <c r="S362" s="267"/>
      <c r="T362" s="267"/>
      <c r="U362" s="267"/>
      <c r="V362" s="267"/>
      <c r="W362" s="267"/>
      <c r="X362" s="267"/>
      <c r="Y362" s="267"/>
      <c r="Z362" s="267"/>
      <c r="AA362" s="267"/>
      <c r="AB362" s="267"/>
      <c r="AC362" s="267"/>
    </row>
    <row r="363" ht="13.5" customHeight="1">
      <c r="A363" s="267"/>
      <c r="B363" s="267"/>
      <c r="C363" s="433"/>
      <c r="D363" s="433"/>
      <c r="E363" s="433"/>
      <c r="F363" s="433"/>
      <c r="G363" s="267"/>
      <c r="H363" s="267"/>
      <c r="I363" s="267"/>
      <c r="J363" s="433"/>
      <c r="K363" s="433"/>
      <c r="L363" s="434"/>
      <c r="M363" s="267"/>
      <c r="N363" s="267"/>
      <c r="O363" s="267"/>
      <c r="P363" s="267"/>
      <c r="Q363" s="267"/>
      <c r="R363" s="267"/>
      <c r="S363" s="267"/>
      <c r="T363" s="267"/>
      <c r="U363" s="267"/>
      <c r="V363" s="267"/>
      <c r="W363" s="267"/>
      <c r="X363" s="267"/>
      <c r="Y363" s="267"/>
      <c r="Z363" s="267"/>
      <c r="AA363" s="267"/>
      <c r="AB363" s="267"/>
      <c r="AC363" s="267"/>
    </row>
    <row r="364" ht="13.5" customHeight="1">
      <c r="A364" s="267"/>
      <c r="B364" s="267"/>
      <c r="C364" s="433"/>
      <c r="D364" s="433"/>
      <c r="E364" s="433"/>
      <c r="F364" s="433"/>
      <c r="G364" s="267"/>
      <c r="H364" s="267"/>
      <c r="I364" s="267"/>
      <c r="J364" s="433"/>
      <c r="K364" s="433"/>
      <c r="L364" s="434"/>
      <c r="M364" s="267"/>
      <c r="N364" s="267"/>
      <c r="O364" s="267"/>
      <c r="P364" s="267"/>
      <c r="Q364" s="267"/>
      <c r="R364" s="267"/>
      <c r="S364" s="267"/>
      <c r="T364" s="267"/>
      <c r="U364" s="267"/>
      <c r="V364" s="267"/>
      <c r="W364" s="267"/>
      <c r="X364" s="267"/>
      <c r="Y364" s="267"/>
      <c r="Z364" s="267"/>
      <c r="AA364" s="267"/>
      <c r="AB364" s="267"/>
      <c r="AC364" s="267"/>
    </row>
    <row r="365" ht="13.5" customHeight="1">
      <c r="A365" s="267"/>
      <c r="B365" s="267"/>
      <c r="C365" s="433"/>
      <c r="D365" s="433"/>
      <c r="E365" s="433"/>
      <c r="F365" s="433"/>
      <c r="G365" s="267"/>
      <c r="H365" s="267"/>
      <c r="I365" s="267"/>
      <c r="J365" s="433"/>
      <c r="K365" s="433"/>
      <c r="L365" s="434"/>
      <c r="M365" s="267"/>
      <c r="N365" s="267"/>
      <c r="O365" s="267"/>
      <c r="P365" s="267"/>
      <c r="Q365" s="267"/>
      <c r="R365" s="267"/>
      <c r="S365" s="267"/>
      <c r="T365" s="267"/>
      <c r="U365" s="267"/>
      <c r="V365" s="267"/>
      <c r="W365" s="267"/>
      <c r="X365" s="267"/>
      <c r="Y365" s="267"/>
      <c r="Z365" s="267"/>
      <c r="AA365" s="267"/>
      <c r="AB365" s="267"/>
      <c r="AC365" s="267"/>
    </row>
    <row r="366" ht="13.5" customHeight="1">
      <c r="A366" s="267"/>
      <c r="B366" s="267"/>
      <c r="C366" s="433"/>
      <c r="D366" s="433"/>
      <c r="E366" s="433"/>
      <c r="F366" s="433"/>
      <c r="G366" s="267"/>
      <c r="H366" s="267"/>
      <c r="I366" s="267"/>
      <c r="J366" s="433"/>
      <c r="K366" s="433"/>
      <c r="L366" s="434"/>
      <c r="M366" s="267"/>
      <c r="N366" s="267"/>
      <c r="O366" s="267"/>
      <c r="P366" s="267"/>
      <c r="Q366" s="267"/>
      <c r="R366" s="267"/>
      <c r="S366" s="267"/>
      <c r="T366" s="267"/>
      <c r="U366" s="267"/>
      <c r="V366" s="267"/>
      <c r="W366" s="267"/>
      <c r="X366" s="267"/>
      <c r="Y366" s="267"/>
      <c r="Z366" s="267"/>
      <c r="AA366" s="267"/>
      <c r="AB366" s="267"/>
      <c r="AC366" s="267"/>
    </row>
    <row r="367" ht="13.5" customHeight="1">
      <c r="A367" s="267"/>
      <c r="B367" s="267"/>
      <c r="C367" s="433"/>
      <c r="D367" s="433"/>
      <c r="E367" s="433"/>
      <c r="F367" s="433"/>
      <c r="G367" s="267"/>
      <c r="H367" s="267"/>
      <c r="I367" s="267"/>
      <c r="J367" s="433"/>
      <c r="K367" s="433"/>
      <c r="L367" s="434"/>
      <c r="M367" s="267"/>
      <c r="N367" s="267"/>
      <c r="O367" s="267"/>
      <c r="P367" s="267"/>
      <c r="Q367" s="267"/>
      <c r="R367" s="267"/>
      <c r="S367" s="267"/>
      <c r="T367" s="267"/>
      <c r="U367" s="267"/>
      <c r="V367" s="267"/>
      <c r="W367" s="267"/>
      <c r="X367" s="267"/>
      <c r="Y367" s="267"/>
      <c r="Z367" s="267"/>
      <c r="AA367" s="267"/>
      <c r="AB367" s="267"/>
      <c r="AC367" s="267"/>
    </row>
    <row r="368" ht="13.5" customHeight="1">
      <c r="A368" s="267"/>
      <c r="B368" s="267"/>
      <c r="C368" s="433"/>
      <c r="D368" s="433"/>
      <c r="E368" s="433"/>
      <c r="F368" s="433"/>
      <c r="G368" s="267"/>
      <c r="H368" s="267"/>
      <c r="I368" s="267"/>
      <c r="J368" s="433"/>
      <c r="K368" s="433"/>
      <c r="L368" s="434"/>
      <c r="M368" s="267"/>
      <c r="N368" s="267"/>
      <c r="O368" s="267"/>
      <c r="P368" s="267"/>
      <c r="Q368" s="267"/>
      <c r="R368" s="267"/>
      <c r="S368" s="267"/>
      <c r="T368" s="267"/>
      <c r="U368" s="267"/>
      <c r="V368" s="267"/>
      <c r="W368" s="267"/>
      <c r="X368" s="267"/>
      <c r="Y368" s="267"/>
      <c r="Z368" s="267"/>
      <c r="AA368" s="267"/>
      <c r="AB368" s="267"/>
      <c r="AC368" s="267"/>
    </row>
    <row r="369" ht="13.5" customHeight="1">
      <c r="A369" s="267"/>
      <c r="B369" s="267"/>
      <c r="C369" s="433"/>
      <c r="D369" s="433"/>
      <c r="E369" s="433"/>
      <c r="F369" s="433"/>
      <c r="G369" s="267"/>
      <c r="H369" s="267"/>
      <c r="I369" s="267"/>
      <c r="J369" s="433"/>
      <c r="K369" s="433"/>
      <c r="L369" s="434"/>
      <c r="M369" s="267"/>
      <c r="N369" s="267"/>
      <c r="O369" s="267"/>
      <c r="P369" s="267"/>
      <c r="Q369" s="267"/>
      <c r="R369" s="267"/>
      <c r="S369" s="267"/>
      <c r="T369" s="267"/>
      <c r="U369" s="267"/>
      <c r="V369" s="267"/>
      <c r="W369" s="267"/>
      <c r="X369" s="267"/>
      <c r="Y369" s="267"/>
      <c r="Z369" s="267"/>
      <c r="AA369" s="267"/>
      <c r="AB369" s="267"/>
      <c r="AC369" s="267"/>
    </row>
    <row r="370" ht="13.5" customHeight="1">
      <c r="A370" s="267"/>
      <c r="B370" s="267"/>
      <c r="C370" s="433"/>
      <c r="D370" s="433"/>
      <c r="E370" s="433"/>
      <c r="F370" s="433"/>
      <c r="G370" s="267"/>
      <c r="H370" s="267"/>
      <c r="I370" s="267"/>
      <c r="J370" s="433"/>
      <c r="K370" s="433"/>
      <c r="L370" s="434"/>
      <c r="M370" s="267"/>
      <c r="N370" s="267"/>
      <c r="O370" s="267"/>
      <c r="P370" s="267"/>
      <c r="Q370" s="267"/>
      <c r="R370" s="267"/>
      <c r="S370" s="267"/>
      <c r="T370" s="267"/>
      <c r="U370" s="267"/>
      <c r="V370" s="267"/>
      <c r="W370" s="267"/>
      <c r="X370" s="267"/>
      <c r="Y370" s="267"/>
      <c r="Z370" s="267"/>
      <c r="AA370" s="267"/>
      <c r="AB370" s="267"/>
      <c r="AC370" s="267"/>
    </row>
    <row r="371" ht="13.5" customHeight="1">
      <c r="A371" s="267"/>
      <c r="B371" s="267"/>
      <c r="C371" s="433"/>
      <c r="D371" s="433"/>
      <c r="E371" s="433"/>
      <c r="F371" s="433"/>
      <c r="G371" s="267"/>
      <c r="H371" s="267"/>
      <c r="I371" s="267"/>
      <c r="J371" s="433"/>
      <c r="K371" s="433"/>
      <c r="L371" s="434"/>
      <c r="M371" s="267"/>
      <c r="N371" s="267"/>
      <c r="O371" s="267"/>
      <c r="P371" s="267"/>
      <c r="Q371" s="267"/>
      <c r="R371" s="267"/>
      <c r="S371" s="267"/>
      <c r="T371" s="267"/>
      <c r="U371" s="267"/>
      <c r="V371" s="267"/>
      <c r="W371" s="267"/>
      <c r="X371" s="267"/>
      <c r="Y371" s="267"/>
      <c r="Z371" s="267"/>
      <c r="AA371" s="267"/>
      <c r="AB371" s="267"/>
      <c r="AC371" s="267"/>
    </row>
    <row r="372" ht="13.5" customHeight="1">
      <c r="A372" s="267"/>
      <c r="B372" s="267"/>
      <c r="C372" s="433"/>
      <c r="D372" s="433"/>
      <c r="E372" s="433"/>
      <c r="F372" s="433"/>
      <c r="G372" s="267"/>
      <c r="H372" s="267"/>
      <c r="I372" s="267"/>
      <c r="J372" s="433"/>
      <c r="K372" s="433"/>
      <c r="L372" s="434"/>
      <c r="M372" s="267"/>
      <c r="N372" s="267"/>
      <c r="O372" s="267"/>
      <c r="P372" s="267"/>
      <c r="Q372" s="267"/>
      <c r="R372" s="267"/>
      <c r="S372" s="267"/>
      <c r="T372" s="267"/>
      <c r="U372" s="267"/>
      <c r="V372" s="267"/>
      <c r="W372" s="267"/>
      <c r="X372" s="267"/>
      <c r="Y372" s="267"/>
      <c r="Z372" s="267"/>
      <c r="AA372" s="267"/>
      <c r="AB372" s="267"/>
      <c r="AC372" s="267"/>
    </row>
    <row r="373" ht="13.5" customHeight="1">
      <c r="A373" s="267"/>
      <c r="B373" s="267"/>
      <c r="C373" s="433"/>
      <c r="D373" s="433"/>
      <c r="E373" s="433"/>
      <c r="F373" s="433"/>
      <c r="G373" s="267"/>
      <c r="H373" s="267"/>
      <c r="I373" s="267"/>
      <c r="J373" s="433"/>
      <c r="K373" s="433"/>
      <c r="L373" s="434"/>
      <c r="M373" s="267"/>
      <c r="N373" s="267"/>
      <c r="O373" s="267"/>
      <c r="P373" s="267"/>
      <c r="Q373" s="267"/>
      <c r="R373" s="267"/>
      <c r="S373" s="267"/>
      <c r="T373" s="267"/>
      <c r="U373" s="267"/>
      <c r="V373" s="267"/>
      <c r="W373" s="267"/>
      <c r="X373" s="267"/>
      <c r="Y373" s="267"/>
      <c r="Z373" s="267"/>
      <c r="AA373" s="267"/>
      <c r="AB373" s="267"/>
      <c r="AC373" s="267"/>
    </row>
    <row r="374" ht="13.5" customHeight="1">
      <c r="A374" s="267"/>
      <c r="B374" s="267"/>
      <c r="C374" s="433"/>
      <c r="D374" s="433"/>
      <c r="E374" s="433"/>
      <c r="F374" s="433"/>
      <c r="G374" s="267"/>
      <c r="H374" s="267"/>
      <c r="I374" s="267"/>
      <c r="J374" s="433"/>
      <c r="K374" s="433"/>
      <c r="L374" s="434"/>
      <c r="M374" s="267"/>
      <c r="N374" s="267"/>
      <c r="O374" s="267"/>
      <c r="P374" s="267"/>
      <c r="Q374" s="267"/>
      <c r="R374" s="267"/>
      <c r="S374" s="267"/>
      <c r="T374" s="267"/>
      <c r="U374" s="267"/>
      <c r="V374" s="267"/>
      <c r="W374" s="267"/>
      <c r="X374" s="267"/>
      <c r="Y374" s="267"/>
      <c r="Z374" s="267"/>
      <c r="AA374" s="267"/>
      <c r="AB374" s="267"/>
      <c r="AC374" s="267"/>
    </row>
    <row r="375" ht="13.5" customHeight="1">
      <c r="A375" s="267"/>
      <c r="B375" s="267"/>
      <c r="C375" s="433"/>
      <c r="D375" s="433"/>
      <c r="E375" s="433"/>
      <c r="F375" s="433"/>
      <c r="G375" s="267"/>
      <c r="H375" s="267"/>
      <c r="I375" s="267"/>
      <c r="J375" s="433"/>
      <c r="K375" s="433"/>
      <c r="L375" s="434"/>
      <c r="M375" s="267"/>
      <c r="N375" s="267"/>
      <c r="O375" s="267"/>
      <c r="P375" s="267"/>
      <c r="Q375" s="267"/>
      <c r="R375" s="267"/>
      <c r="S375" s="267"/>
      <c r="T375" s="267"/>
      <c r="U375" s="267"/>
      <c r="V375" s="267"/>
      <c r="W375" s="267"/>
      <c r="X375" s="267"/>
      <c r="Y375" s="267"/>
      <c r="Z375" s="267"/>
      <c r="AA375" s="267"/>
      <c r="AB375" s="267"/>
      <c r="AC375" s="267"/>
    </row>
    <row r="376" ht="13.5" customHeight="1">
      <c r="A376" s="267"/>
      <c r="B376" s="267"/>
      <c r="C376" s="433"/>
      <c r="D376" s="433"/>
      <c r="E376" s="433"/>
      <c r="F376" s="433"/>
      <c r="G376" s="267"/>
      <c r="H376" s="267"/>
      <c r="I376" s="267"/>
      <c r="J376" s="433"/>
      <c r="K376" s="433"/>
      <c r="L376" s="434"/>
      <c r="M376" s="267"/>
      <c r="N376" s="267"/>
      <c r="O376" s="267"/>
      <c r="P376" s="267"/>
      <c r="Q376" s="267"/>
      <c r="R376" s="267"/>
      <c r="S376" s="267"/>
      <c r="T376" s="267"/>
      <c r="U376" s="267"/>
      <c r="V376" s="267"/>
      <c r="W376" s="267"/>
      <c r="X376" s="267"/>
      <c r="Y376" s="267"/>
      <c r="Z376" s="267"/>
      <c r="AA376" s="267"/>
      <c r="AB376" s="267"/>
      <c r="AC376" s="267"/>
    </row>
    <row r="377" ht="13.5" customHeight="1">
      <c r="A377" s="267"/>
      <c r="B377" s="267"/>
      <c r="C377" s="433"/>
      <c r="D377" s="433"/>
      <c r="E377" s="433"/>
      <c r="F377" s="433"/>
      <c r="G377" s="267"/>
      <c r="H377" s="267"/>
      <c r="I377" s="267"/>
      <c r="J377" s="433"/>
      <c r="K377" s="433"/>
      <c r="L377" s="434"/>
      <c r="M377" s="267"/>
      <c r="N377" s="267"/>
      <c r="O377" s="267"/>
      <c r="P377" s="267"/>
      <c r="Q377" s="267"/>
      <c r="R377" s="267"/>
      <c r="S377" s="267"/>
      <c r="T377" s="267"/>
      <c r="U377" s="267"/>
      <c r="V377" s="267"/>
      <c r="W377" s="267"/>
      <c r="X377" s="267"/>
      <c r="Y377" s="267"/>
      <c r="Z377" s="267"/>
      <c r="AA377" s="267"/>
      <c r="AB377" s="267"/>
      <c r="AC377" s="267"/>
    </row>
    <row r="378" ht="13.5" customHeight="1">
      <c r="A378" s="267"/>
      <c r="B378" s="267"/>
      <c r="C378" s="433"/>
      <c r="D378" s="433"/>
      <c r="E378" s="433"/>
      <c r="F378" s="433"/>
      <c r="G378" s="267"/>
      <c r="H378" s="267"/>
      <c r="I378" s="267"/>
      <c r="J378" s="433"/>
      <c r="K378" s="433"/>
      <c r="L378" s="434"/>
      <c r="M378" s="267"/>
      <c r="N378" s="267"/>
      <c r="O378" s="267"/>
      <c r="P378" s="267"/>
      <c r="Q378" s="267"/>
      <c r="R378" s="267"/>
      <c r="S378" s="267"/>
      <c r="T378" s="267"/>
      <c r="U378" s="267"/>
      <c r="V378" s="267"/>
      <c r="W378" s="267"/>
      <c r="X378" s="267"/>
      <c r="Y378" s="267"/>
      <c r="Z378" s="267"/>
      <c r="AA378" s="267"/>
      <c r="AB378" s="267"/>
      <c r="AC378" s="267"/>
    </row>
    <row r="379" ht="13.5" customHeight="1">
      <c r="A379" s="267"/>
      <c r="B379" s="267"/>
      <c r="C379" s="433"/>
      <c r="D379" s="433"/>
      <c r="E379" s="433"/>
      <c r="F379" s="433"/>
      <c r="G379" s="267"/>
      <c r="H379" s="267"/>
      <c r="I379" s="267"/>
      <c r="J379" s="433"/>
      <c r="K379" s="433"/>
      <c r="L379" s="434"/>
      <c r="M379" s="267"/>
      <c r="N379" s="267"/>
      <c r="O379" s="267"/>
      <c r="P379" s="267"/>
      <c r="Q379" s="267"/>
      <c r="R379" s="267"/>
      <c r="S379" s="267"/>
      <c r="T379" s="267"/>
      <c r="U379" s="267"/>
      <c r="V379" s="267"/>
      <c r="W379" s="267"/>
      <c r="X379" s="267"/>
      <c r="Y379" s="267"/>
      <c r="Z379" s="267"/>
      <c r="AA379" s="267"/>
      <c r="AB379" s="267"/>
      <c r="AC379" s="267"/>
    </row>
    <row r="380" ht="13.5" customHeight="1">
      <c r="A380" s="267"/>
      <c r="B380" s="267"/>
      <c r="C380" s="433"/>
      <c r="D380" s="433"/>
      <c r="E380" s="433"/>
      <c r="F380" s="433"/>
      <c r="G380" s="267"/>
      <c r="H380" s="267"/>
      <c r="I380" s="267"/>
      <c r="J380" s="433"/>
      <c r="K380" s="433"/>
      <c r="L380" s="434"/>
      <c r="M380" s="267"/>
      <c r="N380" s="267"/>
      <c r="O380" s="267"/>
      <c r="P380" s="267"/>
      <c r="Q380" s="267"/>
      <c r="R380" s="267"/>
      <c r="S380" s="267"/>
      <c r="T380" s="267"/>
      <c r="U380" s="267"/>
      <c r="V380" s="267"/>
      <c r="W380" s="267"/>
      <c r="X380" s="267"/>
      <c r="Y380" s="267"/>
      <c r="Z380" s="267"/>
      <c r="AA380" s="267"/>
      <c r="AB380" s="267"/>
      <c r="AC380" s="267"/>
    </row>
    <row r="381" ht="13.5" customHeight="1">
      <c r="A381" s="267"/>
      <c r="B381" s="267"/>
      <c r="C381" s="433"/>
      <c r="D381" s="433"/>
      <c r="E381" s="433"/>
      <c r="F381" s="433"/>
      <c r="G381" s="267"/>
      <c r="H381" s="267"/>
      <c r="I381" s="267"/>
      <c r="J381" s="433"/>
      <c r="K381" s="433"/>
      <c r="L381" s="434"/>
      <c r="M381" s="267"/>
      <c r="N381" s="267"/>
      <c r="O381" s="267"/>
      <c r="P381" s="267"/>
      <c r="Q381" s="267"/>
      <c r="R381" s="267"/>
      <c r="S381" s="267"/>
      <c r="T381" s="267"/>
      <c r="U381" s="267"/>
      <c r="V381" s="267"/>
      <c r="W381" s="267"/>
      <c r="X381" s="267"/>
      <c r="Y381" s="267"/>
      <c r="Z381" s="267"/>
      <c r="AA381" s="267"/>
      <c r="AB381" s="267"/>
      <c r="AC381" s="267"/>
    </row>
    <row r="382" ht="13.5" customHeight="1">
      <c r="A382" s="267"/>
      <c r="B382" s="267"/>
      <c r="C382" s="433"/>
      <c r="D382" s="433"/>
      <c r="E382" s="433"/>
      <c r="F382" s="433"/>
      <c r="G382" s="267"/>
      <c r="H382" s="267"/>
      <c r="I382" s="267"/>
      <c r="J382" s="433"/>
      <c r="K382" s="433"/>
      <c r="L382" s="434"/>
      <c r="M382" s="267"/>
      <c r="N382" s="267"/>
      <c r="O382" s="267"/>
      <c r="P382" s="267"/>
      <c r="Q382" s="267"/>
      <c r="R382" s="267"/>
      <c r="S382" s="267"/>
      <c r="T382" s="267"/>
      <c r="U382" s="267"/>
      <c r="V382" s="267"/>
      <c r="W382" s="267"/>
      <c r="X382" s="267"/>
      <c r="Y382" s="267"/>
      <c r="Z382" s="267"/>
      <c r="AA382" s="267"/>
      <c r="AB382" s="267"/>
      <c r="AC382" s="267"/>
    </row>
    <row r="383" ht="13.5" customHeight="1">
      <c r="A383" s="267"/>
      <c r="B383" s="267"/>
      <c r="C383" s="433"/>
      <c r="D383" s="433"/>
      <c r="E383" s="433"/>
      <c r="F383" s="433"/>
      <c r="G383" s="267"/>
      <c r="H383" s="267"/>
      <c r="I383" s="267"/>
      <c r="J383" s="433"/>
      <c r="K383" s="433"/>
      <c r="L383" s="434"/>
      <c r="M383" s="267"/>
      <c r="N383" s="267"/>
      <c r="O383" s="267"/>
      <c r="P383" s="267"/>
      <c r="Q383" s="267"/>
      <c r="R383" s="267"/>
      <c r="S383" s="267"/>
      <c r="T383" s="267"/>
      <c r="U383" s="267"/>
      <c r="V383" s="267"/>
      <c r="W383" s="267"/>
      <c r="X383" s="267"/>
      <c r="Y383" s="267"/>
      <c r="Z383" s="267"/>
      <c r="AA383" s="267"/>
      <c r="AB383" s="267"/>
      <c r="AC383" s="267"/>
    </row>
    <row r="384" ht="13.5" customHeight="1">
      <c r="A384" s="267"/>
      <c r="B384" s="267"/>
      <c r="C384" s="433"/>
      <c r="D384" s="433"/>
      <c r="E384" s="433"/>
      <c r="F384" s="433"/>
      <c r="G384" s="267"/>
      <c r="H384" s="267"/>
      <c r="I384" s="267"/>
      <c r="J384" s="433"/>
      <c r="K384" s="433"/>
      <c r="L384" s="434"/>
      <c r="M384" s="267"/>
      <c r="N384" s="267"/>
      <c r="O384" s="267"/>
      <c r="P384" s="267"/>
      <c r="Q384" s="267"/>
      <c r="R384" s="267"/>
      <c r="S384" s="267"/>
      <c r="T384" s="267"/>
      <c r="U384" s="267"/>
      <c r="V384" s="267"/>
      <c r="W384" s="267"/>
      <c r="X384" s="267"/>
      <c r="Y384" s="267"/>
      <c r="Z384" s="267"/>
      <c r="AA384" s="267"/>
      <c r="AB384" s="267"/>
      <c r="AC384" s="267"/>
    </row>
    <row r="385" ht="13.5" customHeight="1">
      <c r="A385" s="267"/>
      <c r="B385" s="267"/>
      <c r="C385" s="433"/>
      <c r="D385" s="433"/>
      <c r="E385" s="433"/>
      <c r="F385" s="433"/>
      <c r="G385" s="267"/>
      <c r="H385" s="267"/>
      <c r="I385" s="267"/>
      <c r="J385" s="433"/>
      <c r="K385" s="433"/>
      <c r="L385" s="434"/>
      <c r="M385" s="267"/>
      <c r="N385" s="267"/>
      <c r="O385" s="267"/>
      <c r="P385" s="267"/>
      <c r="Q385" s="267"/>
      <c r="R385" s="267"/>
      <c r="S385" s="267"/>
      <c r="T385" s="267"/>
      <c r="U385" s="267"/>
      <c r="V385" s="267"/>
      <c r="W385" s="267"/>
      <c r="X385" s="267"/>
      <c r="Y385" s="267"/>
      <c r="Z385" s="267"/>
      <c r="AA385" s="267"/>
      <c r="AB385" s="267"/>
      <c r="AC385" s="267"/>
    </row>
    <row r="386" ht="13.5" customHeight="1">
      <c r="A386" s="267"/>
      <c r="B386" s="267"/>
      <c r="C386" s="433"/>
      <c r="D386" s="433"/>
      <c r="E386" s="433"/>
      <c r="F386" s="433"/>
      <c r="G386" s="267"/>
      <c r="H386" s="267"/>
      <c r="I386" s="267"/>
      <c r="J386" s="433"/>
      <c r="K386" s="433"/>
      <c r="L386" s="434"/>
      <c r="M386" s="267"/>
      <c r="N386" s="267"/>
      <c r="O386" s="267"/>
      <c r="P386" s="267"/>
      <c r="Q386" s="267"/>
      <c r="R386" s="267"/>
      <c r="S386" s="267"/>
      <c r="T386" s="267"/>
      <c r="U386" s="267"/>
      <c r="V386" s="267"/>
      <c r="W386" s="267"/>
      <c r="X386" s="267"/>
      <c r="Y386" s="267"/>
      <c r="Z386" s="267"/>
      <c r="AA386" s="267"/>
      <c r="AB386" s="267"/>
      <c r="AC386" s="267"/>
    </row>
    <row r="387" ht="13.5" customHeight="1">
      <c r="A387" s="267"/>
      <c r="B387" s="267"/>
      <c r="C387" s="433"/>
      <c r="D387" s="433"/>
      <c r="E387" s="433"/>
      <c r="F387" s="433"/>
      <c r="G387" s="267"/>
      <c r="H387" s="267"/>
      <c r="I387" s="267"/>
      <c r="J387" s="433"/>
      <c r="K387" s="433"/>
      <c r="L387" s="434"/>
      <c r="M387" s="267"/>
      <c r="N387" s="267"/>
      <c r="O387" s="267"/>
      <c r="P387" s="267"/>
      <c r="Q387" s="267"/>
      <c r="R387" s="267"/>
      <c r="S387" s="267"/>
      <c r="T387" s="267"/>
      <c r="U387" s="267"/>
      <c r="V387" s="267"/>
      <c r="W387" s="267"/>
      <c r="X387" s="267"/>
      <c r="Y387" s="267"/>
      <c r="Z387" s="267"/>
      <c r="AA387" s="267"/>
      <c r="AB387" s="267"/>
      <c r="AC387" s="267"/>
    </row>
    <row r="388" ht="13.5" customHeight="1">
      <c r="A388" s="267"/>
      <c r="B388" s="267"/>
      <c r="C388" s="433"/>
      <c r="D388" s="433"/>
      <c r="E388" s="433"/>
      <c r="F388" s="433"/>
      <c r="G388" s="267"/>
      <c r="H388" s="267"/>
      <c r="I388" s="267"/>
      <c r="J388" s="433"/>
      <c r="K388" s="433"/>
      <c r="L388" s="434"/>
      <c r="M388" s="267"/>
      <c r="N388" s="267"/>
      <c r="O388" s="267"/>
      <c r="P388" s="267"/>
      <c r="Q388" s="267"/>
      <c r="R388" s="267"/>
      <c r="S388" s="267"/>
      <c r="T388" s="267"/>
      <c r="U388" s="267"/>
      <c r="V388" s="267"/>
      <c r="W388" s="267"/>
      <c r="X388" s="267"/>
      <c r="Y388" s="267"/>
      <c r="Z388" s="267"/>
      <c r="AA388" s="267"/>
      <c r="AB388" s="267"/>
      <c r="AC388" s="267"/>
    </row>
    <row r="389" ht="13.5" customHeight="1">
      <c r="A389" s="267"/>
      <c r="B389" s="267"/>
      <c r="C389" s="433"/>
      <c r="D389" s="433"/>
      <c r="E389" s="433"/>
      <c r="F389" s="433"/>
      <c r="G389" s="267"/>
      <c r="H389" s="267"/>
      <c r="I389" s="267"/>
      <c r="J389" s="433"/>
      <c r="K389" s="433"/>
      <c r="L389" s="434"/>
      <c r="M389" s="267"/>
      <c r="N389" s="267"/>
      <c r="O389" s="267"/>
      <c r="P389" s="267"/>
      <c r="Q389" s="267"/>
      <c r="R389" s="267"/>
      <c r="S389" s="267"/>
      <c r="T389" s="267"/>
      <c r="U389" s="267"/>
      <c r="V389" s="267"/>
      <c r="W389" s="267"/>
      <c r="X389" s="267"/>
      <c r="Y389" s="267"/>
      <c r="Z389" s="267"/>
      <c r="AA389" s="267"/>
      <c r="AB389" s="267"/>
      <c r="AC389" s="267"/>
    </row>
    <row r="390" ht="13.5" customHeight="1">
      <c r="A390" s="267"/>
      <c r="B390" s="267"/>
      <c r="C390" s="433"/>
      <c r="D390" s="433"/>
      <c r="E390" s="433"/>
      <c r="F390" s="433"/>
      <c r="G390" s="267"/>
      <c r="H390" s="267"/>
      <c r="I390" s="267"/>
      <c r="J390" s="433"/>
      <c r="K390" s="433"/>
      <c r="L390" s="434"/>
      <c r="M390" s="267"/>
      <c r="N390" s="267"/>
      <c r="O390" s="267"/>
      <c r="P390" s="267"/>
      <c r="Q390" s="267"/>
      <c r="R390" s="267"/>
      <c r="S390" s="267"/>
      <c r="T390" s="267"/>
      <c r="U390" s="267"/>
      <c r="V390" s="267"/>
      <c r="W390" s="267"/>
      <c r="X390" s="267"/>
      <c r="Y390" s="267"/>
      <c r="Z390" s="267"/>
      <c r="AA390" s="267"/>
      <c r="AB390" s="267"/>
      <c r="AC390" s="267"/>
    </row>
    <row r="391" ht="13.5" customHeight="1">
      <c r="A391" s="267"/>
      <c r="B391" s="267"/>
      <c r="C391" s="433"/>
      <c r="D391" s="433"/>
      <c r="E391" s="433"/>
      <c r="F391" s="433"/>
      <c r="G391" s="267"/>
      <c r="H391" s="267"/>
      <c r="I391" s="267"/>
      <c r="J391" s="433"/>
      <c r="K391" s="433"/>
      <c r="L391" s="434"/>
      <c r="M391" s="267"/>
      <c r="N391" s="267"/>
      <c r="O391" s="267"/>
      <c r="P391" s="267"/>
      <c r="Q391" s="267"/>
      <c r="R391" s="267"/>
      <c r="S391" s="267"/>
      <c r="T391" s="267"/>
      <c r="U391" s="267"/>
      <c r="V391" s="267"/>
      <c r="W391" s="267"/>
      <c r="X391" s="267"/>
      <c r="Y391" s="267"/>
      <c r="Z391" s="267"/>
      <c r="AA391" s="267"/>
      <c r="AB391" s="267"/>
      <c r="AC391" s="267"/>
    </row>
    <row r="392" ht="13.5" customHeight="1">
      <c r="A392" s="267"/>
      <c r="B392" s="267"/>
      <c r="C392" s="433"/>
      <c r="D392" s="433"/>
      <c r="E392" s="433"/>
      <c r="F392" s="433"/>
      <c r="G392" s="267"/>
      <c r="H392" s="267"/>
      <c r="I392" s="267"/>
      <c r="J392" s="433"/>
      <c r="K392" s="433"/>
      <c r="L392" s="434"/>
      <c r="M392" s="267"/>
      <c r="N392" s="267"/>
      <c r="O392" s="267"/>
      <c r="P392" s="267"/>
      <c r="Q392" s="267"/>
      <c r="R392" s="267"/>
      <c r="S392" s="267"/>
      <c r="T392" s="267"/>
      <c r="U392" s="267"/>
      <c r="V392" s="267"/>
      <c r="W392" s="267"/>
      <c r="X392" s="267"/>
      <c r="Y392" s="267"/>
      <c r="Z392" s="267"/>
      <c r="AA392" s="267"/>
      <c r="AB392" s="267"/>
      <c r="AC392" s="267"/>
    </row>
    <row r="393" ht="13.5" customHeight="1">
      <c r="A393" s="267"/>
      <c r="B393" s="267"/>
      <c r="C393" s="433"/>
      <c r="D393" s="433"/>
      <c r="E393" s="433"/>
      <c r="F393" s="433"/>
      <c r="G393" s="267"/>
      <c r="H393" s="267"/>
      <c r="I393" s="267"/>
      <c r="J393" s="433"/>
      <c r="K393" s="433"/>
      <c r="L393" s="434"/>
      <c r="M393" s="267"/>
      <c r="N393" s="267"/>
      <c r="O393" s="267"/>
      <c r="P393" s="267"/>
      <c r="Q393" s="267"/>
      <c r="R393" s="267"/>
      <c r="S393" s="267"/>
      <c r="T393" s="267"/>
      <c r="U393" s="267"/>
      <c r="V393" s="267"/>
      <c r="W393" s="267"/>
      <c r="X393" s="267"/>
      <c r="Y393" s="267"/>
      <c r="Z393" s="267"/>
      <c r="AA393" s="267"/>
      <c r="AB393" s="267"/>
      <c r="AC393" s="267"/>
    </row>
    <row r="394" ht="13.5" customHeight="1">
      <c r="A394" s="267"/>
      <c r="B394" s="267"/>
      <c r="C394" s="433"/>
      <c r="D394" s="433"/>
      <c r="E394" s="433"/>
      <c r="F394" s="433"/>
      <c r="G394" s="267"/>
      <c r="H394" s="267"/>
      <c r="I394" s="267"/>
      <c r="J394" s="433"/>
      <c r="K394" s="433"/>
      <c r="L394" s="434"/>
      <c r="M394" s="267"/>
      <c r="N394" s="267"/>
      <c r="O394" s="267"/>
      <c r="P394" s="267"/>
      <c r="Q394" s="267"/>
      <c r="R394" s="267"/>
      <c r="S394" s="267"/>
      <c r="T394" s="267"/>
      <c r="U394" s="267"/>
      <c r="V394" s="267"/>
      <c r="W394" s="267"/>
      <c r="X394" s="267"/>
      <c r="Y394" s="267"/>
      <c r="Z394" s="267"/>
      <c r="AA394" s="267"/>
      <c r="AB394" s="267"/>
      <c r="AC394" s="267"/>
    </row>
    <row r="395" ht="13.5" customHeight="1">
      <c r="A395" s="267"/>
      <c r="B395" s="267"/>
      <c r="C395" s="433"/>
      <c r="D395" s="433"/>
      <c r="E395" s="433"/>
      <c r="F395" s="433"/>
      <c r="G395" s="267"/>
      <c r="H395" s="267"/>
      <c r="I395" s="267"/>
      <c r="J395" s="433"/>
      <c r="K395" s="433"/>
      <c r="L395" s="434"/>
      <c r="M395" s="267"/>
      <c r="N395" s="267"/>
      <c r="O395" s="267"/>
      <c r="P395" s="267"/>
      <c r="Q395" s="267"/>
      <c r="R395" s="267"/>
      <c r="S395" s="267"/>
      <c r="T395" s="267"/>
      <c r="U395" s="267"/>
      <c r="V395" s="267"/>
      <c r="W395" s="267"/>
      <c r="X395" s="267"/>
      <c r="Y395" s="267"/>
      <c r="Z395" s="267"/>
      <c r="AA395" s="267"/>
      <c r="AB395" s="267"/>
      <c r="AC395" s="267"/>
    </row>
    <row r="396" ht="13.5" customHeight="1">
      <c r="A396" s="267"/>
      <c r="B396" s="267"/>
      <c r="C396" s="433"/>
      <c r="D396" s="433"/>
      <c r="E396" s="433"/>
      <c r="F396" s="433"/>
      <c r="G396" s="267"/>
      <c r="H396" s="267"/>
      <c r="I396" s="267"/>
      <c r="J396" s="433"/>
      <c r="K396" s="433"/>
      <c r="L396" s="434"/>
      <c r="M396" s="267"/>
      <c r="N396" s="267"/>
      <c r="O396" s="267"/>
      <c r="P396" s="267"/>
      <c r="Q396" s="267"/>
      <c r="R396" s="267"/>
      <c r="S396" s="267"/>
      <c r="T396" s="267"/>
      <c r="U396" s="267"/>
      <c r="V396" s="267"/>
      <c r="W396" s="267"/>
      <c r="X396" s="267"/>
      <c r="Y396" s="267"/>
      <c r="Z396" s="267"/>
      <c r="AA396" s="267"/>
      <c r="AB396" s="267"/>
      <c r="AC396" s="267"/>
    </row>
    <row r="397" ht="13.5" customHeight="1">
      <c r="A397" s="267"/>
      <c r="B397" s="267"/>
      <c r="C397" s="433"/>
      <c r="D397" s="433"/>
      <c r="E397" s="433"/>
      <c r="F397" s="433"/>
      <c r="G397" s="267"/>
      <c r="H397" s="267"/>
      <c r="I397" s="267"/>
      <c r="J397" s="433"/>
      <c r="K397" s="433"/>
      <c r="L397" s="434"/>
      <c r="M397" s="267"/>
      <c r="N397" s="267"/>
      <c r="O397" s="267"/>
      <c r="P397" s="267"/>
      <c r="Q397" s="267"/>
      <c r="R397" s="267"/>
      <c r="S397" s="267"/>
      <c r="T397" s="267"/>
      <c r="U397" s="267"/>
      <c r="V397" s="267"/>
      <c r="W397" s="267"/>
      <c r="X397" s="267"/>
      <c r="Y397" s="267"/>
      <c r="Z397" s="267"/>
      <c r="AA397" s="267"/>
      <c r="AB397" s="267"/>
      <c r="AC397" s="267"/>
    </row>
    <row r="398" ht="13.5" customHeight="1">
      <c r="A398" s="267"/>
      <c r="B398" s="267"/>
      <c r="C398" s="433"/>
      <c r="D398" s="433"/>
      <c r="E398" s="433"/>
      <c r="F398" s="433"/>
      <c r="G398" s="267"/>
      <c r="H398" s="267"/>
      <c r="I398" s="267"/>
      <c r="J398" s="433"/>
      <c r="K398" s="433"/>
      <c r="L398" s="434"/>
      <c r="M398" s="267"/>
      <c r="N398" s="267"/>
      <c r="O398" s="267"/>
      <c r="P398" s="267"/>
      <c r="Q398" s="267"/>
      <c r="R398" s="267"/>
      <c r="S398" s="267"/>
      <c r="T398" s="267"/>
      <c r="U398" s="267"/>
      <c r="V398" s="267"/>
      <c r="W398" s="267"/>
      <c r="X398" s="267"/>
      <c r="Y398" s="267"/>
      <c r="Z398" s="267"/>
      <c r="AA398" s="267"/>
      <c r="AB398" s="267"/>
      <c r="AC398" s="267"/>
    </row>
    <row r="399" ht="13.5" customHeight="1">
      <c r="A399" s="267"/>
      <c r="B399" s="267"/>
      <c r="C399" s="433"/>
      <c r="D399" s="433"/>
      <c r="E399" s="433"/>
      <c r="F399" s="433"/>
      <c r="G399" s="267"/>
      <c r="H399" s="267"/>
      <c r="I399" s="267"/>
      <c r="J399" s="433"/>
      <c r="K399" s="433"/>
      <c r="L399" s="434"/>
      <c r="M399" s="267"/>
      <c r="N399" s="267"/>
      <c r="O399" s="267"/>
      <c r="P399" s="267"/>
      <c r="Q399" s="267"/>
      <c r="R399" s="267"/>
      <c r="S399" s="267"/>
      <c r="T399" s="267"/>
      <c r="U399" s="267"/>
      <c r="V399" s="267"/>
      <c r="W399" s="267"/>
      <c r="X399" s="267"/>
      <c r="Y399" s="267"/>
      <c r="Z399" s="267"/>
      <c r="AA399" s="267"/>
      <c r="AB399" s="267"/>
      <c r="AC399" s="267"/>
    </row>
    <row r="400" ht="13.5" customHeight="1">
      <c r="A400" s="267"/>
      <c r="B400" s="267"/>
      <c r="C400" s="433"/>
      <c r="D400" s="433"/>
      <c r="E400" s="433"/>
      <c r="F400" s="433"/>
      <c r="G400" s="267"/>
      <c r="H400" s="267"/>
      <c r="I400" s="267"/>
      <c r="J400" s="433"/>
      <c r="K400" s="433"/>
      <c r="L400" s="434"/>
      <c r="M400" s="267"/>
      <c r="N400" s="267"/>
      <c r="O400" s="267"/>
      <c r="P400" s="267"/>
      <c r="Q400" s="267"/>
      <c r="R400" s="267"/>
      <c r="S400" s="267"/>
      <c r="T400" s="267"/>
      <c r="U400" s="267"/>
      <c r="V400" s="267"/>
      <c r="W400" s="267"/>
      <c r="X400" s="267"/>
      <c r="Y400" s="267"/>
      <c r="Z400" s="267"/>
      <c r="AA400" s="267"/>
      <c r="AB400" s="267"/>
      <c r="AC400" s="267"/>
    </row>
    <row r="401" ht="13.5" customHeight="1">
      <c r="A401" s="267"/>
      <c r="B401" s="267"/>
      <c r="C401" s="433"/>
      <c r="D401" s="433"/>
      <c r="E401" s="433"/>
      <c r="F401" s="433"/>
      <c r="G401" s="267"/>
      <c r="H401" s="267"/>
      <c r="I401" s="267"/>
      <c r="J401" s="433"/>
      <c r="K401" s="433"/>
      <c r="L401" s="434"/>
      <c r="M401" s="267"/>
      <c r="N401" s="267"/>
      <c r="O401" s="267"/>
      <c r="P401" s="267"/>
      <c r="Q401" s="267"/>
      <c r="R401" s="267"/>
      <c r="S401" s="267"/>
      <c r="T401" s="267"/>
      <c r="U401" s="267"/>
      <c r="V401" s="267"/>
      <c r="W401" s="267"/>
      <c r="X401" s="267"/>
      <c r="Y401" s="267"/>
      <c r="Z401" s="267"/>
      <c r="AA401" s="267"/>
      <c r="AB401" s="267"/>
      <c r="AC401" s="267"/>
    </row>
    <row r="402" ht="13.5" customHeight="1">
      <c r="A402" s="267"/>
      <c r="B402" s="267"/>
      <c r="C402" s="433"/>
      <c r="D402" s="433"/>
      <c r="E402" s="433"/>
      <c r="F402" s="433"/>
      <c r="G402" s="267"/>
      <c r="H402" s="267"/>
      <c r="I402" s="267"/>
      <c r="J402" s="433"/>
      <c r="K402" s="433"/>
      <c r="L402" s="434"/>
      <c r="M402" s="267"/>
      <c r="N402" s="267"/>
      <c r="O402" s="267"/>
      <c r="P402" s="267"/>
      <c r="Q402" s="267"/>
      <c r="R402" s="267"/>
      <c r="S402" s="267"/>
      <c r="T402" s="267"/>
      <c r="U402" s="267"/>
      <c r="V402" s="267"/>
      <c r="W402" s="267"/>
      <c r="X402" s="267"/>
      <c r="Y402" s="267"/>
      <c r="Z402" s="267"/>
      <c r="AA402" s="267"/>
      <c r="AB402" s="267"/>
      <c r="AC402" s="267"/>
    </row>
    <row r="403" ht="13.5" customHeight="1">
      <c r="A403" s="267"/>
      <c r="B403" s="267"/>
      <c r="C403" s="433"/>
      <c r="D403" s="433"/>
      <c r="E403" s="433"/>
      <c r="F403" s="433"/>
      <c r="G403" s="267"/>
      <c r="H403" s="267"/>
      <c r="I403" s="267"/>
      <c r="J403" s="433"/>
      <c r="K403" s="433"/>
      <c r="L403" s="434"/>
      <c r="M403" s="267"/>
      <c r="N403" s="267"/>
      <c r="O403" s="267"/>
      <c r="P403" s="267"/>
      <c r="Q403" s="267"/>
      <c r="R403" s="267"/>
      <c r="S403" s="267"/>
      <c r="T403" s="267"/>
      <c r="U403" s="267"/>
      <c r="V403" s="267"/>
      <c r="W403" s="267"/>
      <c r="X403" s="267"/>
      <c r="Y403" s="267"/>
      <c r="Z403" s="267"/>
      <c r="AA403" s="267"/>
      <c r="AB403" s="267"/>
      <c r="AC403" s="267"/>
    </row>
    <row r="404" ht="13.5" customHeight="1">
      <c r="A404" s="267"/>
      <c r="B404" s="267"/>
      <c r="C404" s="433"/>
      <c r="D404" s="433"/>
      <c r="E404" s="433"/>
      <c r="F404" s="433"/>
      <c r="G404" s="267"/>
      <c r="H404" s="267"/>
      <c r="I404" s="267"/>
      <c r="J404" s="433"/>
      <c r="K404" s="433"/>
      <c r="L404" s="434"/>
      <c r="M404" s="267"/>
      <c r="N404" s="267"/>
      <c r="O404" s="267"/>
      <c r="P404" s="267"/>
      <c r="Q404" s="267"/>
      <c r="R404" s="267"/>
      <c r="S404" s="267"/>
      <c r="T404" s="267"/>
      <c r="U404" s="267"/>
      <c r="V404" s="267"/>
      <c r="W404" s="267"/>
      <c r="X404" s="267"/>
      <c r="Y404" s="267"/>
      <c r="Z404" s="267"/>
      <c r="AA404" s="267"/>
      <c r="AB404" s="267"/>
      <c r="AC404" s="267"/>
    </row>
    <row r="405" ht="13.5" customHeight="1">
      <c r="A405" s="267"/>
      <c r="B405" s="267"/>
      <c r="C405" s="433"/>
      <c r="D405" s="433"/>
      <c r="E405" s="433"/>
      <c r="F405" s="433"/>
      <c r="G405" s="267"/>
      <c r="H405" s="267"/>
      <c r="I405" s="267"/>
      <c r="J405" s="433"/>
      <c r="K405" s="433"/>
      <c r="L405" s="434"/>
      <c r="M405" s="267"/>
      <c r="N405" s="267"/>
      <c r="O405" s="267"/>
      <c r="P405" s="267"/>
      <c r="Q405" s="267"/>
      <c r="R405" s="267"/>
      <c r="S405" s="267"/>
      <c r="T405" s="267"/>
      <c r="U405" s="267"/>
      <c r="V405" s="267"/>
      <c r="W405" s="267"/>
      <c r="X405" s="267"/>
      <c r="Y405" s="267"/>
      <c r="Z405" s="267"/>
      <c r="AA405" s="267"/>
      <c r="AB405" s="267"/>
      <c r="AC405" s="267"/>
    </row>
    <row r="406" ht="13.5" customHeight="1">
      <c r="A406" s="267"/>
      <c r="B406" s="267"/>
      <c r="C406" s="433"/>
      <c r="D406" s="433"/>
      <c r="E406" s="433"/>
      <c r="F406" s="433"/>
      <c r="G406" s="267"/>
      <c r="H406" s="267"/>
      <c r="I406" s="267"/>
      <c r="J406" s="433"/>
      <c r="K406" s="433"/>
      <c r="L406" s="434"/>
      <c r="M406" s="267"/>
      <c r="N406" s="267"/>
      <c r="O406" s="267"/>
      <c r="P406" s="267"/>
      <c r="Q406" s="267"/>
      <c r="R406" s="267"/>
      <c r="S406" s="267"/>
      <c r="T406" s="267"/>
      <c r="U406" s="267"/>
      <c r="V406" s="267"/>
      <c r="W406" s="267"/>
      <c r="X406" s="267"/>
      <c r="Y406" s="267"/>
      <c r="Z406" s="267"/>
      <c r="AA406" s="267"/>
      <c r="AB406" s="267"/>
      <c r="AC406" s="267"/>
    </row>
    <row r="407" ht="13.5" customHeight="1">
      <c r="A407" s="267"/>
      <c r="B407" s="267"/>
      <c r="C407" s="433"/>
      <c r="D407" s="433"/>
      <c r="E407" s="433"/>
      <c r="F407" s="433"/>
      <c r="G407" s="267"/>
      <c r="H407" s="267"/>
      <c r="I407" s="267"/>
      <c r="J407" s="433"/>
      <c r="K407" s="433"/>
      <c r="L407" s="434"/>
      <c r="M407" s="267"/>
      <c r="N407" s="267"/>
      <c r="O407" s="267"/>
      <c r="P407" s="267"/>
      <c r="Q407" s="267"/>
      <c r="R407" s="267"/>
      <c r="S407" s="267"/>
      <c r="T407" s="267"/>
      <c r="U407" s="267"/>
      <c r="V407" s="267"/>
      <c r="W407" s="267"/>
      <c r="X407" s="267"/>
      <c r="Y407" s="267"/>
      <c r="Z407" s="267"/>
      <c r="AA407" s="267"/>
      <c r="AB407" s="267"/>
      <c r="AC407" s="267"/>
    </row>
    <row r="408" ht="13.5" customHeight="1">
      <c r="A408" s="267"/>
      <c r="B408" s="267"/>
      <c r="C408" s="433"/>
      <c r="D408" s="433"/>
      <c r="E408" s="433"/>
      <c r="F408" s="433"/>
      <c r="G408" s="267"/>
      <c r="H408" s="267"/>
      <c r="I408" s="267"/>
      <c r="J408" s="433"/>
      <c r="K408" s="433"/>
      <c r="L408" s="434"/>
      <c r="M408" s="267"/>
      <c r="N408" s="267"/>
      <c r="O408" s="267"/>
      <c r="P408" s="267"/>
      <c r="Q408" s="267"/>
      <c r="R408" s="267"/>
      <c r="S408" s="267"/>
      <c r="T408" s="267"/>
      <c r="U408" s="267"/>
      <c r="V408" s="267"/>
      <c r="W408" s="267"/>
      <c r="X408" s="267"/>
      <c r="Y408" s="267"/>
      <c r="Z408" s="267"/>
      <c r="AA408" s="267"/>
      <c r="AB408" s="267"/>
      <c r="AC408" s="267"/>
    </row>
    <row r="409" ht="13.5" customHeight="1">
      <c r="A409" s="267"/>
      <c r="B409" s="267"/>
      <c r="C409" s="433"/>
      <c r="D409" s="433"/>
      <c r="E409" s="433"/>
      <c r="F409" s="433"/>
      <c r="G409" s="267"/>
      <c r="H409" s="267"/>
      <c r="I409" s="267"/>
      <c r="J409" s="433"/>
      <c r="K409" s="433"/>
      <c r="L409" s="434"/>
      <c r="M409" s="267"/>
      <c r="N409" s="267"/>
      <c r="O409" s="267"/>
      <c r="P409" s="267"/>
      <c r="Q409" s="267"/>
      <c r="R409" s="267"/>
      <c r="S409" s="267"/>
      <c r="T409" s="267"/>
      <c r="U409" s="267"/>
      <c r="V409" s="267"/>
      <c r="W409" s="267"/>
      <c r="X409" s="267"/>
      <c r="Y409" s="267"/>
      <c r="Z409" s="267"/>
      <c r="AA409" s="267"/>
      <c r="AB409" s="267"/>
      <c r="AC409" s="267"/>
    </row>
    <row r="410" ht="13.5" customHeight="1">
      <c r="A410" s="267"/>
      <c r="B410" s="267"/>
      <c r="C410" s="433"/>
      <c r="D410" s="433"/>
      <c r="E410" s="433"/>
      <c r="F410" s="433"/>
      <c r="G410" s="267"/>
      <c r="H410" s="267"/>
      <c r="I410" s="267"/>
      <c r="J410" s="433"/>
      <c r="K410" s="433"/>
      <c r="L410" s="434"/>
      <c r="M410" s="267"/>
      <c r="N410" s="267"/>
      <c r="O410" s="267"/>
      <c r="P410" s="267"/>
      <c r="Q410" s="267"/>
      <c r="R410" s="267"/>
      <c r="S410" s="267"/>
      <c r="T410" s="267"/>
      <c r="U410" s="267"/>
      <c r="V410" s="267"/>
      <c r="W410" s="267"/>
      <c r="X410" s="267"/>
      <c r="Y410" s="267"/>
      <c r="Z410" s="267"/>
      <c r="AA410" s="267"/>
      <c r="AB410" s="267"/>
      <c r="AC410" s="267"/>
    </row>
    <row r="411" ht="13.5" customHeight="1">
      <c r="A411" s="267"/>
      <c r="B411" s="267"/>
      <c r="C411" s="433"/>
      <c r="D411" s="433"/>
      <c r="E411" s="433"/>
      <c r="F411" s="433"/>
      <c r="G411" s="267"/>
      <c r="H411" s="267"/>
      <c r="I411" s="267"/>
      <c r="J411" s="433"/>
      <c r="K411" s="433"/>
      <c r="L411" s="434"/>
      <c r="M411" s="267"/>
      <c r="N411" s="267"/>
      <c r="O411" s="267"/>
      <c r="P411" s="267"/>
      <c r="Q411" s="267"/>
      <c r="R411" s="267"/>
      <c r="S411" s="267"/>
      <c r="T411" s="267"/>
      <c r="U411" s="267"/>
      <c r="V411" s="267"/>
      <c r="W411" s="267"/>
      <c r="X411" s="267"/>
      <c r="Y411" s="267"/>
      <c r="Z411" s="267"/>
      <c r="AA411" s="267"/>
      <c r="AB411" s="267"/>
      <c r="AC411" s="267"/>
    </row>
    <row r="412" ht="13.5" customHeight="1">
      <c r="A412" s="267"/>
      <c r="B412" s="267"/>
      <c r="C412" s="433"/>
      <c r="D412" s="433"/>
      <c r="E412" s="433"/>
      <c r="F412" s="433"/>
      <c r="G412" s="267"/>
      <c r="H412" s="267"/>
      <c r="I412" s="267"/>
      <c r="J412" s="433"/>
      <c r="K412" s="433"/>
      <c r="L412" s="434"/>
      <c r="M412" s="267"/>
      <c r="N412" s="267"/>
      <c r="O412" s="267"/>
      <c r="P412" s="267"/>
      <c r="Q412" s="267"/>
      <c r="R412" s="267"/>
      <c r="S412" s="267"/>
      <c r="T412" s="267"/>
      <c r="U412" s="267"/>
      <c r="V412" s="267"/>
      <c r="W412" s="267"/>
      <c r="X412" s="267"/>
      <c r="Y412" s="267"/>
      <c r="Z412" s="267"/>
      <c r="AA412" s="267"/>
      <c r="AB412" s="267"/>
      <c r="AC412" s="267"/>
    </row>
    <row r="413" ht="13.5" customHeight="1">
      <c r="A413" s="267"/>
      <c r="B413" s="267"/>
      <c r="C413" s="433"/>
      <c r="D413" s="433"/>
      <c r="E413" s="433"/>
      <c r="F413" s="433"/>
      <c r="G413" s="267"/>
      <c r="H413" s="267"/>
      <c r="I413" s="267"/>
      <c r="J413" s="433"/>
      <c r="K413" s="433"/>
      <c r="L413" s="434"/>
      <c r="M413" s="267"/>
      <c r="N413" s="267"/>
      <c r="O413" s="267"/>
      <c r="P413" s="267"/>
      <c r="Q413" s="267"/>
      <c r="R413" s="267"/>
      <c r="S413" s="267"/>
      <c r="T413" s="267"/>
      <c r="U413" s="267"/>
      <c r="V413" s="267"/>
      <c r="W413" s="267"/>
      <c r="X413" s="267"/>
      <c r="Y413" s="267"/>
      <c r="Z413" s="267"/>
      <c r="AA413" s="267"/>
      <c r="AB413" s="267"/>
      <c r="AC413" s="267"/>
    </row>
    <row r="414" ht="13.5" customHeight="1">
      <c r="A414" s="267"/>
      <c r="B414" s="267"/>
      <c r="C414" s="433"/>
      <c r="D414" s="433"/>
      <c r="E414" s="433"/>
      <c r="F414" s="433"/>
      <c r="G414" s="267"/>
      <c r="H414" s="267"/>
      <c r="I414" s="267"/>
      <c r="J414" s="433"/>
      <c r="K414" s="433"/>
      <c r="L414" s="434"/>
      <c r="M414" s="267"/>
      <c r="N414" s="267"/>
      <c r="O414" s="267"/>
      <c r="P414" s="267"/>
      <c r="Q414" s="267"/>
      <c r="R414" s="267"/>
      <c r="S414" s="267"/>
      <c r="T414" s="267"/>
      <c r="U414" s="267"/>
      <c r="V414" s="267"/>
      <c r="W414" s="267"/>
      <c r="X414" s="267"/>
      <c r="Y414" s="267"/>
      <c r="Z414" s="267"/>
      <c r="AA414" s="267"/>
      <c r="AB414" s="267"/>
      <c r="AC414" s="267"/>
    </row>
    <row r="415" ht="13.5" customHeight="1">
      <c r="A415" s="267"/>
      <c r="B415" s="267"/>
      <c r="C415" s="433"/>
      <c r="D415" s="433"/>
      <c r="E415" s="433"/>
      <c r="F415" s="433"/>
      <c r="G415" s="267"/>
      <c r="H415" s="267"/>
      <c r="I415" s="267"/>
      <c r="J415" s="433"/>
      <c r="K415" s="433"/>
      <c r="L415" s="434"/>
      <c r="M415" s="267"/>
      <c r="N415" s="267"/>
      <c r="O415" s="267"/>
      <c r="P415" s="267"/>
      <c r="Q415" s="267"/>
      <c r="R415" s="267"/>
      <c r="S415" s="267"/>
      <c r="T415" s="267"/>
      <c r="U415" s="267"/>
      <c r="V415" s="267"/>
      <c r="W415" s="267"/>
      <c r="X415" s="267"/>
      <c r="Y415" s="267"/>
      <c r="Z415" s="267"/>
      <c r="AA415" s="267"/>
      <c r="AB415" s="267"/>
      <c r="AC415" s="267"/>
    </row>
    <row r="416" ht="13.5" customHeight="1">
      <c r="A416" s="267"/>
      <c r="B416" s="267"/>
      <c r="C416" s="433"/>
      <c r="D416" s="433"/>
      <c r="E416" s="433"/>
      <c r="F416" s="433"/>
      <c r="G416" s="267"/>
      <c r="H416" s="267"/>
      <c r="I416" s="267"/>
      <c r="J416" s="433"/>
      <c r="K416" s="433"/>
      <c r="L416" s="434"/>
      <c r="M416" s="267"/>
      <c r="N416" s="267"/>
      <c r="O416" s="267"/>
      <c r="P416" s="267"/>
      <c r="Q416" s="267"/>
      <c r="R416" s="267"/>
      <c r="S416" s="267"/>
      <c r="T416" s="267"/>
      <c r="U416" s="267"/>
      <c r="V416" s="267"/>
      <c r="W416" s="267"/>
      <c r="X416" s="267"/>
      <c r="Y416" s="267"/>
      <c r="Z416" s="267"/>
      <c r="AA416" s="267"/>
      <c r="AB416" s="267"/>
      <c r="AC416" s="267"/>
    </row>
    <row r="417" ht="13.5" customHeight="1">
      <c r="A417" s="267"/>
      <c r="B417" s="267"/>
      <c r="C417" s="433"/>
      <c r="D417" s="433"/>
      <c r="E417" s="433"/>
      <c r="F417" s="433"/>
      <c r="G417" s="267"/>
      <c r="H417" s="267"/>
      <c r="I417" s="267"/>
      <c r="J417" s="433"/>
      <c r="K417" s="433"/>
      <c r="L417" s="434"/>
      <c r="M417" s="267"/>
      <c r="N417" s="267"/>
      <c r="O417" s="267"/>
      <c r="P417" s="267"/>
      <c r="Q417" s="267"/>
      <c r="R417" s="267"/>
      <c r="S417" s="267"/>
      <c r="T417" s="267"/>
      <c r="U417" s="267"/>
      <c r="V417" s="267"/>
      <c r="W417" s="267"/>
      <c r="X417" s="267"/>
      <c r="Y417" s="267"/>
      <c r="Z417" s="267"/>
      <c r="AA417" s="267"/>
      <c r="AB417" s="267"/>
      <c r="AC417" s="267"/>
    </row>
    <row r="418" ht="13.5" customHeight="1">
      <c r="A418" s="267"/>
      <c r="B418" s="267"/>
      <c r="C418" s="433"/>
      <c r="D418" s="433"/>
      <c r="E418" s="433"/>
      <c r="F418" s="433"/>
      <c r="G418" s="267"/>
      <c r="H418" s="267"/>
      <c r="I418" s="267"/>
      <c r="J418" s="433"/>
      <c r="K418" s="433"/>
      <c r="L418" s="434"/>
      <c r="M418" s="267"/>
      <c r="N418" s="267"/>
      <c r="O418" s="267"/>
      <c r="P418" s="267"/>
      <c r="Q418" s="267"/>
      <c r="R418" s="267"/>
      <c r="S418" s="267"/>
      <c r="T418" s="267"/>
      <c r="U418" s="267"/>
      <c r="V418" s="267"/>
      <c r="W418" s="267"/>
      <c r="X418" s="267"/>
      <c r="Y418" s="267"/>
      <c r="Z418" s="267"/>
      <c r="AA418" s="267"/>
      <c r="AB418" s="267"/>
      <c r="AC418" s="267"/>
    </row>
    <row r="419" ht="13.5" customHeight="1">
      <c r="A419" s="267"/>
      <c r="B419" s="267"/>
      <c r="C419" s="433"/>
      <c r="D419" s="433"/>
      <c r="E419" s="433"/>
      <c r="F419" s="433"/>
      <c r="G419" s="267"/>
      <c r="H419" s="267"/>
      <c r="I419" s="267"/>
      <c r="J419" s="433"/>
      <c r="K419" s="433"/>
      <c r="L419" s="434"/>
      <c r="M419" s="267"/>
      <c r="N419" s="267"/>
      <c r="O419" s="267"/>
      <c r="P419" s="267"/>
      <c r="Q419" s="267"/>
      <c r="R419" s="267"/>
      <c r="S419" s="267"/>
      <c r="T419" s="267"/>
      <c r="U419" s="267"/>
      <c r="V419" s="267"/>
      <c r="W419" s="267"/>
      <c r="X419" s="267"/>
      <c r="Y419" s="267"/>
      <c r="Z419" s="267"/>
      <c r="AA419" s="267"/>
      <c r="AB419" s="267"/>
      <c r="AC419" s="267"/>
    </row>
    <row r="420" ht="13.5" customHeight="1">
      <c r="A420" s="267"/>
      <c r="B420" s="267"/>
      <c r="C420" s="433"/>
      <c r="D420" s="433"/>
      <c r="E420" s="433"/>
      <c r="F420" s="433"/>
      <c r="G420" s="267"/>
      <c r="H420" s="267"/>
      <c r="I420" s="267"/>
      <c r="J420" s="433"/>
      <c r="K420" s="433"/>
      <c r="L420" s="434"/>
      <c r="M420" s="267"/>
      <c r="N420" s="267"/>
      <c r="O420" s="267"/>
      <c r="P420" s="267"/>
      <c r="Q420" s="267"/>
      <c r="R420" s="267"/>
      <c r="S420" s="267"/>
      <c r="T420" s="267"/>
      <c r="U420" s="267"/>
      <c r="V420" s="267"/>
      <c r="W420" s="267"/>
      <c r="X420" s="267"/>
      <c r="Y420" s="267"/>
      <c r="Z420" s="267"/>
      <c r="AA420" s="267"/>
      <c r="AB420" s="267"/>
      <c r="AC420" s="267"/>
    </row>
    <row r="421" ht="13.5" customHeight="1">
      <c r="A421" s="267"/>
      <c r="B421" s="267"/>
      <c r="C421" s="433"/>
      <c r="D421" s="433"/>
      <c r="E421" s="433"/>
      <c r="F421" s="433"/>
      <c r="G421" s="267"/>
      <c r="H421" s="267"/>
      <c r="I421" s="267"/>
      <c r="J421" s="433"/>
      <c r="K421" s="433"/>
      <c r="L421" s="434"/>
      <c r="M421" s="267"/>
      <c r="N421" s="267"/>
      <c r="O421" s="267"/>
      <c r="P421" s="267"/>
      <c r="Q421" s="267"/>
      <c r="R421" s="267"/>
      <c r="S421" s="267"/>
      <c r="T421" s="267"/>
      <c r="U421" s="267"/>
      <c r="V421" s="267"/>
      <c r="W421" s="267"/>
      <c r="X421" s="267"/>
      <c r="Y421" s="267"/>
      <c r="Z421" s="267"/>
      <c r="AA421" s="267"/>
      <c r="AB421" s="267"/>
      <c r="AC421" s="267"/>
    </row>
    <row r="422" ht="13.5" customHeight="1">
      <c r="A422" s="267"/>
      <c r="B422" s="267"/>
      <c r="C422" s="433"/>
      <c r="D422" s="433"/>
      <c r="E422" s="433"/>
      <c r="F422" s="433"/>
      <c r="G422" s="267"/>
      <c r="H422" s="267"/>
      <c r="I422" s="267"/>
      <c r="J422" s="433"/>
      <c r="K422" s="433"/>
      <c r="L422" s="434"/>
      <c r="M422" s="267"/>
      <c r="N422" s="267"/>
      <c r="O422" s="267"/>
      <c r="P422" s="267"/>
      <c r="Q422" s="267"/>
      <c r="R422" s="267"/>
      <c r="S422" s="267"/>
      <c r="T422" s="267"/>
      <c r="U422" s="267"/>
      <c r="V422" s="267"/>
      <c r="W422" s="267"/>
      <c r="X422" s="267"/>
      <c r="Y422" s="267"/>
      <c r="Z422" s="267"/>
      <c r="AA422" s="267"/>
      <c r="AB422" s="267"/>
      <c r="AC422" s="267"/>
    </row>
    <row r="423" ht="13.5" customHeight="1">
      <c r="A423" s="267"/>
      <c r="B423" s="267"/>
      <c r="C423" s="433"/>
      <c r="D423" s="433"/>
      <c r="E423" s="433"/>
      <c r="F423" s="433"/>
      <c r="G423" s="267"/>
      <c r="H423" s="267"/>
      <c r="I423" s="267"/>
      <c r="J423" s="433"/>
      <c r="K423" s="433"/>
      <c r="L423" s="434"/>
      <c r="M423" s="267"/>
      <c r="N423" s="267"/>
      <c r="O423" s="267"/>
      <c r="P423" s="267"/>
      <c r="Q423" s="267"/>
      <c r="R423" s="267"/>
      <c r="S423" s="267"/>
      <c r="T423" s="267"/>
      <c r="U423" s="267"/>
      <c r="V423" s="267"/>
      <c r="W423" s="267"/>
      <c r="X423" s="267"/>
      <c r="Y423" s="267"/>
      <c r="Z423" s="267"/>
      <c r="AA423" s="267"/>
      <c r="AB423" s="267"/>
      <c r="AC423" s="267"/>
    </row>
    <row r="424" ht="13.5" customHeight="1">
      <c r="A424" s="267"/>
      <c r="B424" s="267"/>
      <c r="C424" s="433"/>
      <c r="D424" s="433"/>
      <c r="E424" s="433"/>
      <c r="F424" s="433"/>
      <c r="G424" s="267"/>
      <c r="H424" s="267"/>
      <c r="I424" s="267"/>
      <c r="J424" s="433"/>
      <c r="K424" s="433"/>
      <c r="L424" s="434"/>
      <c r="M424" s="267"/>
      <c r="N424" s="267"/>
      <c r="O424" s="267"/>
      <c r="P424" s="267"/>
      <c r="Q424" s="267"/>
      <c r="R424" s="267"/>
      <c r="S424" s="267"/>
      <c r="T424" s="267"/>
      <c r="U424" s="267"/>
      <c r="V424" s="267"/>
      <c r="W424" s="267"/>
      <c r="X424" s="267"/>
      <c r="Y424" s="267"/>
      <c r="Z424" s="267"/>
      <c r="AA424" s="267"/>
      <c r="AB424" s="267"/>
      <c r="AC424" s="267"/>
    </row>
    <row r="425" ht="13.5" customHeight="1">
      <c r="A425" s="267"/>
      <c r="B425" s="267"/>
      <c r="C425" s="433"/>
      <c r="D425" s="433"/>
      <c r="E425" s="433"/>
      <c r="F425" s="433"/>
      <c r="G425" s="267"/>
      <c r="H425" s="267"/>
      <c r="I425" s="267"/>
      <c r="J425" s="433"/>
      <c r="K425" s="433"/>
      <c r="L425" s="434"/>
      <c r="M425" s="267"/>
      <c r="N425" s="267"/>
      <c r="O425" s="267"/>
      <c r="P425" s="267"/>
      <c r="Q425" s="267"/>
      <c r="R425" s="267"/>
      <c r="S425" s="267"/>
      <c r="T425" s="267"/>
      <c r="U425" s="267"/>
      <c r="V425" s="267"/>
      <c r="W425" s="267"/>
      <c r="X425" s="267"/>
      <c r="Y425" s="267"/>
      <c r="Z425" s="267"/>
      <c r="AA425" s="267"/>
      <c r="AB425" s="267"/>
      <c r="AC425" s="267"/>
    </row>
    <row r="426" ht="13.5" customHeight="1">
      <c r="A426" s="267"/>
      <c r="B426" s="267"/>
      <c r="C426" s="433"/>
      <c r="D426" s="433"/>
      <c r="E426" s="433"/>
      <c r="F426" s="433"/>
      <c r="G426" s="267"/>
      <c r="H426" s="267"/>
      <c r="I426" s="267"/>
      <c r="J426" s="433"/>
      <c r="K426" s="433"/>
      <c r="L426" s="434"/>
      <c r="M426" s="267"/>
      <c r="N426" s="267"/>
      <c r="O426" s="267"/>
      <c r="P426" s="267"/>
      <c r="Q426" s="267"/>
      <c r="R426" s="267"/>
      <c r="S426" s="267"/>
      <c r="T426" s="267"/>
      <c r="U426" s="267"/>
      <c r="V426" s="267"/>
      <c r="W426" s="267"/>
      <c r="X426" s="267"/>
      <c r="Y426" s="267"/>
      <c r="Z426" s="267"/>
      <c r="AA426" s="267"/>
      <c r="AB426" s="267"/>
      <c r="AC426" s="267"/>
    </row>
    <row r="427" ht="13.5" customHeight="1">
      <c r="A427" s="267"/>
      <c r="B427" s="267"/>
      <c r="C427" s="433"/>
      <c r="D427" s="433"/>
      <c r="E427" s="433"/>
      <c r="F427" s="433"/>
      <c r="G427" s="267"/>
      <c r="H427" s="267"/>
      <c r="I427" s="267"/>
      <c r="J427" s="433"/>
      <c r="K427" s="433"/>
      <c r="L427" s="434"/>
      <c r="M427" s="267"/>
      <c r="N427" s="267"/>
      <c r="O427" s="267"/>
      <c r="P427" s="267"/>
      <c r="Q427" s="267"/>
      <c r="R427" s="267"/>
      <c r="S427" s="267"/>
      <c r="T427" s="267"/>
      <c r="U427" s="267"/>
      <c r="V427" s="267"/>
      <c r="W427" s="267"/>
      <c r="X427" s="267"/>
      <c r="Y427" s="267"/>
      <c r="Z427" s="267"/>
      <c r="AA427" s="267"/>
      <c r="AB427" s="267"/>
      <c r="AC427" s="267"/>
    </row>
    <row r="428" ht="13.5" customHeight="1">
      <c r="A428" s="267"/>
      <c r="B428" s="267"/>
      <c r="C428" s="433"/>
      <c r="D428" s="433"/>
      <c r="E428" s="433"/>
      <c r="F428" s="433"/>
      <c r="G428" s="267"/>
      <c r="H428" s="267"/>
      <c r="I428" s="267"/>
      <c r="J428" s="433"/>
      <c r="K428" s="433"/>
      <c r="L428" s="434"/>
      <c r="M428" s="267"/>
      <c r="N428" s="267"/>
      <c r="O428" s="267"/>
      <c r="P428" s="267"/>
      <c r="Q428" s="267"/>
      <c r="R428" s="267"/>
      <c r="S428" s="267"/>
      <c r="T428" s="267"/>
      <c r="U428" s="267"/>
      <c r="V428" s="267"/>
      <c r="W428" s="267"/>
      <c r="X428" s="267"/>
      <c r="Y428" s="267"/>
      <c r="Z428" s="267"/>
      <c r="AA428" s="267"/>
      <c r="AB428" s="267"/>
      <c r="AC428" s="267"/>
    </row>
    <row r="429" ht="13.5" customHeight="1">
      <c r="A429" s="267"/>
      <c r="B429" s="267"/>
      <c r="C429" s="433"/>
      <c r="D429" s="433"/>
      <c r="E429" s="433"/>
      <c r="F429" s="433"/>
      <c r="G429" s="267"/>
      <c r="H429" s="267"/>
      <c r="I429" s="267"/>
      <c r="J429" s="433"/>
      <c r="K429" s="433"/>
      <c r="L429" s="434"/>
      <c r="M429" s="267"/>
      <c r="N429" s="267"/>
      <c r="O429" s="267"/>
      <c r="P429" s="267"/>
      <c r="Q429" s="267"/>
      <c r="R429" s="267"/>
      <c r="S429" s="267"/>
      <c r="T429" s="267"/>
      <c r="U429" s="267"/>
      <c r="V429" s="267"/>
      <c r="W429" s="267"/>
      <c r="X429" s="267"/>
      <c r="Y429" s="267"/>
      <c r="Z429" s="267"/>
      <c r="AA429" s="267"/>
      <c r="AB429" s="267"/>
      <c r="AC429" s="267"/>
    </row>
    <row r="430" ht="13.5" customHeight="1">
      <c r="A430" s="267"/>
      <c r="B430" s="267"/>
      <c r="C430" s="433"/>
      <c r="D430" s="433"/>
      <c r="E430" s="433"/>
      <c r="F430" s="433"/>
      <c r="G430" s="267"/>
      <c r="H430" s="267"/>
      <c r="I430" s="267"/>
      <c r="J430" s="433"/>
      <c r="K430" s="433"/>
      <c r="L430" s="434"/>
      <c r="M430" s="267"/>
      <c r="N430" s="267"/>
      <c r="O430" s="267"/>
      <c r="P430" s="267"/>
      <c r="Q430" s="267"/>
      <c r="R430" s="267"/>
      <c r="S430" s="267"/>
      <c r="T430" s="267"/>
      <c r="U430" s="267"/>
      <c r="V430" s="267"/>
      <c r="W430" s="267"/>
      <c r="X430" s="267"/>
      <c r="Y430" s="267"/>
      <c r="Z430" s="267"/>
      <c r="AA430" s="267"/>
      <c r="AB430" s="267"/>
      <c r="AC430" s="267"/>
    </row>
    <row r="431" ht="13.5" customHeight="1">
      <c r="A431" s="267"/>
      <c r="B431" s="267"/>
      <c r="C431" s="433"/>
      <c r="D431" s="433"/>
      <c r="E431" s="433"/>
      <c r="F431" s="433"/>
      <c r="G431" s="267"/>
      <c r="H431" s="267"/>
      <c r="I431" s="267"/>
      <c r="J431" s="433"/>
      <c r="K431" s="433"/>
      <c r="L431" s="434"/>
      <c r="M431" s="267"/>
      <c r="N431" s="267"/>
      <c r="O431" s="267"/>
      <c r="P431" s="267"/>
      <c r="Q431" s="267"/>
      <c r="R431" s="267"/>
      <c r="S431" s="267"/>
      <c r="T431" s="267"/>
      <c r="U431" s="267"/>
      <c r="V431" s="267"/>
      <c r="W431" s="267"/>
      <c r="X431" s="267"/>
      <c r="Y431" s="267"/>
      <c r="Z431" s="267"/>
      <c r="AA431" s="267"/>
      <c r="AB431" s="267"/>
      <c r="AC431" s="267"/>
    </row>
    <row r="432" ht="13.5" customHeight="1">
      <c r="A432" s="267"/>
      <c r="B432" s="267"/>
      <c r="C432" s="433"/>
      <c r="D432" s="433"/>
      <c r="E432" s="433"/>
      <c r="F432" s="433"/>
      <c r="G432" s="267"/>
      <c r="H432" s="267"/>
      <c r="I432" s="267"/>
      <c r="J432" s="433"/>
      <c r="K432" s="433"/>
      <c r="L432" s="434"/>
      <c r="M432" s="267"/>
      <c r="N432" s="267"/>
      <c r="O432" s="267"/>
      <c r="P432" s="267"/>
      <c r="Q432" s="267"/>
      <c r="R432" s="267"/>
      <c r="S432" s="267"/>
      <c r="T432" s="267"/>
      <c r="U432" s="267"/>
      <c r="V432" s="267"/>
      <c r="W432" s="267"/>
      <c r="X432" s="267"/>
      <c r="Y432" s="267"/>
      <c r="Z432" s="267"/>
      <c r="AA432" s="267"/>
      <c r="AB432" s="267"/>
      <c r="AC432" s="267"/>
    </row>
    <row r="433" ht="13.5" customHeight="1">
      <c r="A433" s="267"/>
      <c r="B433" s="267"/>
      <c r="C433" s="433"/>
      <c r="D433" s="433"/>
      <c r="E433" s="433"/>
      <c r="F433" s="433"/>
      <c r="G433" s="267"/>
      <c r="H433" s="267"/>
      <c r="I433" s="267"/>
      <c r="J433" s="433"/>
      <c r="K433" s="433"/>
      <c r="L433" s="434"/>
      <c r="M433" s="267"/>
      <c r="N433" s="267"/>
      <c r="O433" s="267"/>
      <c r="P433" s="267"/>
      <c r="Q433" s="267"/>
      <c r="R433" s="267"/>
      <c r="S433" s="267"/>
      <c r="T433" s="267"/>
      <c r="U433" s="267"/>
      <c r="V433" s="267"/>
      <c r="W433" s="267"/>
      <c r="X433" s="267"/>
      <c r="Y433" s="267"/>
      <c r="Z433" s="267"/>
      <c r="AA433" s="267"/>
      <c r="AB433" s="267"/>
      <c r="AC433" s="267"/>
    </row>
    <row r="434" ht="13.5" customHeight="1">
      <c r="A434" s="267"/>
      <c r="B434" s="267"/>
      <c r="C434" s="433"/>
      <c r="D434" s="433"/>
      <c r="E434" s="433"/>
      <c r="F434" s="433"/>
      <c r="G434" s="267"/>
      <c r="H434" s="267"/>
      <c r="I434" s="267"/>
      <c r="J434" s="433"/>
      <c r="K434" s="433"/>
      <c r="L434" s="434"/>
      <c r="M434" s="267"/>
      <c r="N434" s="267"/>
      <c r="O434" s="267"/>
      <c r="P434" s="267"/>
      <c r="Q434" s="267"/>
      <c r="R434" s="267"/>
      <c r="S434" s="267"/>
      <c r="T434" s="267"/>
      <c r="U434" s="267"/>
      <c r="V434" s="267"/>
      <c r="W434" s="267"/>
      <c r="X434" s="267"/>
      <c r="Y434" s="267"/>
      <c r="Z434" s="267"/>
      <c r="AA434" s="267"/>
      <c r="AB434" s="267"/>
      <c r="AC434" s="267"/>
    </row>
    <row r="435" ht="13.5" customHeight="1">
      <c r="A435" s="267"/>
      <c r="B435" s="267"/>
      <c r="C435" s="433"/>
      <c r="D435" s="433"/>
      <c r="E435" s="433"/>
      <c r="F435" s="433"/>
      <c r="G435" s="267"/>
      <c r="H435" s="267"/>
      <c r="I435" s="267"/>
      <c r="J435" s="433"/>
      <c r="K435" s="433"/>
      <c r="L435" s="434"/>
      <c r="M435" s="267"/>
      <c r="N435" s="267"/>
      <c r="O435" s="267"/>
      <c r="P435" s="267"/>
      <c r="Q435" s="267"/>
      <c r="R435" s="267"/>
      <c r="S435" s="267"/>
      <c r="T435" s="267"/>
      <c r="U435" s="267"/>
      <c r="V435" s="267"/>
      <c r="W435" s="267"/>
      <c r="X435" s="267"/>
      <c r="Y435" s="267"/>
      <c r="Z435" s="267"/>
      <c r="AA435" s="267"/>
      <c r="AB435" s="267"/>
      <c r="AC435" s="267"/>
    </row>
    <row r="436" ht="13.5" customHeight="1">
      <c r="A436" s="267"/>
      <c r="B436" s="267"/>
      <c r="C436" s="433"/>
      <c r="D436" s="433"/>
      <c r="E436" s="433"/>
      <c r="F436" s="433"/>
      <c r="G436" s="267"/>
      <c r="H436" s="267"/>
      <c r="I436" s="267"/>
      <c r="J436" s="433"/>
      <c r="K436" s="433"/>
      <c r="L436" s="434"/>
      <c r="M436" s="267"/>
      <c r="N436" s="267"/>
      <c r="O436" s="267"/>
      <c r="P436" s="267"/>
      <c r="Q436" s="267"/>
      <c r="R436" s="267"/>
      <c r="S436" s="267"/>
      <c r="T436" s="267"/>
      <c r="U436" s="267"/>
      <c r="V436" s="267"/>
      <c r="W436" s="267"/>
      <c r="X436" s="267"/>
      <c r="Y436" s="267"/>
      <c r="Z436" s="267"/>
      <c r="AA436" s="267"/>
      <c r="AB436" s="267"/>
      <c r="AC436" s="267"/>
    </row>
    <row r="437" ht="13.5" customHeight="1">
      <c r="A437" s="267"/>
      <c r="B437" s="267"/>
      <c r="C437" s="433"/>
      <c r="D437" s="433"/>
      <c r="E437" s="433"/>
      <c r="F437" s="433"/>
      <c r="G437" s="267"/>
      <c r="H437" s="267"/>
      <c r="I437" s="267"/>
      <c r="J437" s="433"/>
      <c r="K437" s="433"/>
      <c r="L437" s="434"/>
      <c r="M437" s="267"/>
      <c r="N437" s="267"/>
      <c r="O437" s="267"/>
      <c r="P437" s="267"/>
      <c r="Q437" s="267"/>
      <c r="R437" s="267"/>
      <c r="S437" s="267"/>
      <c r="T437" s="267"/>
      <c r="U437" s="267"/>
      <c r="V437" s="267"/>
      <c r="W437" s="267"/>
      <c r="X437" s="267"/>
      <c r="Y437" s="267"/>
      <c r="Z437" s="267"/>
      <c r="AA437" s="267"/>
      <c r="AB437" s="267"/>
      <c r="AC437" s="267"/>
    </row>
    <row r="438" ht="13.5" customHeight="1">
      <c r="A438" s="267"/>
      <c r="B438" s="267"/>
      <c r="C438" s="433"/>
      <c r="D438" s="433"/>
      <c r="E438" s="433"/>
      <c r="F438" s="433"/>
      <c r="G438" s="267"/>
      <c r="H438" s="267"/>
      <c r="I438" s="267"/>
      <c r="J438" s="433"/>
      <c r="K438" s="433"/>
      <c r="L438" s="434"/>
      <c r="M438" s="267"/>
      <c r="N438" s="267"/>
      <c r="O438" s="267"/>
      <c r="P438" s="267"/>
      <c r="Q438" s="267"/>
      <c r="R438" s="267"/>
      <c r="S438" s="267"/>
      <c r="T438" s="267"/>
      <c r="U438" s="267"/>
      <c r="V438" s="267"/>
      <c r="W438" s="267"/>
      <c r="X438" s="267"/>
      <c r="Y438" s="267"/>
      <c r="Z438" s="267"/>
      <c r="AA438" s="267"/>
      <c r="AB438" s="267"/>
      <c r="AC438" s="267"/>
    </row>
    <row r="439" ht="13.5" customHeight="1">
      <c r="A439" s="267"/>
      <c r="B439" s="267"/>
      <c r="C439" s="433"/>
      <c r="D439" s="433"/>
      <c r="E439" s="433"/>
      <c r="F439" s="433"/>
      <c r="G439" s="267"/>
      <c r="H439" s="267"/>
      <c r="I439" s="267"/>
      <c r="J439" s="433"/>
      <c r="K439" s="433"/>
      <c r="L439" s="434"/>
      <c r="M439" s="267"/>
      <c r="N439" s="267"/>
      <c r="O439" s="267"/>
      <c r="P439" s="267"/>
      <c r="Q439" s="267"/>
      <c r="R439" s="267"/>
      <c r="S439" s="267"/>
      <c r="T439" s="267"/>
      <c r="U439" s="267"/>
      <c r="V439" s="267"/>
      <c r="W439" s="267"/>
      <c r="X439" s="267"/>
      <c r="Y439" s="267"/>
      <c r="Z439" s="267"/>
      <c r="AA439" s="267"/>
      <c r="AB439" s="267"/>
      <c r="AC439" s="267"/>
    </row>
    <row r="440" ht="13.5" customHeight="1">
      <c r="A440" s="267"/>
      <c r="B440" s="267"/>
      <c r="C440" s="433"/>
      <c r="D440" s="433"/>
      <c r="E440" s="433"/>
      <c r="F440" s="433"/>
      <c r="G440" s="267"/>
      <c r="H440" s="267"/>
      <c r="I440" s="267"/>
      <c r="J440" s="433"/>
      <c r="K440" s="433"/>
      <c r="L440" s="434"/>
      <c r="M440" s="267"/>
      <c r="N440" s="267"/>
      <c r="O440" s="267"/>
      <c r="P440" s="267"/>
      <c r="Q440" s="267"/>
      <c r="R440" s="267"/>
      <c r="S440" s="267"/>
      <c r="T440" s="267"/>
      <c r="U440" s="267"/>
      <c r="V440" s="267"/>
      <c r="W440" s="267"/>
      <c r="X440" s="267"/>
      <c r="Y440" s="267"/>
      <c r="Z440" s="267"/>
      <c r="AA440" s="267"/>
      <c r="AB440" s="267"/>
      <c r="AC440" s="267"/>
    </row>
    <row r="441" ht="13.5" customHeight="1">
      <c r="A441" s="267"/>
      <c r="B441" s="267"/>
      <c r="C441" s="433"/>
      <c r="D441" s="433"/>
      <c r="E441" s="433"/>
      <c r="F441" s="433"/>
      <c r="G441" s="267"/>
      <c r="H441" s="267"/>
      <c r="I441" s="267"/>
      <c r="J441" s="433"/>
      <c r="K441" s="433"/>
      <c r="L441" s="434"/>
      <c r="M441" s="267"/>
      <c r="N441" s="267"/>
      <c r="O441" s="267"/>
      <c r="P441" s="267"/>
      <c r="Q441" s="267"/>
      <c r="R441" s="267"/>
      <c r="S441" s="267"/>
      <c r="T441" s="267"/>
      <c r="U441" s="267"/>
      <c r="V441" s="267"/>
      <c r="W441" s="267"/>
      <c r="X441" s="267"/>
      <c r="Y441" s="267"/>
      <c r="Z441" s="267"/>
      <c r="AA441" s="267"/>
      <c r="AB441" s="267"/>
      <c r="AC441" s="267"/>
    </row>
    <row r="442" ht="13.5" customHeight="1">
      <c r="A442" s="267"/>
      <c r="B442" s="267"/>
      <c r="C442" s="433"/>
      <c r="D442" s="433"/>
      <c r="E442" s="433"/>
      <c r="F442" s="433"/>
      <c r="G442" s="267"/>
      <c r="H442" s="267"/>
      <c r="I442" s="267"/>
      <c r="J442" s="433"/>
      <c r="K442" s="433"/>
      <c r="L442" s="434"/>
      <c r="M442" s="267"/>
      <c r="N442" s="267"/>
      <c r="O442" s="267"/>
      <c r="P442" s="267"/>
      <c r="Q442" s="267"/>
      <c r="R442" s="267"/>
      <c r="S442" s="267"/>
      <c r="T442" s="267"/>
      <c r="U442" s="267"/>
      <c r="V442" s="267"/>
      <c r="W442" s="267"/>
      <c r="X442" s="267"/>
      <c r="Y442" s="267"/>
      <c r="Z442" s="267"/>
      <c r="AA442" s="267"/>
      <c r="AB442" s="267"/>
      <c r="AC442" s="267"/>
    </row>
    <row r="443" ht="13.5" customHeight="1">
      <c r="A443" s="267"/>
      <c r="B443" s="267"/>
      <c r="C443" s="433"/>
      <c r="D443" s="433"/>
      <c r="E443" s="433"/>
      <c r="F443" s="433"/>
      <c r="G443" s="267"/>
      <c r="H443" s="267"/>
      <c r="I443" s="267"/>
      <c r="J443" s="433"/>
      <c r="K443" s="433"/>
      <c r="L443" s="434"/>
      <c r="M443" s="267"/>
      <c r="N443" s="267"/>
      <c r="O443" s="267"/>
      <c r="P443" s="267"/>
      <c r="Q443" s="267"/>
      <c r="R443" s="267"/>
      <c r="S443" s="267"/>
      <c r="T443" s="267"/>
      <c r="U443" s="267"/>
      <c r="V443" s="267"/>
      <c r="W443" s="267"/>
      <c r="X443" s="267"/>
      <c r="Y443" s="267"/>
      <c r="Z443" s="267"/>
      <c r="AA443" s="267"/>
      <c r="AB443" s="267"/>
      <c r="AC443" s="267"/>
    </row>
    <row r="444" ht="13.5" customHeight="1">
      <c r="A444" s="267"/>
      <c r="B444" s="267"/>
      <c r="C444" s="433"/>
      <c r="D444" s="433"/>
      <c r="E444" s="433"/>
      <c r="F444" s="433"/>
      <c r="G444" s="267"/>
      <c r="H444" s="267"/>
      <c r="I444" s="267"/>
      <c r="J444" s="433"/>
      <c r="K444" s="433"/>
      <c r="L444" s="434"/>
      <c r="M444" s="267"/>
      <c r="N444" s="267"/>
      <c r="O444" s="267"/>
      <c r="P444" s="267"/>
      <c r="Q444" s="267"/>
      <c r="R444" s="267"/>
      <c r="S444" s="267"/>
      <c r="T444" s="267"/>
      <c r="U444" s="267"/>
      <c r="V444" s="267"/>
      <c r="W444" s="267"/>
      <c r="X444" s="267"/>
      <c r="Y444" s="267"/>
      <c r="Z444" s="267"/>
      <c r="AA444" s="267"/>
      <c r="AB444" s="267"/>
      <c r="AC444" s="267"/>
    </row>
    <row r="445" ht="13.5" customHeight="1">
      <c r="A445" s="267"/>
      <c r="B445" s="267"/>
      <c r="C445" s="433"/>
      <c r="D445" s="433"/>
      <c r="E445" s="433"/>
      <c r="F445" s="433"/>
      <c r="G445" s="267"/>
      <c r="H445" s="267"/>
      <c r="I445" s="267"/>
      <c r="J445" s="433"/>
      <c r="K445" s="433"/>
      <c r="L445" s="434"/>
      <c r="M445" s="267"/>
      <c r="N445" s="267"/>
      <c r="O445" s="267"/>
      <c r="P445" s="267"/>
      <c r="Q445" s="267"/>
      <c r="R445" s="267"/>
      <c r="S445" s="267"/>
      <c r="T445" s="267"/>
      <c r="U445" s="267"/>
      <c r="V445" s="267"/>
      <c r="W445" s="267"/>
      <c r="X445" s="267"/>
      <c r="Y445" s="267"/>
      <c r="Z445" s="267"/>
      <c r="AA445" s="267"/>
      <c r="AB445" s="267"/>
      <c r="AC445" s="267"/>
    </row>
    <row r="446" ht="13.5" customHeight="1">
      <c r="A446" s="267"/>
      <c r="B446" s="267"/>
      <c r="C446" s="433"/>
      <c r="D446" s="433"/>
      <c r="E446" s="433"/>
      <c r="F446" s="433"/>
      <c r="G446" s="267"/>
      <c r="H446" s="267"/>
      <c r="I446" s="267"/>
      <c r="J446" s="433"/>
      <c r="K446" s="433"/>
      <c r="L446" s="434"/>
      <c r="M446" s="267"/>
      <c r="N446" s="267"/>
      <c r="O446" s="267"/>
      <c r="P446" s="267"/>
      <c r="Q446" s="267"/>
      <c r="R446" s="267"/>
      <c r="S446" s="267"/>
      <c r="T446" s="267"/>
      <c r="U446" s="267"/>
      <c r="V446" s="267"/>
      <c r="W446" s="267"/>
      <c r="X446" s="267"/>
      <c r="Y446" s="267"/>
      <c r="Z446" s="267"/>
      <c r="AA446" s="267"/>
      <c r="AB446" s="267"/>
      <c r="AC446" s="267"/>
    </row>
    <row r="447" ht="13.5" customHeight="1">
      <c r="A447" s="267"/>
      <c r="B447" s="267"/>
      <c r="C447" s="433"/>
      <c r="D447" s="433"/>
      <c r="E447" s="433"/>
      <c r="F447" s="433"/>
      <c r="G447" s="267"/>
      <c r="H447" s="267"/>
      <c r="I447" s="267"/>
      <c r="J447" s="433"/>
      <c r="K447" s="433"/>
      <c r="L447" s="434"/>
      <c r="M447" s="267"/>
      <c r="N447" s="267"/>
      <c r="O447" s="267"/>
      <c r="P447" s="267"/>
      <c r="Q447" s="267"/>
      <c r="R447" s="267"/>
      <c r="S447" s="267"/>
      <c r="T447" s="267"/>
      <c r="U447" s="267"/>
      <c r="V447" s="267"/>
      <c r="W447" s="267"/>
      <c r="X447" s="267"/>
      <c r="Y447" s="267"/>
      <c r="Z447" s="267"/>
      <c r="AA447" s="267"/>
      <c r="AB447" s="267"/>
      <c r="AC447" s="267"/>
    </row>
    <row r="448" ht="13.5" customHeight="1">
      <c r="A448" s="267"/>
      <c r="B448" s="267"/>
      <c r="C448" s="433"/>
      <c r="D448" s="433"/>
      <c r="E448" s="433"/>
      <c r="F448" s="433"/>
      <c r="G448" s="267"/>
      <c r="H448" s="267"/>
      <c r="I448" s="267"/>
      <c r="J448" s="433"/>
      <c r="K448" s="433"/>
      <c r="L448" s="434"/>
      <c r="M448" s="267"/>
      <c r="N448" s="267"/>
      <c r="O448" s="267"/>
      <c r="P448" s="267"/>
      <c r="Q448" s="267"/>
      <c r="R448" s="267"/>
      <c r="S448" s="267"/>
      <c r="T448" s="267"/>
      <c r="U448" s="267"/>
      <c r="V448" s="267"/>
      <c r="W448" s="267"/>
      <c r="X448" s="267"/>
      <c r="Y448" s="267"/>
      <c r="Z448" s="267"/>
      <c r="AA448" s="267"/>
      <c r="AB448" s="267"/>
      <c r="AC448" s="267"/>
    </row>
    <row r="449" ht="13.5" customHeight="1">
      <c r="A449" s="267"/>
      <c r="B449" s="267"/>
      <c r="C449" s="433"/>
      <c r="D449" s="433"/>
      <c r="E449" s="433"/>
      <c r="F449" s="433"/>
      <c r="G449" s="267"/>
      <c r="H449" s="267"/>
      <c r="I449" s="267"/>
      <c r="J449" s="433"/>
      <c r="K449" s="433"/>
      <c r="L449" s="434"/>
      <c r="M449" s="267"/>
      <c r="N449" s="267"/>
      <c r="O449" s="267"/>
      <c r="P449" s="267"/>
      <c r="Q449" s="267"/>
      <c r="R449" s="267"/>
      <c r="S449" s="267"/>
      <c r="T449" s="267"/>
      <c r="U449" s="267"/>
      <c r="V449" s="267"/>
      <c r="W449" s="267"/>
      <c r="X449" s="267"/>
      <c r="Y449" s="267"/>
      <c r="Z449" s="267"/>
      <c r="AA449" s="267"/>
      <c r="AB449" s="267"/>
      <c r="AC449" s="267"/>
    </row>
    <row r="450" ht="13.5" customHeight="1">
      <c r="A450" s="267"/>
      <c r="B450" s="267"/>
      <c r="C450" s="433"/>
      <c r="D450" s="433"/>
      <c r="E450" s="433"/>
      <c r="F450" s="433"/>
      <c r="G450" s="267"/>
      <c r="H450" s="267"/>
      <c r="I450" s="267"/>
      <c r="J450" s="433"/>
      <c r="K450" s="433"/>
      <c r="L450" s="434"/>
      <c r="M450" s="267"/>
      <c r="N450" s="267"/>
      <c r="O450" s="267"/>
      <c r="P450" s="267"/>
      <c r="Q450" s="267"/>
      <c r="R450" s="267"/>
      <c r="S450" s="267"/>
      <c r="T450" s="267"/>
      <c r="U450" s="267"/>
      <c r="V450" s="267"/>
      <c r="W450" s="267"/>
      <c r="X450" s="267"/>
      <c r="Y450" s="267"/>
      <c r="Z450" s="267"/>
      <c r="AA450" s="267"/>
      <c r="AB450" s="267"/>
      <c r="AC450" s="267"/>
    </row>
    <row r="451" ht="13.5" customHeight="1">
      <c r="A451" s="267"/>
      <c r="B451" s="267"/>
      <c r="C451" s="433"/>
      <c r="D451" s="433"/>
      <c r="E451" s="433"/>
      <c r="F451" s="433"/>
      <c r="G451" s="267"/>
      <c r="H451" s="267"/>
      <c r="I451" s="267"/>
      <c r="J451" s="433"/>
      <c r="K451" s="433"/>
      <c r="L451" s="434"/>
      <c r="M451" s="267"/>
      <c r="N451" s="267"/>
      <c r="O451" s="267"/>
      <c r="P451" s="267"/>
      <c r="Q451" s="267"/>
      <c r="R451" s="267"/>
      <c r="S451" s="267"/>
      <c r="T451" s="267"/>
      <c r="U451" s="267"/>
      <c r="V451" s="267"/>
      <c r="W451" s="267"/>
      <c r="X451" s="267"/>
      <c r="Y451" s="267"/>
      <c r="Z451" s="267"/>
      <c r="AA451" s="267"/>
      <c r="AB451" s="267"/>
      <c r="AC451" s="267"/>
    </row>
    <row r="452" ht="13.5" customHeight="1">
      <c r="A452" s="267"/>
      <c r="B452" s="267"/>
      <c r="C452" s="433"/>
      <c r="D452" s="433"/>
      <c r="E452" s="433"/>
      <c r="F452" s="433"/>
      <c r="G452" s="267"/>
      <c r="H452" s="267"/>
      <c r="I452" s="267"/>
      <c r="J452" s="433"/>
      <c r="K452" s="433"/>
      <c r="L452" s="434"/>
      <c r="M452" s="267"/>
      <c r="N452" s="267"/>
      <c r="O452" s="267"/>
      <c r="P452" s="267"/>
      <c r="Q452" s="267"/>
      <c r="R452" s="267"/>
      <c r="S452" s="267"/>
      <c r="T452" s="267"/>
      <c r="U452" s="267"/>
      <c r="V452" s="267"/>
      <c r="W452" s="267"/>
      <c r="X452" s="267"/>
      <c r="Y452" s="267"/>
      <c r="Z452" s="267"/>
      <c r="AA452" s="267"/>
      <c r="AB452" s="267"/>
      <c r="AC452" s="267"/>
    </row>
    <row r="453" ht="13.5" customHeight="1">
      <c r="A453" s="267"/>
      <c r="B453" s="267"/>
      <c r="C453" s="433"/>
      <c r="D453" s="433"/>
      <c r="E453" s="433"/>
      <c r="F453" s="433"/>
      <c r="G453" s="267"/>
      <c r="H453" s="267"/>
      <c r="I453" s="267"/>
      <c r="J453" s="433"/>
      <c r="K453" s="433"/>
      <c r="L453" s="434"/>
      <c r="M453" s="267"/>
      <c r="N453" s="267"/>
      <c r="O453" s="267"/>
      <c r="P453" s="267"/>
      <c r="Q453" s="267"/>
      <c r="R453" s="267"/>
      <c r="S453" s="267"/>
      <c r="T453" s="267"/>
      <c r="U453" s="267"/>
      <c r="V453" s="267"/>
      <c r="W453" s="267"/>
      <c r="X453" s="267"/>
      <c r="Y453" s="267"/>
      <c r="Z453" s="267"/>
      <c r="AA453" s="267"/>
      <c r="AB453" s="267"/>
      <c r="AC453" s="267"/>
    </row>
    <row r="454" ht="13.5" customHeight="1">
      <c r="A454" s="267"/>
      <c r="B454" s="267"/>
      <c r="C454" s="433"/>
      <c r="D454" s="433"/>
      <c r="E454" s="433"/>
      <c r="F454" s="433"/>
      <c r="G454" s="267"/>
      <c r="H454" s="267"/>
      <c r="I454" s="267"/>
      <c r="J454" s="433"/>
      <c r="K454" s="433"/>
      <c r="L454" s="434"/>
      <c r="M454" s="267"/>
      <c r="N454" s="267"/>
      <c r="O454" s="267"/>
      <c r="P454" s="267"/>
      <c r="Q454" s="267"/>
      <c r="R454" s="267"/>
      <c r="S454" s="267"/>
      <c r="T454" s="267"/>
      <c r="U454" s="267"/>
      <c r="V454" s="267"/>
      <c r="W454" s="267"/>
      <c r="X454" s="267"/>
      <c r="Y454" s="267"/>
      <c r="Z454" s="267"/>
      <c r="AA454" s="267"/>
      <c r="AB454" s="267"/>
      <c r="AC454" s="267"/>
    </row>
    <row r="455" ht="13.5" customHeight="1">
      <c r="A455" s="267"/>
      <c r="B455" s="267"/>
      <c r="C455" s="433"/>
      <c r="D455" s="433"/>
      <c r="E455" s="433"/>
      <c r="F455" s="433"/>
      <c r="G455" s="267"/>
      <c r="H455" s="267"/>
      <c r="I455" s="267"/>
      <c r="J455" s="433"/>
      <c r="K455" s="433"/>
      <c r="L455" s="434"/>
      <c r="M455" s="267"/>
      <c r="N455" s="267"/>
      <c r="O455" s="267"/>
      <c r="P455" s="267"/>
      <c r="Q455" s="267"/>
      <c r="R455" s="267"/>
      <c r="S455" s="267"/>
      <c r="T455" s="267"/>
      <c r="U455" s="267"/>
      <c r="V455" s="267"/>
      <c r="W455" s="267"/>
      <c r="X455" s="267"/>
      <c r="Y455" s="267"/>
      <c r="Z455" s="267"/>
      <c r="AA455" s="267"/>
      <c r="AB455" s="267"/>
      <c r="AC455" s="267"/>
    </row>
    <row r="456" ht="13.5" customHeight="1">
      <c r="A456" s="267"/>
      <c r="B456" s="267"/>
      <c r="C456" s="433"/>
      <c r="D456" s="433"/>
      <c r="E456" s="433"/>
      <c r="F456" s="433"/>
      <c r="G456" s="267"/>
      <c r="H456" s="267"/>
      <c r="I456" s="267"/>
      <c r="J456" s="433"/>
      <c r="K456" s="433"/>
      <c r="L456" s="434"/>
      <c r="M456" s="267"/>
      <c r="N456" s="267"/>
      <c r="O456" s="267"/>
      <c r="P456" s="267"/>
      <c r="Q456" s="267"/>
      <c r="R456" s="267"/>
      <c r="S456" s="267"/>
      <c r="T456" s="267"/>
      <c r="U456" s="267"/>
      <c r="V456" s="267"/>
      <c r="W456" s="267"/>
      <c r="X456" s="267"/>
      <c r="Y456" s="267"/>
      <c r="Z456" s="267"/>
      <c r="AA456" s="267"/>
      <c r="AB456" s="267"/>
      <c r="AC456" s="267"/>
    </row>
    <row r="457" ht="13.5" customHeight="1">
      <c r="A457" s="267"/>
      <c r="B457" s="267"/>
      <c r="C457" s="433"/>
      <c r="D457" s="433"/>
      <c r="E457" s="433"/>
      <c r="F457" s="433"/>
      <c r="G457" s="267"/>
      <c r="H457" s="267"/>
      <c r="I457" s="267"/>
      <c r="J457" s="433"/>
      <c r="K457" s="433"/>
      <c r="L457" s="434"/>
      <c r="M457" s="267"/>
      <c r="N457" s="267"/>
      <c r="O457" s="267"/>
      <c r="P457" s="267"/>
      <c r="Q457" s="267"/>
      <c r="R457" s="267"/>
      <c r="S457" s="267"/>
      <c r="T457" s="267"/>
      <c r="U457" s="267"/>
      <c r="V457" s="267"/>
      <c r="W457" s="267"/>
      <c r="X457" s="267"/>
      <c r="Y457" s="267"/>
      <c r="Z457" s="267"/>
      <c r="AA457" s="267"/>
      <c r="AB457" s="267"/>
      <c r="AC457" s="267"/>
    </row>
    <row r="458" ht="13.5" customHeight="1">
      <c r="A458" s="267"/>
      <c r="B458" s="267"/>
      <c r="C458" s="433"/>
      <c r="D458" s="433"/>
      <c r="E458" s="433"/>
      <c r="F458" s="433"/>
      <c r="G458" s="267"/>
      <c r="H458" s="267"/>
      <c r="I458" s="267"/>
      <c r="J458" s="433"/>
      <c r="K458" s="433"/>
      <c r="L458" s="434"/>
      <c r="M458" s="267"/>
      <c r="N458" s="267"/>
      <c r="O458" s="267"/>
      <c r="P458" s="267"/>
      <c r="Q458" s="267"/>
      <c r="R458" s="267"/>
      <c r="S458" s="267"/>
      <c r="T458" s="267"/>
      <c r="U458" s="267"/>
      <c r="V458" s="267"/>
      <c r="W458" s="267"/>
      <c r="X458" s="267"/>
      <c r="Y458" s="267"/>
      <c r="Z458" s="267"/>
      <c r="AA458" s="267"/>
      <c r="AB458" s="267"/>
      <c r="AC458" s="267"/>
    </row>
    <row r="459" ht="13.5" customHeight="1">
      <c r="A459" s="267"/>
      <c r="B459" s="267"/>
      <c r="C459" s="433"/>
      <c r="D459" s="433"/>
      <c r="E459" s="433"/>
      <c r="F459" s="433"/>
      <c r="G459" s="267"/>
      <c r="H459" s="267"/>
      <c r="I459" s="267"/>
      <c r="J459" s="433"/>
      <c r="K459" s="433"/>
      <c r="L459" s="434"/>
      <c r="M459" s="267"/>
      <c r="N459" s="267"/>
      <c r="O459" s="267"/>
      <c r="P459" s="267"/>
      <c r="Q459" s="267"/>
      <c r="R459" s="267"/>
      <c r="S459" s="267"/>
      <c r="T459" s="267"/>
      <c r="U459" s="267"/>
      <c r="V459" s="267"/>
      <c r="W459" s="267"/>
      <c r="X459" s="267"/>
      <c r="Y459" s="267"/>
      <c r="Z459" s="267"/>
      <c r="AA459" s="267"/>
      <c r="AB459" s="267"/>
      <c r="AC459" s="267"/>
    </row>
    <row r="460" ht="13.5" customHeight="1">
      <c r="A460" s="267"/>
      <c r="B460" s="267"/>
      <c r="C460" s="433"/>
      <c r="D460" s="433"/>
      <c r="E460" s="433"/>
      <c r="F460" s="433"/>
      <c r="G460" s="267"/>
      <c r="H460" s="267"/>
      <c r="I460" s="267"/>
      <c r="J460" s="433"/>
      <c r="K460" s="433"/>
      <c r="L460" s="434"/>
      <c r="M460" s="267"/>
      <c r="N460" s="267"/>
      <c r="O460" s="267"/>
      <c r="P460" s="267"/>
      <c r="Q460" s="267"/>
      <c r="R460" s="267"/>
      <c r="S460" s="267"/>
      <c r="T460" s="267"/>
      <c r="U460" s="267"/>
      <c r="V460" s="267"/>
      <c r="W460" s="267"/>
      <c r="X460" s="267"/>
      <c r="Y460" s="267"/>
      <c r="Z460" s="267"/>
      <c r="AA460" s="267"/>
      <c r="AB460" s="267"/>
      <c r="AC460" s="267"/>
    </row>
    <row r="461" ht="13.5" customHeight="1">
      <c r="A461" s="267"/>
      <c r="B461" s="267"/>
      <c r="C461" s="433"/>
      <c r="D461" s="433"/>
      <c r="E461" s="433"/>
      <c r="F461" s="433"/>
      <c r="G461" s="267"/>
      <c r="H461" s="267"/>
      <c r="I461" s="267"/>
      <c r="J461" s="433"/>
      <c r="K461" s="433"/>
      <c r="L461" s="434"/>
      <c r="M461" s="267"/>
      <c r="N461" s="267"/>
      <c r="O461" s="267"/>
      <c r="P461" s="267"/>
      <c r="Q461" s="267"/>
      <c r="R461" s="267"/>
      <c r="S461" s="267"/>
      <c r="T461" s="267"/>
      <c r="U461" s="267"/>
      <c r="V461" s="267"/>
      <c r="W461" s="267"/>
      <c r="X461" s="267"/>
      <c r="Y461" s="267"/>
      <c r="Z461" s="267"/>
      <c r="AA461" s="267"/>
      <c r="AB461" s="267"/>
      <c r="AC461" s="267"/>
    </row>
    <row r="462" ht="13.5" customHeight="1">
      <c r="A462" s="267"/>
      <c r="B462" s="267"/>
      <c r="C462" s="433"/>
      <c r="D462" s="433"/>
      <c r="E462" s="433"/>
      <c r="F462" s="433"/>
      <c r="G462" s="267"/>
      <c r="H462" s="267"/>
      <c r="I462" s="267"/>
      <c r="J462" s="433"/>
      <c r="K462" s="433"/>
      <c r="L462" s="434"/>
      <c r="M462" s="267"/>
      <c r="N462" s="267"/>
      <c r="O462" s="267"/>
      <c r="P462" s="267"/>
      <c r="Q462" s="267"/>
      <c r="R462" s="267"/>
      <c r="S462" s="267"/>
      <c r="T462" s="267"/>
      <c r="U462" s="267"/>
      <c r="V462" s="267"/>
      <c r="W462" s="267"/>
      <c r="X462" s="267"/>
      <c r="Y462" s="267"/>
      <c r="Z462" s="267"/>
      <c r="AA462" s="267"/>
      <c r="AB462" s="267"/>
      <c r="AC462" s="267"/>
    </row>
    <row r="463" ht="13.5" customHeight="1">
      <c r="A463" s="267"/>
      <c r="B463" s="267"/>
      <c r="C463" s="433"/>
      <c r="D463" s="433"/>
      <c r="E463" s="433"/>
      <c r="F463" s="433"/>
      <c r="G463" s="267"/>
      <c r="H463" s="267"/>
      <c r="I463" s="267"/>
      <c r="J463" s="433"/>
      <c r="K463" s="433"/>
      <c r="L463" s="434"/>
      <c r="M463" s="267"/>
      <c r="N463" s="267"/>
      <c r="O463" s="267"/>
      <c r="P463" s="267"/>
      <c r="Q463" s="267"/>
      <c r="R463" s="267"/>
      <c r="S463" s="267"/>
      <c r="T463" s="267"/>
      <c r="U463" s="267"/>
      <c r="V463" s="267"/>
      <c r="W463" s="267"/>
      <c r="X463" s="267"/>
      <c r="Y463" s="267"/>
      <c r="Z463" s="267"/>
      <c r="AA463" s="267"/>
      <c r="AB463" s="267"/>
      <c r="AC463" s="267"/>
    </row>
    <row r="464" ht="13.5" customHeight="1">
      <c r="A464" s="267"/>
      <c r="B464" s="267"/>
      <c r="C464" s="433"/>
      <c r="D464" s="433"/>
      <c r="E464" s="433"/>
      <c r="F464" s="433"/>
      <c r="G464" s="267"/>
      <c r="H464" s="267"/>
      <c r="I464" s="267"/>
      <c r="J464" s="433"/>
      <c r="K464" s="433"/>
      <c r="L464" s="434"/>
      <c r="M464" s="267"/>
      <c r="N464" s="267"/>
      <c r="O464" s="267"/>
      <c r="P464" s="267"/>
      <c r="Q464" s="267"/>
      <c r="R464" s="267"/>
      <c r="S464" s="267"/>
      <c r="T464" s="267"/>
      <c r="U464" s="267"/>
      <c r="V464" s="267"/>
      <c r="W464" s="267"/>
      <c r="X464" s="267"/>
      <c r="Y464" s="267"/>
      <c r="Z464" s="267"/>
      <c r="AA464" s="267"/>
      <c r="AB464" s="267"/>
      <c r="AC464" s="267"/>
    </row>
    <row r="465" ht="13.5" customHeight="1">
      <c r="A465" s="267"/>
      <c r="B465" s="267"/>
      <c r="C465" s="433"/>
      <c r="D465" s="433"/>
      <c r="E465" s="433"/>
      <c r="F465" s="433"/>
      <c r="G465" s="267"/>
      <c r="H465" s="267"/>
      <c r="I465" s="267"/>
      <c r="J465" s="433"/>
      <c r="K465" s="433"/>
      <c r="L465" s="434"/>
      <c r="M465" s="267"/>
      <c r="N465" s="267"/>
      <c r="O465" s="267"/>
      <c r="P465" s="267"/>
      <c r="Q465" s="267"/>
      <c r="R465" s="267"/>
      <c r="S465" s="267"/>
      <c r="T465" s="267"/>
      <c r="U465" s="267"/>
      <c r="V465" s="267"/>
      <c r="W465" s="267"/>
      <c r="X465" s="267"/>
      <c r="Y465" s="267"/>
      <c r="Z465" s="267"/>
      <c r="AA465" s="267"/>
      <c r="AB465" s="267"/>
      <c r="AC465" s="267"/>
    </row>
    <row r="466" ht="13.5" customHeight="1">
      <c r="A466" s="267"/>
      <c r="B466" s="267"/>
      <c r="C466" s="433"/>
      <c r="D466" s="433"/>
      <c r="E466" s="433"/>
      <c r="F466" s="433"/>
      <c r="G466" s="267"/>
      <c r="H466" s="267"/>
      <c r="I466" s="267"/>
      <c r="J466" s="433"/>
      <c r="K466" s="433"/>
      <c r="L466" s="434"/>
      <c r="M466" s="267"/>
      <c r="N466" s="267"/>
      <c r="O466" s="267"/>
      <c r="P466" s="267"/>
      <c r="Q466" s="267"/>
      <c r="R466" s="267"/>
      <c r="S466" s="267"/>
      <c r="T466" s="267"/>
      <c r="U466" s="267"/>
      <c r="V466" s="267"/>
      <c r="W466" s="267"/>
      <c r="X466" s="267"/>
      <c r="Y466" s="267"/>
      <c r="Z466" s="267"/>
      <c r="AA466" s="267"/>
      <c r="AB466" s="267"/>
      <c r="AC466" s="267"/>
    </row>
    <row r="467" ht="13.5" customHeight="1">
      <c r="A467" s="267"/>
      <c r="B467" s="267"/>
      <c r="C467" s="433"/>
      <c r="D467" s="433"/>
      <c r="E467" s="433"/>
      <c r="F467" s="433"/>
      <c r="G467" s="267"/>
      <c r="H467" s="267"/>
      <c r="I467" s="267"/>
      <c r="J467" s="433"/>
      <c r="K467" s="433"/>
      <c r="L467" s="434"/>
      <c r="M467" s="267"/>
      <c r="N467" s="267"/>
      <c r="O467" s="267"/>
      <c r="P467" s="267"/>
      <c r="Q467" s="267"/>
      <c r="R467" s="267"/>
      <c r="S467" s="267"/>
      <c r="T467" s="267"/>
      <c r="U467" s="267"/>
      <c r="V467" s="267"/>
      <c r="W467" s="267"/>
      <c r="X467" s="267"/>
      <c r="Y467" s="267"/>
      <c r="Z467" s="267"/>
      <c r="AA467" s="267"/>
      <c r="AB467" s="267"/>
      <c r="AC467" s="267"/>
    </row>
    <row r="468" ht="13.5" customHeight="1">
      <c r="A468" s="267"/>
      <c r="B468" s="267"/>
      <c r="C468" s="433"/>
      <c r="D468" s="433"/>
      <c r="E468" s="433"/>
      <c r="F468" s="433"/>
      <c r="G468" s="267"/>
      <c r="H468" s="267"/>
      <c r="I468" s="267"/>
      <c r="J468" s="433"/>
      <c r="K468" s="433"/>
      <c r="L468" s="434"/>
      <c r="M468" s="267"/>
      <c r="N468" s="267"/>
      <c r="O468" s="267"/>
      <c r="P468" s="267"/>
      <c r="Q468" s="267"/>
      <c r="R468" s="267"/>
      <c r="S468" s="267"/>
      <c r="T468" s="267"/>
      <c r="U468" s="267"/>
      <c r="V468" s="267"/>
      <c r="W468" s="267"/>
      <c r="X468" s="267"/>
      <c r="Y468" s="267"/>
      <c r="Z468" s="267"/>
      <c r="AA468" s="267"/>
      <c r="AB468" s="267"/>
      <c r="AC468" s="267"/>
    </row>
    <row r="469" ht="13.5" customHeight="1">
      <c r="A469" s="267"/>
      <c r="B469" s="267"/>
      <c r="C469" s="433"/>
      <c r="D469" s="433"/>
      <c r="E469" s="433"/>
      <c r="F469" s="433"/>
      <c r="G469" s="267"/>
      <c r="H469" s="267"/>
      <c r="I469" s="267"/>
      <c r="J469" s="433"/>
      <c r="K469" s="433"/>
      <c r="L469" s="434"/>
      <c r="M469" s="267"/>
      <c r="N469" s="267"/>
      <c r="O469" s="267"/>
      <c r="P469" s="267"/>
      <c r="Q469" s="267"/>
      <c r="R469" s="267"/>
      <c r="S469" s="267"/>
      <c r="T469" s="267"/>
      <c r="U469" s="267"/>
      <c r="V469" s="267"/>
      <c r="W469" s="267"/>
      <c r="X469" s="267"/>
      <c r="Y469" s="267"/>
      <c r="Z469" s="267"/>
      <c r="AA469" s="267"/>
      <c r="AB469" s="267"/>
      <c r="AC469" s="267"/>
    </row>
    <row r="470" ht="13.5" customHeight="1">
      <c r="A470" s="267"/>
      <c r="B470" s="267"/>
      <c r="C470" s="433"/>
      <c r="D470" s="433"/>
      <c r="E470" s="433"/>
      <c r="F470" s="433"/>
      <c r="G470" s="267"/>
      <c r="H470" s="267"/>
      <c r="I470" s="267"/>
      <c r="J470" s="433"/>
      <c r="K470" s="433"/>
      <c r="L470" s="434"/>
      <c r="M470" s="267"/>
      <c r="N470" s="267"/>
      <c r="O470" s="267"/>
      <c r="P470" s="267"/>
      <c r="Q470" s="267"/>
      <c r="R470" s="267"/>
      <c r="S470" s="267"/>
      <c r="T470" s="267"/>
      <c r="U470" s="267"/>
      <c r="V470" s="267"/>
      <c r="W470" s="267"/>
      <c r="X470" s="267"/>
      <c r="Y470" s="267"/>
      <c r="Z470" s="267"/>
      <c r="AA470" s="267"/>
      <c r="AB470" s="267"/>
      <c r="AC470" s="267"/>
    </row>
    <row r="471" ht="13.5" customHeight="1">
      <c r="A471" s="267"/>
      <c r="B471" s="267"/>
      <c r="C471" s="433"/>
      <c r="D471" s="433"/>
      <c r="E471" s="433"/>
      <c r="F471" s="433"/>
      <c r="G471" s="267"/>
      <c r="H471" s="267"/>
      <c r="I471" s="267"/>
      <c r="J471" s="433"/>
      <c r="K471" s="433"/>
      <c r="L471" s="434"/>
      <c r="M471" s="267"/>
      <c r="N471" s="267"/>
      <c r="O471" s="267"/>
      <c r="P471" s="267"/>
      <c r="Q471" s="267"/>
      <c r="R471" s="267"/>
      <c r="S471" s="267"/>
      <c r="T471" s="267"/>
      <c r="U471" s="267"/>
      <c r="V471" s="267"/>
      <c r="W471" s="267"/>
      <c r="X471" s="267"/>
      <c r="Y471" s="267"/>
      <c r="Z471" s="267"/>
      <c r="AA471" s="267"/>
      <c r="AB471" s="267"/>
      <c r="AC471" s="267"/>
    </row>
    <row r="472" ht="13.5" customHeight="1">
      <c r="A472" s="267"/>
      <c r="B472" s="267"/>
      <c r="C472" s="433"/>
      <c r="D472" s="433"/>
      <c r="E472" s="433"/>
      <c r="F472" s="433"/>
      <c r="G472" s="267"/>
      <c r="H472" s="267"/>
      <c r="I472" s="267"/>
      <c r="J472" s="433"/>
      <c r="K472" s="433"/>
      <c r="L472" s="434"/>
      <c r="M472" s="267"/>
      <c r="N472" s="267"/>
      <c r="O472" s="267"/>
      <c r="P472" s="267"/>
      <c r="Q472" s="267"/>
      <c r="R472" s="267"/>
      <c r="S472" s="267"/>
      <c r="T472" s="267"/>
      <c r="U472" s="267"/>
      <c r="V472" s="267"/>
      <c r="W472" s="267"/>
      <c r="X472" s="267"/>
      <c r="Y472" s="267"/>
      <c r="Z472" s="267"/>
      <c r="AA472" s="267"/>
      <c r="AB472" s="267"/>
      <c r="AC472" s="267"/>
    </row>
    <row r="473" ht="13.5" customHeight="1">
      <c r="A473" s="267"/>
      <c r="B473" s="267"/>
      <c r="C473" s="433"/>
      <c r="D473" s="433"/>
      <c r="E473" s="433"/>
      <c r="F473" s="433"/>
      <c r="G473" s="267"/>
      <c r="H473" s="267"/>
      <c r="I473" s="267"/>
      <c r="J473" s="433"/>
      <c r="K473" s="433"/>
      <c r="L473" s="434"/>
      <c r="M473" s="267"/>
      <c r="N473" s="267"/>
      <c r="O473" s="267"/>
      <c r="P473" s="267"/>
      <c r="Q473" s="267"/>
      <c r="R473" s="267"/>
      <c r="S473" s="267"/>
      <c r="T473" s="267"/>
      <c r="U473" s="267"/>
      <c r="V473" s="267"/>
      <c r="W473" s="267"/>
      <c r="X473" s="267"/>
      <c r="Y473" s="267"/>
      <c r="Z473" s="267"/>
      <c r="AA473" s="267"/>
      <c r="AB473" s="267"/>
      <c r="AC473" s="267"/>
    </row>
    <row r="474" ht="13.5" customHeight="1">
      <c r="A474" s="267"/>
      <c r="B474" s="267"/>
      <c r="C474" s="433"/>
      <c r="D474" s="433"/>
      <c r="E474" s="433"/>
      <c r="F474" s="433"/>
      <c r="G474" s="267"/>
      <c r="H474" s="267"/>
      <c r="I474" s="267"/>
      <c r="J474" s="433"/>
      <c r="K474" s="433"/>
      <c r="L474" s="434"/>
      <c r="M474" s="267"/>
      <c r="N474" s="267"/>
      <c r="O474" s="267"/>
      <c r="P474" s="267"/>
      <c r="Q474" s="267"/>
      <c r="R474" s="267"/>
      <c r="S474" s="267"/>
      <c r="T474" s="267"/>
      <c r="U474" s="267"/>
      <c r="V474" s="267"/>
      <c r="W474" s="267"/>
      <c r="X474" s="267"/>
      <c r="Y474" s="267"/>
      <c r="Z474" s="267"/>
      <c r="AA474" s="267"/>
      <c r="AB474" s="267"/>
      <c r="AC474" s="267"/>
    </row>
    <row r="475" ht="13.5" customHeight="1">
      <c r="A475" s="267"/>
      <c r="B475" s="267"/>
      <c r="C475" s="433"/>
      <c r="D475" s="433"/>
      <c r="E475" s="433"/>
      <c r="F475" s="433"/>
      <c r="G475" s="267"/>
      <c r="H475" s="267"/>
      <c r="I475" s="267"/>
      <c r="J475" s="433"/>
      <c r="K475" s="433"/>
      <c r="L475" s="434"/>
      <c r="M475" s="267"/>
      <c r="N475" s="267"/>
      <c r="O475" s="267"/>
      <c r="P475" s="267"/>
      <c r="Q475" s="267"/>
      <c r="R475" s="267"/>
      <c r="S475" s="267"/>
      <c r="T475" s="267"/>
      <c r="U475" s="267"/>
      <c r="V475" s="267"/>
      <c r="W475" s="267"/>
      <c r="X475" s="267"/>
      <c r="Y475" s="267"/>
      <c r="Z475" s="267"/>
      <c r="AA475" s="267"/>
      <c r="AB475" s="267"/>
      <c r="AC475" s="267"/>
    </row>
    <row r="476" ht="13.5" customHeight="1">
      <c r="A476" s="267"/>
      <c r="B476" s="267"/>
      <c r="C476" s="433"/>
      <c r="D476" s="433"/>
      <c r="E476" s="433"/>
      <c r="F476" s="433"/>
      <c r="G476" s="267"/>
      <c r="H476" s="267"/>
      <c r="I476" s="267"/>
      <c r="J476" s="433"/>
      <c r="K476" s="433"/>
      <c r="L476" s="434"/>
      <c r="M476" s="267"/>
      <c r="N476" s="267"/>
      <c r="O476" s="267"/>
      <c r="P476" s="267"/>
      <c r="Q476" s="267"/>
      <c r="R476" s="267"/>
      <c r="S476" s="267"/>
      <c r="T476" s="267"/>
      <c r="U476" s="267"/>
      <c r="V476" s="267"/>
      <c r="W476" s="267"/>
      <c r="X476" s="267"/>
      <c r="Y476" s="267"/>
      <c r="Z476" s="267"/>
      <c r="AA476" s="267"/>
      <c r="AB476" s="267"/>
      <c r="AC476" s="267"/>
    </row>
    <row r="477" ht="13.5" customHeight="1">
      <c r="A477" s="267"/>
      <c r="B477" s="267"/>
      <c r="C477" s="433"/>
      <c r="D477" s="433"/>
      <c r="E477" s="433"/>
      <c r="F477" s="433"/>
      <c r="G477" s="267"/>
      <c r="H477" s="267"/>
      <c r="I477" s="267"/>
      <c r="J477" s="433"/>
      <c r="K477" s="433"/>
      <c r="L477" s="434"/>
      <c r="M477" s="267"/>
      <c r="N477" s="267"/>
      <c r="O477" s="267"/>
      <c r="P477" s="267"/>
      <c r="Q477" s="267"/>
      <c r="R477" s="267"/>
      <c r="S477" s="267"/>
      <c r="T477" s="267"/>
      <c r="U477" s="267"/>
      <c r="V477" s="267"/>
      <c r="W477" s="267"/>
      <c r="X477" s="267"/>
      <c r="Y477" s="267"/>
      <c r="Z477" s="267"/>
      <c r="AA477" s="267"/>
      <c r="AB477" s="267"/>
      <c r="AC477" s="267"/>
    </row>
    <row r="478" ht="13.5" customHeight="1">
      <c r="A478" s="267"/>
      <c r="B478" s="267"/>
      <c r="C478" s="433"/>
      <c r="D478" s="433"/>
      <c r="E478" s="433"/>
      <c r="F478" s="433"/>
      <c r="G478" s="267"/>
      <c r="H478" s="267"/>
      <c r="I478" s="267"/>
      <c r="J478" s="433"/>
      <c r="K478" s="433"/>
      <c r="L478" s="434"/>
      <c r="M478" s="267"/>
      <c r="N478" s="267"/>
      <c r="O478" s="267"/>
      <c r="P478" s="267"/>
      <c r="Q478" s="267"/>
      <c r="R478" s="267"/>
      <c r="S478" s="267"/>
      <c r="T478" s="267"/>
      <c r="U478" s="267"/>
      <c r="V478" s="267"/>
      <c r="W478" s="267"/>
      <c r="X478" s="267"/>
      <c r="Y478" s="267"/>
      <c r="Z478" s="267"/>
      <c r="AA478" s="267"/>
      <c r="AB478" s="267"/>
      <c r="AC478" s="267"/>
    </row>
    <row r="479" ht="13.5" customHeight="1">
      <c r="A479" s="267"/>
      <c r="B479" s="267"/>
      <c r="C479" s="433"/>
      <c r="D479" s="433"/>
      <c r="E479" s="433"/>
      <c r="F479" s="433"/>
      <c r="G479" s="267"/>
      <c r="H479" s="267"/>
      <c r="I479" s="267"/>
      <c r="J479" s="433"/>
      <c r="K479" s="433"/>
      <c r="L479" s="434"/>
      <c r="M479" s="267"/>
      <c r="N479" s="267"/>
      <c r="O479" s="267"/>
      <c r="P479" s="267"/>
      <c r="Q479" s="267"/>
      <c r="R479" s="267"/>
      <c r="S479" s="267"/>
      <c r="T479" s="267"/>
      <c r="U479" s="267"/>
      <c r="V479" s="267"/>
      <c r="W479" s="267"/>
      <c r="X479" s="267"/>
      <c r="Y479" s="267"/>
      <c r="Z479" s="267"/>
      <c r="AA479" s="267"/>
      <c r="AB479" s="267"/>
      <c r="AC479" s="267"/>
    </row>
    <row r="480" ht="13.5" customHeight="1">
      <c r="A480" s="267"/>
      <c r="B480" s="267"/>
      <c r="C480" s="433"/>
      <c r="D480" s="433"/>
      <c r="E480" s="433"/>
      <c r="F480" s="433"/>
      <c r="G480" s="267"/>
      <c r="H480" s="267"/>
      <c r="I480" s="267"/>
      <c r="J480" s="433"/>
      <c r="K480" s="433"/>
      <c r="L480" s="434"/>
      <c r="M480" s="267"/>
      <c r="N480" s="267"/>
      <c r="O480" s="267"/>
      <c r="P480" s="267"/>
      <c r="Q480" s="267"/>
      <c r="R480" s="267"/>
      <c r="S480" s="267"/>
      <c r="T480" s="267"/>
      <c r="U480" s="267"/>
      <c r="V480" s="267"/>
      <c r="W480" s="267"/>
      <c r="X480" s="267"/>
      <c r="Y480" s="267"/>
      <c r="Z480" s="267"/>
      <c r="AA480" s="267"/>
      <c r="AB480" s="267"/>
      <c r="AC480" s="267"/>
    </row>
    <row r="481" ht="13.5" customHeight="1">
      <c r="A481" s="267"/>
      <c r="B481" s="267"/>
      <c r="C481" s="433"/>
      <c r="D481" s="433"/>
      <c r="E481" s="433"/>
      <c r="F481" s="433"/>
      <c r="G481" s="267"/>
      <c r="H481" s="267"/>
      <c r="I481" s="267"/>
      <c r="J481" s="433"/>
      <c r="K481" s="433"/>
      <c r="L481" s="434"/>
      <c r="M481" s="267"/>
      <c r="N481" s="267"/>
      <c r="O481" s="267"/>
      <c r="P481" s="267"/>
      <c r="Q481" s="267"/>
      <c r="R481" s="267"/>
      <c r="S481" s="267"/>
      <c r="T481" s="267"/>
      <c r="U481" s="267"/>
      <c r="V481" s="267"/>
      <c r="W481" s="267"/>
      <c r="X481" s="267"/>
      <c r="Y481" s="267"/>
      <c r="Z481" s="267"/>
      <c r="AA481" s="267"/>
      <c r="AB481" s="267"/>
      <c r="AC481" s="267"/>
    </row>
    <row r="482" ht="13.5" customHeight="1">
      <c r="A482" s="267"/>
      <c r="B482" s="267"/>
      <c r="C482" s="433"/>
      <c r="D482" s="433"/>
      <c r="E482" s="433"/>
      <c r="F482" s="433"/>
      <c r="G482" s="267"/>
      <c r="H482" s="267"/>
      <c r="I482" s="267"/>
      <c r="J482" s="433"/>
      <c r="K482" s="433"/>
      <c r="L482" s="434"/>
      <c r="M482" s="267"/>
      <c r="N482" s="267"/>
      <c r="O482" s="267"/>
      <c r="P482" s="267"/>
      <c r="Q482" s="267"/>
      <c r="R482" s="267"/>
      <c r="S482" s="267"/>
      <c r="T482" s="267"/>
      <c r="U482" s="267"/>
      <c r="V482" s="267"/>
      <c r="W482" s="267"/>
      <c r="X482" s="267"/>
      <c r="Y482" s="267"/>
      <c r="Z482" s="267"/>
      <c r="AA482" s="267"/>
      <c r="AB482" s="267"/>
      <c r="AC482" s="267"/>
    </row>
    <row r="483" ht="13.5" customHeight="1">
      <c r="A483" s="267"/>
      <c r="B483" s="267"/>
      <c r="C483" s="433"/>
      <c r="D483" s="433"/>
      <c r="E483" s="433"/>
      <c r="F483" s="433"/>
      <c r="G483" s="267"/>
      <c r="H483" s="267"/>
      <c r="I483" s="267"/>
      <c r="J483" s="433"/>
      <c r="K483" s="433"/>
      <c r="L483" s="434"/>
      <c r="M483" s="267"/>
      <c r="N483" s="267"/>
      <c r="O483" s="267"/>
      <c r="P483" s="267"/>
      <c r="Q483" s="267"/>
      <c r="R483" s="267"/>
      <c r="S483" s="267"/>
      <c r="T483" s="267"/>
      <c r="U483" s="267"/>
      <c r="V483" s="267"/>
      <c r="W483" s="267"/>
      <c r="X483" s="267"/>
      <c r="Y483" s="267"/>
      <c r="Z483" s="267"/>
      <c r="AA483" s="267"/>
      <c r="AB483" s="267"/>
      <c r="AC483" s="267"/>
    </row>
    <row r="484" ht="13.5" customHeight="1">
      <c r="A484" s="267"/>
      <c r="B484" s="267"/>
      <c r="C484" s="433"/>
      <c r="D484" s="433"/>
      <c r="E484" s="433"/>
      <c r="F484" s="433"/>
      <c r="G484" s="267"/>
      <c r="H484" s="267"/>
      <c r="I484" s="267"/>
      <c r="J484" s="433"/>
      <c r="K484" s="433"/>
      <c r="L484" s="434"/>
      <c r="M484" s="267"/>
      <c r="N484" s="267"/>
      <c r="O484" s="267"/>
      <c r="P484" s="267"/>
      <c r="Q484" s="267"/>
      <c r="R484" s="267"/>
      <c r="S484" s="267"/>
      <c r="T484" s="267"/>
      <c r="U484" s="267"/>
      <c r="V484" s="267"/>
      <c r="W484" s="267"/>
      <c r="X484" s="267"/>
      <c r="Y484" s="267"/>
      <c r="Z484" s="267"/>
      <c r="AA484" s="267"/>
      <c r="AB484" s="267"/>
      <c r="AC484" s="267"/>
    </row>
    <row r="485" ht="13.5" customHeight="1">
      <c r="A485" s="267"/>
      <c r="B485" s="267"/>
      <c r="C485" s="433"/>
      <c r="D485" s="433"/>
      <c r="E485" s="433"/>
      <c r="F485" s="433"/>
      <c r="G485" s="267"/>
      <c r="H485" s="267"/>
      <c r="I485" s="267"/>
      <c r="J485" s="433"/>
      <c r="K485" s="433"/>
      <c r="L485" s="434"/>
      <c r="M485" s="267"/>
      <c r="N485" s="267"/>
      <c r="O485" s="267"/>
      <c r="P485" s="267"/>
      <c r="Q485" s="267"/>
      <c r="R485" s="267"/>
      <c r="S485" s="267"/>
      <c r="T485" s="267"/>
      <c r="U485" s="267"/>
      <c r="V485" s="267"/>
      <c r="W485" s="267"/>
      <c r="X485" s="267"/>
      <c r="Y485" s="267"/>
      <c r="Z485" s="267"/>
      <c r="AA485" s="267"/>
      <c r="AB485" s="267"/>
      <c r="AC485" s="267"/>
    </row>
    <row r="486" ht="13.5" customHeight="1">
      <c r="A486" s="267"/>
      <c r="B486" s="267"/>
      <c r="C486" s="433"/>
      <c r="D486" s="433"/>
      <c r="E486" s="433"/>
      <c r="F486" s="433"/>
      <c r="G486" s="267"/>
      <c r="H486" s="267"/>
      <c r="I486" s="267"/>
      <c r="J486" s="433"/>
      <c r="K486" s="433"/>
      <c r="L486" s="434"/>
      <c r="M486" s="267"/>
      <c r="N486" s="267"/>
      <c r="O486" s="267"/>
      <c r="P486" s="267"/>
      <c r="Q486" s="267"/>
      <c r="R486" s="267"/>
      <c r="S486" s="267"/>
      <c r="T486" s="267"/>
      <c r="U486" s="267"/>
      <c r="V486" s="267"/>
      <c r="W486" s="267"/>
      <c r="X486" s="267"/>
      <c r="Y486" s="267"/>
      <c r="Z486" s="267"/>
      <c r="AA486" s="267"/>
      <c r="AB486" s="267"/>
      <c r="AC486" s="267"/>
    </row>
    <row r="487" ht="13.5" customHeight="1">
      <c r="A487" s="267"/>
      <c r="B487" s="267"/>
      <c r="C487" s="433"/>
      <c r="D487" s="433"/>
      <c r="E487" s="433"/>
      <c r="F487" s="433"/>
      <c r="G487" s="267"/>
      <c r="H487" s="267"/>
      <c r="I487" s="267"/>
      <c r="J487" s="433"/>
      <c r="K487" s="433"/>
      <c r="L487" s="434"/>
      <c r="M487" s="267"/>
      <c r="N487" s="267"/>
      <c r="O487" s="267"/>
      <c r="P487" s="267"/>
      <c r="Q487" s="267"/>
      <c r="R487" s="267"/>
      <c r="S487" s="267"/>
      <c r="T487" s="267"/>
      <c r="U487" s="267"/>
      <c r="V487" s="267"/>
      <c r="W487" s="267"/>
      <c r="X487" s="267"/>
      <c r="Y487" s="267"/>
      <c r="Z487" s="267"/>
      <c r="AA487" s="267"/>
      <c r="AB487" s="267"/>
      <c r="AC487" s="267"/>
    </row>
    <row r="488" ht="13.5" customHeight="1">
      <c r="A488" s="267"/>
      <c r="B488" s="267"/>
      <c r="C488" s="433"/>
      <c r="D488" s="433"/>
      <c r="E488" s="433"/>
      <c r="F488" s="433"/>
      <c r="G488" s="267"/>
      <c r="H488" s="267"/>
      <c r="I488" s="267"/>
      <c r="J488" s="433"/>
      <c r="K488" s="433"/>
      <c r="L488" s="434"/>
      <c r="M488" s="267"/>
      <c r="N488" s="267"/>
      <c r="O488" s="267"/>
      <c r="P488" s="267"/>
      <c r="Q488" s="267"/>
      <c r="R488" s="267"/>
      <c r="S488" s="267"/>
      <c r="T488" s="267"/>
      <c r="U488" s="267"/>
      <c r="V488" s="267"/>
      <c r="W488" s="267"/>
      <c r="X488" s="267"/>
      <c r="Y488" s="267"/>
      <c r="Z488" s="267"/>
      <c r="AA488" s="267"/>
      <c r="AB488" s="267"/>
      <c r="AC488" s="267"/>
    </row>
    <row r="489" ht="13.5" customHeight="1">
      <c r="A489" s="267"/>
      <c r="B489" s="267"/>
      <c r="C489" s="433"/>
      <c r="D489" s="433"/>
      <c r="E489" s="433"/>
      <c r="F489" s="433"/>
      <c r="G489" s="267"/>
      <c r="H489" s="267"/>
      <c r="I489" s="267"/>
      <c r="J489" s="433"/>
      <c r="K489" s="433"/>
      <c r="L489" s="434"/>
      <c r="M489" s="267"/>
      <c r="N489" s="267"/>
      <c r="O489" s="267"/>
      <c r="P489" s="267"/>
      <c r="Q489" s="267"/>
      <c r="R489" s="267"/>
      <c r="S489" s="267"/>
      <c r="T489" s="267"/>
      <c r="U489" s="267"/>
      <c r="V489" s="267"/>
      <c r="W489" s="267"/>
      <c r="X489" s="267"/>
      <c r="Y489" s="267"/>
      <c r="Z489" s="267"/>
      <c r="AA489" s="267"/>
      <c r="AB489" s="267"/>
      <c r="AC489" s="267"/>
    </row>
    <row r="490" ht="13.5" customHeight="1">
      <c r="A490" s="267"/>
      <c r="B490" s="267"/>
      <c r="C490" s="433"/>
      <c r="D490" s="433"/>
      <c r="E490" s="433"/>
      <c r="F490" s="433"/>
      <c r="G490" s="267"/>
      <c r="H490" s="267"/>
      <c r="I490" s="267"/>
      <c r="J490" s="433"/>
      <c r="K490" s="433"/>
      <c r="L490" s="434"/>
      <c r="M490" s="267"/>
      <c r="N490" s="267"/>
      <c r="O490" s="267"/>
      <c r="P490" s="267"/>
      <c r="Q490" s="267"/>
      <c r="R490" s="267"/>
      <c r="S490" s="267"/>
      <c r="T490" s="267"/>
      <c r="U490" s="267"/>
      <c r="V490" s="267"/>
      <c r="W490" s="267"/>
      <c r="X490" s="267"/>
      <c r="Y490" s="267"/>
      <c r="Z490" s="267"/>
      <c r="AA490" s="267"/>
      <c r="AB490" s="267"/>
      <c r="AC490" s="267"/>
    </row>
    <row r="491" ht="13.5" customHeight="1">
      <c r="A491" s="267"/>
      <c r="B491" s="267"/>
      <c r="C491" s="433"/>
      <c r="D491" s="433"/>
      <c r="E491" s="433"/>
      <c r="F491" s="433"/>
      <c r="G491" s="267"/>
      <c r="H491" s="267"/>
      <c r="I491" s="267"/>
      <c r="J491" s="433"/>
      <c r="K491" s="433"/>
      <c r="L491" s="434"/>
      <c r="M491" s="267"/>
      <c r="N491" s="267"/>
      <c r="O491" s="267"/>
      <c r="P491" s="267"/>
      <c r="Q491" s="267"/>
      <c r="R491" s="267"/>
      <c r="S491" s="267"/>
      <c r="T491" s="267"/>
      <c r="U491" s="267"/>
      <c r="V491" s="267"/>
      <c r="W491" s="267"/>
      <c r="X491" s="267"/>
      <c r="Y491" s="267"/>
      <c r="Z491" s="267"/>
      <c r="AA491" s="267"/>
      <c r="AB491" s="267"/>
      <c r="AC491" s="267"/>
    </row>
    <row r="492" ht="13.5" customHeight="1">
      <c r="A492" s="267"/>
      <c r="B492" s="267"/>
      <c r="C492" s="433"/>
      <c r="D492" s="433"/>
      <c r="E492" s="433"/>
      <c r="F492" s="433"/>
      <c r="G492" s="267"/>
      <c r="H492" s="267"/>
      <c r="I492" s="267"/>
      <c r="J492" s="433"/>
      <c r="K492" s="433"/>
      <c r="L492" s="434"/>
      <c r="M492" s="267"/>
      <c r="N492" s="267"/>
      <c r="O492" s="267"/>
      <c r="P492" s="267"/>
      <c r="Q492" s="267"/>
      <c r="R492" s="267"/>
      <c r="S492" s="267"/>
      <c r="T492" s="267"/>
      <c r="U492" s="267"/>
      <c r="V492" s="267"/>
      <c r="W492" s="267"/>
      <c r="X492" s="267"/>
      <c r="Y492" s="267"/>
      <c r="Z492" s="267"/>
      <c r="AA492" s="267"/>
      <c r="AB492" s="267"/>
      <c r="AC492" s="267"/>
    </row>
    <row r="493" ht="13.5" customHeight="1">
      <c r="A493" s="267"/>
      <c r="B493" s="267"/>
      <c r="C493" s="433"/>
      <c r="D493" s="433"/>
      <c r="E493" s="433"/>
      <c r="F493" s="433"/>
      <c r="G493" s="267"/>
      <c r="H493" s="267"/>
      <c r="I493" s="267"/>
      <c r="J493" s="433"/>
      <c r="K493" s="433"/>
      <c r="L493" s="434"/>
      <c r="M493" s="267"/>
      <c r="N493" s="267"/>
      <c r="O493" s="267"/>
      <c r="P493" s="267"/>
      <c r="Q493" s="267"/>
      <c r="R493" s="267"/>
      <c r="S493" s="267"/>
      <c r="T493" s="267"/>
      <c r="U493" s="267"/>
      <c r="V493" s="267"/>
      <c r="W493" s="267"/>
      <c r="X493" s="267"/>
      <c r="Y493" s="267"/>
      <c r="Z493" s="267"/>
      <c r="AA493" s="267"/>
      <c r="AB493" s="267"/>
      <c r="AC493" s="267"/>
    </row>
    <row r="494" ht="13.5" customHeight="1">
      <c r="A494" s="267"/>
      <c r="B494" s="267"/>
      <c r="C494" s="433"/>
      <c r="D494" s="433"/>
      <c r="E494" s="433"/>
      <c r="F494" s="433"/>
      <c r="G494" s="267"/>
      <c r="H494" s="267"/>
      <c r="I494" s="267"/>
      <c r="J494" s="433"/>
      <c r="K494" s="433"/>
      <c r="L494" s="434"/>
      <c r="M494" s="267"/>
      <c r="N494" s="267"/>
      <c r="O494" s="267"/>
      <c r="P494" s="267"/>
      <c r="Q494" s="267"/>
      <c r="R494" s="267"/>
      <c r="S494" s="267"/>
      <c r="T494" s="267"/>
      <c r="U494" s="267"/>
      <c r="V494" s="267"/>
      <c r="W494" s="267"/>
      <c r="X494" s="267"/>
      <c r="Y494" s="267"/>
      <c r="Z494" s="267"/>
      <c r="AA494" s="267"/>
      <c r="AB494" s="267"/>
      <c r="AC494" s="267"/>
    </row>
    <row r="495" ht="13.5" customHeight="1">
      <c r="A495" s="267"/>
      <c r="B495" s="267"/>
      <c r="C495" s="433"/>
      <c r="D495" s="433"/>
      <c r="E495" s="433"/>
      <c r="F495" s="433"/>
      <c r="G495" s="267"/>
      <c r="H495" s="267"/>
      <c r="I495" s="267"/>
      <c r="J495" s="433"/>
      <c r="K495" s="433"/>
      <c r="L495" s="434"/>
      <c r="M495" s="267"/>
      <c r="N495" s="267"/>
      <c r="O495" s="267"/>
      <c r="P495" s="267"/>
      <c r="Q495" s="267"/>
      <c r="R495" s="267"/>
      <c r="S495" s="267"/>
      <c r="T495" s="267"/>
      <c r="U495" s="267"/>
      <c r="V495" s="267"/>
      <c r="W495" s="267"/>
      <c r="X495" s="267"/>
      <c r="Y495" s="267"/>
      <c r="Z495" s="267"/>
      <c r="AA495" s="267"/>
      <c r="AB495" s="267"/>
      <c r="AC495" s="267"/>
    </row>
    <row r="496" ht="13.5" customHeight="1">
      <c r="A496" s="267"/>
      <c r="B496" s="267"/>
      <c r="C496" s="433"/>
      <c r="D496" s="433"/>
      <c r="E496" s="433"/>
      <c r="F496" s="433"/>
      <c r="G496" s="267"/>
      <c r="H496" s="267"/>
      <c r="I496" s="267"/>
      <c r="J496" s="433"/>
      <c r="K496" s="433"/>
      <c r="L496" s="434"/>
      <c r="M496" s="267"/>
      <c r="N496" s="267"/>
      <c r="O496" s="267"/>
      <c r="P496" s="267"/>
      <c r="Q496" s="267"/>
      <c r="R496" s="267"/>
      <c r="S496" s="267"/>
      <c r="T496" s="267"/>
      <c r="U496" s="267"/>
      <c r="V496" s="267"/>
      <c r="W496" s="267"/>
      <c r="X496" s="267"/>
      <c r="Y496" s="267"/>
      <c r="Z496" s="267"/>
      <c r="AA496" s="267"/>
      <c r="AB496" s="267"/>
      <c r="AC496" s="267"/>
    </row>
    <row r="497" ht="13.5" customHeight="1">
      <c r="A497" s="267"/>
      <c r="B497" s="267"/>
      <c r="C497" s="433"/>
      <c r="D497" s="433"/>
      <c r="E497" s="433"/>
      <c r="F497" s="433"/>
      <c r="G497" s="267"/>
      <c r="H497" s="267"/>
      <c r="I497" s="267"/>
      <c r="J497" s="433"/>
      <c r="K497" s="433"/>
      <c r="L497" s="434"/>
      <c r="M497" s="267"/>
      <c r="N497" s="267"/>
      <c r="O497" s="267"/>
      <c r="P497" s="267"/>
      <c r="Q497" s="267"/>
      <c r="R497" s="267"/>
      <c r="S497" s="267"/>
      <c r="T497" s="267"/>
      <c r="U497" s="267"/>
      <c r="V497" s="267"/>
      <c r="W497" s="267"/>
      <c r="X497" s="267"/>
      <c r="Y497" s="267"/>
      <c r="Z497" s="267"/>
      <c r="AA497" s="267"/>
      <c r="AB497" s="267"/>
      <c r="AC497" s="267"/>
    </row>
    <row r="498" ht="13.5" customHeight="1">
      <c r="A498" s="267"/>
      <c r="B498" s="267"/>
      <c r="C498" s="433"/>
      <c r="D498" s="433"/>
      <c r="E498" s="433"/>
      <c r="F498" s="433"/>
      <c r="G498" s="267"/>
      <c r="H498" s="267"/>
      <c r="I498" s="267"/>
      <c r="J498" s="433"/>
      <c r="K498" s="433"/>
      <c r="L498" s="434"/>
      <c r="M498" s="267"/>
      <c r="N498" s="267"/>
      <c r="O498" s="267"/>
      <c r="P498" s="267"/>
      <c r="Q498" s="267"/>
      <c r="R498" s="267"/>
      <c r="S498" s="267"/>
      <c r="T498" s="267"/>
      <c r="U498" s="267"/>
      <c r="V498" s="267"/>
      <c r="W498" s="267"/>
      <c r="X498" s="267"/>
      <c r="Y498" s="267"/>
      <c r="Z498" s="267"/>
      <c r="AA498" s="267"/>
      <c r="AB498" s="267"/>
      <c r="AC498" s="267"/>
    </row>
    <row r="499" ht="13.5" customHeight="1">
      <c r="A499" s="267"/>
      <c r="B499" s="267"/>
      <c r="C499" s="433"/>
      <c r="D499" s="433"/>
      <c r="E499" s="433"/>
      <c r="F499" s="433"/>
      <c r="G499" s="267"/>
      <c r="H499" s="267"/>
      <c r="I499" s="267"/>
      <c r="J499" s="433"/>
      <c r="K499" s="433"/>
      <c r="L499" s="434"/>
      <c r="M499" s="267"/>
      <c r="N499" s="267"/>
      <c r="O499" s="267"/>
      <c r="P499" s="267"/>
      <c r="Q499" s="267"/>
      <c r="R499" s="267"/>
      <c r="S499" s="267"/>
      <c r="T499" s="267"/>
      <c r="U499" s="267"/>
      <c r="V499" s="267"/>
      <c r="W499" s="267"/>
      <c r="X499" s="267"/>
      <c r="Y499" s="267"/>
      <c r="Z499" s="267"/>
      <c r="AA499" s="267"/>
      <c r="AB499" s="267"/>
      <c r="AC499" s="267"/>
    </row>
    <row r="500" ht="13.5" customHeight="1">
      <c r="A500" s="267"/>
      <c r="B500" s="267"/>
      <c r="C500" s="433"/>
      <c r="D500" s="433"/>
      <c r="E500" s="433"/>
      <c r="F500" s="433"/>
      <c r="G500" s="267"/>
      <c r="H500" s="267"/>
      <c r="I500" s="267"/>
      <c r="J500" s="433"/>
      <c r="K500" s="433"/>
      <c r="L500" s="434"/>
      <c r="M500" s="267"/>
      <c r="N500" s="267"/>
      <c r="O500" s="267"/>
      <c r="P500" s="267"/>
      <c r="Q500" s="267"/>
      <c r="R500" s="267"/>
      <c r="S500" s="267"/>
      <c r="T500" s="267"/>
      <c r="U500" s="267"/>
      <c r="V500" s="267"/>
      <c r="W500" s="267"/>
      <c r="X500" s="267"/>
      <c r="Y500" s="267"/>
      <c r="Z500" s="267"/>
      <c r="AA500" s="267"/>
      <c r="AB500" s="267"/>
      <c r="AC500" s="267"/>
    </row>
    <row r="501" ht="13.5" customHeight="1">
      <c r="A501" s="267"/>
      <c r="B501" s="267"/>
      <c r="C501" s="433"/>
      <c r="D501" s="433"/>
      <c r="E501" s="433"/>
      <c r="F501" s="433"/>
      <c r="G501" s="267"/>
      <c r="H501" s="267"/>
      <c r="I501" s="267"/>
      <c r="J501" s="433"/>
      <c r="K501" s="433"/>
      <c r="L501" s="434"/>
      <c r="M501" s="267"/>
      <c r="N501" s="267"/>
      <c r="O501" s="267"/>
      <c r="P501" s="267"/>
      <c r="Q501" s="267"/>
      <c r="R501" s="267"/>
      <c r="S501" s="267"/>
      <c r="T501" s="267"/>
      <c r="U501" s="267"/>
      <c r="V501" s="267"/>
      <c r="W501" s="267"/>
      <c r="X501" s="267"/>
      <c r="Y501" s="267"/>
      <c r="Z501" s="267"/>
      <c r="AA501" s="267"/>
      <c r="AB501" s="267"/>
      <c r="AC501" s="267"/>
    </row>
    <row r="502" ht="13.5" customHeight="1">
      <c r="A502" s="267"/>
      <c r="B502" s="267"/>
      <c r="C502" s="433"/>
      <c r="D502" s="433"/>
      <c r="E502" s="433"/>
      <c r="F502" s="433"/>
      <c r="G502" s="267"/>
      <c r="H502" s="267"/>
      <c r="I502" s="267"/>
      <c r="J502" s="433"/>
      <c r="K502" s="433"/>
      <c r="L502" s="434"/>
      <c r="M502" s="267"/>
      <c r="N502" s="267"/>
      <c r="O502" s="267"/>
      <c r="P502" s="267"/>
      <c r="Q502" s="267"/>
      <c r="R502" s="267"/>
      <c r="S502" s="267"/>
      <c r="T502" s="267"/>
      <c r="U502" s="267"/>
      <c r="V502" s="267"/>
      <c r="W502" s="267"/>
      <c r="X502" s="267"/>
      <c r="Y502" s="267"/>
      <c r="Z502" s="267"/>
      <c r="AA502" s="267"/>
      <c r="AB502" s="267"/>
      <c r="AC502" s="267"/>
    </row>
    <row r="503" ht="13.5" customHeight="1">
      <c r="A503" s="267"/>
      <c r="B503" s="267"/>
      <c r="C503" s="433"/>
      <c r="D503" s="433"/>
      <c r="E503" s="433"/>
      <c r="F503" s="433"/>
      <c r="G503" s="267"/>
      <c r="H503" s="267"/>
      <c r="I503" s="267"/>
      <c r="J503" s="433"/>
      <c r="K503" s="433"/>
      <c r="L503" s="434"/>
      <c r="M503" s="267"/>
      <c r="N503" s="267"/>
      <c r="O503" s="267"/>
      <c r="P503" s="267"/>
      <c r="Q503" s="267"/>
      <c r="R503" s="267"/>
      <c r="S503" s="267"/>
      <c r="T503" s="267"/>
      <c r="U503" s="267"/>
      <c r="V503" s="267"/>
      <c r="W503" s="267"/>
      <c r="X503" s="267"/>
      <c r="Y503" s="267"/>
      <c r="Z503" s="267"/>
      <c r="AA503" s="267"/>
      <c r="AB503" s="267"/>
      <c r="AC503" s="267"/>
    </row>
    <row r="504" ht="13.5" customHeight="1">
      <c r="A504" s="267"/>
      <c r="B504" s="267"/>
      <c r="C504" s="433"/>
      <c r="D504" s="433"/>
      <c r="E504" s="433"/>
      <c r="F504" s="433"/>
      <c r="G504" s="267"/>
      <c r="H504" s="267"/>
      <c r="I504" s="267"/>
      <c r="J504" s="433"/>
      <c r="K504" s="433"/>
      <c r="L504" s="434"/>
      <c r="M504" s="267"/>
      <c r="N504" s="267"/>
      <c r="O504" s="267"/>
      <c r="P504" s="267"/>
      <c r="Q504" s="267"/>
      <c r="R504" s="267"/>
      <c r="S504" s="267"/>
      <c r="T504" s="267"/>
      <c r="U504" s="267"/>
      <c r="V504" s="267"/>
      <c r="W504" s="267"/>
      <c r="X504" s="267"/>
      <c r="Y504" s="267"/>
      <c r="Z504" s="267"/>
      <c r="AA504" s="267"/>
      <c r="AB504" s="267"/>
      <c r="AC504" s="267"/>
    </row>
    <row r="505" ht="13.5" customHeight="1">
      <c r="A505" s="267"/>
      <c r="B505" s="267"/>
      <c r="C505" s="433"/>
      <c r="D505" s="433"/>
      <c r="E505" s="433"/>
      <c r="F505" s="433"/>
      <c r="G505" s="267"/>
      <c r="H505" s="267"/>
      <c r="I505" s="267"/>
      <c r="J505" s="433"/>
      <c r="K505" s="433"/>
      <c r="L505" s="434"/>
      <c r="M505" s="267"/>
      <c r="N505" s="267"/>
      <c r="O505" s="267"/>
      <c r="P505" s="267"/>
      <c r="Q505" s="267"/>
      <c r="R505" s="267"/>
      <c r="S505" s="267"/>
      <c r="T505" s="267"/>
      <c r="U505" s="267"/>
      <c r="V505" s="267"/>
      <c r="W505" s="267"/>
      <c r="X505" s="267"/>
      <c r="Y505" s="267"/>
      <c r="Z505" s="267"/>
      <c r="AA505" s="267"/>
      <c r="AB505" s="267"/>
      <c r="AC505" s="267"/>
    </row>
    <row r="506" ht="13.5" customHeight="1">
      <c r="A506" s="267"/>
      <c r="B506" s="267"/>
      <c r="C506" s="433"/>
      <c r="D506" s="433"/>
      <c r="E506" s="433"/>
      <c r="F506" s="433"/>
      <c r="G506" s="267"/>
      <c r="H506" s="267"/>
      <c r="I506" s="267"/>
      <c r="J506" s="433"/>
      <c r="K506" s="433"/>
      <c r="L506" s="434"/>
      <c r="M506" s="267"/>
      <c r="N506" s="267"/>
      <c r="O506" s="267"/>
      <c r="P506" s="267"/>
      <c r="Q506" s="267"/>
      <c r="R506" s="267"/>
      <c r="S506" s="267"/>
      <c r="T506" s="267"/>
      <c r="U506" s="267"/>
      <c r="V506" s="267"/>
      <c r="W506" s="267"/>
      <c r="X506" s="267"/>
      <c r="Y506" s="267"/>
      <c r="Z506" s="267"/>
      <c r="AA506" s="267"/>
      <c r="AB506" s="267"/>
      <c r="AC506" s="267"/>
    </row>
    <row r="507" ht="13.5" customHeight="1">
      <c r="A507" s="267"/>
      <c r="B507" s="267"/>
      <c r="C507" s="433"/>
      <c r="D507" s="433"/>
      <c r="E507" s="433"/>
      <c r="F507" s="433"/>
      <c r="G507" s="267"/>
      <c r="H507" s="267"/>
      <c r="I507" s="267"/>
      <c r="J507" s="433"/>
      <c r="K507" s="433"/>
      <c r="L507" s="434"/>
      <c r="M507" s="267"/>
      <c r="N507" s="267"/>
      <c r="O507" s="267"/>
      <c r="P507" s="267"/>
      <c r="Q507" s="267"/>
      <c r="R507" s="267"/>
      <c r="S507" s="267"/>
      <c r="T507" s="267"/>
      <c r="U507" s="267"/>
      <c r="V507" s="267"/>
      <c r="W507" s="267"/>
      <c r="X507" s="267"/>
      <c r="Y507" s="267"/>
      <c r="Z507" s="267"/>
      <c r="AA507" s="267"/>
      <c r="AB507" s="267"/>
      <c r="AC507" s="267"/>
    </row>
    <row r="508" ht="13.5" customHeight="1">
      <c r="A508" s="267"/>
      <c r="B508" s="267"/>
      <c r="C508" s="433"/>
      <c r="D508" s="433"/>
      <c r="E508" s="433"/>
      <c r="F508" s="433"/>
      <c r="G508" s="267"/>
      <c r="H508" s="267"/>
      <c r="I508" s="267"/>
      <c r="J508" s="433"/>
      <c r="K508" s="433"/>
      <c r="L508" s="434"/>
      <c r="M508" s="267"/>
      <c r="N508" s="267"/>
      <c r="O508" s="267"/>
      <c r="P508" s="267"/>
      <c r="Q508" s="267"/>
      <c r="R508" s="267"/>
      <c r="S508" s="267"/>
      <c r="T508" s="267"/>
      <c r="U508" s="267"/>
      <c r="V508" s="267"/>
      <c r="W508" s="267"/>
      <c r="X508" s="267"/>
      <c r="Y508" s="267"/>
      <c r="Z508" s="267"/>
      <c r="AA508" s="267"/>
      <c r="AB508" s="267"/>
      <c r="AC508" s="267"/>
    </row>
    <row r="509" ht="13.5" customHeight="1">
      <c r="A509" s="267"/>
      <c r="B509" s="267"/>
      <c r="C509" s="433"/>
      <c r="D509" s="433"/>
      <c r="E509" s="433"/>
      <c r="F509" s="433"/>
      <c r="G509" s="267"/>
      <c r="H509" s="267"/>
      <c r="I509" s="267"/>
      <c r="J509" s="433"/>
      <c r="K509" s="433"/>
      <c r="L509" s="434"/>
      <c r="M509" s="267"/>
      <c r="N509" s="267"/>
      <c r="O509" s="267"/>
      <c r="P509" s="267"/>
      <c r="Q509" s="267"/>
      <c r="R509" s="267"/>
      <c r="S509" s="267"/>
      <c r="T509" s="267"/>
      <c r="U509" s="267"/>
      <c r="V509" s="267"/>
      <c r="W509" s="267"/>
      <c r="X509" s="267"/>
      <c r="Y509" s="267"/>
      <c r="Z509" s="267"/>
      <c r="AA509" s="267"/>
      <c r="AB509" s="267"/>
      <c r="AC509" s="267"/>
    </row>
    <row r="510" ht="13.5" customHeight="1">
      <c r="A510" s="267"/>
      <c r="B510" s="267"/>
      <c r="C510" s="433"/>
      <c r="D510" s="433"/>
      <c r="E510" s="433"/>
      <c r="F510" s="433"/>
      <c r="G510" s="267"/>
      <c r="H510" s="267"/>
      <c r="I510" s="267"/>
      <c r="J510" s="433"/>
      <c r="K510" s="433"/>
      <c r="L510" s="434"/>
      <c r="M510" s="267"/>
      <c r="N510" s="267"/>
      <c r="O510" s="267"/>
      <c r="P510" s="267"/>
      <c r="Q510" s="267"/>
      <c r="R510" s="267"/>
      <c r="S510" s="267"/>
      <c r="T510" s="267"/>
      <c r="U510" s="267"/>
      <c r="V510" s="267"/>
      <c r="W510" s="267"/>
      <c r="X510" s="267"/>
      <c r="Y510" s="267"/>
      <c r="Z510" s="267"/>
      <c r="AA510" s="267"/>
      <c r="AB510" s="267"/>
      <c r="AC510" s="267"/>
    </row>
    <row r="511" ht="13.5" customHeight="1">
      <c r="A511" s="267"/>
      <c r="B511" s="267"/>
      <c r="C511" s="433"/>
      <c r="D511" s="433"/>
      <c r="E511" s="433"/>
      <c r="F511" s="433"/>
      <c r="G511" s="267"/>
      <c r="H511" s="267"/>
      <c r="I511" s="267"/>
      <c r="J511" s="433"/>
      <c r="K511" s="433"/>
      <c r="L511" s="434"/>
      <c r="M511" s="267"/>
      <c r="N511" s="267"/>
      <c r="O511" s="267"/>
      <c r="P511" s="267"/>
      <c r="Q511" s="267"/>
      <c r="R511" s="267"/>
      <c r="S511" s="267"/>
      <c r="T511" s="267"/>
      <c r="U511" s="267"/>
      <c r="V511" s="267"/>
      <c r="W511" s="267"/>
      <c r="X511" s="267"/>
      <c r="Y511" s="267"/>
      <c r="Z511" s="267"/>
      <c r="AA511" s="267"/>
      <c r="AB511" s="267"/>
      <c r="AC511" s="267"/>
    </row>
    <row r="512" ht="13.5" customHeight="1">
      <c r="A512" s="267"/>
      <c r="B512" s="267"/>
      <c r="C512" s="433"/>
      <c r="D512" s="433"/>
      <c r="E512" s="433"/>
      <c r="F512" s="433"/>
      <c r="G512" s="267"/>
      <c r="H512" s="267"/>
      <c r="I512" s="267"/>
      <c r="J512" s="433"/>
      <c r="K512" s="433"/>
      <c r="L512" s="434"/>
      <c r="M512" s="267"/>
      <c r="N512" s="267"/>
      <c r="O512" s="267"/>
      <c r="P512" s="267"/>
      <c r="Q512" s="267"/>
      <c r="R512" s="267"/>
      <c r="S512" s="267"/>
      <c r="T512" s="267"/>
      <c r="U512" s="267"/>
      <c r="V512" s="267"/>
      <c r="W512" s="267"/>
      <c r="X512" s="267"/>
      <c r="Y512" s="267"/>
      <c r="Z512" s="267"/>
      <c r="AA512" s="267"/>
      <c r="AB512" s="267"/>
      <c r="AC512" s="267"/>
    </row>
    <row r="513" ht="13.5" customHeight="1">
      <c r="A513" s="267"/>
      <c r="B513" s="267"/>
      <c r="C513" s="433"/>
      <c r="D513" s="433"/>
      <c r="E513" s="433"/>
      <c r="F513" s="433"/>
      <c r="G513" s="267"/>
      <c r="H513" s="267"/>
      <c r="I513" s="267"/>
      <c r="J513" s="433"/>
      <c r="K513" s="433"/>
      <c r="L513" s="434"/>
      <c r="M513" s="267"/>
      <c r="N513" s="267"/>
      <c r="O513" s="267"/>
      <c r="P513" s="267"/>
      <c r="Q513" s="267"/>
      <c r="R513" s="267"/>
      <c r="S513" s="267"/>
      <c r="T513" s="267"/>
      <c r="U513" s="267"/>
      <c r="V513" s="267"/>
      <c r="W513" s="267"/>
      <c r="X513" s="267"/>
      <c r="Y513" s="267"/>
      <c r="Z513" s="267"/>
      <c r="AA513" s="267"/>
      <c r="AB513" s="267"/>
      <c r="AC513" s="267"/>
    </row>
    <row r="514" ht="13.5" customHeight="1">
      <c r="A514" s="267"/>
      <c r="B514" s="267"/>
      <c r="C514" s="433"/>
      <c r="D514" s="433"/>
      <c r="E514" s="433"/>
      <c r="F514" s="433"/>
      <c r="G514" s="267"/>
      <c r="H514" s="267"/>
      <c r="I514" s="267"/>
      <c r="J514" s="433"/>
      <c r="K514" s="433"/>
      <c r="L514" s="434"/>
      <c r="M514" s="267"/>
      <c r="N514" s="267"/>
      <c r="O514" s="267"/>
      <c r="P514" s="267"/>
      <c r="Q514" s="267"/>
      <c r="R514" s="267"/>
      <c r="S514" s="267"/>
      <c r="T514" s="267"/>
      <c r="U514" s="267"/>
      <c r="V514" s="267"/>
      <c r="W514" s="267"/>
      <c r="X514" s="267"/>
      <c r="Y514" s="267"/>
      <c r="Z514" s="267"/>
      <c r="AA514" s="267"/>
      <c r="AB514" s="267"/>
      <c r="AC514" s="267"/>
    </row>
    <row r="515" ht="13.5" customHeight="1">
      <c r="A515" s="267"/>
      <c r="B515" s="267"/>
      <c r="C515" s="433"/>
      <c r="D515" s="433"/>
      <c r="E515" s="433"/>
      <c r="F515" s="433"/>
      <c r="G515" s="267"/>
      <c r="H515" s="267"/>
      <c r="I515" s="267"/>
      <c r="J515" s="433"/>
      <c r="K515" s="433"/>
      <c r="L515" s="434"/>
      <c r="M515" s="267"/>
      <c r="N515" s="267"/>
      <c r="O515" s="267"/>
      <c r="P515" s="267"/>
      <c r="Q515" s="267"/>
      <c r="R515" s="267"/>
      <c r="S515" s="267"/>
      <c r="T515" s="267"/>
      <c r="U515" s="267"/>
      <c r="V515" s="267"/>
      <c r="W515" s="267"/>
      <c r="X515" s="267"/>
      <c r="Y515" s="267"/>
      <c r="Z515" s="267"/>
      <c r="AA515" s="267"/>
      <c r="AB515" s="267"/>
      <c r="AC515" s="267"/>
    </row>
    <row r="516" ht="13.5" customHeight="1">
      <c r="A516" s="267"/>
      <c r="B516" s="267"/>
      <c r="C516" s="433"/>
      <c r="D516" s="433"/>
      <c r="E516" s="433"/>
      <c r="F516" s="433"/>
      <c r="G516" s="267"/>
      <c r="H516" s="267"/>
      <c r="I516" s="267"/>
      <c r="J516" s="433"/>
      <c r="K516" s="433"/>
      <c r="L516" s="434"/>
      <c r="M516" s="267"/>
      <c r="N516" s="267"/>
      <c r="O516" s="267"/>
      <c r="P516" s="267"/>
      <c r="Q516" s="267"/>
      <c r="R516" s="267"/>
      <c r="S516" s="267"/>
      <c r="T516" s="267"/>
      <c r="U516" s="267"/>
      <c r="V516" s="267"/>
      <c r="W516" s="267"/>
      <c r="X516" s="267"/>
      <c r="Y516" s="267"/>
      <c r="Z516" s="267"/>
      <c r="AA516" s="267"/>
      <c r="AB516" s="267"/>
      <c r="AC516" s="267"/>
    </row>
    <row r="517" ht="13.5" customHeight="1">
      <c r="A517" s="267"/>
      <c r="B517" s="267"/>
      <c r="C517" s="433"/>
      <c r="D517" s="433"/>
      <c r="E517" s="433"/>
      <c r="F517" s="433"/>
      <c r="G517" s="267"/>
      <c r="H517" s="267"/>
      <c r="I517" s="267"/>
      <c r="J517" s="433"/>
      <c r="K517" s="433"/>
      <c r="L517" s="434"/>
      <c r="M517" s="267"/>
      <c r="N517" s="267"/>
      <c r="O517" s="267"/>
      <c r="P517" s="267"/>
      <c r="Q517" s="267"/>
      <c r="R517" s="267"/>
      <c r="S517" s="267"/>
      <c r="T517" s="267"/>
      <c r="U517" s="267"/>
      <c r="V517" s="267"/>
      <c r="W517" s="267"/>
      <c r="X517" s="267"/>
      <c r="Y517" s="267"/>
      <c r="Z517" s="267"/>
      <c r="AA517" s="267"/>
      <c r="AB517" s="267"/>
      <c r="AC517" s="267"/>
    </row>
    <row r="518" ht="13.5" customHeight="1">
      <c r="A518" s="267"/>
      <c r="B518" s="267"/>
      <c r="C518" s="433"/>
      <c r="D518" s="433"/>
      <c r="E518" s="433"/>
      <c r="F518" s="433"/>
      <c r="G518" s="267"/>
      <c r="H518" s="267"/>
      <c r="I518" s="267"/>
      <c r="J518" s="433"/>
      <c r="K518" s="433"/>
      <c r="L518" s="434"/>
      <c r="M518" s="267"/>
      <c r="N518" s="267"/>
      <c r="O518" s="267"/>
      <c r="P518" s="267"/>
      <c r="Q518" s="267"/>
      <c r="R518" s="267"/>
      <c r="S518" s="267"/>
      <c r="T518" s="267"/>
      <c r="U518" s="267"/>
      <c r="V518" s="267"/>
      <c r="W518" s="267"/>
      <c r="X518" s="267"/>
      <c r="Y518" s="267"/>
      <c r="Z518" s="267"/>
      <c r="AA518" s="267"/>
      <c r="AB518" s="267"/>
      <c r="AC518" s="267"/>
    </row>
    <row r="519" ht="13.5" customHeight="1">
      <c r="A519" s="267"/>
      <c r="B519" s="267"/>
      <c r="C519" s="433"/>
      <c r="D519" s="433"/>
      <c r="E519" s="433"/>
      <c r="F519" s="433"/>
      <c r="G519" s="267"/>
      <c r="H519" s="267"/>
      <c r="I519" s="267"/>
      <c r="J519" s="433"/>
      <c r="K519" s="433"/>
      <c r="L519" s="434"/>
      <c r="M519" s="267"/>
      <c r="N519" s="267"/>
      <c r="O519" s="267"/>
      <c r="P519" s="267"/>
      <c r="Q519" s="267"/>
      <c r="R519" s="267"/>
      <c r="S519" s="267"/>
      <c r="T519" s="267"/>
      <c r="U519" s="267"/>
      <c r="V519" s="267"/>
      <c r="W519" s="267"/>
      <c r="X519" s="267"/>
      <c r="Y519" s="267"/>
      <c r="Z519" s="267"/>
      <c r="AA519" s="267"/>
      <c r="AB519" s="267"/>
      <c r="AC519" s="267"/>
    </row>
    <row r="520" ht="13.5" customHeight="1">
      <c r="A520" s="267"/>
      <c r="B520" s="267"/>
      <c r="C520" s="433"/>
      <c r="D520" s="433"/>
      <c r="E520" s="433"/>
      <c r="F520" s="433"/>
      <c r="G520" s="267"/>
      <c r="H520" s="267"/>
      <c r="I520" s="267"/>
      <c r="J520" s="433"/>
      <c r="K520" s="433"/>
      <c r="L520" s="434"/>
      <c r="M520" s="267"/>
      <c r="N520" s="267"/>
      <c r="O520" s="267"/>
      <c r="P520" s="267"/>
      <c r="Q520" s="267"/>
      <c r="R520" s="267"/>
      <c r="S520" s="267"/>
      <c r="T520" s="267"/>
      <c r="U520" s="267"/>
      <c r="V520" s="267"/>
      <c r="W520" s="267"/>
      <c r="X520" s="267"/>
      <c r="Y520" s="267"/>
      <c r="Z520" s="267"/>
      <c r="AA520" s="267"/>
      <c r="AB520" s="267"/>
      <c r="AC520" s="267"/>
    </row>
    <row r="521" ht="13.5" customHeight="1">
      <c r="A521" s="267"/>
      <c r="B521" s="267"/>
      <c r="C521" s="433"/>
      <c r="D521" s="433"/>
      <c r="E521" s="433"/>
      <c r="F521" s="433"/>
      <c r="G521" s="267"/>
      <c r="H521" s="267"/>
      <c r="I521" s="267"/>
      <c r="J521" s="433"/>
      <c r="K521" s="433"/>
      <c r="L521" s="434"/>
      <c r="M521" s="267"/>
      <c r="N521" s="267"/>
      <c r="O521" s="267"/>
      <c r="P521" s="267"/>
      <c r="Q521" s="267"/>
      <c r="R521" s="267"/>
      <c r="S521" s="267"/>
      <c r="T521" s="267"/>
      <c r="U521" s="267"/>
      <c r="V521" s="267"/>
      <c r="W521" s="267"/>
      <c r="X521" s="267"/>
      <c r="Y521" s="267"/>
      <c r="Z521" s="267"/>
      <c r="AA521" s="267"/>
      <c r="AB521" s="267"/>
      <c r="AC521" s="267"/>
    </row>
    <row r="522" ht="13.5" customHeight="1">
      <c r="A522" s="267"/>
      <c r="B522" s="267"/>
      <c r="C522" s="433"/>
      <c r="D522" s="433"/>
      <c r="E522" s="433"/>
      <c r="F522" s="433"/>
      <c r="G522" s="267"/>
      <c r="H522" s="267"/>
      <c r="I522" s="267"/>
      <c r="J522" s="433"/>
      <c r="K522" s="433"/>
      <c r="L522" s="434"/>
      <c r="M522" s="267"/>
      <c r="N522" s="267"/>
      <c r="O522" s="267"/>
      <c r="P522" s="267"/>
      <c r="Q522" s="267"/>
      <c r="R522" s="267"/>
      <c r="S522" s="267"/>
      <c r="T522" s="267"/>
      <c r="U522" s="267"/>
      <c r="V522" s="267"/>
      <c r="W522" s="267"/>
      <c r="X522" s="267"/>
      <c r="Y522" s="267"/>
      <c r="Z522" s="267"/>
      <c r="AA522" s="267"/>
      <c r="AB522" s="267"/>
      <c r="AC522" s="267"/>
    </row>
    <row r="523" ht="13.5" customHeight="1">
      <c r="A523" s="267"/>
      <c r="B523" s="267"/>
      <c r="C523" s="433"/>
      <c r="D523" s="433"/>
      <c r="E523" s="433"/>
      <c r="F523" s="433"/>
      <c r="G523" s="267"/>
      <c r="H523" s="267"/>
      <c r="I523" s="267"/>
      <c r="J523" s="433"/>
      <c r="K523" s="433"/>
      <c r="L523" s="434"/>
      <c r="M523" s="267"/>
      <c r="N523" s="267"/>
      <c r="O523" s="267"/>
      <c r="P523" s="267"/>
      <c r="Q523" s="267"/>
      <c r="R523" s="267"/>
      <c r="S523" s="267"/>
      <c r="T523" s="267"/>
      <c r="U523" s="267"/>
      <c r="V523" s="267"/>
      <c r="W523" s="267"/>
      <c r="X523" s="267"/>
      <c r="Y523" s="267"/>
      <c r="Z523" s="267"/>
      <c r="AA523" s="267"/>
      <c r="AB523" s="267"/>
      <c r="AC523" s="267"/>
    </row>
    <row r="524" ht="13.5" customHeight="1">
      <c r="A524" s="267"/>
      <c r="B524" s="267"/>
      <c r="C524" s="433"/>
      <c r="D524" s="433"/>
      <c r="E524" s="433"/>
      <c r="F524" s="433"/>
      <c r="G524" s="267"/>
      <c r="H524" s="267"/>
      <c r="I524" s="267"/>
      <c r="J524" s="433"/>
      <c r="K524" s="433"/>
      <c r="L524" s="434"/>
      <c r="M524" s="267"/>
      <c r="N524" s="267"/>
      <c r="O524" s="267"/>
      <c r="P524" s="267"/>
      <c r="Q524" s="267"/>
      <c r="R524" s="267"/>
      <c r="S524" s="267"/>
      <c r="T524" s="267"/>
      <c r="U524" s="267"/>
      <c r="V524" s="267"/>
      <c r="W524" s="267"/>
      <c r="X524" s="267"/>
      <c r="Y524" s="267"/>
      <c r="Z524" s="267"/>
      <c r="AA524" s="267"/>
      <c r="AB524" s="267"/>
      <c r="AC524" s="267"/>
    </row>
    <row r="525" ht="13.5" customHeight="1">
      <c r="A525" s="267"/>
      <c r="B525" s="267"/>
      <c r="C525" s="433"/>
      <c r="D525" s="433"/>
      <c r="E525" s="433"/>
      <c r="F525" s="433"/>
      <c r="G525" s="267"/>
      <c r="H525" s="267"/>
      <c r="I525" s="267"/>
      <c r="J525" s="433"/>
      <c r="K525" s="433"/>
      <c r="L525" s="434"/>
      <c r="M525" s="267"/>
      <c r="N525" s="267"/>
      <c r="O525" s="267"/>
      <c r="P525" s="267"/>
      <c r="Q525" s="267"/>
      <c r="R525" s="267"/>
      <c r="S525" s="267"/>
      <c r="T525" s="267"/>
      <c r="U525" s="267"/>
      <c r="V525" s="267"/>
      <c r="W525" s="267"/>
      <c r="X525" s="267"/>
      <c r="Y525" s="267"/>
      <c r="Z525" s="267"/>
      <c r="AA525" s="267"/>
      <c r="AB525" s="267"/>
      <c r="AC525" s="267"/>
    </row>
    <row r="526" ht="13.5" customHeight="1">
      <c r="A526" s="267"/>
      <c r="B526" s="267"/>
      <c r="C526" s="433"/>
      <c r="D526" s="433"/>
      <c r="E526" s="433"/>
      <c r="F526" s="433"/>
      <c r="G526" s="267"/>
      <c r="H526" s="267"/>
      <c r="I526" s="267"/>
      <c r="J526" s="433"/>
      <c r="K526" s="433"/>
      <c r="L526" s="434"/>
      <c r="M526" s="267"/>
      <c r="N526" s="267"/>
      <c r="O526" s="267"/>
      <c r="P526" s="267"/>
      <c r="Q526" s="267"/>
      <c r="R526" s="267"/>
      <c r="S526" s="267"/>
      <c r="T526" s="267"/>
      <c r="U526" s="267"/>
      <c r="V526" s="267"/>
      <c r="W526" s="267"/>
      <c r="X526" s="267"/>
      <c r="Y526" s="267"/>
      <c r="Z526" s="267"/>
      <c r="AA526" s="267"/>
      <c r="AB526" s="267"/>
      <c r="AC526" s="267"/>
    </row>
    <row r="527" ht="13.5" customHeight="1">
      <c r="A527" s="267"/>
      <c r="B527" s="267"/>
      <c r="C527" s="433"/>
      <c r="D527" s="433"/>
      <c r="E527" s="433"/>
      <c r="F527" s="433"/>
      <c r="G527" s="267"/>
      <c r="H527" s="267"/>
      <c r="I527" s="267"/>
      <c r="J527" s="433"/>
      <c r="K527" s="433"/>
      <c r="L527" s="434"/>
      <c r="M527" s="267"/>
      <c r="N527" s="267"/>
      <c r="O527" s="267"/>
      <c r="P527" s="267"/>
      <c r="Q527" s="267"/>
      <c r="R527" s="267"/>
      <c r="S527" s="267"/>
      <c r="T527" s="267"/>
      <c r="U527" s="267"/>
      <c r="V527" s="267"/>
      <c r="W527" s="267"/>
      <c r="X527" s="267"/>
      <c r="Y527" s="267"/>
      <c r="Z527" s="267"/>
      <c r="AA527" s="267"/>
      <c r="AB527" s="267"/>
      <c r="AC527" s="267"/>
    </row>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73">
    <mergeCell ref="H118:H119"/>
    <mergeCell ref="I118:I119"/>
    <mergeCell ref="J118:J119"/>
    <mergeCell ref="K118:K119"/>
    <mergeCell ref="B162:K162"/>
    <mergeCell ref="B163:L163"/>
    <mergeCell ref="B164:L164"/>
    <mergeCell ref="B165:L165"/>
    <mergeCell ref="B166:L166"/>
    <mergeCell ref="E92:M92"/>
    <mergeCell ref="W92:AE92"/>
    <mergeCell ref="A1:M5"/>
    <mergeCell ref="A6:M11"/>
    <mergeCell ref="A12:L39"/>
    <mergeCell ref="A40:B40"/>
    <mergeCell ref="A41:L88"/>
    <mergeCell ref="A90:L90"/>
    <mergeCell ref="A91:M91"/>
    <mergeCell ref="E93:M94"/>
    <mergeCell ref="E95:M95"/>
    <mergeCell ref="E96:M96"/>
    <mergeCell ref="E97:M97"/>
    <mergeCell ref="E98:M98"/>
    <mergeCell ref="E99:M99"/>
    <mergeCell ref="E100:M100"/>
    <mergeCell ref="F118:F119"/>
    <mergeCell ref="G118:G119"/>
    <mergeCell ref="L118:L119"/>
    <mergeCell ref="M118:M119"/>
    <mergeCell ref="E101:M101"/>
    <mergeCell ref="E102:M102"/>
    <mergeCell ref="A118:A119"/>
    <mergeCell ref="B118:B119"/>
    <mergeCell ref="C118:C119"/>
    <mergeCell ref="D118:D119"/>
    <mergeCell ref="E118:E119"/>
    <mergeCell ref="A179:L179"/>
    <mergeCell ref="C180:F180"/>
    <mergeCell ref="J180:K180"/>
    <mergeCell ref="A181:L181"/>
    <mergeCell ref="G190:H190"/>
    <mergeCell ref="G191:H191"/>
    <mergeCell ref="G192:H192"/>
    <mergeCell ref="G193:H193"/>
    <mergeCell ref="G194:H194"/>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2:H212"/>
    <mergeCell ref="G213:H213"/>
    <mergeCell ref="G214:H214"/>
    <mergeCell ref="G215:H215"/>
    <mergeCell ref="G216:H216"/>
    <mergeCell ref="G217:H217"/>
    <mergeCell ref="G218:H218"/>
    <mergeCell ref="G220:H220"/>
    <mergeCell ref="G221:H221"/>
    <mergeCell ref="G222:H222"/>
    <mergeCell ref="G223:H223"/>
    <mergeCell ref="G225:H225"/>
    <mergeCell ref="G226:H226"/>
    <mergeCell ref="G227:H227"/>
    <mergeCell ref="G229:H229"/>
    <mergeCell ref="G237:I237"/>
    <mergeCell ref="G238:I238"/>
    <mergeCell ref="G230:H230"/>
    <mergeCell ref="G231:H231"/>
    <mergeCell ref="G232:H232"/>
    <mergeCell ref="G233:H233"/>
    <mergeCell ref="G234:H234"/>
    <mergeCell ref="G235:H235"/>
    <mergeCell ref="G236:H236"/>
    <mergeCell ref="L198:M198"/>
    <mergeCell ref="L199:M199"/>
    <mergeCell ref="L200:M200"/>
    <mergeCell ref="L201:M201"/>
    <mergeCell ref="L202:M202"/>
    <mergeCell ref="L203:M203"/>
    <mergeCell ref="L204:M204"/>
    <mergeCell ref="L205:M205"/>
    <mergeCell ref="L206:M206"/>
    <mergeCell ref="L207:M207"/>
    <mergeCell ref="L208:M208"/>
    <mergeCell ref="L209:M209"/>
    <mergeCell ref="L210:M210"/>
    <mergeCell ref="L211:M211"/>
    <mergeCell ref="L212:M212"/>
    <mergeCell ref="L213:M213"/>
    <mergeCell ref="L214:M214"/>
    <mergeCell ref="L215:M215"/>
    <mergeCell ref="L216:M216"/>
    <mergeCell ref="L217:M217"/>
    <mergeCell ref="L218:M218"/>
    <mergeCell ref="L219:M219"/>
    <mergeCell ref="L220:M220"/>
    <mergeCell ref="L221:M221"/>
    <mergeCell ref="L222:M222"/>
    <mergeCell ref="L223:M223"/>
    <mergeCell ref="L224:M224"/>
    <mergeCell ref="L225:M225"/>
    <mergeCell ref="L226:M226"/>
    <mergeCell ref="L227:M227"/>
    <mergeCell ref="L228:M228"/>
    <mergeCell ref="L229:M229"/>
    <mergeCell ref="L230:M230"/>
    <mergeCell ref="L231:M231"/>
    <mergeCell ref="L232:M232"/>
    <mergeCell ref="A269:M279"/>
    <mergeCell ref="A280:M281"/>
    <mergeCell ref="A282:M299"/>
    <mergeCell ref="A300:M326"/>
    <mergeCell ref="A327:M329"/>
    <mergeCell ref="L233:M233"/>
    <mergeCell ref="L234:M234"/>
    <mergeCell ref="L235:M235"/>
    <mergeCell ref="L236:M236"/>
    <mergeCell ref="L237:M237"/>
    <mergeCell ref="L238:M238"/>
    <mergeCell ref="A257:M268"/>
    <mergeCell ref="J174:K174"/>
    <mergeCell ref="J175:K175"/>
    <mergeCell ref="J176:K176"/>
    <mergeCell ref="J177:K177"/>
    <mergeCell ref="J178:K178"/>
    <mergeCell ref="A171:L171"/>
    <mergeCell ref="E172:F172"/>
    <mergeCell ref="J172:K172"/>
    <mergeCell ref="E173:F173"/>
    <mergeCell ref="J173:K173"/>
    <mergeCell ref="E174:F174"/>
    <mergeCell ref="E175:F175"/>
    <mergeCell ref="A182:A183"/>
    <mergeCell ref="B182:B183"/>
    <mergeCell ref="C182:C183"/>
    <mergeCell ref="D182:D183"/>
    <mergeCell ref="E182:E183"/>
    <mergeCell ref="F182:F183"/>
    <mergeCell ref="G182:G183"/>
    <mergeCell ref="L185:M185"/>
    <mergeCell ref="L186:M186"/>
    <mergeCell ref="H182:H183"/>
    <mergeCell ref="I182:I183"/>
    <mergeCell ref="J182:M182"/>
    <mergeCell ref="L183:M183"/>
    <mergeCell ref="G184:H184"/>
    <mergeCell ref="L184:M184"/>
    <mergeCell ref="G185:H185"/>
    <mergeCell ref="G187:H187"/>
    <mergeCell ref="L187:M187"/>
    <mergeCell ref="G188:H188"/>
    <mergeCell ref="L188:M188"/>
    <mergeCell ref="G189:H189"/>
    <mergeCell ref="L189:M189"/>
    <mergeCell ref="L190:M190"/>
    <mergeCell ref="L191:M191"/>
    <mergeCell ref="L192:M192"/>
    <mergeCell ref="L193:M193"/>
    <mergeCell ref="L194:M194"/>
    <mergeCell ref="L195:M195"/>
    <mergeCell ref="L196:M196"/>
    <mergeCell ref="L197:M19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6" width="7.63"/>
    <col customWidth="1" min="7" max="7" width="8.0"/>
    <col customWidth="1" min="8" max="8" width="7.25"/>
    <col customWidth="1" min="9" max="9" width="7.88"/>
    <col customWidth="1" min="10" max="11" width="7.63"/>
    <col customWidth="1" min="12" max="12" width="9.75"/>
    <col customWidth="1" min="13" max="24" width="12.63"/>
  </cols>
  <sheetData>
    <row r="1" ht="13.5" customHeight="1">
      <c r="A1" s="263"/>
      <c r="B1" s="437"/>
      <c r="C1" s="264"/>
      <c r="D1" s="264"/>
      <c r="E1" s="265"/>
      <c r="F1" s="265"/>
      <c r="G1" s="263"/>
      <c r="H1" s="263"/>
      <c r="I1" s="263"/>
      <c r="J1" s="266"/>
      <c r="K1" s="266"/>
      <c r="L1" s="263"/>
    </row>
    <row r="2" ht="13.5" customHeight="1">
      <c r="A2" s="263"/>
      <c r="B2" s="437"/>
      <c r="C2" s="264"/>
      <c r="D2" s="264"/>
      <c r="E2" s="265"/>
      <c r="F2" s="265"/>
      <c r="G2" s="263"/>
      <c r="H2" s="263"/>
      <c r="I2" s="263"/>
      <c r="J2" s="266"/>
      <c r="K2" s="266"/>
      <c r="L2" s="263"/>
    </row>
    <row r="3" ht="13.5" customHeight="1">
      <c r="A3" s="263"/>
      <c r="B3" s="437"/>
      <c r="C3" s="264"/>
      <c r="D3" s="264"/>
      <c r="E3" s="265"/>
      <c r="F3" s="265"/>
      <c r="G3" s="263"/>
      <c r="H3" s="263"/>
      <c r="I3" s="263"/>
      <c r="J3" s="266"/>
      <c r="K3" s="266"/>
      <c r="L3" s="263"/>
    </row>
    <row r="4" ht="13.5" customHeight="1">
      <c r="A4" s="263"/>
      <c r="B4" s="437"/>
      <c r="C4" s="264"/>
      <c r="D4" s="264"/>
      <c r="E4" s="265"/>
      <c r="F4" s="265"/>
      <c r="G4" s="263"/>
      <c r="H4" s="263"/>
      <c r="I4" s="263"/>
      <c r="J4" s="266"/>
      <c r="K4" s="266"/>
      <c r="L4" s="263"/>
    </row>
    <row r="5" ht="13.5" customHeight="1">
      <c r="A5" s="268" t="s">
        <v>28</v>
      </c>
      <c r="B5" s="438" t="s">
        <v>222</v>
      </c>
      <c r="C5" s="270" t="s">
        <v>737</v>
      </c>
      <c r="D5" s="270" t="s">
        <v>674</v>
      </c>
      <c r="E5" s="270" t="s">
        <v>675</v>
      </c>
      <c r="F5" s="270" t="s">
        <v>676</v>
      </c>
      <c r="G5" s="269" t="s">
        <v>737</v>
      </c>
      <c r="H5" s="269" t="s">
        <v>674</v>
      </c>
      <c r="I5" s="269" t="s">
        <v>676</v>
      </c>
      <c r="J5" s="270" t="s">
        <v>34</v>
      </c>
      <c r="K5" s="270" t="s">
        <v>678</v>
      </c>
      <c r="L5" s="269" t="s">
        <v>679</v>
      </c>
    </row>
    <row r="6" ht="13.5" customHeight="1">
      <c r="A6" s="53"/>
      <c r="B6" s="54"/>
      <c r="C6" s="54"/>
      <c r="D6" s="54"/>
      <c r="E6" s="54"/>
      <c r="F6" s="54"/>
      <c r="G6" s="54"/>
      <c r="H6" s="54"/>
      <c r="I6" s="54"/>
      <c r="J6" s="54"/>
      <c r="K6" s="54"/>
      <c r="L6" s="54"/>
    </row>
    <row r="7" ht="13.5" customHeight="1">
      <c r="A7" s="273"/>
      <c r="B7" s="274" t="s">
        <v>681</v>
      </c>
      <c r="C7" s="275"/>
      <c r="D7" s="275"/>
      <c r="E7" s="275"/>
      <c r="F7" s="275"/>
      <c r="G7" s="276"/>
      <c r="H7" s="276"/>
      <c r="I7" s="276"/>
      <c r="J7" s="275"/>
      <c r="K7" s="275"/>
      <c r="L7" s="277"/>
    </row>
    <row r="8" ht="13.5" customHeight="1">
      <c r="A8" s="281"/>
      <c r="B8" s="274" t="s">
        <v>825</v>
      </c>
      <c r="C8" s="282"/>
      <c r="D8" s="282"/>
      <c r="E8" s="282"/>
      <c r="F8" s="282"/>
      <c r="G8" s="274"/>
      <c r="H8" s="274"/>
      <c r="I8" s="274"/>
      <c r="J8" s="282"/>
      <c r="K8" s="282"/>
      <c r="L8" s="283"/>
    </row>
    <row r="9" ht="13.5" customHeight="1">
      <c r="A9" s="285"/>
      <c r="B9" s="439" t="str">
        <f>'Lite Premium'!I57</f>
        <v>Supply and installation of Open unit - Inner 1mm with MR ply frame and Smooth finish laminate</v>
      </c>
      <c r="C9" s="287">
        <v>4.0</v>
      </c>
      <c r="D9" s="287">
        <v>7.25</v>
      </c>
      <c r="E9" s="288">
        <f>C9*D9</f>
        <v>29</v>
      </c>
      <c r="F9" s="287" t="s">
        <v>683</v>
      </c>
      <c r="G9" s="289">
        <f t="shared" ref="G9:H9" si="1">C9*300</f>
        <v>1200</v>
      </c>
      <c r="H9" s="289">
        <f t="shared" si="1"/>
        <v>2175</v>
      </c>
      <c r="I9" s="289" t="s">
        <v>684</v>
      </c>
      <c r="J9" s="290">
        <f>'Lite Premium'!M57</f>
        <v>1875</v>
      </c>
      <c r="K9" s="290">
        <v>1.0</v>
      </c>
      <c r="L9" s="291">
        <f>K9*J9*E9</f>
        <v>54375</v>
      </c>
      <c r="M9" s="293"/>
      <c r="N9" s="293"/>
      <c r="O9" s="293"/>
      <c r="P9" s="293"/>
      <c r="Q9" s="293"/>
      <c r="R9" s="293"/>
      <c r="S9" s="293"/>
      <c r="T9" s="293"/>
      <c r="U9" s="293"/>
      <c r="V9" s="293"/>
      <c r="W9" s="293"/>
      <c r="X9" s="293"/>
    </row>
    <row r="10" ht="13.5" customHeight="1">
      <c r="A10" s="281"/>
      <c r="B10" s="274" t="s">
        <v>827</v>
      </c>
      <c r="C10" s="282"/>
      <c r="D10" s="282"/>
      <c r="E10" s="282"/>
      <c r="F10" s="282"/>
      <c r="G10" s="274"/>
      <c r="H10" s="274"/>
      <c r="I10" s="274"/>
      <c r="J10" s="282"/>
      <c r="K10" s="282"/>
      <c r="L10" s="283"/>
      <c r="M10" s="293"/>
      <c r="N10" s="293"/>
      <c r="O10" s="293"/>
      <c r="P10" s="293"/>
      <c r="Q10" s="293"/>
      <c r="R10" s="293"/>
      <c r="S10" s="293"/>
      <c r="T10" s="293"/>
      <c r="U10" s="293"/>
      <c r="V10" s="293"/>
      <c r="W10" s="293"/>
      <c r="X10" s="293"/>
    </row>
    <row r="11" ht="13.5" customHeight="1">
      <c r="A11" s="285"/>
      <c r="B11" s="439" t="str">
        <f>'Lite Premium'!I48</f>
        <v>Supply and installation of Base storage unit with MR ply frame - Inner 1mm, Black/Silver Aluminium Profile with Fluted Glass Shutter, Smooth finish laminate and soft close hinges  </v>
      </c>
      <c r="C11" s="287">
        <v>4.0</v>
      </c>
      <c r="D11" s="287">
        <v>7.25</v>
      </c>
      <c r="E11" s="288">
        <f>C11*D11</f>
        <v>29</v>
      </c>
      <c r="F11" s="287" t="s">
        <v>683</v>
      </c>
      <c r="G11" s="289">
        <f t="shared" ref="G11:H11" si="2">C11*300</f>
        <v>1200</v>
      </c>
      <c r="H11" s="289">
        <f t="shared" si="2"/>
        <v>2175</v>
      </c>
      <c r="I11" s="289" t="s">
        <v>684</v>
      </c>
      <c r="J11" s="290">
        <f>'Lite Premium'!M48</f>
        <v>3250</v>
      </c>
      <c r="K11" s="290">
        <v>1.0</v>
      </c>
      <c r="L11" s="291">
        <f>K11*J11*E11</f>
        <v>94250</v>
      </c>
      <c r="M11" s="293"/>
      <c r="N11" s="293"/>
      <c r="O11" s="293"/>
      <c r="P11" s="293"/>
      <c r="Q11" s="293"/>
      <c r="R11" s="293"/>
      <c r="S11" s="293"/>
      <c r="T11" s="293"/>
      <c r="U11" s="293"/>
      <c r="V11" s="293"/>
      <c r="W11" s="293"/>
      <c r="X11" s="293"/>
    </row>
    <row r="12" ht="13.5" customHeight="1">
      <c r="A12" s="281"/>
      <c r="B12" s="274" t="s">
        <v>829</v>
      </c>
      <c r="C12" s="282"/>
      <c r="D12" s="282"/>
      <c r="E12" s="282"/>
      <c r="F12" s="282"/>
      <c r="G12" s="274"/>
      <c r="H12" s="274"/>
      <c r="I12" s="274"/>
      <c r="J12" s="282"/>
      <c r="K12" s="282"/>
      <c r="L12" s="283"/>
      <c r="M12" s="293"/>
      <c r="N12" s="293"/>
      <c r="O12" s="293"/>
      <c r="P12" s="293"/>
      <c r="Q12" s="293"/>
      <c r="R12" s="293"/>
      <c r="S12" s="293"/>
      <c r="T12" s="293"/>
      <c r="U12" s="293"/>
      <c r="V12" s="293"/>
      <c r="W12" s="293"/>
      <c r="X12" s="293"/>
    </row>
    <row r="13" ht="13.5" customHeight="1">
      <c r="A13" s="294"/>
      <c r="B13" s="275" t="str">
        <f>'Lite Premium'!I233</f>
        <v>Supply and installation of Wall Panel with MR ply frame, Designer laminate </v>
      </c>
      <c r="C13" s="287">
        <v>13.5</v>
      </c>
      <c r="D13" s="287">
        <v>5.5</v>
      </c>
      <c r="E13" s="288">
        <f t="shared" ref="E13:E16" si="4">C13*D13</f>
        <v>74.25</v>
      </c>
      <c r="F13" s="287" t="s">
        <v>683</v>
      </c>
      <c r="G13" s="289">
        <f t="shared" ref="G13:H13" si="3">C13*300</f>
        <v>4050</v>
      </c>
      <c r="H13" s="289">
        <f t="shared" si="3"/>
        <v>1650</v>
      </c>
      <c r="I13" s="296" t="s">
        <v>684</v>
      </c>
      <c r="J13" s="440">
        <f>'Lite Premium'!M233</f>
        <v>1312.5</v>
      </c>
      <c r="K13" s="297">
        <v>1.0</v>
      </c>
      <c r="L13" s="291">
        <f t="shared" ref="L13:L16" si="6">K13*J13*E13</f>
        <v>97453.125</v>
      </c>
      <c r="M13" s="293"/>
      <c r="N13" s="293"/>
      <c r="O13" s="293"/>
      <c r="P13" s="293"/>
      <c r="Q13" s="293"/>
      <c r="R13" s="293"/>
      <c r="S13" s="293"/>
      <c r="T13" s="293"/>
      <c r="U13" s="293"/>
      <c r="V13" s="293"/>
      <c r="W13" s="293"/>
      <c r="X13" s="293"/>
    </row>
    <row r="14" ht="13.5" customHeight="1">
      <c r="A14" s="285"/>
      <c r="B14" s="439" t="str">
        <f>'Lite Premium'!I167</f>
        <v>Supply and installation of Base storage unit with MR ply frame, HDHMR Shutter, MR+ laminate and soft close hinges  </v>
      </c>
      <c r="C14" s="287">
        <v>11.0</v>
      </c>
      <c r="D14" s="287">
        <v>1.5</v>
      </c>
      <c r="E14" s="288">
        <f t="shared" si="4"/>
        <v>16.5</v>
      </c>
      <c r="F14" s="287" t="s">
        <v>683</v>
      </c>
      <c r="G14" s="289">
        <f t="shared" ref="G14:H14" si="5">C14*300</f>
        <v>3300</v>
      </c>
      <c r="H14" s="289">
        <f t="shared" si="5"/>
        <v>450</v>
      </c>
      <c r="I14" s="289" t="s">
        <v>684</v>
      </c>
      <c r="J14" s="290">
        <f>'Lite Premium'!M167</f>
        <v>2000</v>
      </c>
      <c r="K14" s="290">
        <v>1.0</v>
      </c>
      <c r="L14" s="291">
        <f t="shared" si="6"/>
        <v>33000</v>
      </c>
      <c r="M14" s="441" t="s">
        <v>882</v>
      </c>
      <c r="N14" s="293"/>
      <c r="O14" s="293"/>
      <c r="P14" s="293"/>
      <c r="Q14" s="293"/>
      <c r="R14" s="293"/>
      <c r="S14" s="293"/>
      <c r="T14" s="293"/>
      <c r="U14" s="293"/>
      <c r="V14" s="293"/>
      <c r="W14" s="293"/>
      <c r="X14" s="293"/>
    </row>
    <row r="15" ht="13.5" customHeight="1">
      <c r="A15" s="285"/>
      <c r="B15" s="439" t="str">
        <f>'Lite Premium'!I176</f>
        <v>Supply and installation of Base storage unit with MR ply frame, Black/Silver Aluminium Profile with Clear/Tinted Glass Shutter, MR+ laminate and soft close hinges  </v>
      </c>
      <c r="C15" s="287">
        <v>2.75</v>
      </c>
      <c r="D15" s="287">
        <v>1.5</v>
      </c>
      <c r="E15" s="288">
        <f t="shared" si="4"/>
        <v>4.125</v>
      </c>
      <c r="F15" s="287" t="s">
        <v>683</v>
      </c>
      <c r="G15" s="289">
        <f t="shared" ref="G15:H15" si="7">C15*300</f>
        <v>825</v>
      </c>
      <c r="H15" s="289">
        <f t="shared" si="7"/>
        <v>450</v>
      </c>
      <c r="I15" s="289" t="s">
        <v>684</v>
      </c>
      <c r="J15" s="290">
        <f>'Lite Premium'!M176</f>
        <v>3062.5</v>
      </c>
      <c r="K15" s="290">
        <v>1.0</v>
      </c>
      <c r="L15" s="291">
        <f t="shared" si="6"/>
        <v>12632.8125</v>
      </c>
      <c r="N15" s="293"/>
      <c r="O15" s="293"/>
      <c r="P15" s="293"/>
      <c r="Q15" s="293"/>
      <c r="R15" s="293"/>
      <c r="S15" s="293"/>
      <c r="T15" s="293"/>
      <c r="U15" s="293"/>
      <c r="V15" s="293"/>
      <c r="W15" s="293"/>
      <c r="X15" s="293"/>
    </row>
    <row r="16" ht="13.5" customHeight="1">
      <c r="A16" s="285"/>
      <c r="B16" s="439" t="str">
        <f>'Lite Premium'!I176</f>
        <v>Supply and installation of Base storage unit with MR ply frame, Black/Silver Aluminium Profile with Clear/Tinted Glass Shutter, MR+ laminate and soft close hinges  </v>
      </c>
      <c r="C16" s="287">
        <v>1.75</v>
      </c>
      <c r="D16" s="287">
        <v>7.0</v>
      </c>
      <c r="E16" s="288">
        <f t="shared" si="4"/>
        <v>12.25</v>
      </c>
      <c r="F16" s="287" t="s">
        <v>683</v>
      </c>
      <c r="G16" s="289">
        <f t="shared" ref="G16:H16" si="8">C16*300</f>
        <v>525</v>
      </c>
      <c r="H16" s="289">
        <f t="shared" si="8"/>
        <v>2100</v>
      </c>
      <c r="I16" s="289" t="s">
        <v>684</v>
      </c>
      <c r="J16" s="290">
        <f>'Lite Premium'!M176</f>
        <v>3062.5</v>
      </c>
      <c r="K16" s="290">
        <v>1.0</v>
      </c>
      <c r="L16" s="291">
        <f t="shared" si="6"/>
        <v>37515.625</v>
      </c>
      <c r="N16" s="293"/>
      <c r="O16" s="293"/>
      <c r="P16" s="293"/>
      <c r="Q16" s="293"/>
      <c r="R16" s="293"/>
      <c r="S16" s="293"/>
      <c r="T16" s="293"/>
      <c r="U16" s="293"/>
      <c r="V16" s="293"/>
      <c r="W16" s="293"/>
      <c r="X16" s="293"/>
    </row>
    <row r="17" ht="13.5" customHeight="1">
      <c r="A17" s="281"/>
      <c r="B17" s="274" t="s">
        <v>833</v>
      </c>
      <c r="C17" s="282"/>
      <c r="D17" s="282"/>
      <c r="E17" s="282"/>
      <c r="F17" s="282"/>
      <c r="G17" s="274"/>
      <c r="H17" s="274"/>
      <c r="I17" s="274"/>
      <c r="J17" s="282"/>
      <c r="K17" s="282"/>
      <c r="L17" s="283"/>
      <c r="M17" s="293"/>
      <c r="N17" s="293"/>
      <c r="O17" s="293"/>
      <c r="P17" s="293"/>
      <c r="Q17" s="293"/>
      <c r="R17" s="293"/>
      <c r="S17" s="293"/>
      <c r="T17" s="293"/>
      <c r="U17" s="293"/>
      <c r="V17" s="293"/>
      <c r="W17" s="293"/>
      <c r="X17" s="293"/>
    </row>
    <row r="18" ht="13.5" customHeight="1">
      <c r="A18" s="285"/>
      <c r="B18" s="439" t="str">
        <f>'Lite Premium'!I176</f>
        <v>Supply and installation of Base storage unit with MR ply frame, Black/Silver Aluminium Profile with Clear/Tinted Glass Shutter, MR+ laminate and soft close hinges  </v>
      </c>
      <c r="C18" s="287">
        <v>3.25</v>
      </c>
      <c r="D18" s="287">
        <v>6.75</v>
      </c>
      <c r="E18" s="288">
        <f t="shared" ref="E18:E21" si="10">C18*D18</f>
        <v>21.9375</v>
      </c>
      <c r="F18" s="287" t="s">
        <v>683</v>
      </c>
      <c r="G18" s="289">
        <f t="shared" ref="G18:H18" si="9">C18*300</f>
        <v>975</v>
      </c>
      <c r="H18" s="289">
        <f t="shared" si="9"/>
        <v>2025</v>
      </c>
      <c r="I18" s="289" t="s">
        <v>684</v>
      </c>
      <c r="J18" s="290">
        <f>'Lite Premium'!M176</f>
        <v>3062.5</v>
      </c>
      <c r="K18" s="290">
        <v>1.0</v>
      </c>
      <c r="L18" s="291">
        <f t="shared" ref="L18:L21" si="12">K18*J18*E18</f>
        <v>67183.59375</v>
      </c>
      <c r="M18" s="441" t="s">
        <v>882</v>
      </c>
      <c r="N18" s="293"/>
      <c r="O18" s="293"/>
      <c r="P18" s="293"/>
      <c r="Q18" s="293"/>
      <c r="R18" s="293"/>
      <c r="S18" s="293"/>
      <c r="T18" s="293"/>
      <c r="U18" s="293"/>
      <c r="V18" s="293"/>
      <c r="W18" s="293"/>
      <c r="X18" s="293"/>
    </row>
    <row r="19" ht="13.5" customHeight="1">
      <c r="A19" s="285"/>
      <c r="B19" s="439" t="str">
        <f>'Lite Premium'!I194</f>
        <v>Supply and installation of Loft Frame and Shutter unit with MR Frame, HDHMR Shutter, MR+ laminate and Soft Close hinges  </v>
      </c>
      <c r="C19" s="287">
        <v>7.5</v>
      </c>
      <c r="D19" s="287">
        <v>6.75</v>
      </c>
      <c r="E19" s="288">
        <f t="shared" si="10"/>
        <v>50.625</v>
      </c>
      <c r="F19" s="287" t="s">
        <v>683</v>
      </c>
      <c r="G19" s="289">
        <f t="shared" ref="G19:H19" si="11">C19*300</f>
        <v>2250</v>
      </c>
      <c r="H19" s="289">
        <f t="shared" si="11"/>
        <v>2025</v>
      </c>
      <c r="I19" s="289" t="s">
        <v>684</v>
      </c>
      <c r="J19" s="290">
        <f>'Lite Premium'!M194</f>
        <v>1246.25</v>
      </c>
      <c r="K19" s="290">
        <v>1.0</v>
      </c>
      <c r="L19" s="291">
        <f t="shared" si="12"/>
        <v>63091.40625</v>
      </c>
      <c r="N19" s="293"/>
      <c r="O19" s="293"/>
      <c r="P19" s="293"/>
      <c r="Q19" s="293"/>
      <c r="R19" s="293"/>
      <c r="S19" s="293"/>
      <c r="T19" s="293"/>
      <c r="U19" s="293"/>
      <c r="V19" s="293"/>
      <c r="W19" s="293"/>
      <c r="X19" s="293"/>
    </row>
    <row r="20" ht="13.5" customHeight="1">
      <c r="A20" s="285"/>
      <c r="B20" s="439" t="str">
        <f>'Lite Premium'!I195</f>
        <v>Supply and installation of Ledge with 25mm Ledge MR and MR+ laminate </v>
      </c>
      <c r="C20" s="287">
        <v>3.5</v>
      </c>
      <c r="D20" s="287">
        <v>1.5</v>
      </c>
      <c r="E20" s="288">
        <f t="shared" si="10"/>
        <v>5.25</v>
      </c>
      <c r="F20" s="287" t="s">
        <v>683</v>
      </c>
      <c r="G20" s="289">
        <f t="shared" ref="G20:H20" si="13">C20*300</f>
        <v>1050</v>
      </c>
      <c r="H20" s="289">
        <f t="shared" si="13"/>
        <v>450</v>
      </c>
      <c r="I20" s="289" t="s">
        <v>684</v>
      </c>
      <c r="J20" s="290">
        <f>'Lite Premium'!M195</f>
        <v>1103.75</v>
      </c>
      <c r="K20" s="290">
        <v>3.0</v>
      </c>
      <c r="L20" s="291">
        <f t="shared" si="12"/>
        <v>17384.0625</v>
      </c>
      <c r="N20" s="293"/>
      <c r="O20" s="293"/>
      <c r="P20" s="293"/>
      <c r="Q20" s="293"/>
      <c r="R20" s="293"/>
      <c r="S20" s="293"/>
      <c r="T20" s="293"/>
      <c r="U20" s="293"/>
      <c r="V20" s="293"/>
      <c r="W20" s="293"/>
      <c r="X20" s="293"/>
    </row>
    <row r="21" ht="13.5" customHeight="1">
      <c r="A21" s="285"/>
      <c r="B21" s="439" t="str">
        <f>'Lite Premium'!I199</f>
        <v>Supply and installation of Wall Panel with MR Ply Frame, MR+ laminate </v>
      </c>
      <c r="C21" s="287">
        <v>3.0</v>
      </c>
      <c r="D21" s="287">
        <v>2.5</v>
      </c>
      <c r="E21" s="288">
        <f t="shared" si="10"/>
        <v>7.5</v>
      </c>
      <c r="F21" s="287" t="s">
        <v>683</v>
      </c>
      <c r="G21" s="289">
        <f t="shared" ref="G21:H21" si="14">C21*300</f>
        <v>900</v>
      </c>
      <c r="H21" s="289">
        <f t="shared" si="14"/>
        <v>750</v>
      </c>
      <c r="I21" s="289" t="s">
        <v>684</v>
      </c>
      <c r="J21" s="290">
        <f>'Lite Premium'!M199</f>
        <v>1250</v>
      </c>
      <c r="K21" s="290">
        <v>1.0</v>
      </c>
      <c r="L21" s="291">
        <f t="shared" si="12"/>
        <v>9375</v>
      </c>
      <c r="N21" s="293"/>
      <c r="O21" s="293"/>
      <c r="P21" s="293"/>
      <c r="Q21" s="293"/>
      <c r="R21" s="293"/>
      <c r="S21" s="293"/>
      <c r="T21" s="293"/>
      <c r="U21" s="293"/>
      <c r="V21" s="293"/>
      <c r="W21" s="293"/>
      <c r="X21" s="293"/>
    </row>
    <row r="22" ht="13.5" customHeight="1">
      <c r="A22" s="298"/>
      <c r="B22" s="274" t="s">
        <v>688</v>
      </c>
      <c r="C22" s="299"/>
      <c r="D22" s="299"/>
      <c r="E22" s="300"/>
      <c r="F22" s="299"/>
      <c r="G22" s="301"/>
      <c r="H22" s="301"/>
      <c r="I22" s="301"/>
      <c r="J22" s="302"/>
      <c r="K22" s="302"/>
      <c r="L22" s="303"/>
    </row>
    <row r="23" ht="13.5" customHeight="1">
      <c r="A23" s="285"/>
      <c r="B23" s="439" t="str">
        <f>'Lite Premium'!I241</f>
        <v>Supply and installation of Base storage unit with MR ply frame, HDHMR Shutter, Acrylic laminate and soft close hinges  </v>
      </c>
      <c r="C23" s="287">
        <v>8.25</v>
      </c>
      <c r="D23" s="287">
        <v>3.0</v>
      </c>
      <c r="E23" s="288">
        <f t="shared" ref="E23:E33" si="16">C23*D23</f>
        <v>24.75</v>
      </c>
      <c r="F23" s="287" t="s">
        <v>683</v>
      </c>
      <c r="G23" s="289">
        <f t="shared" ref="G23:H23" si="15">C23*300</f>
        <v>2475</v>
      </c>
      <c r="H23" s="289">
        <f t="shared" si="15"/>
        <v>900</v>
      </c>
      <c r="I23" s="289" t="s">
        <v>684</v>
      </c>
      <c r="J23" s="290">
        <f>'Lite Premium'!M241</f>
        <v>2281.25</v>
      </c>
      <c r="K23" s="290">
        <v>1.0</v>
      </c>
      <c r="L23" s="291">
        <f t="shared" ref="L23:L33" si="18">K23*J23*E23</f>
        <v>56460.9375</v>
      </c>
    </row>
    <row r="24" ht="13.5" customHeight="1">
      <c r="A24" s="285"/>
      <c r="B24" s="439" t="str">
        <f>'Lite Premium'!I129</f>
        <v>Supply and installation of Jam Panel with MR Ply Frame, Glossy Finish laminate </v>
      </c>
      <c r="C24" s="287">
        <v>14.75</v>
      </c>
      <c r="D24" s="287">
        <v>1.0</v>
      </c>
      <c r="E24" s="288">
        <f t="shared" si="16"/>
        <v>14.75</v>
      </c>
      <c r="F24" s="287" t="s">
        <v>683</v>
      </c>
      <c r="G24" s="289">
        <f t="shared" ref="G24:H24" si="17">C24*300</f>
        <v>4425</v>
      </c>
      <c r="H24" s="289">
        <f t="shared" si="17"/>
        <v>300</v>
      </c>
      <c r="I24" s="289" t="s">
        <v>684</v>
      </c>
      <c r="J24" s="290">
        <f>'Lite Premium'!M127</f>
        <v>1187.5</v>
      </c>
      <c r="K24" s="290">
        <v>1.0</v>
      </c>
      <c r="L24" s="291">
        <f t="shared" si="18"/>
        <v>17515.625</v>
      </c>
      <c r="M24" s="442" t="s">
        <v>899</v>
      </c>
      <c r="N24" s="293"/>
      <c r="O24" s="293"/>
      <c r="P24" s="293"/>
      <c r="Q24" s="293"/>
      <c r="R24" s="293"/>
      <c r="S24" s="293"/>
      <c r="T24" s="293"/>
      <c r="U24" s="293"/>
      <c r="V24" s="293"/>
      <c r="W24" s="293"/>
      <c r="X24" s="293"/>
    </row>
    <row r="25" ht="13.5" customHeight="1">
      <c r="A25" s="285"/>
      <c r="B25" s="439" t="str">
        <f>'Lite Premium'!I241</f>
        <v>Supply and installation of Base storage unit with MR ply frame, HDHMR Shutter, Acrylic laminate and soft close hinges  </v>
      </c>
      <c r="C25" s="287">
        <v>22.5</v>
      </c>
      <c r="D25" s="287">
        <v>3.0</v>
      </c>
      <c r="E25" s="288">
        <f t="shared" si="16"/>
        <v>67.5</v>
      </c>
      <c r="F25" s="287" t="s">
        <v>683</v>
      </c>
      <c r="G25" s="289">
        <f t="shared" ref="G25:H25" si="19">C25*300</f>
        <v>6750</v>
      </c>
      <c r="H25" s="289">
        <f t="shared" si="19"/>
        <v>900</v>
      </c>
      <c r="I25" s="289" t="s">
        <v>684</v>
      </c>
      <c r="J25" s="290">
        <f>'Lite Premium'!M241</f>
        <v>2281.25</v>
      </c>
      <c r="K25" s="290">
        <v>1.0</v>
      </c>
      <c r="L25" s="291">
        <f t="shared" si="18"/>
        <v>153984.375</v>
      </c>
    </row>
    <row r="26" ht="13.5" customHeight="1">
      <c r="A26" s="285"/>
      <c r="B26" s="439" t="str">
        <f>'Lite Premium'!I136</f>
        <v>Supply and installation of Wall storage unit with BWP Carcass, HDHMR Shutter, MR+ laminate and soft close hinges  </v>
      </c>
      <c r="C26" s="287">
        <v>12.25</v>
      </c>
      <c r="D26" s="287">
        <v>2.25</v>
      </c>
      <c r="E26" s="288">
        <f t="shared" si="16"/>
        <v>27.5625</v>
      </c>
      <c r="F26" s="287" t="s">
        <v>683</v>
      </c>
      <c r="G26" s="289">
        <f t="shared" ref="G26:H26" si="20">C26*300</f>
        <v>3675</v>
      </c>
      <c r="H26" s="289">
        <f t="shared" si="20"/>
        <v>675</v>
      </c>
      <c r="I26" s="289" t="s">
        <v>684</v>
      </c>
      <c r="J26" s="290">
        <f>'Lite Premium'!M135</f>
        <v>2125</v>
      </c>
      <c r="K26" s="290">
        <v>1.0</v>
      </c>
      <c r="L26" s="291">
        <f t="shared" si="18"/>
        <v>58570.3125</v>
      </c>
      <c r="M26" s="3" t="s">
        <v>900</v>
      </c>
    </row>
    <row r="27" ht="13.5" customHeight="1">
      <c r="A27" s="285"/>
      <c r="B27" s="439" t="str">
        <f>'Lite Premium'!I145</f>
        <v>Supply and installation of Wall storage unit with BWP Carcass, Black/Silver Aluminium Profile with Clear/Tinted Glass Shutter, MR+ laminate and soft close hinges  </v>
      </c>
      <c r="C27" s="287">
        <v>1.25</v>
      </c>
      <c r="D27" s="287">
        <v>4.25</v>
      </c>
      <c r="E27" s="288">
        <f t="shared" si="16"/>
        <v>5.3125</v>
      </c>
      <c r="F27" s="287" t="s">
        <v>683</v>
      </c>
      <c r="G27" s="289">
        <f t="shared" ref="G27:H27" si="21">C27*300</f>
        <v>375</v>
      </c>
      <c r="H27" s="289">
        <f t="shared" si="21"/>
        <v>1275</v>
      </c>
      <c r="I27" s="289" t="s">
        <v>684</v>
      </c>
      <c r="J27" s="290">
        <f>'Lite Premium'!M144</f>
        <v>3187.5</v>
      </c>
      <c r="K27" s="290">
        <v>1.0</v>
      </c>
      <c r="L27" s="291">
        <f t="shared" si="18"/>
        <v>16933.59375</v>
      </c>
    </row>
    <row r="28" ht="13.5" customHeight="1">
      <c r="A28" s="285"/>
      <c r="B28" s="439" t="str">
        <f>'Lite Premium'!I145</f>
        <v>Supply and installation of Wall storage unit with BWP Carcass, Black/Silver Aluminium Profile with Clear/Tinted Glass Shutter, MR+ laminate and soft close hinges  </v>
      </c>
      <c r="C28" s="287">
        <v>5.5</v>
      </c>
      <c r="D28" s="287">
        <v>2.25</v>
      </c>
      <c r="E28" s="288">
        <f t="shared" si="16"/>
        <v>12.375</v>
      </c>
      <c r="F28" s="287" t="s">
        <v>683</v>
      </c>
      <c r="G28" s="289">
        <f t="shared" ref="G28:H28" si="22">C28*300</f>
        <v>1650</v>
      </c>
      <c r="H28" s="289">
        <f t="shared" si="22"/>
        <v>675</v>
      </c>
      <c r="I28" s="289" t="s">
        <v>684</v>
      </c>
      <c r="J28" s="290">
        <f>'Lite Premium'!M144</f>
        <v>3187.5</v>
      </c>
      <c r="K28" s="290">
        <v>1.0</v>
      </c>
      <c r="L28" s="291">
        <f t="shared" si="18"/>
        <v>39445.3125</v>
      </c>
      <c r="N28" s="293"/>
      <c r="O28" s="293"/>
      <c r="P28" s="293"/>
      <c r="Q28" s="293"/>
      <c r="R28" s="293"/>
      <c r="S28" s="293"/>
      <c r="T28" s="293"/>
      <c r="U28" s="293"/>
      <c r="V28" s="293"/>
      <c r="W28" s="293"/>
      <c r="X28" s="293"/>
    </row>
    <row r="29" ht="13.5" customHeight="1">
      <c r="A29" s="285"/>
      <c r="B29" s="439" t="str">
        <f>'Lite Premium'!I243</f>
        <v>Supply and installation of Tall storage unit with MR ply frame, HDHMR Shutter, Acrylic laminate and soft close hinges  </v>
      </c>
      <c r="C29" s="287">
        <v>5.75</v>
      </c>
      <c r="D29" s="287">
        <v>7.25</v>
      </c>
      <c r="E29" s="288">
        <f t="shared" si="16"/>
        <v>41.6875</v>
      </c>
      <c r="F29" s="287" t="s">
        <v>683</v>
      </c>
      <c r="G29" s="289">
        <f t="shared" ref="G29:H29" si="23">C29*300</f>
        <v>1725</v>
      </c>
      <c r="H29" s="289">
        <f t="shared" si="23"/>
        <v>2175</v>
      </c>
      <c r="I29" s="289" t="s">
        <v>684</v>
      </c>
      <c r="J29" s="290">
        <f>'Lite Premium'!M241</f>
        <v>2281.25</v>
      </c>
      <c r="K29" s="290">
        <v>1.0</v>
      </c>
      <c r="L29" s="291">
        <f t="shared" si="18"/>
        <v>95099.60938</v>
      </c>
      <c r="M29" s="293"/>
      <c r="N29" s="293"/>
      <c r="O29" s="293"/>
      <c r="P29" s="293"/>
      <c r="Q29" s="293"/>
      <c r="R29" s="293"/>
      <c r="S29" s="293"/>
      <c r="T29" s="293"/>
      <c r="U29" s="293"/>
      <c r="V29" s="293"/>
      <c r="W29" s="293"/>
      <c r="X29" s="293"/>
    </row>
    <row r="30" ht="13.5" customHeight="1">
      <c r="A30" s="306"/>
      <c r="B30" s="439" t="str">
        <f>'Lite Premium'!I121</f>
        <v>Supply and installation of Loft Frame and Shutter unit with MR Frame, HDHMR Shutter, Glossy  finish laminate and Soft Close hinges  </v>
      </c>
      <c r="C30" s="287">
        <v>14.75</v>
      </c>
      <c r="D30" s="287">
        <v>2.5</v>
      </c>
      <c r="E30" s="288">
        <f t="shared" si="16"/>
        <v>36.875</v>
      </c>
      <c r="F30" s="287" t="s">
        <v>683</v>
      </c>
      <c r="G30" s="289">
        <f t="shared" ref="G30:H30" si="24">C30*300</f>
        <v>4425</v>
      </c>
      <c r="H30" s="289">
        <f t="shared" si="24"/>
        <v>750</v>
      </c>
      <c r="I30" s="289" t="s">
        <v>684</v>
      </c>
      <c r="J30" s="290">
        <f>'Lite Premium'!M121</f>
        <v>1183.75</v>
      </c>
      <c r="K30" s="290">
        <v>1.0</v>
      </c>
      <c r="L30" s="291">
        <f t="shared" si="18"/>
        <v>43650.78125</v>
      </c>
      <c r="M30" s="3" t="s">
        <v>901</v>
      </c>
    </row>
    <row r="31" ht="13.5" customHeight="1">
      <c r="A31" s="306"/>
      <c r="B31" s="439" t="str">
        <f>'Lite Premium'!I121</f>
        <v>Supply and installation of Loft Frame and Shutter unit with MR Frame, HDHMR Shutter, Glossy  finish laminate and Soft Close hinges  </v>
      </c>
      <c r="C31" s="287">
        <v>2.75</v>
      </c>
      <c r="D31" s="287">
        <v>7.25</v>
      </c>
      <c r="E31" s="288">
        <f t="shared" si="16"/>
        <v>19.9375</v>
      </c>
      <c r="F31" s="287" t="s">
        <v>683</v>
      </c>
      <c r="G31" s="289">
        <f t="shared" ref="G31:H31" si="25">C31*300</f>
        <v>825</v>
      </c>
      <c r="H31" s="289">
        <f t="shared" si="25"/>
        <v>2175</v>
      </c>
      <c r="I31" s="289" t="s">
        <v>684</v>
      </c>
      <c r="J31" s="290">
        <f>'Lite Premium'!M121</f>
        <v>1183.75</v>
      </c>
      <c r="K31" s="290">
        <v>1.0</v>
      </c>
      <c r="L31" s="291">
        <f t="shared" si="18"/>
        <v>23601.01563</v>
      </c>
      <c r="N31" s="293"/>
      <c r="O31" s="293"/>
      <c r="P31" s="293"/>
      <c r="Q31" s="293"/>
      <c r="R31" s="293"/>
      <c r="S31" s="293"/>
      <c r="T31" s="293"/>
      <c r="U31" s="293"/>
      <c r="V31" s="293"/>
      <c r="W31" s="293"/>
      <c r="X31" s="293"/>
    </row>
    <row r="32" ht="13.5" customHeight="1">
      <c r="A32" s="285"/>
      <c r="B32" s="439" t="str">
        <f>'Lite Premium'!I176</f>
        <v>Supply and installation of Base storage unit with MR ply frame, Black/Silver Aluminium Profile with Clear/Tinted Glass Shutter, MR+ laminate and soft close hinges  </v>
      </c>
      <c r="C32" s="287">
        <v>3.0</v>
      </c>
      <c r="D32" s="287">
        <v>7.25</v>
      </c>
      <c r="E32" s="288">
        <f t="shared" si="16"/>
        <v>21.75</v>
      </c>
      <c r="F32" s="287" t="s">
        <v>683</v>
      </c>
      <c r="G32" s="289">
        <f t="shared" ref="G32:H32" si="26">C32*300</f>
        <v>900</v>
      </c>
      <c r="H32" s="289">
        <f t="shared" si="26"/>
        <v>2175</v>
      </c>
      <c r="I32" s="289" t="s">
        <v>684</v>
      </c>
      <c r="J32" s="290">
        <f>'Lite Premium'!M176</f>
        <v>3062.5</v>
      </c>
      <c r="K32" s="290">
        <v>1.0</v>
      </c>
      <c r="L32" s="291">
        <f t="shared" si="18"/>
        <v>66609.375</v>
      </c>
      <c r="M32" s="293"/>
      <c r="N32" s="293"/>
      <c r="O32" s="293"/>
      <c r="P32" s="293"/>
      <c r="Q32" s="293"/>
      <c r="R32" s="293"/>
      <c r="S32" s="293"/>
      <c r="T32" s="293"/>
      <c r="U32" s="293"/>
      <c r="V32" s="293"/>
      <c r="W32" s="293"/>
      <c r="X32" s="293"/>
    </row>
    <row r="33" ht="13.5" customHeight="1">
      <c r="A33" s="306"/>
      <c r="B33" s="439" t="str">
        <f>'Lite Premium'!I131</f>
        <v>Supply and installation of Base Panel with MR Ply Frame, Glossy Finish laminate </v>
      </c>
      <c r="C33" s="287">
        <v>3.5</v>
      </c>
      <c r="D33" s="287">
        <v>1.0</v>
      </c>
      <c r="E33" s="288">
        <f t="shared" si="16"/>
        <v>3.5</v>
      </c>
      <c r="F33" s="287" t="s">
        <v>683</v>
      </c>
      <c r="G33" s="289">
        <f t="shared" ref="G33:H33" si="27">C33*300</f>
        <v>1050</v>
      </c>
      <c r="H33" s="289">
        <f t="shared" si="27"/>
        <v>300</v>
      </c>
      <c r="I33" s="289" t="s">
        <v>684</v>
      </c>
      <c r="J33" s="290">
        <f>'Lite Premium'!M127</f>
        <v>1187.5</v>
      </c>
      <c r="K33" s="290">
        <v>1.0</v>
      </c>
      <c r="L33" s="291">
        <f t="shared" si="18"/>
        <v>4156.25</v>
      </c>
      <c r="M33" s="3" t="s">
        <v>899</v>
      </c>
    </row>
    <row r="34" ht="13.5" customHeight="1">
      <c r="A34" s="281"/>
      <c r="B34" s="274" t="s">
        <v>692</v>
      </c>
      <c r="C34" s="308"/>
      <c r="D34" s="308"/>
      <c r="E34" s="308"/>
      <c r="F34" s="308"/>
      <c r="G34" s="283"/>
      <c r="H34" s="283"/>
      <c r="I34" s="283"/>
      <c r="J34" s="308"/>
      <c r="K34" s="308"/>
      <c r="L34" s="283"/>
    </row>
    <row r="35" ht="13.5" customHeight="1">
      <c r="A35" s="285"/>
      <c r="B35" s="439" t="str">
        <f>'Lite Premium'!I223</f>
        <v>Supply and installation of Wardrobe with MRCarcass, HDHMR  Shutter, Designer finish laminate and soft close hinges  </v>
      </c>
      <c r="C35" s="287">
        <v>7.25</v>
      </c>
      <c r="D35" s="287">
        <v>8.75</v>
      </c>
      <c r="E35" s="288">
        <f t="shared" ref="E35:E40" si="29">C35*D35</f>
        <v>63.4375</v>
      </c>
      <c r="F35" s="287" t="s">
        <v>683</v>
      </c>
      <c r="G35" s="289">
        <f t="shared" ref="G35:H35" si="28">C35*300</f>
        <v>2175</v>
      </c>
      <c r="H35" s="289">
        <f t="shared" si="28"/>
        <v>2625</v>
      </c>
      <c r="I35" s="289" t="s">
        <v>684</v>
      </c>
      <c r="J35" s="290">
        <f>'Lite Premium'!M220</f>
        <v>2062.5</v>
      </c>
      <c r="K35" s="290">
        <v>1.0</v>
      </c>
      <c r="L35" s="291">
        <f t="shared" ref="L35:L40" si="31">K35*J35*E35</f>
        <v>130839.8438</v>
      </c>
      <c r="M35" s="293"/>
      <c r="N35" s="293"/>
      <c r="O35" s="293"/>
      <c r="P35" s="293"/>
      <c r="Q35" s="293"/>
      <c r="R35" s="293"/>
      <c r="S35" s="293"/>
      <c r="T35" s="293"/>
      <c r="U35" s="293"/>
      <c r="V35" s="293"/>
      <c r="W35" s="293"/>
      <c r="X35" s="293"/>
    </row>
    <row r="36" ht="13.5" customHeight="1">
      <c r="A36" s="285"/>
      <c r="B36" s="439" t="str">
        <f>'Lite Premium'!I222</f>
        <v>Supply and installation of Tall storage unit with MRCarcass, HDHMR  Shutter, Designer finish laminate and soft close hinges  </v>
      </c>
      <c r="C36" s="287">
        <v>2.0</v>
      </c>
      <c r="D36" s="287">
        <v>7.0</v>
      </c>
      <c r="E36" s="288">
        <f t="shared" si="29"/>
        <v>14</v>
      </c>
      <c r="F36" s="287" t="s">
        <v>683</v>
      </c>
      <c r="G36" s="289">
        <f t="shared" ref="G36:H36" si="30">C36*300</f>
        <v>600</v>
      </c>
      <c r="H36" s="289">
        <f t="shared" si="30"/>
        <v>2100</v>
      </c>
      <c r="I36" s="289" t="s">
        <v>684</v>
      </c>
      <c r="J36" s="290">
        <f>'Lite Premium'!M220</f>
        <v>2062.5</v>
      </c>
      <c r="K36" s="290">
        <v>1.0</v>
      </c>
      <c r="L36" s="291">
        <f t="shared" si="31"/>
        <v>28875</v>
      </c>
    </row>
    <row r="37" ht="13.5" customHeight="1">
      <c r="A37" s="285"/>
      <c r="B37" s="275" t="str">
        <f>'Lite Premium'!I233</f>
        <v>Supply and installation of Wall Panel with MR ply frame, Designer laminate </v>
      </c>
      <c r="C37" s="287">
        <v>6.5</v>
      </c>
      <c r="D37" s="287">
        <v>1.0</v>
      </c>
      <c r="E37" s="288">
        <f t="shared" si="29"/>
        <v>6.5</v>
      </c>
      <c r="F37" s="287" t="s">
        <v>683</v>
      </c>
      <c r="G37" s="289">
        <f t="shared" ref="G37:H37" si="32">C37*300</f>
        <v>1950</v>
      </c>
      <c r="H37" s="289">
        <f t="shared" si="32"/>
        <v>300</v>
      </c>
      <c r="I37" s="289" t="s">
        <v>684</v>
      </c>
      <c r="J37" s="290">
        <f>'Lite Premium'!M233</f>
        <v>1312.5</v>
      </c>
      <c r="K37" s="290">
        <v>1.0</v>
      </c>
      <c r="L37" s="291">
        <f t="shared" si="31"/>
        <v>8531.25</v>
      </c>
      <c r="M37" s="293"/>
      <c r="N37" s="293"/>
      <c r="O37" s="293"/>
      <c r="P37" s="293"/>
      <c r="Q37" s="293"/>
      <c r="R37" s="293"/>
      <c r="S37" s="293"/>
      <c r="T37" s="293"/>
      <c r="U37" s="293"/>
      <c r="V37" s="293"/>
      <c r="W37" s="293"/>
      <c r="X37" s="293"/>
    </row>
    <row r="38" ht="13.5" customHeight="1">
      <c r="A38" s="285"/>
      <c r="B38" s="275" t="str">
        <f>'Lite Premium'!I231</f>
        <v>Supply and installation of Ledge with 50mm Ledge MR and Designer Laminate Finish</v>
      </c>
      <c r="C38" s="287">
        <v>9.0</v>
      </c>
      <c r="D38" s="287">
        <v>1.0</v>
      </c>
      <c r="E38" s="288">
        <f t="shared" si="29"/>
        <v>9</v>
      </c>
      <c r="F38" s="287" t="s">
        <v>683</v>
      </c>
      <c r="G38" s="289">
        <f t="shared" ref="G38:H38" si="33">C38*300</f>
        <v>2700</v>
      </c>
      <c r="H38" s="289">
        <f t="shared" si="33"/>
        <v>300</v>
      </c>
      <c r="I38" s="289" t="s">
        <v>684</v>
      </c>
      <c r="J38" s="290">
        <f>'Lite Premium'!M231</f>
        <v>1416.25</v>
      </c>
      <c r="K38" s="290">
        <v>1.0</v>
      </c>
      <c r="L38" s="291">
        <f t="shared" si="31"/>
        <v>12746.25</v>
      </c>
      <c r="M38" s="293"/>
      <c r="N38" s="293"/>
      <c r="O38" s="293"/>
      <c r="P38" s="293"/>
      <c r="Q38" s="293"/>
      <c r="R38" s="293"/>
      <c r="S38" s="293"/>
      <c r="T38" s="293"/>
      <c r="U38" s="293"/>
      <c r="V38" s="293"/>
      <c r="W38" s="293"/>
      <c r="X38" s="293"/>
    </row>
    <row r="39" ht="13.5" customHeight="1">
      <c r="A39" s="306"/>
      <c r="B39" s="275" t="str">
        <f>'Lite Premium'!I35</f>
        <v>Supply and installation of Wardrobe with MR Carcass, HDHMR Shutter, Smooth finish laminate and soft close hinges  </v>
      </c>
      <c r="C39" s="287">
        <v>8.5</v>
      </c>
      <c r="D39" s="287">
        <v>8.25</v>
      </c>
      <c r="E39" s="288">
        <f t="shared" si="29"/>
        <v>70.125</v>
      </c>
      <c r="F39" s="287" t="s">
        <v>683</v>
      </c>
      <c r="G39" s="289">
        <f t="shared" ref="G39:H39" si="34">C39*300</f>
        <v>2550</v>
      </c>
      <c r="H39" s="289">
        <f t="shared" si="34"/>
        <v>2475</v>
      </c>
      <c r="I39" s="289" t="s">
        <v>684</v>
      </c>
      <c r="J39" s="290">
        <f>'Lite Premium'!M32</f>
        <v>1875</v>
      </c>
      <c r="K39" s="290">
        <v>1.0</v>
      </c>
      <c r="L39" s="291">
        <f t="shared" si="31"/>
        <v>131484.375</v>
      </c>
      <c r="M39" s="293"/>
      <c r="N39" s="293"/>
      <c r="O39" s="293"/>
      <c r="P39" s="293"/>
      <c r="Q39" s="293"/>
      <c r="R39" s="293"/>
      <c r="S39" s="293"/>
      <c r="T39" s="293"/>
      <c r="U39" s="293"/>
      <c r="V39" s="293"/>
      <c r="W39" s="293"/>
      <c r="X39" s="293"/>
    </row>
    <row r="40" ht="13.5" customHeight="1">
      <c r="A40" s="306"/>
      <c r="B40" s="275" t="str">
        <f>'Lite Premium'!I220</f>
        <v>Supply and installation of Base storage unit with MR Carcass, HDHMR  Shutter, Designer finish laminate and soft close hinges  </v>
      </c>
      <c r="C40" s="287">
        <v>8.5</v>
      </c>
      <c r="D40" s="287">
        <v>2.0</v>
      </c>
      <c r="E40" s="288">
        <f t="shared" si="29"/>
        <v>17</v>
      </c>
      <c r="F40" s="287" t="s">
        <v>683</v>
      </c>
      <c r="G40" s="289">
        <f t="shared" ref="G40:H40" si="35">C40*300</f>
        <v>2550</v>
      </c>
      <c r="H40" s="289">
        <f t="shared" si="35"/>
        <v>600</v>
      </c>
      <c r="I40" s="289" t="s">
        <v>684</v>
      </c>
      <c r="J40" s="290">
        <f>'Lite Premium'!M220</f>
        <v>2062.5</v>
      </c>
      <c r="K40" s="290">
        <v>1.0</v>
      </c>
      <c r="L40" s="291">
        <f t="shared" si="31"/>
        <v>35062.5</v>
      </c>
      <c r="M40" s="293"/>
      <c r="N40" s="293"/>
      <c r="O40" s="293"/>
      <c r="P40" s="293"/>
      <c r="Q40" s="293"/>
      <c r="R40" s="293"/>
      <c r="S40" s="293"/>
      <c r="T40" s="293"/>
      <c r="U40" s="293"/>
      <c r="V40" s="293"/>
      <c r="W40" s="293"/>
      <c r="X40" s="293"/>
    </row>
    <row r="41" ht="13.5" customHeight="1">
      <c r="A41" s="281"/>
      <c r="B41" s="274" t="s">
        <v>853</v>
      </c>
      <c r="C41" s="308"/>
      <c r="D41" s="308"/>
      <c r="E41" s="308"/>
      <c r="F41" s="308"/>
      <c r="G41" s="283"/>
      <c r="H41" s="283"/>
      <c r="I41" s="283"/>
      <c r="J41" s="308"/>
      <c r="K41" s="308"/>
      <c r="L41" s="283"/>
    </row>
    <row r="42" ht="13.5" customHeight="1">
      <c r="A42" s="285"/>
      <c r="B42" s="439" t="str">
        <f>'Lite Premium'!I59</f>
        <v>Supply and installation of Ledge with 25mm Ledge MR Frame and Smooth Finish laminate </v>
      </c>
      <c r="C42" s="287">
        <v>8.0</v>
      </c>
      <c r="D42" s="287">
        <v>2.0</v>
      </c>
      <c r="E42" s="288">
        <f t="shared" ref="E42:E48" si="37">C42*D42</f>
        <v>16</v>
      </c>
      <c r="F42" s="287" t="s">
        <v>683</v>
      </c>
      <c r="G42" s="289">
        <f t="shared" ref="G42:H42" si="36">C42*300</f>
        <v>2400</v>
      </c>
      <c r="H42" s="289">
        <f t="shared" si="36"/>
        <v>600</v>
      </c>
      <c r="I42" s="289" t="s">
        <v>684</v>
      </c>
      <c r="J42" s="290">
        <f>'Lite Premium'!M59</f>
        <v>978.75</v>
      </c>
      <c r="K42" s="290">
        <v>1.0</v>
      </c>
      <c r="L42" s="291">
        <f t="shared" ref="L42:L48" si="39">K42*J42*E42</f>
        <v>15660</v>
      </c>
      <c r="M42" s="293"/>
      <c r="N42" s="293"/>
      <c r="O42" s="293"/>
      <c r="P42" s="293"/>
      <c r="Q42" s="293"/>
      <c r="R42" s="293"/>
      <c r="S42" s="293"/>
      <c r="T42" s="293"/>
      <c r="U42" s="293"/>
      <c r="V42" s="293"/>
      <c r="W42" s="293"/>
      <c r="X42" s="293"/>
    </row>
    <row r="43" ht="13.5" customHeight="1">
      <c r="A43" s="285"/>
      <c r="B43" s="275" t="str">
        <f>'Lite Premium'!I57</f>
        <v>Supply and installation of Open unit - Inner 1mm with MR ply frame and Smooth finish laminate</v>
      </c>
      <c r="C43" s="287">
        <v>5.5</v>
      </c>
      <c r="D43" s="287">
        <v>1.0</v>
      </c>
      <c r="E43" s="288">
        <f t="shared" si="37"/>
        <v>5.5</v>
      </c>
      <c r="F43" s="287" t="s">
        <v>683</v>
      </c>
      <c r="G43" s="289">
        <f t="shared" ref="G43:H43" si="38">C43*300</f>
        <v>1650</v>
      </c>
      <c r="H43" s="289">
        <f t="shared" si="38"/>
        <v>300</v>
      </c>
      <c r="I43" s="289" t="s">
        <v>684</v>
      </c>
      <c r="J43" s="290">
        <f>'Lite Premium'!M57</f>
        <v>1875</v>
      </c>
      <c r="K43" s="290">
        <v>1.0</v>
      </c>
      <c r="L43" s="291">
        <f t="shared" si="39"/>
        <v>10312.5</v>
      </c>
      <c r="M43" s="293"/>
      <c r="N43" s="293"/>
      <c r="O43" s="293"/>
      <c r="P43" s="293"/>
      <c r="Q43" s="293"/>
      <c r="R43" s="293"/>
      <c r="S43" s="293"/>
      <c r="T43" s="293"/>
      <c r="U43" s="293"/>
      <c r="V43" s="293"/>
      <c r="W43" s="293"/>
      <c r="X43" s="293"/>
    </row>
    <row r="44" ht="13.5" customHeight="1">
      <c r="A44" s="285"/>
      <c r="B44" s="439" t="str">
        <f>'Lite Premium'!I33</f>
        <v>Supply and installation of Wall storage with MR Carcass, HDHMR Shutter, Smooth finish laminate and soft close hinges  </v>
      </c>
      <c r="C44" s="287">
        <v>5.5</v>
      </c>
      <c r="D44" s="287">
        <v>3.0</v>
      </c>
      <c r="E44" s="288">
        <f t="shared" si="37"/>
        <v>16.5</v>
      </c>
      <c r="F44" s="287" t="s">
        <v>683</v>
      </c>
      <c r="G44" s="289">
        <f t="shared" ref="G44:H44" si="40">C44*300</f>
        <v>1650</v>
      </c>
      <c r="H44" s="289">
        <f t="shared" si="40"/>
        <v>900</v>
      </c>
      <c r="I44" s="289" t="s">
        <v>684</v>
      </c>
      <c r="J44" s="290">
        <f>'Lite Premium'!M32</f>
        <v>1875</v>
      </c>
      <c r="K44" s="290">
        <v>1.0</v>
      </c>
      <c r="L44" s="291">
        <f t="shared" si="39"/>
        <v>30937.5</v>
      </c>
      <c r="M44" s="293"/>
      <c r="N44" s="293"/>
      <c r="O44" s="293"/>
      <c r="P44" s="293"/>
      <c r="Q44" s="293"/>
      <c r="R44" s="293"/>
      <c r="S44" s="293"/>
      <c r="T44" s="293"/>
      <c r="U44" s="293"/>
      <c r="V44" s="293"/>
      <c r="W44" s="293"/>
      <c r="X44" s="293"/>
    </row>
    <row r="45" ht="13.5" customHeight="1">
      <c r="A45" s="285"/>
      <c r="B45" s="439" t="str">
        <f>'Lite Premium'!I32</f>
        <v>Supply and installation of Base storage with MR Carcass, HDHMR Shutter, Smooth finish laminate and soft close hinges  </v>
      </c>
      <c r="C45" s="287">
        <v>1.75</v>
      </c>
      <c r="D45" s="287">
        <v>2.75</v>
      </c>
      <c r="E45" s="288">
        <f t="shared" si="37"/>
        <v>4.8125</v>
      </c>
      <c r="F45" s="287" t="s">
        <v>683</v>
      </c>
      <c r="G45" s="289">
        <f t="shared" ref="G45:H45" si="41">C45*300</f>
        <v>525</v>
      </c>
      <c r="H45" s="289">
        <f t="shared" si="41"/>
        <v>825</v>
      </c>
      <c r="I45" s="289" t="s">
        <v>684</v>
      </c>
      <c r="J45" s="290">
        <f>'Lite Premium'!M32</f>
        <v>1875</v>
      </c>
      <c r="K45" s="290">
        <v>1.0</v>
      </c>
      <c r="L45" s="291">
        <f t="shared" si="39"/>
        <v>9023.4375</v>
      </c>
      <c r="M45" s="293"/>
      <c r="N45" s="293"/>
      <c r="O45" s="293"/>
      <c r="P45" s="293"/>
      <c r="Q45" s="293"/>
      <c r="R45" s="293"/>
      <c r="S45" s="293"/>
      <c r="T45" s="293"/>
      <c r="U45" s="293"/>
      <c r="V45" s="293"/>
      <c r="W45" s="293"/>
      <c r="X45" s="293"/>
    </row>
    <row r="46" ht="13.5" customHeight="1">
      <c r="A46" s="306"/>
      <c r="B46" s="439" t="str">
        <f>'Lite Premium'!I58</f>
        <v>Supply and installation of Loft Frame and Shutter unit with MR Frame, HDHMR Shutter, Smooth finish laminate and Soft Close hinges  </v>
      </c>
      <c r="C46" s="287">
        <v>10.5</v>
      </c>
      <c r="D46" s="287">
        <v>2.5</v>
      </c>
      <c r="E46" s="288">
        <f t="shared" si="37"/>
        <v>26.25</v>
      </c>
      <c r="F46" s="287" t="s">
        <v>683</v>
      </c>
      <c r="G46" s="289">
        <f t="shared" ref="G46:H46" si="42">C46*300</f>
        <v>3150</v>
      </c>
      <c r="H46" s="289">
        <f t="shared" si="42"/>
        <v>750</v>
      </c>
      <c r="I46" s="289" t="s">
        <v>684</v>
      </c>
      <c r="J46" s="290">
        <f>'Lite Premium'!M58</f>
        <v>1121.25</v>
      </c>
      <c r="K46" s="290">
        <v>1.0</v>
      </c>
      <c r="L46" s="291">
        <f t="shared" si="39"/>
        <v>29432.8125</v>
      </c>
      <c r="M46" s="293"/>
      <c r="N46" s="293"/>
      <c r="O46" s="293"/>
      <c r="P46" s="293"/>
      <c r="Q46" s="293"/>
      <c r="R46" s="293"/>
      <c r="S46" s="293"/>
      <c r="T46" s="293"/>
      <c r="U46" s="293"/>
      <c r="V46" s="293"/>
      <c r="W46" s="293"/>
      <c r="X46" s="293"/>
    </row>
    <row r="47" ht="13.5" customHeight="1">
      <c r="A47" s="306"/>
      <c r="B47" s="275" t="str">
        <f>'Lite Premium'!I57</f>
        <v>Supply and installation of Open unit - Inner 1mm with MR ply frame and Smooth finish laminate</v>
      </c>
      <c r="C47" s="287">
        <v>10.5</v>
      </c>
      <c r="D47" s="287">
        <v>7.0</v>
      </c>
      <c r="E47" s="288">
        <f t="shared" si="37"/>
        <v>73.5</v>
      </c>
      <c r="F47" s="287" t="s">
        <v>683</v>
      </c>
      <c r="G47" s="289">
        <f t="shared" ref="G47:H47" si="43">C47*300</f>
        <v>3150</v>
      </c>
      <c r="H47" s="289">
        <f t="shared" si="43"/>
        <v>2100</v>
      </c>
      <c r="I47" s="289" t="s">
        <v>684</v>
      </c>
      <c r="J47" s="290">
        <f>'Lite Premium'!M57</f>
        <v>1875</v>
      </c>
      <c r="K47" s="290">
        <v>1.0</v>
      </c>
      <c r="L47" s="291">
        <f t="shared" si="39"/>
        <v>137812.5</v>
      </c>
      <c r="M47" s="293"/>
      <c r="N47" s="293"/>
      <c r="O47" s="293"/>
      <c r="P47" s="293"/>
      <c r="Q47" s="293"/>
      <c r="R47" s="293"/>
      <c r="S47" s="293"/>
      <c r="T47" s="293"/>
      <c r="U47" s="293"/>
      <c r="V47" s="293"/>
      <c r="W47" s="293"/>
      <c r="X47" s="293"/>
    </row>
    <row r="48" ht="13.5" customHeight="1">
      <c r="A48" s="285"/>
      <c r="B48" s="275" t="str">
        <f>'Lite Premium'!I64</f>
        <v>Supply and installation of Wall Panel with MR Ply Frame, Smooth Finish laminate </v>
      </c>
      <c r="C48" s="287">
        <v>2.0</v>
      </c>
      <c r="D48" s="287">
        <v>5.5</v>
      </c>
      <c r="E48" s="288">
        <f t="shared" si="37"/>
        <v>11</v>
      </c>
      <c r="F48" s="287" t="s">
        <v>683</v>
      </c>
      <c r="G48" s="289">
        <f t="shared" ref="G48:H48" si="44">C48*300</f>
        <v>600</v>
      </c>
      <c r="H48" s="289">
        <f t="shared" si="44"/>
        <v>1650</v>
      </c>
      <c r="I48" s="289" t="s">
        <v>684</v>
      </c>
      <c r="J48" s="290">
        <f>'Lite Premium'!M64</f>
        <v>1125</v>
      </c>
      <c r="K48" s="290">
        <v>1.0</v>
      </c>
      <c r="L48" s="291">
        <f t="shared" si="39"/>
        <v>12375</v>
      </c>
      <c r="M48" s="293"/>
      <c r="N48" s="293"/>
      <c r="O48" s="293"/>
      <c r="P48" s="293"/>
      <c r="Q48" s="293"/>
      <c r="R48" s="293"/>
      <c r="S48" s="293"/>
      <c r="T48" s="293"/>
      <c r="U48" s="293"/>
      <c r="V48" s="293"/>
      <c r="W48" s="293"/>
      <c r="X48" s="293"/>
    </row>
    <row r="49" ht="13.5" customHeight="1">
      <c r="A49" s="306"/>
      <c r="B49" s="309" t="s">
        <v>701</v>
      </c>
      <c r="C49" s="299"/>
      <c r="D49" s="299"/>
      <c r="E49" s="300"/>
      <c r="F49" s="299"/>
      <c r="G49" s="310"/>
      <c r="H49" s="310"/>
      <c r="I49" s="310"/>
      <c r="J49" s="302"/>
      <c r="K49" s="302"/>
      <c r="L49" s="312">
        <v>10000.0</v>
      </c>
    </row>
    <row r="50" ht="13.5" customHeight="1">
      <c r="A50" s="298"/>
      <c r="B50" s="313" t="s">
        <v>702</v>
      </c>
      <c r="C50" s="94"/>
      <c r="D50" s="94"/>
      <c r="E50" s="94"/>
      <c r="F50" s="94"/>
      <c r="G50" s="94"/>
      <c r="H50" s="94"/>
      <c r="I50" s="94"/>
      <c r="J50" s="94"/>
      <c r="K50" s="95"/>
      <c r="L50" s="314">
        <f>SUM(L8:L48)</f>
        <v>1655380.781</v>
      </c>
    </row>
    <row r="51" ht="13.5" customHeight="1">
      <c r="A51" s="298"/>
      <c r="B51" s="313" t="s">
        <v>705</v>
      </c>
      <c r="C51" s="443"/>
      <c r="D51" s="443"/>
      <c r="E51" s="443"/>
      <c r="F51" s="443"/>
      <c r="G51" s="443"/>
      <c r="H51" s="443"/>
      <c r="I51" s="443"/>
      <c r="J51" s="443"/>
      <c r="K51" s="443"/>
      <c r="L51" s="314">
        <f>L50*18%</f>
        <v>297968.5406</v>
      </c>
    </row>
    <row r="52" ht="13.5" customHeight="1">
      <c r="A52" s="321"/>
      <c r="B52" s="322" t="s">
        <v>706</v>
      </c>
      <c r="C52" s="444"/>
      <c r="D52" s="444"/>
      <c r="E52" s="444"/>
      <c r="F52" s="444"/>
      <c r="G52" s="444"/>
      <c r="H52" s="444"/>
      <c r="I52" s="444"/>
      <c r="J52" s="444"/>
      <c r="K52" s="444"/>
      <c r="L52" s="314">
        <f>L50+L51</f>
        <v>1953349.322</v>
      </c>
    </row>
    <row r="53" ht="13.5" customHeight="1">
      <c r="A53" s="325"/>
      <c r="B53" s="325"/>
      <c r="C53" s="445"/>
      <c r="D53" s="445"/>
      <c r="E53" s="446"/>
      <c r="F53" s="446"/>
      <c r="G53" s="328"/>
      <c r="H53" s="329"/>
      <c r="I53" s="330"/>
      <c r="J53" s="446"/>
      <c r="K53" s="446"/>
      <c r="L53" s="331"/>
    </row>
    <row r="54" ht="13.5" customHeight="1">
      <c r="A54" s="325"/>
      <c r="B54" s="325"/>
      <c r="C54" s="326"/>
      <c r="D54" s="326"/>
      <c r="E54" s="327"/>
      <c r="F54" s="327"/>
      <c r="G54" s="328"/>
      <c r="H54" s="329"/>
      <c r="I54" s="330"/>
      <c r="J54" s="327"/>
      <c r="K54" s="327"/>
      <c r="L54" s="331"/>
    </row>
    <row r="55" ht="13.5" customHeight="1">
      <c r="A55" s="325"/>
      <c r="B55" s="325"/>
      <c r="C55" s="326"/>
      <c r="D55" s="326"/>
      <c r="E55" s="327"/>
      <c r="F55" s="327"/>
      <c r="G55" s="328"/>
      <c r="H55" s="329"/>
      <c r="I55" s="330"/>
      <c r="J55" s="327"/>
      <c r="K55" s="327"/>
      <c r="L55" s="331"/>
    </row>
    <row r="56" ht="13.5" customHeight="1">
      <c r="A56" s="267"/>
      <c r="B56" s="267"/>
      <c r="C56" s="433"/>
      <c r="D56" s="433"/>
      <c r="E56" s="433"/>
      <c r="F56" s="433"/>
      <c r="G56" s="267"/>
      <c r="H56" s="267"/>
      <c r="I56" s="267"/>
      <c r="J56" s="433"/>
      <c r="K56" s="433"/>
      <c r="L56" s="434"/>
    </row>
    <row r="57" ht="13.5" customHeight="1">
      <c r="A57" s="267"/>
      <c r="B57" s="267"/>
      <c r="C57" s="433"/>
      <c r="D57" s="433"/>
      <c r="E57" s="433"/>
      <c r="F57" s="433"/>
      <c r="G57" s="267"/>
      <c r="H57" s="267"/>
      <c r="I57" s="267"/>
      <c r="J57" s="433"/>
      <c r="K57" s="433"/>
      <c r="L57" s="434"/>
    </row>
    <row r="58" ht="13.5" customHeight="1">
      <c r="A58" s="267"/>
      <c r="B58" s="267"/>
      <c r="C58" s="433"/>
      <c r="D58" s="433"/>
      <c r="E58" s="433"/>
      <c r="F58" s="433"/>
      <c r="G58" s="267"/>
      <c r="H58" s="267"/>
      <c r="I58" s="267"/>
      <c r="J58" s="433"/>
      <c r="K58" s="433"/>
      <c r="L58" s="434"/>
    </row>
    <row r="59" ht="13.5" customHeight="1">
      <c r="A59" s="267"/>
      <c r="B59" s="267"/>
      <c r="C59" s="433"/>
      <c r="D59" s="433"/>
      <c r="E59" s="433"/>
      <c r="F59" s="433"/>
      <c r="G59" s="267"/>
      <c r="H59" s="267"/>
      <c r="I59" s="267"/>
      <c r="J59" s="433"/>
      <c r="K59" s="433"/>
      <c r="L59" s="434"/>
    </row>
    <row r="60" ht="13.5" customHeight="1">
      <c r="A60" s="267"/>
      <c r="B60" s="267"/>
      <c r="C60" s="433"/>
      <c r="D60" s="433"/>
      <c r="E60" s="433"/>
      <c r="F60" s="433"/>
      <c r="G60" s="267"/>
      <c r="H60" s="267"/>
      <c r="I60" s="267"/>
      <c r="J60" s="433"/>
      <c r="K60" s="433"/>
      <c r="L60" s="434"/>
    </row>
    <row r="61" ht="13.5" customHeight="1">
      <c r="A61" s="267"/>
      <c r="B61" s="267"/>
      <c r="C61" s="433"/>
      <c r="D61" s="433"/>
      <c r="E61" s="433"/>
      <c r="F61" s="433"/>
      <c r="G61" s="267"/>
      <c r="H61" s="267"/>
      <c r="I61" s="267"/>
      <c r="J61" s="433"/>
      <c r="K61" s="433"/>
      <c r="L61" s="434"/>
    </row>
    <row r="62" ht="13.5" customHeight="1">
      <c r="A62" s="267"/>
      <c r="B62" s="267"/>
      <c r="C62" s="433"/>
      <c r="D62" s="433"/>
      <c r="E62" s="433"/>
      <c r="F62" s="433"/>
      <c r="G62" s="267"/>
      <c r="H62" s="267"/>
      <c r="I62" s="267"/>
      <c r="J62" s="433"/>
      <c r="K62" s="433"/>
      <c r="L62" s="434"/>
    </row>
    <row r="63" ht="13.5" customHeight="1">
      <c r="A63" s="267"/>
      <c r="B63" s="267"/>
      <c r="C63" s="433"/>
      <c r="D63" s="433"/>
      <c r="E63" s="433"/>
      <c r="F63" s="433"/>
      <c r="G63" s="267"/>
      <c r="H63" s="267"/>
      <c r="I63" s="267"/>
      <c r="J63" s="433"/>
      <c r="K63" s="433"/>
      <c r="L63" s="434"/>
    </row>
    <row r="64" ht="13.5" customHeight="1">
      <c r="A64" s="267"/>
      <c r="B64" s="267"/>
      <c r="C64" s="433"/>
      <c r="D64" s="433"/>
      <c r="E64" s="433"/>
      <c r="F64" s="433"/>
      <c r="G64" s="267"/>
      <c r="H64" s="267"/>
      <c r="I64" s="267"/>
      <c r="J64" s="433"/>
      <c r="K64" s="433"/>
      <c r="L64" s="434"/>
    </row>
    <row r="65" ht="13.5" customHeight="1">
      <c r="A65" s="267"/>
      <c r="B65" s="267"/>
      <c r="C65" s="433"/>
      <c r="D65" s="433"/>
      <c r="E65" s="433"/>
      <c r="F65" s="433"/>
      <c r="G65" s="267"/>
      <c r="H65" s="267"/>
      <c r="I65" s="267"/>
      <c r="J65" s="433"/>
      <c r="K65" s="433"/>
      <c r="L65" s="434"/>
    </row>
    <row r="66" ht="13.5" customHeight="1">
      <c r="A66" s="267"/>
      <c r="B66" s="267"/>
      <c r="C66" s="433"/>
      <c r="D66" s="433"/>
      <c r="E66" s="433"/>
      <c r="F66" s="433"/>
      <c r="G66" s="267"/>
      <c r="H66" s="267"/>
      <c r="I66" s="267"/>
      <c r="J66" s="433"/>
      <c r="K66" s="433"/>
      <c r="L66" s="434"/>
    </row>
    <row r="67" ht="13.5" customHeight="1">
      <c r="A67" s="267"/>
      <c r="B67" s="267"/>
      <c r="C67" s="433"/>
      <c r="D67" s="433"/>
      <c r="E67" s="433"/>
      <c r="F67" s="433"/>
      <c r="G67" s="267"/>
      <c r="H67" s="267"/>
      <c r="I67" s="267"/>
      <c r="J67" s="433"/>
      <c r="K67" s="433"/>
      <c r="L67" s="434"/>
    </row>
    <row r="68" ht="13.5" customHeight="1">
      <c r="A68" s="267"/>
      <c r="B68" s="267"/>
      <c r="C68" s="433"/>
      <c r="D68" s="433"/>
      <c r="E68" s="433"/>
      <c r="F68" s="433"/>
      <c r="G68" s="267"/>
      <c r="H68" s="267"/>
      <c r="I68" s="267"/>
      <c r="J68" s="433"/>
      <c r="K68" s="433"/>
      <c r="L68" s="434"/>
    </row>
    <row r="69" ht="13.5" customHeight="1">
      <c r="A69" s="267"/>
      <c r="B69" s="267"/>
      <c r="C69" s="433"/>
      <c r="D69" s="433"/>
      <c r="E69" s="433"/>
      <c r="F69" s="433"/>
      <c r="G69" s="267"/>
      <c r="H69" s="267"/>
      <c r="I69" s="267"/>
      <c r="J69" s="433"/>
      <c r="K69" s="433"/>
      <c r="L69" s="434"/>
    </row>
    <row r="70" ht="13.5" customHeight="1">
      <c r="A70" s="267"/>
      <c r="B70" s="267"/>
      <c r="C70" s="433"/>
      <c r="D70" s="433"/>
      <c r="E70" s="433"/>
      <c r="F70" s="433"/>
      <c r="G70" s="267"/>
      <c r="H70" s="267"/>
      <c r="I70" s="267"/>
      <c r="J70" s="433"/>
      <c r="K70" s="433"/>
      <c r="L70" s="434"/>
    </row>
    <row r="71" ht="13.5" customHeight="1">
      <c r="A71" s="267"/>
      <c r="B71" s="267"/>
      <c r="C71" s="433"/>
      <c r="D71" s="433"/>
      <c r="E71" s="433"/>
      <c r="F71" s="433"/>
      <c r="G71" s="267"/>
      <c r="H71" s="267"/>
      <c r="I71" s="267"/>
      <c r="J71" s="433"/>
      <c r="K71" s="433"/>
      <c r="L71" s="434"/>
    </row>
    <row r="72" ht="13.5" customHeight="1">
      <c r="A72" s="267"/>
      <c r="B72" s="267"/>
      <c r="C72" s="433"/>
      <c r="D72" s="433"/>
      <c r="E72" s="433"/>
      <c r="F72" s="433"/>
      <c r="G72" s="267"/>
      <c r="H72" s="267"/>
      <c r="I72" s="267"/>
      <c r="J72" s="433"/>
      <c r="K72" s="433"/>
      <c r="L72" s="434"/>
    </row>
    <row r="73" ht="13.5" customHeight="1">
      <c r="A73" s="267"/>
      <c r="B73" s="267"/>
      <c r="C73" s="433"/>
      <c r="D73" s="433"/>
      <c r="E73" s="433"/>
      <c r="F73" s="433"/>
      <c r="G73" s="267"/>
      <c r="H73" s="267"/>
      <c r="I73" s="267"/>
      <c r="J73" s="433"/>
      <c r="K73" s="433"/>
      <c r="L73" s="434"/>
    </row>
    <row r="74" ht="13.5" customHeight="1">
      <c r="A74" s="267"/>
      <c r="B74" s="267"/>
      <c r="C74" s="433"/>
      <c r="D74" s="433"/>
      <c r="E74" s="433"/>
      <c r="F74" s="433"/>
      <c r="G74" s="267"/>
      <c r="H74" s="267"/>
      <c r="I74" s="267"/>
      <c r="J74" s="433"/>
      <c r="K74" s="433"/>
      <c r="L74" s="434"/>
    </row>
    <row r="75" ht="13.5" customHeight="1">
      <c r="A75" s="267"/>
      <c r="B75" s="267"/>
      <c r="C75" s="433"/>
      <c r="D75" s="433"/>
      <c r="E75" s="433"/>
      <c r="F75" s="433"/>
      <c r="G75" s="267"/>
      <c r="H75" s="267"/>
      <c r="I75" s="267"/>
      <c r="J75" s="433"/>
      <c r="K75" s="433"/>
      <c r="L75" s="434"/>
    </row>
    <row r="76" ht="13.5" customHeight="1">
      <c r="A76" s="267"/>
      <c r="B76" s="267"/>
      <c r="C76" s="433"/>
      <c r="D76" s="433"/>
      <c r="E76" s="433"/>
      <c r="F76" s="433"/>
      <c r="G76" s="267"/>
      <c r="H76" s="267"/>
      <c r="I76" s="267"/>
      <c r="J76" s="433"/>
      <c r="K76" s="433"/>
      <c r="L76" s="434"/>
    </row>
    <row r="77" ht="13.5" customHeight="1">
      <c r="A77" s="267"/>
      <c r="B77" s="267"/>
      <c r="C77" s="433"/>
      <c r="D77" s="433"/>
      <c r="E77" s="433"/>
      <c r="F77" s="433"/>
      <c r="G77" s="267"/>
      <c r="H77" s="267"/>
      <c r="I77" s="267"/>
      <c r="J77" s="433"/>
      <c r="K77" s="433"/>
      <c r="L77" s="434"/>
    </row>
    <row r="78" ht="13.5" customHeight="1">
      <c r="A78" s="267"/>
      <c r="B78" s="267"/>
      <c r="C78" s="433"/>
      <c r="D78" s="433"/>
      <c r="E78" s="433"/>
      <c r="F78" s="433"/>
      <c r="G78" s="267"/>
      <c r="H78" s="267"/>
      <c r="I78" s="267"/>
      <c r="J78" s="433"/>
      <c r="K78" s="433"/>
      <c r="L78" s="434"/>
    </row>
    <row r="79" ht="13.5" customHeight="1">
      <c r="A79" s="267"/>
      <c r="B79" s="267"/>
      <c r="C79" s="433"/>
      <c r="D79" s="433"/>
      <c r="E79" s="433"/>
      <c r="F79" s="433"/>
      <c r="G79" s="267"/>
      <c r="H79" s="267"/>
      <c r="I79" s="267"/>
      <c r="J79" s="433"/>
      <c r="K79" s="433"/>
      <c r="L79" s="434"/>
    </row>
    <row r="80" ht="13.5" customHeight="1">
      <c r="A80" s="267"/>
      <c r="B80" s="267"/>
      <c r="C80" s="433"/>
      <c r="D80" s="433"/>
      <c r="E80" s="433"/>
      <c r="F80" s="433"/>
      <c r="G80" s="267"/>
      <c r="H80" s="267"/>
      <c r="I80" s="267"/>
      <c r="J80" s="433"/>
      <c r="K80" s="433"/>
      <c r="L80" s="434"/>
    </row>
    <row r="81" ht="13.5" customHeight="1">
      <c r="A81" s="267"/>
      <c r="B81" s="267"/>
      <c r="C81" s="433"/>
      <c r="D81" s="433"/>
      <c r="E81" s="433"/>
      <c r="F81" s="433"/>
      <c r="G81" s="267"/>
      <c r="H81" s="267"/>
      <c r="I81" s="267"/>
      <c r="J81" s="433"/>
      <c r="K81" s="433"/>
      <c r="L81" s="434"/>
    </row>
    <row r="82" ht="13.5" customHeight="1">
      <c r="A82" s="267"/>
      <c r="B82" s="267"/>
      <c r="C82" s="433"/>
      <c r="D82" s="433"/>
      <c r="E82" s="433"/>
      <c r="F82" s="433"/>
      <c r="G82" s="267"/>
      <c r="H82" s="267"/>
      <c r="I82" s="267"/>
      <c r="J82" s="433"/>
      <c r="K82" s="433"/>
      <c r="L82" s="434"/>
    </row>
    <row r="83" ht="13.5" customHeight="1">
      <c r="A83" s="267"/>
      <c r="B83" s="267"/>
      <c r="C83" s="433"/>
      <c r="D83" s="433"/>
      <c r="E83" s="433"/>
      <c r="F83" s="433"/>
      <c r="G83" s="267"/>
      <c r="H83" s="267"/>
      <c r="I83" s="267"/>
      <c r="J83" s="433"/>
      <c r="K83" s="433"/>
      <c r="L83" s="434"/>
    </row>
    <row r="84" ht="13.5" customHeight="1">
      <c r="A84" s="267"/>
      <c r="B84" s="267"/>
      <c r="C84" s="433"/>
      <c r="D84" s="433"/>
      <c r="E84" s="433"/>
      <c r="F84" s="433"/>
      <c r="G84" s="267"/>
      <c r="H84" s="267"/>
      <c r="I84" s="267"/>
      <c r="J84" s="433"/>
      <c r="K84" s="433"/>
      <c r="L84" s="434"/>
    </row>
    <row r="85" ht="13.5" customHeight="1">
      <c r="A85" s="267"/>
      <c r="B85" s="267"/>
      <c r="C85" s="433"/>
      <c r="D85" s="433"/>
      <c r="E85" s="433"/>
      <c r="F85" s="433"/>
      <c r="G85" s="267"/>
      <c r="H85" s="267"/>
      <c r="I85" s="267"/>
      <c r="J85" s="433"/>
      <c r="K85" s="433"/>
      <c r="L85" s="434"/>
    </row>
    <row r="86" ht="13.5" customHeight="1">
      <c r="A86" s="267"/>
      <c r="B86" s="267"/>
      <c r="C86" s="433"/>
      <c r="D86" s="433"/>
      <c r="E86" s="433"/>
      <c r="F86" s="433"/>
      <c r="G86" s="267"/>
      <c r="H86" s="267"/>
      <c r="I86" s="267"/>
      <c r="J86" s="433"/>
      <c r="K86" s="433"/>
      <c r="L86" s="434"/>
    </row>
    <row r="87" ht="13.5" customHeight="1">
      <c r="A87" s="267"/>
      <c r="B87" s="267"/>
      <c r="C87" s="433"/>
      <c r="D87" s="433"/>
      <c r="E87" s="433"/>
      <c r="F87" s="433"/>
      <c r="G87" s="267"/>
      <c r="H87" s="267"/>
      <c r="I87" s="267"/>
      <c r="J87" s="433"/>
      <c r="K87" s="433"/>
      <c r="L87" s="434"/>
    </row>
    <row r="88" ht="13.5" customHeight="1">
      <c r="A88" s="267"/>
      <c r="B88" s="267"/>
      <c r="C88" s="433"/>
      <c r="D88" s="433"/>
      <c r="E88" s="433"/>
      <c r="F88" s="433"/>
      <c r="G88" s="267"/>
      <c r="H88" s="267"/>
      <c r="I88" s="267"/>
      <c r="J88" s="433"/>
      <c r="K88" s="433"/>
      <c r="L88" s="434"/>
    </row>
    <row r="89" ht="13.5" customHeight="1">
      <c r="A89" s="267"/>
      <c r="B89" s="267"/>
      <c r="C89" s="433"/>
      <c r="D89" s="433"/>
      <c r="E89" s="433"/>
      <c r="F89" s="433"/>
      <c r="G89" s="267"/>
      <c r="H89" s="267"/>
      <c r="I89" s="267"/>
      <c r="J89" s="433"/>
      <c r="K89" s="433"/>
      <c r="L89" s="434"/>
    </row>
    <row r="90" ht="13.5" customHeight="1">
      <c r="A90" s="267"/>
      <c r="B90" s="267"/>
      <c r="C90" s="433"/>
      <c r="D90" s="433"/>
      <c r="E90" s="433"/>
      <c r="F90" s="433"/>
      <c r="G90" s="267"/>
      <c r="H90" s="267"/>
      <c r="I90" s="267"/>
      <c r="J90" s="433"/>
      <c r="K90" s="433"/>
      <c r="L90" s="434"/>
    </row>
    <row r="91" ht="13.5" customHeight="1">
      <c r="A91" s="267"/>
      <c r="B91" s="267"/>
      <c r="C91" s="433"/>
      <c r="D91" s="433"/>
      <c r="E91" s="433"/>
      <c r="F91" s="433"/>
      <c r="G91" s="267"/>
      <c r="H91" s="267"/>
      <c r="I91" s="267"/>
      <c r="J91" s="433"/>
      <c r="K91" s="433"/>
      <c r="L91" s="434"/>
    </row>
    <row r="92" ht="13.5" customHeight="1">
      <c r="A92" s="267"/>
      <c r="B92" s="267"/>
      <c r="C92" s="433"/>
      <c r="D92" s="433"/>
      <c r="E92" s="433"/>
      <c r="F92" s="433"/>
      <c r="G92" s="267"/>
      <c r="H92" s="267"/>
      <c r="I92" s="267"/>
      <c r="J92" s="433"/>
      <c r="K92" s="433"/>
      <c r="L92" s="434"/>
    </row>
    <row r="93" ht="13.5" customHeight="1">
      <c r="A93" s="267"/>
      <c r="B93" s="267"/>
      <c r="C93" s="433"/>
      <c r="D93" s="433"/>
      <c r="E93" s="433"/>
      <c r="F93" s="433"/>
      <c r="G93" s="267"/>
      <c r="H93" s="267"/>
      <c r="I93" s="267"/>
      <c r="J93" s="433"/>
      <c r="K93" s="433"/>
      <c r="L93" s="434"/>
    </row>
    <row r="94" ht="13.5" customHeight="1">
      <c r="A94" s="267"/>
      <c r="B94" s="267"/>
      <c r="C94" s="433"/>
      <c r="D94" s="433"/>
      <c r="E94" s="433"/>
      <c r="F94" s="433"/>
      <c r="G94" s="267"/>
      <c r="H94" s="267"/>
      <c r="I94" s="267"/>
      <c r="J94" s="433"/>
      <c r="K94" s="433"/>
      <c r="L94" s="434"/>
    </row>
    <row r="95" ht="13.5" customHeight="1">
      <c r="A95" s="267"/>
      <c r="B95" s="267"/>
      <c r="C95" s="433"/>
      <c r="D95" s="433"/>
      <c r="E95" s="433"/>
      <c r="F95" s="433"/>
      <c r="G95" s="267"/>
      <c r="H95" s="267"/>
      <c r="I95" s="267"/>
      <c r="J95" s="433"/>
      <c r="K95" s="433"/>
      <c r="L95" s="434"/>
    </row>
    <row r="96" ht="13.5" customHeight="1">
      <c r="A96" s="267"/>
      <c r="B96" s="267"/>
      <c r="C96" s="433"/>
      <c r="D96" s="433"/>
      <c r="E96" s="433"/>
      <c r="F96" s="433"/>
      <c r="G96" s="267"/>
      <c r="H96" s="267"/>
      <c r="I96" s="267"/>
      <c r="J96" s="433"/>
      <c r="K96" s="433"/>
      <c r="L96" s="434"/>
    </row>
    <row r="97" ht="13.5" customHeight="1">
      <c r="A97" s="267"/>
      <c r="B97" s="267"/>
      <c r="C97" s="433"/>
      <c r="D97" s="433"/>
      <c r="E97" s="433"/>
      <c r="F97" s="433"/>
      <c r="G97" s="267"/>
      <c r="H97" s="267"/>
      <c r="I97" s="267"/>
      <c r="J97" s="433"/>
      <c r="K97" s="433"/>
      <c r="L97" s="434"/>
    </row>
    <row r="98" ht="13.5" customHeight="1">
      <c r="A98" s="267"/>
      <c r="B98" s="267"/>
      <c r="C98" s="433"/>
      <c r="D98" s="433"/>
      <c r="E98" s="433"/>
      <c r="F98" s="433"/>
      <c r="G98" s="267"/>
      <c r="H98" s="267"/>
      <c r="I98" s="267"/>
      <c r="J98" s="433"/>
      <c r="K98" s="433"/>
      <c r="L98" s="434"/>
    </row>
    <row r="99" ht="13.5" customHeight="1">
      <c r="A99" s="267"/>
      <c r="B99" s="267"/>
      <c r="C99" s="433"/>
      <c r="D99" s="433"/>
      <c r="E99" s="433"/>
      <c r="F99" s="433"/>
      <c r="G99" s="267"/>
      <c r="H99" s="267"/>
      <c r="I99" s="267"/>
      <c r="J99" s="433"/>
      <c r="K99" s="433"/>
      <c r="L99" s="434"/>
    </row>
    <row r="100" ht="13.5" customHeight="1">
      <c r="A100" s="267"/>
      <c r="B100" s="267"/>
      <c r="C100" s="433"/>
      <c r="D100" s="433"/>
      <c r="E100" s="433"/>
      <c r="F100" s="433"/>
      <c r="G100" s="267"/>
      <c r="H100" s="267"/>
      <c r="I100" s="267"/>
      <c r="J100" s="433"/>
      <c r="K100" s="433"/>
      <c r="L100" s="434"/>
    </row>
    <row r="101" ht="13.5" customHeight="1">
      <c r="A101" s="267"/>
      <c r="B101" s="267"/>
      <c r="C101" s="433"/>
      <c r="D101" s="433"/>
      <c r="E101" s="433"/>
      <c r="F101" s="433"/>
      <c r="G101" s="267"/>
      <c r="H101" s="267"/>
      <c r="I101" s="267"/>
      <c r="J101" s="433"/>
      <c r="K101" s="433"/>
      <c r="L101" s="434"/>
    </row>
    <row r="102" ht="13.5" customHeight="1">
      <c r="A102" s="267"/>
      <c r="B102" s="267"/>
      <c r="C102" s="433"/>
      <c r="D102" s="433"/>
      <c r="E102" s="433"/>
      <c r="F102" s="433"/>
      <c r="G102" s="267"/>
      <c r="H102" s="267"/>
      <c r="I102" s="267"/>
      <c r="J102" s="433"/>
      <c r="K102" s="433"/>
      <c r="L102" s="434"/>
    </row>
    <row r="103" ht="13.5" customHeight="1">
      <c r="A103" s="267"/>
      <c r="B103" s="267"/>
      <c r="C103" s="433"/>
      <c r="D103" s="433"/>
      <c r="E103" s="433"/>
      <c r="F103" s="433"/>
      <c r="G103" s="267"/>
      <c r="H103" s="267"/>
      <c r="I103" s="267"/>
      <c r="J103" s="433"/>
      <c r="K103" s="433"/>
      <c r="L103" s="434"/>
    </row>
    <row r="104" ht="13.5" customHeight="1">
      <c r="A104" s="267"/>
      <c r="B104" s="267"/>
      <c r="C104" s="433"/>
      <c r="D104" s="433"/>
      <c r="E104" s="433"/>
      <c r="F104" s="433"/>
      <c r="G104" s="267"/>
      <c r="H104" s="267"/>
      <c r="I104" s="267"/>
      <c r="J104" s="433"/>
      <c r="K104" s="433"/>
      <c r="L104" s="434"/>
    </row>
    <row r="105" ht="13.5" customHeight="1">
      <c r="A105" s="267"/>
      <c r="B105" s="267"/>
      <c r="C105" s="433"/>
      <c r="D105" s="433"/>
      <c r="E105" s="433"/>
      <c r="F105" s="433"/>
      <c r="G105" s="267"/>
      <c r="H105" s="267"/>
      <c r="I105" s="267"/>
      <c r="J105" s="433"/>
      <c r="K105" s="433"/>
      <c r="L105" s="434"/>
    </row>
    <row r="106" ht="13.5" customHeight="1">
      <c r="A106" s="267"/>
      <c r="B106" s="267"/>
      <c r="C106" s="433"/>
      <c r="D106" s="433"/>
      <c r="E106" s="433"/>
      <c r="F106" s="433"/>
      <c r="G106" s="267"/>
      <c r="H106" s="267"/>
      <c r="I106" s="267"/>
      <c r="J106" s="433"/>
      <c r="K106" s="433"/>
      <c r="L106" s="434"/>
    </row>
    <row r="107" ht="13.5" customHeight="1">
      <c r="A107" s="267"/>
      <c r="B107" s="267"/>
      <c r="C107" s="433"/>
      <c r="D107" s="433"/>
      <c r="E107" s="433"/>
      <c r="F107" s="433"/>
      <c r="G107" s="267"/>
      <c r="H107" s="267"/>
      <c r="I107" s="267"/>
      <c r="J107" s="433"/>
      <c r="K107" s="433"/>
      <c r="L107" s="434"/>
    </row>
    <row r="108" ht="13.5" customHeight="1">
      <c r="A108" s="267"/>
      <c r="B108" s="267"/>
      <c r="C108" s="433"/>
      <c r="D108" s="433"/>
      <c r="E108" s="433"/>
      <c r="F108" s="433"/>
      <c r="G108" s="267"/>
      <c r="H108" s="267"/>
      <c r="I108" s="267"/>
      <c r="J108" s="433"/>
      <c r="K108" s="433"/>
      <c r="L108" s="434"/>
    </row>
    <row r="109" ht="13.5" customHeight="1">
      <c r="A109" s="267"/>
      <c r="B109" s="267"/>
      <c r="C109" s="433"/>
      <c r="D109" s="433"/>
      <c r="E109" s="433"/>
      <c r="F109" s="433"/>
      <c r="G109" s="267"/>
      <c r="H109" s="267"/>
      <c r="I109" s="267"/>
      <c r="J109" s="433"/>
      <c r="K109" s="433"/>
      <c r="L109" s="434"/>
    </row>
    <row r="110" ht="13.5" customHeight="1">
      <c r="A110" s="267"/>
      <c r="B110" s="267"/>
      <c r="C110" s="433"/>
      <c r="D110" s="433"/>
      <c r="E110" s="433"/>
      <c r="F110" s="433"/>
      <c r="G110" s="267"/>
      <c r="H110" s="267"/>
      <c r="I110" s="267"/>
      <c r="J110" s="433"/>
      <c r="K110" s="433"/>
      <c r="L110" s="434"/>
    </row>
    <row r="111" ht="13.5" customHeight="1">
      <c r="A111" s="267"/>
      <c r="B111" s="267"/>
      <c r="C111" s="433"/>
      <c r="D111" s="433"/>
      <c r="E111" s="433"/>
      <c r="F111" s="433"/>
      <c r="G111" s="267"/>
      <c r="H111" s="267"/>
      <c r="I111" s="267"/>
      <c r="J111" s="433"/>
      <c r="K111" s="433"/>
      <c r="L111" s="434"/>
    </row>
    <row r="112" ht="13.5" customHeight="1">
      <c r="A112" s="267"/>
      <c r="B112" s="267"/>
      <c r="C112" s="433"/>
      <c r="D112" s="433"/>
      <c r="E112" s="433"/>
      <c r="F112" s="433"/>
      <c r="G112" s="267"/>
      <c r="H112" s="267"/>
      <c r="I112" s="267"/>
      <c r="J112" s="433"/>
      <c r="K112" s="433"/>
      <c r="L112" s="434"/>
    </row>
    <row r="113" ht="13.5" customHeight="1">
      <c r="A113" s="267"/>
      <c r="B113" s="267"/>
      <c r="C113" s="433"/>
      <c r="D113" s="433"/>
      <c r="E113" s="433"/>
      <c r="F113" s="433"/>
      <c r="G113" s="267"/>
      <c r="H113" s="267"/>
      <c r="I113" s="267"/>
      <c r="J113" s="433"/>
      <c r="K113" s="433"/>
      <c r="L113" s="434"/>
    </row>
    <row r="114" ht="13.5" customHeight="1">
      <c r="A114" s="267"/>
      <c r="B114" s="267"/>
      <c r="C114" s="433"/>
      <c r="D114" s="433"/>
      <c r="E114" s="433"/>
      <c r="F114" s="433"/>
      <c r="G114" s="267"/>
      <c r="H114" s="267"/>
      <c r="I114" s="267"/>
      <c r="J114" s="433"/>
      <c r="K114" s="433"/>
      <c r="L114" s="434"/>
    </row>
    <row r="115" ht="13.5" customHeight="1">
      <c r="A115" s="267"/>
      <c r="B115" s="267"/>
      <c r="C115" s="433"/>
      <c r="D115" s="433"/>
      <c r="E115" s="433"/>
      <c r="F115" s="433"/>
      <c r="G115" s="267"/>
      <c r="H115" s="267"/>
      <c r="I115" s="267"/>
      <c r="J115" s="433"/>
      <c r="K115" s="433"/>
      <c r="L115" s="434"/>
    </row>
    <row r="116" ht="13.5" customHeight="1">
      <c r="A116" s="267"/>
      <c r="B116" s="267"/>
      <c r="C116" s="433"/>
      <c r="D116" s="433"/>
      <c r="E116" s="433"/>
      <c r="F116" s="433"/>
      <c r="G116" s="267"/>
      <c r="H116" s="267"/>
      <c r="I116" s="267"/>
      <c r="J116" s="433"/>
      <c r="K116" s="433"/>
      <c r="L116" s="434"/>
    </row>
    <row r="117" ht="13.5" customHeight="1">
      <c r="A117" s="267"/>
      <c r="B117" s="267"/>
      <c r="C117" s="433"/>
      <c r="D117" s="433"/>
      <c r="E117" s="433"/>
      <c r="F117" s="433"/>
      <c r="G117" s="267"/>
      <c r="H117" s="267"/>
      <c r="I117" s="267"/>
      <c r="J117" s="433"/>
      <c r="K117" s="433"/>
      <c r="L117" s="434"/>
    </row>
    <row r="118" ht="13.5" customHeight="1">
      <c r="A118" s="267"/>
      <c r="B118" s="267"/>
      <c r="C118" s="433"/>
      <c r="D118" s="433"/>
      <c r="E118" s="433"/>
      <c r="F118" s="433"/>
      <c r="G118" s="267"/>
      <c r="H118" s="267"/>
      <c r="I118" s="267"/>
      <c r="J118" s="433"/>
      <c r="K118" s="433"/>
      <c r="L118" s="434"/>
    </row>
    <row r="119" ht="13.5" customHeight="1">
      <c r="A119" s="267"/>
      <c r="B119" s="267"/>
      <c r="C119" s="433"/>
      <c r="D119" s="433"/>
      <c r="E119" s="433"/>
      <c r="F119" s="433"/>
      <c r="G119" s="267"/>
      <c r="H119" s="267"/>
      <c r="I119" s="267"/>
      <c r="J119" s="433"/>
      <c r="K119" s="433"/>
      <c r="L119" s="434"/>
    </row>
    <row r="120" ht="13.5" customHeight="1">
      <c r="A120" s="267"/>
      <c r="B120" s="267"/>
      <c r="C120" s="433"/>
      <c r="D120" s="433"/>
      <c r="E120" s="433"/>
      <c r="F120" s="433"/>
      <c r="G120" s="267"/>
      <c r="H120" s="267"/>
      <c r="I120" s="267"/>
      <c r="J120" s="433"/>
      <c r="K120" s="433"/>
      <c r="L120" s="434"/>
    </row>
    <row r="121" ht="13.5" customHeight="1">
      <c r="A121" s="267"/>
      <c r="B121" s="267"/>
      <c r="C121" s="433"/>
      <c r="D121" s="433"/>
      <c r="E121" s="433"/>
      <c r="F121" s="433"/>
      <c r="G121" s="267"/>
      <c r="H121" s="267"/>
      <c r="I121" s="267"/>
      <c r="J121" s="433"/>
      <c r="K121" s="433"/>
      <c r="L121" s="434"/>
    </row>
    <row r="122" ht="13.5" customHeight="1">
      <c r="A122" s="267"/>
      <c r="B122" s="267"/>
      <c r="C122" s="433"/>
      <c r="D122" s="433"/>
      <c r="E122" s="433"/>
      <c r="F122" s="433"/>
      <c r="G122" s="267"/>
      <c r="H122" s="267"/>
      <c r="I122" s="267"/>
      <c r="J122" s="433"/>
      <c r="K122" s="433"/>
      <c r="L122" s="434"/>
    </row>
    <row r="123" ht="13.5" customHeight="1">
      <c r="A123" s="267"/>
      <c r="B123" s="267"/>
      <c r="C123" s="433"/>
      <c r="D123" s="433"/>
      <c r="E123" s="433"/>
      <c r="F123" s="433"/>
      <c r="G123" s="267"/>
      <c r="H123" s="267"/>
      <c r="I123" s="267"/>
      <c r="J123" s="433"/>
      <c r="K123" s="433"/>
      <c r="L123" s="434"/>
    </row>
    <row r="124" ht="13.5" customHeight="1">
      <c r="A124" s="267"/>
      <c r="B124" s="267"/>
      <c r="C124" s="433"/>
      <c r="D124" s="433"/>
      <c r="E124" s="433"/>
      <c r="F124" s="433"/>
      <c r="G124" s="267"/>
      <c r="H124" s="267"/>
      <c r="I124" s="267"/>
      <c r="J124" s="433"/>
      <c r="K124" s="433"/>
      <c r="L124" s="434"/>
    </row>
    <row r="125" ht="13.5" customHeight="1">
      <c r="A125" s="267"/>
      <c r="B125" s="267"/>
      <c r="C125" s="433"/>
      <c r="D125" s="433"/>
      <c r="E125" s="433"/>
      <c r="F125" s="433"/>
      <c r="G125" s="267"/>
      <c r="H125" s="267"/>
      <c r="I125" s="267"/>
      <c r="J125" s="433"/>
      <c r="K125" s="433"/>
      <c r="L125" s="434"/>
    </row>
    <row r="126" ht="13.5" customHeight="1">
      <c r="A126" s="267"/>
      <c r="B126" s="267"/>
      <c r="C126" s="433"/>
      <c r="D126" s="433"/>
      <c r="E126" s="433"/>
      <c r="F126" s="433"/>
      <c r="G126" s="267"/>
      <c r="H126" s="267"/>
      <c r="I126" s="267"/>
      <c r="J126" s="433"/>
      <c r="K126" s="433"/>
      <c r="L126" s="434"/>
    </row>
    <row r="127" ht="13.5" customHeight="1">
      <c r="A127" s="267"/>
      <c r="B127" s="267"/>
      <c r="C127" s="433"/>
      <c r="D127" s="433"/>
      <c r="E127" s="433"/>
      <c r="F127" s="433"/>
      <c r="G127" s="267"/>
      <c r="H127" s="267"/>
      <c r="I127" s="267"/>
      <c r="J127" s="433"/>
      <c r="K127" s="433"/>
      <c r="L127" s="434"/>
    </row>
    <row r="128" ht="13.5" customHeight="1">
      <c r="A128" s="267"/>
      <c r="B128" s="267"/>
      <c r="C128" s="433"/>
      <c r="D128" s="433"/>
      <c r="E128" s="433"/>
      <c r="F128" s="433"/>
      <c r="G128" s="267"/>
      <c r="H128" s="267"/>
      <c r="I128" s="267"/>
      <c r="J128" s="433"/>
      <c r="K128" s="433"/>
      <c r="L128" s="434"/>
    </row>
    <row r="129" ht="13.5" customHeight="1">
      <c r="A129" s="267"/>
      <c r="B129" s="267"/>
      <c r="C129" s="433"/>
      <c r="D129" s="433"/>
      <c r="E129" s="433"/>
      <c r="F129" s="433"/>
      <c r="G129" s="267"/>
      <c r="H129" s="267"/>
      <c r="I129" s="267"/>
      <c r="J129" s="433"/>
      <c r="K129" s="433"/>
      <c r="L129" s="434"/>
    </row>
    <row r="130" ht="13.5" customHeight="1">
      <c r="A130" s="267"/>
      <c r="B130" s="267"/>
      <c r="C130" s="433"/>
      <c r="D130" s="433"/>
      <c r="E130" s="433"/>
      <c r="F130" s="433"/>
      <c r="G130" s="267"/>
      <c r="H130" s="267"/>
      <c r="I130" s="267"/>
      <c r="J130" s="433"/>
      <c r="K130" s="433"/>
      <c r="L130" s="434"/>
    </row>
    <row r="131" ht="13.5" customHeight="1">
      <c r="A131" s="267"/>
      <c r="B131" s="267"/>
      <c r="C131" s="433"/>
      <c r="D131" s="433"/>
      <c r="E131" s="433"/>
      <c r="F131" s="433"/>
      <c r="G131" s="267"/>
      <c r="H131" s="267"/>
      <c r="I131" s="267"/>
      <c r="J131" s="433"/>
      <c r="K131" s="433"/>
      <c r="L131" s="434"/>
    </row>
    <row r="132" ht="13.5" customHeight="1">
      <c r="A132" s="267"/>
      <c r="B132" s="267"/>
      <c r="C132" s="433"/>
      <c r="D132" s="433"/>
      <c r="E132" s="433"/>
      <c r="F132" s="433"/>
      <c r="G132" s="267"/>
      <c r="H132" s="267"/>
      <c r="I132" s="267"/>
      <c r="J132" s="433"/>
      <c r="K132" s="433"/>
      <c r="L132" s="434"/>
    </row>
    <row r="133" ht="13.5" customHeight="1">
      <c r="A133" s="267"/>
      <c r="B133" s="267"/>
      <c r="C133" s="433"/>
      <c r="D133" s="433"/>
      <c r="E133" s="433"/>
      <c r="F133" s="433"/>
      <c r="G133" s="267"/>
      <c r="H133" s="267"/>
      <c r="I133" s="267"/>
      <c r="J133" s="433"/>
      <c r="K133" s="433"/>
      <c r="L133" s="434"/>
    </row>
    <row r="134" ht="13.5" customHeight="1">
      <c r="A134" s="267"/>
      <c r="B134" s="267"/>
      <c r="C134" s="433"/>
      <c r="D134" s="433"/>
      <c r="E134" s="433"/>
      <c r="F134" s="433"/>
      <c r="G134" s="267"/>
      <c r="H134" s="267"/>
      <c r="I134" s="267"/>
      <c r="J134" s="433"/>
      <c r="K134" s="433"/>
      <c r="L134" s="434"/>
    </row>
    <row r="135" ht="13.5" customHeight="1">
      <c r="A135" s="267"/>
      <c r="B135" s="267"/>
      <c r="C135" s="433"/>
      <c r="D135" s="433"/>
      <c r="E135" s="433"/>
      <c r="F135" s="433"/>
      <c r="G135" s="267"/>
      <c r="H135" s="267"/>
      <c r="I135" s="267"/>
      <c r="J135" s="433"/>
      <c r="K135" s="433"/>
      <c r="L135" s="434"/>
    </row>
    <row r="136" ht="13.5" customHeight="1">
      <c r="A136" s="267"/>
      <c r="B136" s="267"/>
      <c r="C136" s="433"/>
      <c r="D136" s="433"/>
      <c r="E136" s="433"/>
      <c r="F136" s="433"/>
      <c r="G136" s="267"/>
      <c r="H136" s="267"/>
      <c r="I136" s="267"/>
      <c r="J136" s="433"/>
      <c r="K136" s="433"/>
      <c r="L136" s="434"/>
    </row>
    <row r="137" ht="13.5" customHeight="1">
      <c r="A137" s="267"/>
      <c r="B137" s="267"/>
      <c r="C137" s="433"/>
      <c r="D137" s="433"/>
      <c r="E137" s="433"/>
      <c r="F137" s="433"/>
      <c r="G137" s="267"/>
      <c r="H137" s="267"/>
      <c r="I137" s="267"/>
      <c r="J137" s="433"/>
      <c r="K137" s="433"/>
      <c r="L137" s="434"/>
    </row>
    <row r="138" ht="13.5" customHeight="1">
      <c r="A138" s="267"/>
      <c r="B138" s="267"/>
      <c r="C138" s="433"/>
      <c r="D138" s="433"/>
      <c r="E138" s="433"/>
      <c r="F138" s="433"/>
      <c r="G138" s="267"/>
      <c r="H138" s="267"/>
      <c r="I138" s="267"/>
      <c r="J138" s="433"/>
      <c r="K138" s="433"/>
      <c r="L138" s="434"/>
    </row>
    <row r="139" ht="13.5" customHeight="1">
      <c r="A139" s="267"/>
      <c r="B139" s="267"/>
      <c r="C139" s="433"/>
      <c r="D139" s="433"/>
      <c r="E139" s="433"/>
      <c r="F139" s="433"/>
      <c r="G139" s="267"/>
      <c r="H139" s="267"/>
      <c r="I139" s="267"/>
      <c r="J139" s="433"/>
      <c r="K139" s="433"/>
      <c r="L139" s="434"/>
    </row>
    <row r="140" ht="13.5" customHeight="1">
      <c r="A140" s="267"/>
      <c r="B140" s="267"/>
      <c r="C140" s="433"/>
      <c r="D140" s="433"/>
      <c r="E140" s="433"/>
      <c r="F140" s="433"/>
      <c r="G140" s="267"/>
      <c r="H140" s="267"/>
      <c r="I140" s="267"/>
      <c r="J140" s="433"/>
      <c r="K140" s="433"/>
      <c r="L140" s="434"/>
    </row>
    <row r="141" ht="13.5" customHeight="1">
      <c r="A141" s="267"/>
      <c r="B141" s="267"/>
      <c r="C141" s="433"/>
      <c r="D141" s="433"/>
      <c r="E141" s="433"/>
      <c r="F141" s="433"/>
      <c r="G141" s="267"/>
      <c r="H141" s="267"/>
      <c r="I141" s="267"/>
      <c r="J141" s="433"/>
      <c r="K141" s="433"/>
      <c r="L141" s="434"/>
    </row>
    <row r="142" ht="13.5" customHeight="1">
      <c r="A142" s="267"/>
      <c r="B142" s="267"/>
      <c r="C142" s="433"/>
      <c r="D142" s="433"/>
      <c r="E142" s="433"/>
      <c r="F142" s="433"/>
      <c r="G142" s="267"/>
      <c r="H142" s="267"/>
      <c r="I142" s="267"/>
      <c r="J142" s="433"/>
      <c r="K142" s="433"/>
      <c r="L142" s="434"/>
    </row>
    <row r="143" ht="13.5" customHeight="1">
      <c r="A143" s="267"/>
      <c r="B143" s="267"/>
      <c r="C143" s="433"/>
      <c r="D143" s="433"/>
      <c r="E143" s="433"/>
      <c r="F143" s="433"/>
      <c r="G143" s="267"/>
      <c r="H143" s="267"/>
      <c r="I143" s="267"/>
      <c r="J143" s="433"/>
      <c r="K143" s="433"/>
      <c r="L143" s="434"/>
    </row>
    <row r="144" ht="13.5" customHeight="1">
      <c r="A144" s="267"/>
      <c r="B144" s="267"/>
      <c r="C144" s="433"/>
      <c r="D144" s="433"/>
      <c r="E144" s="433"/>
      <c r="F144" s="433"/>
      <c r="G144" s="267"/>
      <c r="H144" s="267"/>
      <c r="I144" s="267"/>
      <c r="J144" s="433"/>
      <c r="K144" s="433"/>
      <c r="L144" s="434"/>
    </row>
    <row r="145" ht="13.5" customHeight="1">
      <c r="A145" s="267"/>
      <c r="B145" s="267"/>
      <c r="C145" s="433"/>
      <c r="D145" s="433"/>
      <c r="E145" s="433"/>
      <c r="F145" s="433"/>
      <c r="G145" s="267"/>
      <c r="H145" s="267"/>
      <c r="I145" s="267"/>
      <c r="J145" s="433"/>
      <c r="K145" s="433"/>
      <c r="L145" s="434"/>
    </row>
    <row r="146" ht="13.5" customHeight="1">
      <c r="A146" s="267"/>
      <c r="B146" s="267"/>
      <c r="C146" s="433"/>
      <c r="D146" s="433"/>
      <c r="E146" s="433"/>
      <c r="F146" s="433"/>
      <c r="G146" s="267"/>
      <c r="H146" s="267"/>
      <c r="I146" s="267"/>
      <c r="J146" s="433"/>
      <c r="K146" s="433"/>
      <c r="L146" s="434"/>
    </row>
    <row r="147" ht="13.5" customHeight="1">
      <c r="A147" s="267"/>
      <c r="B147" s="267"/>
      <c r="C147" s="433"/>
      <c r="D147" s="433"/>
      <c r="E147" s="433"/>
      <c r="F147" s="433"/>
      <c r="G147" s="267"/>
      <c r="H147" s="267"/>
      <c r="I147" s="267"/>
      <c r="J147" s="433"/>
      <c r="K147" s="433"/>
      <c r="L147" s="434"/>
    </row>
    <row r="148" ht="13.5" customHeight="1">
      <c r="A148" s="267"/>
      <c r="B148" s="267"/>
      <c r="C148" s="433"/>
      <c r="D148" s="433"/>
      <c r="E148" s="433"/>
      <c r="F148" s="433"/>
      <c r="G148" s="267"/>
      <c r="H148" s="267"/>
      <c r="I148" s="267"/>
      <c r="J148" s="433"/>
      <c r="K148" s="433"/>
      <c r="L148" s="434"/>
    </row>
    <row r="149" ht="13.5" customHeight="1">
      <c r="A149" s="267"/>
      <c r="B149" s="267"/>
      <c r="C149" s="433"/>
      <c r="D149" s="433"/>
      <c r="E149" s="433"/>
      <c r="F149" s="433"/>
      <c r="G149" s="267"/>
      <c r="H149" s="267"/>
      <c r="I149" s="267"/>
      <c r="J149" s="433"/>
      <c r="K149" s="433"/>
      <c r="L149" s="434"/>
    </row>
    <row r="150" ht="13.5" customHeight="1">
      <c r="A150" s="267"/>
      <c r="B150" s="267"/>
      <c r="C150" s="433"/>
      <c r="D150" s="433"/>
      <c r="E150" s="433"/>
      <c r="F150" s="433"/>
      <c r="G150" s="267"/>
      <c r="H150" s="267"/>
      <c r="I150" s="267"/>
      <c r="J150" s="433"/>
      <c r="K150" s="433"/>
      <c r="L150" s="434"/>
    </row>
    <row r="151" ht="13.5" customHeight="1">
      <c r="A151" s="267"/>
      <c r="B151" s="267"/>
      <c r="C151" s="433"/>
      <c r="D151" s="433"/>
      <c r="E151" s="433"/>
      <c r="F151" s="433"/>
      <c r="G151" s="267"/>
      <c r="H151" s="267"/>
      <c r="I151" s="267"/>
      <c r="J151" s="433"/>
      <c r="K151" s="433"/>
      <c r="L151" s="434"/>
    </row>
    <row r="152" ht="13.5" customHeight="1">
      <c r="A152" s="267"/>
      <c r="B152" s="267"/>
      <c r="C152" s="433"/>
      <c r="D152" s="433"/>
      <c r="E152" s="433"/>
      <c r="F152" s="433"/>
      <c r="G152" s="267"/>
      <c r="H152" s="267"/>
      <c r="I152" s="267"/>
      <c r="J152" s="433"/>
      <c r="K152" s="433"/>
      <c r="L152" s="434"/>
    </row>
    <row r="153" ht="13.5" customHeight="1">
      <c r="A153" s="267"/>
      <c r="B153" s="267"/>
      <c r="C153" s="433"/>
      <c r="D153" s="433"/>
      <c r="E153" s="433"/>
      <c r="F153" s="433"/>
      <c r="G153" s="267"/>
      <c r="H153" s="267"/>
      <c r="I153" s="267"/>
      <c r="J153" s="433"/>
      <c r="K153" s="433"/>
      <c r="L153" s="434"/>
    </row>
    <row r="154" ht="13.5" customHeight="1">
      <c r="A154" s="267"/>
      <c r="B154" s="267"/>
      <c r="C154" s="433"/>
      <c r="D154" s="433"/>
      <c r="E154" s="433"/>
      <c r="F154" s="433"/>
      <c r="G154" s="267"/>
      <c r="H154" s="267"/>
      <c r="I154" s="267"/>
      <c r="J154" s="433"/>
      <c r="K154" s="433"/>
      <c r="L154" s="434"/>
    </row>
    <row r="155" ht="13.5" customHeight="1">
      <c r="A155" s="267"/>
      <c r="B155" s="267"/>
      <c r="C155" s="433"/>
      <c r="D155" s="433"/>
      <c r="E155" s="433"/>
      <c r="F155" s="433"/>
      <c r="G155" s="267"/>
      <c r="H155" s="267"/>
      <c r="I155" s="267"/>
      <c r="J155" s="433"/>
      <c r="K155" s="433"/>
      <c r="L155" s="434"/>
    </row>
    <row r="156" ht="13.5" customHeight="1">
      <c r="A156" s="267"/>
      <c r="B156" s="267"/>
      <c r="C156" s="433"/>
      <c r="D156" s="433"/>
      <c r="E156" s="433"/>
      <c r="F156" s="433"/>
      <c r="G156" s="267"/>
      <c r="H156" s="267"/>
      <c r="I156" s="267"/>
      <c r="J156" s="433"/>
      <c r="K156" s="433"/>
      <c r="L156" s="434"/>
    </row>
    <row r="157" ht="13.5" customHeight="1">
      <c r="A157" s="267"/>
      <c r="B157" s="267"/>
      <c r="C157" s="433"/>
      <c r="D157" s="433"/>
      <c r="E157" s="433"/>
      <c r="F157" s="433"/>
      <c r="G157" s="267"/>
      <c r="H157" s="267"/>
      <c r="I157" s="267"/>
      <c r="J157" s="433"/>
      <c r="K157" s="433"/>
      <c r="L157" s="434"/>
    </row>
    <row r="158" ht="13.5" customHeight="1">
      <c r="A158" s="267"/>
      <c r="B158" s="267"/>
      <c r="C158" s="433"/>
      <c r="D158" s="433"/>
      <c r="E158" s="433"/>
      <c r="F158" s="433"/>
      <c r="G158" s="267"/>
      <c r="H158" s="267"/>
      <c r="I158" s="267"/>
      <c r="J158" s="433"/>
      <c r="K158" s="433"/>
      <c r="L158" s="434"/>
    </row>
    <row r="159" ht="13.5" customHeight="1">
      <c r="A159" s="267"/>
      <c r="B159" s="267"/>
      <c r="C159" s="433"/>
      <c r="D159" s="433"/>
      <c r="E159" s="433"/>
      <c r="F159" s="433"/>
      <c r="G159" s="267"/>
      <c r="H159" s="267"/>
      <c r="I159" s="267"/>
      <c r="J159" s="433"/>
      <c r="K159" s="433"/>
      <c r="L159" s="434"/>
    </row>
    <row r="160" ht="13.5" customHeight="1">
      <c r="A160" s="267"/>
      <c r="B160" s="267"/>
      <c r="C160" s="433"/>
      <c r="D160" s="433"/>
      <c r="E160" s="433"/>
      <c r="F160" s="433"/>
      <c r="G160" s="267"/>
      <c r="H160" s="267"/>
      <c r="I160" s="267"/>
      <c r="J160" s="433"/>
      <c r="K160" s="433"/>
      <c r="L160" s="434"/>
    </row>
    <row r="161" ht="13.5" customHeight="1">
      <c r="A161" s="267"/>
      <c r="B161" s="267"/>
      <c r="C161" s="433"/>
      <c r="D161" s="433"/>
      <c r="E161" s="433"/>
      <c r="F161" s="433"/>
      <c r="G161" s="267"/>
      <c r="H161" s="267"/>
      <c r="I161" s="267"/>
      <c r="J161" s="433"/>
      <c r="K161" s="433"/>
      <c r="L161" s="434"/>
    </row>
    <row r="162" ht="13.5" customHeight="1">
      <c r="A162" s="267"/>
      <c r="B162" s="267"/>
      <c r="C162" s="433"/>
      <c r="D162" s="433"/>
      <c r="E162" s="433"/>
      <c r="F162" s="433"/>
      <c r="G162" s="267"/>
      <c r="H162" s="267"/>
      <c r="I162" s="267"/>
      <c r="J162" s="433"/>
      <c r="K162" s="433"/>
      <c r="L162" s="434"/>
    </row>
    <row r="163" ht="13.5" customHeight="1">
      <c r="A163" s="267"/>
      <c r="B163" s="267"/>
      <c r="C163" s="433"/>
      <c r="D163" s="433"/>
      <c r="E163" s="433"/>
      <c r="F163" s="433"/>
      <c r="G163" s="267"/>
      <c r="H163" s="267"/>
      <c r="I163" s="267"/>
      <c r="J163" s="433"/>
      <c r="K163" s="433"/>
      <c r="L163" s="434"/>
    </row>
    <row r="164" ht="13.5" customHeight="1">
      <c r="A164" s="267"/>
      <c r="B164" s="267"/>
      <c r="C164" s="433"/>
      <c r="D164" s="433"/>
      <c r="E164" s="433"/>
      <c r="F164" s="433"/>
      <c r="G164" s="267"/>
      <c r="H164" s="267"/>
      <c r="I164" s="267"/>
      <c r="J164" s="433"/>
      <c r="K164" s="433"/>
      <c r="L164" s="434"/>
    </row>
    <row r="165" ht="13.5" customHeight="1">
      <c r="A165" s="267"/>
      <c r="B165" s="267"/>
      <c r="C165" s="433"/>
      <c r="D165" s="433"/>
      <c r="E165" s="433"/>
      <c r="F165" s="433"/>
      <c r="G165" s="267"/>
      <c r="H165" s="267"/>
      <c r="I165" s="267"/>
      <c r="J165" s="433"/>
      <c r="K165" s="433"/>
      <c r="L165" s="434"/>
    </row>
    <row r="166" ht="13.5" customHeight="1">
      <c r="A166" s="267"/>
      <c r="B166" s="267"/>
      <c r="C166" s="433"/>
      <c r="D166" s="433"/>
      <c r="E166" s="433"/>
      <c r="F166" s="433"/>
      <c r="G166" s="267"/>
      <c r="H166" s="267"/>
      <c r="I166" s="267"/>
      <c r="J166" s="433"/>
      <c r="K166" s="433"/>
      <c r="L166" s="434"/>
    </row>
    <row r="167" ht="13.5" customHeight="1">
      <c r="A167" s="267"/>
      <c r="B167" s="267"/>
      <c r="C167" s="433"/>
      <c r="D167" s="433"/>
      <c r="E167" s="433"/>
      <c r="F167" s="433"/>
      <c r="G167" s="267"/>
      <c r="H167" s="267"/>
      <c r="I167" s="267"/>
      <c r="J167" s="433"/>
      <c r="K167" s="433"/>
      <c r="L167" s="434"/>
    </row>
    <row r="168" ht="13.5" customHeight="1">
      <c r="A168" s="267"/>
      <c r="B168" s="267"/>
      <c r="C168" s="433"/>
      <c r="D168" s="433"/>
      <c r="E168" s="433"/>
      <c r="F168" s="433"/>
      <c r="G168" s="267"/>
      <c r="H168" s="267"/>
      <c r="I168" s="267"/>
      <c r="J168" s="433"/>
      <c r="K168" s="433"/>
      <c r="L168" s="434"/>
    </row>
    <row r="169" ht="13.5" customHeight="1">
      <c r="A169" s="267"/>
      <c r="B169" s="267"/>
      <c r="C169" s="433"/>
      <c r="D169" s="433"/>
      <c r="E169" s="433"/>
      <c r="F169" s="433"/>
      <c r="G169" s="267"/>
      <c r="H169" s="267"/>
      <c r="I169" s="267"/>
      <c r="J169" s="433"/>
      <c r="K169" s="433"/>
      <c r="L169" s="434"/>
    </row>
    <row r="170" ht="13.5" customHeight="1">
      <c r="A170" s="267"/>
      <c r="B170" s="267"/>
      <c r="C170" s="433"/>
      <c r="D170" s="433"/>
      <c r="E170" s="433"/>
      <c r="F170" s="433"/>
      <c r="G170" s="267"/>
      <c r="H170" s="267"/>
      <c r="I170" s="267"/>
      <c r="J170" s="433"/>
      <c r="K170" s="433"/>
      <c r="L170" s="434"/>
    </row>
    <row r="171" ht="13.5" customHeight="1">
      <c r="A171" s="267"/>
      <c r="B171" s="267"/>
      <c r="C171" s="433"/>
      <c r="D171" s="433"/>
      <c r="E171" s="433"/>
      <c r="F171" s="433"/>
      <c r="G171" s="267"/>
      <c r="H171" s="267"/>
      <c r="I171" s="267"/>
      <c r="J171" s="433"/>
      <c r="K171" s="433"/>
      <c r="L171" s="434"/>
    </row>
    <row r="172" ht="13.5" customHeight="1">
      <c r="A172" s="267"/>
      <c r="B172" s="267"/>
      <c r="C172" s="433"/>
      <c r="D172" s="433"/>
      <c r="E172" s="433"/>
      <c r="F172" s="433"/>
      <c r="G172" s="267"/>
      <c r="H172" s="267"/>
      <c r="I172" s="267"/>
      <c r="J172" s="433"/>
      <c r="K172" s="433"/>
      <c r="L172" s="434"/>
    </row>
    <row r="173" ht="13.5" customHeight="1">
      <c r="A173" s="267"/>
      <c r="B173" s="267"/>
      <c r="C173" s="433"/>
      <c r="D173" s="433"/>
      <c r="E173" s="433"/>
      <c r="F173" s="433"/>
      <c r="G173" s="267"/>
      <c r="H173" s="267"/>
      <c r="I173" s="267"/>
      <c r="J173" s="433"/>
      <c r="K173" s="433"/>
      <c r="L173" s="434"/>
    </row>
    <row r="174" ht="13.5" customHeight="1">
      <c r="A174" s="267"/>
      <c r="B174" s="267"/>
      <c r="C174" s="433"/>
      <c r="D174" s="433"/>
      <c r="E174" s="433"/>
      <c r="F174" s="433"/>
      <c r="G174" s="267"/>
      <c r="H174" s="267"/>
      <c r="I174" s="267"/>
      <c r="J174" s="433"/>
      <c r="K174" s="433"/>
      <c r="L174" s="434"/>
    </row>
    <row r="175" ht="13.5" customHeight="1">
      <c r="A175" s="267"/>
      <c r="B175" s="267"/>
      <c r="C175" s="433"/>
      <c r="D175" s="433"/>
      <c r="E175" s="433"/>
      <c r="F175" s="433"/>
      <c r="G175" s="267"/>
      <c r="H175" s="267"/>
      <c r="I175" s="267"/>
      <c r="J175" s="433"/>
      <c r="K175" s="433"/>
      <c r="L175" s="434"/>
    </row>
    <row r="176" ht="13.5" customHeight="1">
      <c r="A176" s="267"/>
      <c r="B176" s="267"/>
      <c r="C176" s="433"/>
      <c r="D176" s="433"/>
      <c r="E176" s="433"/>
      <c r="F176" s="433"/>
      <c r="G176" s="267"/>
      <c r="H176" s="267"/>
      <c r="I176" s="267"/>
      <c r="J176" s="433"/>
      <c r="K176" s="433"/>
      <c r="L176" s="434"/>
    </row>
    <row r="177" ht="13.5" customHeight="1">
      <c r="A177" s="267"/>
      <c r="B177" s="267"/>
      <c r="C177" s="433"/>
      <c r="D177" s="433"/>
      <c r="E177" s="433"/>
      <c r="F177" s="433"/>
      <c r="G177" s="267"/>
      <c r="H177" s="267"/>
      <c r="I177" s="267"/>
      <c r="J177" s="433"/>
      <c r="K177" s="433"/>
      <c r="L177" s="434"/>
    </row>
    <row r="178" ht="13.5" customHeight="1">
      <c r="A178" s="267"/>
      <c r="B178" s="267"/>
      <c r="C178" s="433"/>
      <c r="D178" s="433"/>
      <c r="E178" s="433"/>
      <c r="F178" s="433"/>
      <c r="G178" s="267"/>
      <c r="H178" s="267"/>
      <c r="I178" s="267"/>
      <c r="J178" s="433"/>
      <c r="K178" s="433"/>
      <c r="L178" s="434"/>
    </row>
    <row r="179" ht="13.5" customHeight="1">
      <c r="A179" s="267"/>
      <c r="B179" s="267"/>
      <c r="C179" s="433"/>
      <c r="D179" s="433"/>
      <c r="E179" s="433"/>
      <c r="F179" s="433"/>
      <c r="G179" s="267"/>
      <c r="H179" s="267"/>
      <c r="I179" s="267"/>
      <c r="J179" s="433"/>
      <c r="K179" s="433"/>
      <c r="L179" s="434"/>
    </row>
    <row r="180" ht="13.5" customHeight="1">
      <c r="A180" s="267"/>
      <c r="B180" s="267"/>
      <c r="C180" s="433"/>
      <c r="D180" s="433"/>
      <c r="E180" s="433"/>
      <c r="F180" s="433"/>
      <c r="G180" s="267"/>
      <c r="H180" s="267"/>
      <c r="I180" s="267"/>
      <c r="J180" s="433"/>
      <c r="K180" s="433"/>
      <c r="L180" s="434"/>
    </row>
    <row r="181" ht="13.5" customHeight="1">
      <c r="A181" s="267"/>
      <c r="B181" s="267"/>
      <c r="C181" s="433"/>
      <c r="D181" s="433"/>
      <c r="E181" s="433"/>
      <c r="F181" s="433"/>
      <c r="G181" s="267"/>
      <c r="H181" s="267"/>
      <c r="I181" s="267"/>
      <c r="J181" s="433"/>
      <c r="K181" s="433"/>
      <c r="L181" s="434"/>
    </row>
    <row r="182" ht="13.5" customHeight="1">
      <c r="A182" s="267"/>
      <c r="B182" s="267"/>
      <c r="C182" s="433"/>
      <c r="D182" s="433"/>
      <c r="E182" s="433"/>
      <c r="F182" s="433"/>
      <c r="G182" s="267"/>
      <c r="H182" s="267"/>
      <c r="I182" s="267"/>
      <c r="J182" s="433"/>
      <c r="K182" s="433"/>
      <c r="L182" s="434"/>
    </row>
    <row r="183" ht="13.5" customHeight="1">
      <c r="A183" s="267"/>
      <c r="B183" s="267"/>
      <c r="C183" s="433"/>
      <c r="D183" s="433"/>
      <c r="E183" s="433"/>
      <c r="F183" s="433"/>
      <c r="G183" s="267"/>
      <c r="H183" s="267"/>
      <c r="I183" s="267"/>
      <c r="J183" s="433"/>
      <c r="K183" s="433"/>
      <c r="L183" s="434"/>
    </row>
    <row r="184" ht="13.5" customHeight="1">
      <c r="A184" s="267"/>
      <c r="B184" s="267"/>
      <c r="C184" s="433"/>
      <c r="D184" s="433"/>
      <c r="E184" s="433"/>
      <c r="F184" s="433"/>
      <c r="G184" s="267"/>
      <c r="H184" s="267"/>
      <c r="I184" s="267"/>
      <c r="J184" s="433"/>
      <c r="K184" s="433"/>
      <c r="L184" s="434"/>
    </row>
    <row r="185" ht="13.5" customHeight="1">
      <c r="A185" s="267"/>
      <c r="B185" s="267"/>
      <c r="C185" s="433"/>
      <c r="D185" s="433"/>
      <c r="E185" s="433"/>
      <c r="F185" s="433"/>
      <c r="G185" s="267"/>
      <c r="H185" s="267"/>
      <c r="I185" s="267"/>
      <c r="J185" s="433"/>
      <c r="K185" s="433"/>
      <c r="L185" s="434"/>
    </row>
    <row r="186" ht="13.5" customHeight="1">
      <c r="A186" s="267"/>
      <c r="B186" s="267"/>
      <c r="C186" s="433"/>
      <c r="D186" s="433"/>
      <c r="E186" s="433"/>
      <c r="F186" s="433"/>
      <c r="G186" s="267"/>
      <c r="H186" s="267"/>
      <c r="I186" s="267"/>
      <c r="J186" s="433"/>
      <c r="K186" s="433"/>
      <c r="L186" s="434"/>
    </row>
    <row r="187" ht="13.5" customHeight="1">
      <c r="A187" s="267"/>
      <c r="B187" s="267"/>
      <c r="C187" s="433"/>
      <c r="D187" s="433"/>
      <c r="E187" s="433"/>
      <c r="F187" s="433"/>
      <c r="G187" s="267"/>
      <c r="H187" s="267"/>
      <c r="I187" s="267"/>
      <c r="J187" s="433"/>
      <c r="K187" s="433"/>
      <c r="L187" s="434"/>
    </row>
    <row r="188" ht="13.5" customHeight="1">
      <c r="A188" s="267"/>
      <c r="B188" s="267"/>
      <c r="C188" s="433"/>
      <c r="D188" s="433"/>
      <c r="E188" s="433"/>
      <c r="F188" s="433"/>
      <c r="G188" s="267"/>
      <c r="H188" s="267"/>
      <c r="I188" s="267"/>
      <c r="J188" s="433"/>
      <c r="K188" s="433"/>
      <c r="L188" s="434"/>
    </row>
    <row r="189" ht="13.5" customHeight="1">
      <c r="A189" s="267"/>
      <c r="B189" s="267"/>
      <c r="C189" s="433"/>
      <c r="D189" s="433"/>
      <c r="E189" s="433"/>
      <c r="F189" s="433"/>
      <c r="G189" s="267"/>
      <c r="H189" s="267"/>
      <c r="I189" s="267"/>
      <c r="J189" s="433"/>
      <c r="K189" s="433"/>
      <c r="L189" s="434"/>
    </row>
    <row r="190" ht="13.5" customHeight="1">
      <c r="A190" s="267"/>
      <c r="B190" s="267"/>
      <c r="C190" s="433"/>
      <c r="D190" s="433"/>
      <c r="E190" s="433"/>
      <c r="F190" s="433"/>
      <c r="G190" s="267"/>
      <c r="H190" s="267"/>
      <c r="I190" s="267"/>
      <c r="J190" s="433"/>
      <c r="K190" s="433"/>
      <c r="L190" s="434"/>
    </row>
    <row r="191" ht="13.5" customHeight="1">
      <c r="A191" s="267"/>
      <c r="B191" s="267"/>
      <c r="C191" s="433"/>
      <c r="D191" s="433"/>
      <c r="E191" s="433"/>
      <c r="F191" s="433"/>
      <c r="G191" s="267"/>
      <c r="H191" s="267"/>
      <c r="I191" s="267"/>
      <c r="J191" s="433"/>
      <c r="K191" s="433"/>
      <c r="L191" s="434"/>
    </row>
    <row r="192" ht="13.5" customHeight="1">
      <c r="A192" s="267"/>
      <c r="B192" s="267"/>
      <c r="C192" s="433"/>
      <c r="D192" s="433"/>
      <c r="E192" s="433"/>
      <c r="F192" s="433"/>
      <c r="G192" s="267"/>
      <c r="H192" s="267"/>
      <c r="I192" s="267"/>
      <c r="J192" s="433"/>
      <c r="K192" s="433"/>
      <c r="L192" s="434"/>
    </row>
    <row r="193" ht="13.5" customHeight="1">
      <c r="A193" s="267"/>
      <c r="B193" s="267"/>
      <c r="C193" s="433"/>
      <c r="D193" s="433"/>
      <c r="E193" s="433"/>
      <c r="F193" s="433"/>
      <c r="G193" s="267"/>
      <c r="H193" s="267"/>
      <c r="I193" s="267"/>
      <c r="J193" s="433"/>
      <c r="K193" s="433"/>
      <c r="L193" s="434"/>
    </row>
    <row r="194" ht="13.5" customHeight="1">
      <c r="A194" s="267"/>
      <c r="B194" s="267"/>
      <c r="C194" s="433"/>
      <c r="D194" s="433"/>
      <c r="E194" s="433"/>
      <c r="F194" s="433"/>
      <c r="G194" s="267"/>
      <c r="H194" s="267"/>
      <c r="I194" s="267"/>
      <c r="J194" s="433"/>
      <c r="K194" s="433"/>
      <c r="L194" s="434"/>
    </row>
    <row r="195" ht="13.5" customHeight="1">
      <c r="A195" s="267"/>
      <c r="B195" s="267"/>
      <c r="C195" s="433"/>
      <c r="D195" s="433"/>
      <c r="E195" s="433"/>
      <c r="F195" s="433"/>
      <c r="G195" s="267"/>
      <c r="H195" s="267"/>
      <c r="I195" s="267"/>
      <c r="J195" s="433"/>
      <c r="K195" s="433"/>
      <c r="L195" s="434"/>
    </row>
    <row r="196" ht="13.5" customHeight="1">
      <c r="A196" s="267"/>
      <c r="B196" s="267"/>
      <c r="C196" s="433"/>
      <c r="D196" s="433"/>
      <c r="E196" s="433"/>
      <c r="F196" s="433"/>
      <c r="G196" s="267"/>
      <c r="H196" s="267"/>
      <c r="I196" s="267"/>
      <c r="J196" s="433"/>
      <c r="K196" s="433"/>
      <c r="L196" s="434"/>
    </row>
    <row r="197" ht="13.5" customHeight="1">
      <c r="A197" s="267"/>
      <c r="B197" s="267"/>
      <c r="C197" s="433"/>
      <c r="D197" s="433"/>
      <c r="E197" s="433"/>
      <c r="F197" s="433"/>
      <c r="G197" s="267"/>
      <c r="H197" s="267"/>
      <c r="I197" s="267"/>
      <c r="J197" s="433"/>
      <c r="K197" s="433"/>
      <c r="L197" s="434"/>
    </row>
    <row r="198" ht="13.5" customHeight="1">
      <c r="A198" s="267"/>
      <c r="B198" s="267"/>
      <c r="C198" s="433"/>
      <c r="D198" s="433"/>
      <c r="E198" s="433"/>
      <c r="F198" s="433"/>
      <c r="G198" s="267"/>
      <c r="H198" s="267"/>
      <c r="I198" s="267"/>
      <c r="J198" s="433"/>
      <c r="K198" s="433"/>
      <c r="L198" s="434"/>
    </row>
    <row r="199" ht="13.5" customHeight="1">
      <c r="A199" s="267"/>
      <c r="B199" s="267"/>
      <c r="C199" s="433"/>
      <c r="D199" s="433"/>
      <c r="E199" s="433"/>
      <c r="F199" s="433"/>
      <c r="G199" s="267"/>
      <c r="H199" s="267"/>
      <c r="I199" s="267"/>
      <c r="J199" s="433"/>
      <c r="K199" s="433"/>
      <c r="L199" s="434"/>
    </row>
    <row r="200" ht="13.5" customHeight="1">
      <c r="A200" s="267"/>
      <c r="B200" s="267"/>
      <c r="C200" s="433"/>
      <c r="D200" s="433"/>
      <c r="E200" s="433"/>
      <c r="F200" s="433"/>
      <c r="G200" s="267"/>
      <c r="H200" s="267"/>
      <c r="I200" s="267"/>
      <c r="J200" s="433"/>
      <c r="K200" s="433"/>
      <c r="L200" s="434"/>
    </row>
    <row r="201" ht="13.5" customHeight="1">
      <c r="A201" s="267"/>
      <c r="B201" s="267"/>
      <c r="C201" s="433"/>
      <c r="D201" s="433"/>
      <c r="E201" s="433"/>
      <c r="F201" s="433"/>
      <c r="G201" s="267"/>
      <c r="H201" s="267"/>
      <c r="I201" s="267"/>
      <c r="J201" s="433"/>
      <c r="K201" s="433"/>
      <c r="L201" s="434"/>
    </row>
    <row r="202" ht="13.5" customHeight="1">
      <c r="A202" s="267"/>
      <c r="B202" s="267"/>
      <c r="C202" s="433"/>
      <c r="D202" s="433"/>
      <c r="E202" s="433"/>
      <c r="F202" s="433"/>
      <c r="G202" s="267"/>
      <c r="H202" s="267"/>
      <c r="I202" s="267"/>
      <c r="J202" s="433"/>
      <c r="K202" s="433"/>
      <c r="L202" s="434"/>
    </row>
    <row r="203" ht="13.5" customHeight="1">
      <c r="A203" s="267"/>
      <c r="B203" s="267"/>
      <c r="C203" s="433"/>
      <c r="D203" s="433"/>
      <c r="E203" s="433"/>
      <c r="F203" s="433"/>
      <c r="G203" s="267"/>
      <c r="H203" s="267"/>
      <c r="I203" s="267"/>
      <c r="J203" s="433"/>
      <c r="K203" s="433"/>
      <c r="L203" s="434"/>
    </row>
    <row r="204" ht="13.5" customHeight="1">
      <c r="A204" s="267"/>
      <c r="B204" s="267"/>
      <c r="C204" s="433"/>
      <c r="D204" s="433"/>
      <c r="E204" s="433"/>
      <c r="F204" s="433"/>
      <c r="G204" s="267"/>
      <c r="H204" s="267"/>
      <c r="I204" s="267"/>
      <c r="J204" s="433"/>
      <c r="K204" s="433"/>
      <c r="L204" s="434"/>
    </row>
    <row r="205" ht="13.5" customHeight="1">
      <c r="A205" s="267"/>
      <c r="B205" s="267"/>
      <c r="C205" s="433"/>
      <c r="D205" s="433"/>
      <c r="E205" s="433"/>
      <c r="F205" s="433"/>
      <c r="G205" s="267"/>
      <c r="H205" s="267"/>
      <c r="I205" s="267"/>
      <c r="J205" s="433"/>
      <c r="K205" s="433"/>
      <c r="L205" s="434"/>
    </row>
    <row r="206" ht="13.5" customHeight="1">
      <c r="A206" s="267"/>
      <c r="B206" s="267"/>
      <c r="C206" s="433"/>
      <c r="D206" s="433"/>
      <c r="E206" s="433"/>
      <c r="F206" s="433"/>
      <c r="G206" s="267"/>
      <c r="H206" s="267"/>
      <c r="I206" s="267"/>
      <c r="J206" s="433"/>
      <c r="K206" s="433"/>
      <c r="L206" s="434"/>
    </row>
    <row r="207" ht="13.5" customHeight="1">
      <c r="A207" s="267"/>
      <c r="B207" s="267"/>
      <c r="C207" s="433"/>
      <c r="D207" s="433"/>
      <c r="E207" s="433"/>
      <c r="F207" s="433"/>
      <c r="G207" s="267"/>
      <c r="H207" s="267"/>
      <c r="I207" s="267"/>
      <c r="J207" s="433"/>
      <c r="K207" s="433"/>
      <c r="L207" s="434"/>
    </row>
    <row r="208" ht="13.5" customHeight="1">
      <c r="A208" s="267"/>
      <c r="B208" s="267"/>
      <c r="C208" s="433"/>
      <c r="D208" s="433"/>
      <c r="E208" s="433"/>
      <c r="F208" s="433"/>
      <c r="G208" s="267"/>
      <c r="H208" s="267"/>
      <c r="I208" s="267"/>
      <c r="J208" s="433"/>
      <c r="K208" s="433"/>
      <c r="L208" s="434"/>
    </row>
    <row r="209" ht="13.5" customHeight="1">
      <c r="A209" s="267"/>
      <c r="B209" s="267"/>
      <c r="C209" s="433"/>
      <c r="D209" s="433"/>
      <c r="E209" s="433"/>
      <c r="F209" s="433"/>
      <c r="G209" s="267"/>
      <c r="H209" s="267"/>
      <c r="I209" s="267"/>
      <c r="J209" s="433"/>
      <c r="K209" s="433"/>
      <c r="L209" s="434"/>
    </row>
    <row r="210" ht="13.5" customHeight="1">
      <c r="A210" s="267"/>
      <c r="B210" s="267"/>
      <c r="C210" s="433"/>
      <c r="D210" s="433"/>
      <c r="E210" s="433"/>
      <c r="F210" s="433"/>
      <c r="G210" s="267"/>
      <c r="H210" s="267"/>
      <c r="I210" s="267"/>
      <c r="J210" s="433"/>
      <c r="K210" s="433"/>
      <c r="L210" s="434"/>
    </row>
    <row r="211" ht="13.5" customHeight="1">
      <c r="A211" s="267"/>
      <c r="B211" s="267"/>
      <c r="C211" s="433"/>
      <c r="D211" s="433"/>
      <c r="E211" s="433"/>
      <c r="F211" s="433"/>
      <c r="G211" s="267"/>
      <c r="H211" s="267"/>
      <c r="I211" s="267"/>
      <c r="J211" s="433"/>
      <c r="K211" s="433"/>
      <c r="L211" s="434"/>
    </row>
    <row r="212" ht="13.5" customHeight="1">
      <c r="A212" s="267"/>
      <c r="B212" s="267"/>
      <c r="C212" s="433"/>
      <c r="D212" s="433"/>
      <c r="E212" s="433"/>
      <c r="F212" s="433"/>
      <c r="G212" s="267"/>
      <c r="H212" s="267"/>
      <c r="I212" s="267"/>
      <c r="J212" s="433"/>
      <c r="K212" s="433"/>
      <c r="L212" s="434"/>
    </row>
    <row r="213" ht="13.5" customHeight="1">
      <c r="A213" s="267"/>
      <c r="B213" s="267"/>
      <c r="C213" s="433"/>
      <c r="D213" s="433"/>
      <c r="E213" s="433"/>
      <c r="F213" s="433"/>
      <c r="G213" s="267"/>
      <c r="H213" s="267"/>
      <c r="I213" s="267"/>
      <c r="J213" s="433"/>
      <c r="K213" s="433"/>
      <c r="L213" s="434"/>
    </row>
    <row r="214" ht="13.5" customHeight="1">
      <c r="A214" s="267"/>
      <c r="B214" s="267"/>
      <c r="C214" s="433"/>
      <c r="D214" s="433"/>
      <c r="E214" s="433"/>
      <c r="F214" s="433"/>
      <c r="G214" s="267"/>
      <c r="H214" s="267"/>
      <c r="I214" s="267"/>
      <c r="J214" s="433"/>
      <c r="K214" s="433"/>
      <c r="L214" s="434"/>
    </row>
    <row r="215" ht="13.5" customHeight="1">
      <c r="A215" s="267"/>
      <c r="B215" s="267"/>
      <c r="C215" s="433"/>
      <c r="D215" s="433"/>
      <c r="E215" s="433"/>
      <c r="F215" s="433"/>
      <c r="G215" s="267"/>
      <c r="H215" s="267"/>
      <c r="I215" s="267"/>
      <c r="J215" s="433"/>
      <c r="K215" s="433"/>
      <c r="L215" s="434"/>
    </row>
    <row r="216" ht="13.5" customHeight="1">
      <c r="A216" s="267"/>
      <c r="B216" s="267"/>
      <c r="C216" s="433"/>
      <c r="D216" s="433"/>
      <c r="E216" s="433"/>
      <c r="F216" s="433"/>
      <c r="G216" s="267"/>
      <c r="H216" s="267"/>
      <c r="I216" s="267"/>
      <c r="J216" s="433"/>
      <c r="K216" s="433"/>
      <c r="L216" s="434"/>
    </row>
    <row r="217" ht="13.5" customHeight="1">
      <c r="A217" s="267"/>
      <c r="B217" s="267"/>
      <c r="C217" s="433"/>
      <c r="D217" s="433"/>
      <c r="E217" s="433"/>
      <c r="F217" s="433"/>
      <c r="G217" s="267"/>
      <c r="H217" s="267"/>
      <c r="I217" s="267"/>
      <c r="J217" s="433"/>
      <c r="K217" s="433"/>
      <c r="L217" s="434"/>
    </row>
    <row r="218" ht="13.5" customHeight="1">
      <c r="A218" s="267"/>
      <c r="B218" s="267"/>
      <c r="C218" s="433"/>
      <c r="D218" s="433"/>
      <c r="E218" s="433"/>
      <c r="F218" s="433"/>
      <c r="G218" s="267"/>
      <c r="H218" s="267"/>
      <c r="I218" s="267"/>
      <c r="J218" s="433"/>
      <c r="K218" s="433"/>
      <c r="L218" s="434"/>
    </row>
    <row r="219" ht="13.5" customHeight="1">
      <c r="A219" s="267"/>
      <c r="B219" s="267"/>
      <c r="C219" s="433"/>
      <c r="D219" s="433"/>
      <c r="E219" s="433"/>
      <c r="F219" s="433"/>
      <c r="G219" s="267"/>
      <c r="H219" s="267"/>
      <c r="I219" s="267"/>
      <c r="J219" s="433"/>
      <c r="K219" s="433"/>
      <c r="L219" s="434"/>
    </row>
    <row r="220" ht="13.5" customHeight="1">
      <c r="A220" s="267"/>
      <c r="B220" s="267"/>
      <c r="C220" s="433"/>
      <c r="D220" s="433"/>
      <c r="E220" s="433"/>
      <c r="F220" s="433"/>
      <c r="G220" s="267"/>
      <c r="H220" s="267"/>
      <c r="I220" s="267"/>
      <c r="J220" s="433"/>
      <c r="K220" s="433"/>
      <c r="L220" s="434"/>
    </row>
    <row r="221" ht="13.5" customHeight="1">
      <c r="A221" s="267"/>
      <c r="B221" s="267"/>
      <c r="C221" s="433"/>
      <c r="D221" s="433"/>
      <c r="E221" s="433"/>
      <c r="F221" s="433"/>
      <c r="G221" s="267"/>
      <c r="H221" s="267"/>
      <c r="I221" s="267"/>
      <c r="J221" s="433"/>
      <c r="K221" s="433"/>
      <c r="L221" s="434"/>
    </row>
    <row r="222" ht="13.5" customHeight="1">
      <c r="B222" s="447"/>
    </row>
    <row r="223" ht="13.5" customHeight="1">
      <c r="B223" s="447"/>
    </row>
    <row r="224" ht="13.5" customHeight="1">
      <c r="B224" s="447"/>
    </row>
    <row r="225" ht="13.5" customHeight="1">
      <c r="B225" s="447"/>
    </row>
    <row r="226" ht="13.5" customHeight="1">
      <c r="B226" s="447"/>
    </row>
    <row r="227" ht="13.5" customHeight="1">
      <c r="B227" s="447"/>
    </row>
    <row r="228" ht="13.5" customHeight="1">
      <c r="B228" s="447"/>
    </row>
    <row r="229" ht="13.5" customHeight="1">
      <c r="B229" s="447"/>
    </row>
    <row r="230" ht="13.5" customHeight="1">
      <c r="B230" s="447"/>
    </row>
    <row r="231" ht="13.5" customHeight="1">
      <c r="B231" s="447"/>
    </row>
    <row r="232" ht="13.5" customHeight="1">
      <c r="B232" s="447"/>
    </row>
    <row r="233" ht="13.5" customHeight="1">
      <c r="B233" s="447"/>
    </row>
    <row r="234" ht="13.5" customHeight="1">
      <c r="B234" s="447"/>
    </row>
    <row r="235" ht="13.5" customHeight="1">
      <c r="B235" s="447"/>
    </row>
    <row r="236" ht="13.5" customHeight="1">
      <c r="B236" s="447"/>
    </row>
    <row r="237" ht="13.5" customHeight="1">
      <c r="B237" s="447"/>
    </row>
    <row r="238" ht="13.5" customHeight="1">
      <c r="B238" s="447"/>
    </row>
    <row r="239" ht="13.5" customHeight="1">
      <c r="B239" s="447"/>
    </row>
    <row r="240" ht="13.5" customHeight="1">
      <c r="B240" s="447"/>
    </row>
    <row r="241" ht="13.5" customHeight="1">
      <c r="B241" s="447"/>
    </row>
    <row r="242" ht="13.5" customHeight="1">
      <c r="B242" s="447"/>
    </row>
    <row r="243" ht="13.5" customHeight="1">
      <c r="B243" s="447"/>
    </row>
    <row r="244" ht="13.5" customHeight="1">
      <c r="B244" s="447"/>
    </row>
    <row r="245" ht="13.5" customHeight="1">
      <c r="B245" s="447"/>
    </row>
    <row r="246" ht="13.5" customHeight="1">
      <c r="B246" s="447"/>
    </row>
    <row r="247" ht="13.5" customHeight="1">
      <c r="B247" s="447"/>
    </row>
    <row r="248" ht="13.5" customHeight="1">
      <c r="B248" s="447"/>
    </row>
    <row r="249" ht="13.5" customHeight="1">
      <c r="B249" s="447"/>
    </row>
    <row r="250" ht="13.5" customHeight="1">
      <c r="B250" s="447"/>
    </row>
    <row r="251" ht="13.5" customHeight="1">
      <c r="B251" s="447"/>
    </row>
    <row r="252" ht="13.5" customHeight="1">
      <c r="B252" s="447"/>
    </row>
    <row r="253" ht="13.5" customHeight="1">
      <c r="B253" s="447"/>
    </row>
    <row r="254" ht="13.5" customHeight="1">
      <c r="B254" s="447"/>
    </row>
    <row r="255" ht="13.5" customHeight="1">
      <c r="B255" s="447"/>
    </row>
    <row r="256" ht="13.5" customHeight="1">
      <c r="B256" s="447"/>
    </row>
    <row r="257" ht="13.5" customHeight="1">
      <c r="B257" s="447"/>
    </row>
    <row r="258" ht="13.5" customHeight="1">
      <c r="B258" s="447"/>
    </row>
    <row r="259" ht="13.5" customHeight="1">
      <c r="B259" s="447"/>
    </row>
    <row r="260" ht="13.5" customHeight="1">
      <c r="B260" s="447"/>
    </row>
    <row r="261" ht="13.5" customHeight="1">
      <c r="B261" s="447"/>
    </row>
    <row r="262" ht="13.5" customHeight="1">
      <c r="B262" s="447"/>
    </row>
    <row r="263" ht="13.5" customHeight="1">
      <c r="B263" s="447"/>
    </row>
    <row r="264" ht="13.5" customHeight="1">
      <c r="B264" s="447"/>
    </row>
    <row r="265" ht="13.5" customHeight="1">
      <c r="B265" s="447"/>
    </row>
    <row r="266" ht="13.5" customHeight="1">
      <c r="B266" s="447"/>
    </row>
    <row r="267" ht="13.5" customHeight="1">
      <c r="B267" s="447"/>
    </row>
    <row r="268" ht="13.5" customHeight="1">
      <c r="B268" s="447"/>
    </row>
    <row r="269" ht="13.5" customHeight="1">
      <c r="B269" s="447"/>
    </row>
    <row r="270" ht="13.5" customHeight="1">
      <c r="B270" s="447"/>
    </row>
    <row r="271" ht="13.5" customHeight="1">
      <c r="B271" s="447"/>
    </row>
    <row r="272" ht="13.5" customHeight="1">
      <c r="B272" s="447"/>
    </row>
    <row r="273" ht="13.5" customHeight="1">
      <c r="B273" s="447"/>
    </row>
    <row r="274" ht="13.5" customHeight="1">
      <c r="B274" s="447"/>
    </row>
    <row r="275" ht="13.5" customHeight="1">
      <c r="B275" s="447"/>
    </row>
    <row r="276" ht="13.5" customHeight="1">
      <c r="B276" s="447"/>
    </row>
    <row r="277" ht="13.5" customHeight="1">
      <c r="B277" s="447"/>
    </row>
    <row r="278" ht="13.5" customHeight="1">
      <c r="B278" s="447"/>
    </row>
    <row r="279" ht="13.5" customHeight="1">
      <c r="B279" s="447"/>
    </row>
    <row r="280" ht="13.5" customHeight="1">
      <c r="B280" s="447"/>
    </row>
    <row r="281" ht="13.5" customHeight="1">
      <c r="B281" s="447"/>
    </row>
    <row r="282" ht="13.5" customHeight="1">
      <c r="B282" s="447"/>
    </row>
    <row r="283" ht="13.5" customHeight="1">
      <c r="B283" s="447"/>
    </row>
    <row r="284" ht="13.5" customHeight="1">
      <c r="B284" s="447"/>
    </row>
    <row r="285" ht="13.5" customHeight="1">
      <c r="B285" s="447"/>
    </row>
    <row r="286" ht="13.5" customHeight="1">
      <c r="B286" s="447"/>
    </row>
    <row r="287" ht="13.5" customHeight="1">
      <c r="B287" s="447"/>
    </row>
    <row r="288" ht="13.5" customHeight="1">
      <c r="B288" s="447"/>
    </row>
    <row r="289" ht="13.5" customHeight="1">
      <c r="B289" s="447"/>
    </row>
    <row r="290" ht="13.5" customHeight="1">
      <c r="B290" s="447"/>
    </row>
    <row r="291" ht="13.5" customHeight="1">
      <c r="B291" s="447"/>
    </row>
    <row r="292" ht="13.5" customHeight="1">
      <c r="B292" s="447"/>
    </row>
    <row r="293" ht="13.5" customHeight="1">
      <c r="B293" s="447"/>
    </row>
    <row r="294" ht="13.5" customHeight="1">
      <c r="B294" s="447"/>
    </row>
    <row r="295" ht="13.5" customHeight="1">
      <c r="B295" s="447"/>
    </row>
    <row r="296" ht="13.5" customHeight="1">
      <c r="B296" s="447"/>
    </row>
    <row r="297" ht="13.5" customHeight="1">
      <c r="B297" s="447"/>
    </row>
    <row r="298" ht="13.5" customHeight="1">
      <c r="B298" s="447"/>
    </row>
    <row r="299" ht="13.5" customHeight="1">
      <c r="B299" s="447"/>
    </row>
    <row r="300" ht="13.5" customHeight="1">
      <c r="B300" s="447"/>
    </row>
    <row r="301" ht="13.5" customHeight="1">
      <c r="B301" s="447"/>
    </row>
    <row r="302" ht="13.5" customHeight="1">
      <c r="B302" s="447"/>
    </row>
    <row r="303" ht="13.5" customHeight="1">
      <c r="B303" s="447"/>
    </row>
    <row r="304" ht="13.5" customHeight="1">
      <c r="B304" s="447"/>
    </row>
    <row r="305" ht="13.5" customHeight="1">
      <c r="B305" s="447"/>
    </row>
    <row r="306" ht="13.5" customHeight="1">
      <c r="B306" s="447"/>
    </row>
    <row r="307" ht="13.5" customHeight="1">
      <c r="B307" s="447"/>
    </row>
    <row r="308" ht="13.5" customHeight="1">
      <c r="B308" s="447"/>
    </row>
    <row r="309" ht="13.5" customHeight="1">
      <c r="B309" s="447"/>
    </row>
    <row r="310" ht="13.5" customHeight="1">
      <c r="B310" s="447"/>
    </row>
    <row r="311" ht="13.5" customHeight="1">
      <c r="B311" s="447"/>
    </row>
    <row r="312" ht="13.5" customHeight="1">
      <c r="B312" s="447"/>
    </row>
    <row r="313" ht="13.5" customHeight="1">
      <c r="B313" s="447"/>
    </row>
    <row r="314" ht="13.5" customHeight="1">
      <c r="B314" s="447"/>
    </row>
    <row r="315" ht="13.5" customHeight="1">
      <c r="B315" s="447"/>
    </row>
    <row r="316" ht="13.5" customHeight="1">
      <c r="B316" s="447"/>
    </row>
    <row r="317" ht="13.5" customHeight="1">
      <c r="B317" s="447"/>
    </row>
    <row r="318" ht="13.5" customHeight="1">
      <c r="B318" s="447"/>
    </row>
    <row r="319" ht="13.5" customHeight="1">
      <c r="B319" s="447"/>
    </row>
    <row r="320" ht="13.5" customHeight="1">
      <c r="B320" s="447"/>
    </row>
    <row r="321" ht="13.5" customHeight="1">
      <c r="B321" s="447"/>
    </row>
    <row r="322" ht="13.5" customHeight="1">
      <c r="B322" s="447"/>
    </row>
    <row r="323" ht="13.5" customHeight="1">
      <c r="B323" s="447"/>
    </row>
    <row r="324" ht="13.5" customHeight="1">
      <c r="B324" s="447"/>
    </row>
    <row r="325" ht="13.5" customHeight="1">
      <c r="B325" s="447"/>
    </row>
    <row r="326" ht="13.5" customHeight="1">
      <c r="B326" s="447"/>
    </row>
    <row r="327" ht="13.5" customHeight="1">
      <c r="B327" s="447"/>
    </row>
    <row r="328" ht="13.5" customHeight="1">
      <c r="B328" s="447"/>
    </row>
    <row r="329" ht="13.5" customHeight="1">
      <c r="B329" s="447"/>
    </row>
    <row r="330" ht="13.5" customHeight="1">
      <c r="B330" s="447"/>
    </row>
    <row r="331" ht="13.5" customHeight="1">
      <c r="B331" s="447"/>
    </row>
    <row r="332" ht="13.5" customHeight="1">
      <c r="B332" s="447"/>
    </row>
    <row r="333" ht="13.5" customHeight="1">
      <c r="B333" s="447"/>
    </row>
    <row r="334" ht="13.5" customHeight="1">
      <c r="B334" s="447"/>
    </row>
    <row r="335" ht="13.5" customHeight="1">
      <c r="B335" s="447"/>
    </row>
    <row r="336" ht="13.5" customHeight="1">
      <c r="B336" s="447"/>
    </row>
    <row r="337" ht="13.5" customHeight="1">
      <c r="B337" s="447"/>
    </row>
    <row r="338" ht="13.5" customHeight="1">
      <c r="B338" s="447"/>
    </row>
    <row r="339" ht="13.5" customHeight="1">
      <c r="B339" s="447"/>
    </row>
    <row r="340" ht="13.5" customHeight="1">
      <c r="B340" s="447"/>
    </row>
    <row r="341" ht="13.5" customHeight="1">
      <c r="B341" s="447"/>
    </row>
    <row r="342" ht="13.5" customHeight="1">
      <c r="B342" s="447"/>
    </row>
    <row r="343" ht="13.5" customHeight="1">
      <c r="B343" s="447"/>
    </row>
    <row r="344" ht="13.5" customHeight="1">
      <c r="B344" s="447"/>
    </row>
    <row r="345" ht="13.5" customHeight="1">
      <c r="B345" s="447"/>
    </row>
    <row r="346" ht="13.5" customHeight="1">
      <c r="B346" s="447"/>
    </row>
    <row r="347" ht="13.5" customHeight="1">
      <c r="B347" s="447"/>
    </row>
    <row r="348" ht="13.5" customHeight="1">
      <c r="B348" s="447"/>
    </row>
    <row r="349" ht="13.5" customHeight="1">
      <c r="B349" s="447"/>
    </row>
    <row r="350" ht="13.5" customHeight="1">
      <c r="B350" s="447"/>
    </row>
    <row r="351" ht="13.5" customHeight="1">
      <c r="B351" s="447"/>
    </row>
    <row r="352" ht="13.5" customHeight="1">
      <c r="B352" s="447"/>
    </row>
    <row r="353" ht="13.5" customHeight="1">
      <c r="B353" s="447"/>
    </row>
    <row r="354" ht="13.5" customHeight="1">
      <c r="B354" s="447"/>
    </row>
    <row r="355" ht="13.5" customHeight="1">
      <c r="B355" s="447"/>
    </row>
    <row r="356" ht="13.5" customHeight="1">
      <c r="B356" s="447"/>
    </row>
    <row r="357" ht="13.5" customHeight="1">
      <c r="B357" s="447"/>
    </row>
    <row r="358" ht="13.5" customHeight="1">
      <c r="B358" s="447"/>
    </row>
    <row r="359" ht="13.5" customHeight="1">
      <c r="B359" s="447"/>
    </row>
    <row r="360" ht="13.5" customHeight="1">
      <c r="B360" s="447"/>
    </row>
    <row r="361" ht="13.5" customHeight="1">
      <c r="B361" s="447"/>
    </row>
    <row r="362" ht="13.5" customHeight="1">
      <c r="B362" s="447"/>
    </row>
    <row r="363" ht="13.5" customHeight="1">
      <c r="B363" s="447"/>
    </row>
    <row r="364" ht="13.5" customHeight="1">
      <c r="B364" s="447"/>
    </row>
    <row r="365" ht="13.5" customHeight="1">
      <c r="B365" s="447"/>
    </row>
    <row r="366" ht="13.5" customHeight="1">
      <c r="B366" s="447"/>
    </row>
    <row r="367" ht="13.5" customHeight="1">
      <c r="B367" s="447"/>
    </row>
    <row r="368" ht="13.5" customHeight="1">
      <c r="B368" s="447"/>
    </row>
    <row r="369" ht="13.5" customHeight="1">
      <c r="B369" s="447"/>
    </row>
    <row r="370" ht="13.5" customHeight="1">
      <c r="B370" s="447"/>
    </row>
    <row r="371" ht="13.5" customHeight="1">
      <c r="B371" s="447"/>
    </row>
    <row r="372" ht="13.5" customHeight="1">
      <c r="B372" s="447"/>
    </row>
    <row r="373" ht="13.5" customHeight="1">
      <c r="B373" s="447"/>
    </row>
    <row r="374" ht="13.5" customHeight="1">
      <c r="B374" s="447"/>
    </row>
    <row r="375" ht="13.5" customHeight="1">
      <c r="B375" s="447"/>
    </row>
    <row r="376" ht="13.5" customHeight="1">
      <c r="B376" s="447"/>
    </row>
    <row r="377" ht="13.5" customHeight="1">
      <c r="B377" s="447"/>
    </row>
    <row r="378" ht="13.5" customHeight="1">
      <c r="B378" s="447"/>
    </row>
    <row r="379" ht="13.5" customHeight="1">
      <c r="B379" s="447"/>
    </row>
    <row r="380" ht="13.5" customHeight="1">
      <c r="B380" s="447"/>
    </row>
    <row r="381" ht="13.5" customHeight="1">
      <c r="B381" s="447"/>
    </row>
    <row r="382" ht="13.5" customHeight="1">
      <c r="B382" s="447"/>
    </row>
    <row r="383" ht="13.5" customHeight="1">
      <c r="B383" s="447"/>
    </row>
    <row r="384" ht="13.5" customHeight="1">
      <c r="B384" s="447"/>
    </row>
    <row r="385" ht="13.5" customHeight="1">
      <c r="B385" s="447"/>
    </row>
    <row r="386" ht="13.5" customHeight="1">
      <c r="B386" s="447"/>
    </row>
    <row r="387" ht="13.5" customHeight="1">
      <c r="B387" s="447"/>
    </row>
    <row r="388" ht="13.5" customHeight="1">
      <c r="B388" s="447"/>
    </row>
    <row r="389" ht="13.5" customHeight="1">
      <c r="B389" s="447"/>
    </row>
    <row r="390" ht="13.5" customHeight="1">
      <c r="B390" s="447"/>
    </row>
    <row r="391" ht="13.5" customHeight="1">
      <c r="B391" s="447"/>
    </row>
    <row r="392" ht="13.5" customHeight="1">
      <c r="B392" s="447"/>
    </row>
    <row r="393" ht="13.5" customHeight="1">
      <c r="B393" s="447"/>
    </row>
    <row r="394" ht="13.5" customHeight="1">
      <c r="B394" s="447"/>
    </row>
    <row r="395" ht="13.5" customHeight="1">
      <c r="B395" s="447"/>
    </row>
    <row r="396" ht="13.5" customHeight="1">
      <c r="B396" s="447"/>
    </row>
    <row r="397" ht="13.5" customHeight="1">
      <c r="B397" s="447"/>
    </row>
    <row r="398" ht="13.5" customHeight="1">
      <c r="B398" s="447"/>
    </row>
    <row r="399" ht="13.5" customHeight="1">
      <c r="B399" s="447"/>
    </row>
    <row r="400" ht="13.5" customHeight="1">
      <c r="B400" s="447"/>
    </row>
    <row r="401" ht="13.5" customHeight="1">
      <c r="B401" s="447"/>
    </row>
    <row r="402" ht="13.5" customHeight="1">
      <c r="B402" s="447"/>
    </row>
    <row r="403" ht="13.5" customHeight="1">
      <c r="B403" s="447"/>
    </row>
    <row r="404" ht="13.5" customHeight="1">
      <c r="B404" s="447"/>
    </row>
    <row r="405" ht="13.5" customHeight="1">
      <c r="B405" s="447"/>
    </row>
    <row r="406" ht="13.5" customHeight="1">
      <c r="B406" s="447"/>
    </row>
    <row r="407" ht="13.5" customHeight="1">
      <c r="B407" s="447"/>
    </row>
    <row r="408" ht="13.5" customHeight="1">
      <c r="B408" s="447"/>
    </row>
    <row r="409" ht="13.5" customHeight="1">
      <c r="B409" s="447"/>
    </row>
    <row r="410" ht="13.5" customHeight="1">
      <c r="B410" s="447"/>
    </row>
    <row r="411" ht="13.5" customHeight="1">
      <c r="B411" s="447"/>
    </row>
    <row r="412" ht="13.5" customHeight="1">
      <c r="B412" s="447"/>
    </row>
    <row r="413" ht="13.5" customHeight="1">
      <c r="B413" s="447"/>
    </row>
    <row r="414" ht="13.5" customHeight="1">
      <c r="B414" s="447"/>
    </row>
    <row r="415" ht="13.5" customHeight="1">
      <c r="B415" s="447"/>
    </row>
    <row r="416" ht="13.5" customHeight="1">
      <c r="B416" s="447"/>
    </row>
    <row r="417" ht="13.5" customHeight="1">
      <c r="B417" s="447"/>
    </row>
    <row r="418" ht="13.5" customHeight="1">
      <c r="B418" s="447"/>
    </row>
    <row r="419" ht="13.5" customHeight="1">
      <c r="B419" s="447"/>
    </row>
    <row r="420" ht="13.5" customHeight="1">
      <c r="B420" s="447"/>
    </row>
    <row r="421" ht="13.5" customHeight="1">
      <c r="B421" s="447"/>
    </row>
    <row r="422" ht="13.5" customHeight="1">
      <c r="B422" s="447"/>
    </row>
    <row r="423" ht="13.5" customHeight="1">
      <c r="B423" s="447"/>
    </row>
    <row r="424" ht="13.5" customHeight="1">
      <c r="B424" s="447"/>
    </row>
    <row r="425" ht="13.5" customHeight="1">
      <c r="B425" s="447"/>
    </row>
    <row r="426" ht="13.5" customHeight="1">
      <c r="B426" s="447"/>
    </row>
    <row r="427" ht="13.5" customHeight="1">
      <c r="B427" s="447"/>
    </row>
    <row r="428" ht="13.5" customHeight="1">
      <c r="B428" s="447"/>
    </row>
    <row r="429" ht="13.5" customHeight="1">
      <c r="B429" s="447"/>
    </row>
    <row r="430" ht="13.5" customHeight="1">
      <c r="B430" s="447"/>
    </row>
    <row r="431" ht="13.5" customHeight="1">
      <c r="B431" s="447"/>
    </row>
    <row r="432" ht="13.5" customHeight="1">
      <c r="B432" s="447"/>
    </row>
    <row r="433" ht="13.5" customHeight="1">
      <c r="B433" s="447"/>
    </row>
    <row r="434" ht="13.5" customHeight="1">
      <c r="B434" s="447"/>
    </row>
    <row r="435" ht="13.5" customHeight="1">
      <c r="B435" s="447"/>
    </row>
    <row r="436" ht="13.5" customHeight="1">
      <c r="B436" s="447"/>
    </row>
    <row r="437" ht="13.5" customHeight="1">
      <c r="B437" s="447"/>
    </row>
    <row r="438" ht="13.5" customHeight="1">
      <c r="B438" s="447"/>
    </row>
    <row r="439" ht="13.5" customHeight="1">
      <c r="B439" s="447"/>
    </row>
    <row r="440" ht="13.5" customHeight="1">
      <c r="B440" s="447"/>
    </row>
    <row r="441" ht="13.5" customHeight="1">
      <c r="B441" s="447"/>
    </row>
    <row r="442" ht="13.5" customHeight="1">
      <c r="B442" s="447"/>
    </row>
    <row r="443" ht="13.5" customHeight="1">
      <c r="B443" s="447"/>
    </row>
    <row r="444" ht="13.5" customHeight="1">
      <c r="B444" s="447"/>
    </row>
    <row r="445" ht="13.5" customHeight="1">
      <c r="B445" s="447"/>
    </row>
    <row r="446" ht="13.5" customHeight="1">
      <c r="B446" s="447"/>
    </row>
    <row r="447" ht="13.5" customHeight="1">
      <c r="B447" s="447"/>
    </row>
    <row r="448" ht="13.5" customHeight="1">
      <c r="B448" s="447"/>
    </row>
    <row r="449" ht="13.5" customHeight="1">
      <c r="B449" s="447"/>
    </row>
    <row r="450" ht="13.5" customHeight="1">
      <c r="B450" s="447"/>
    </row>
    <row r="451" ht="13.5" customHeight="1">
      <c r="B451" s="447"/>
    </row>
    <row r="452" ht="13.5" customHeight="1">
      <c r="B452" s="447"/>
    </row>
    <row r="453" ht="13.5" customHeight="1">
      <c r="B453" s="447"/>
    </row>
    <row r="454" ht="13.5" customHeight="1">
      <c r="B454" s="447"/>
    </row>
    <row r="455" ht="13.5" customHeight="1">
      <c r="B455" s="447"/>
    </row>
    <row r="456" ht="13.5" customHeight="1">
      <c r="B456" s="447"/>
    </row>
    <row r="457" ht="13.5" customHeight="1">
      <c r="B457" s="447"/>
    </row>
    <row r="458" ht="13.5" customHeight="1">
      <c r="B458" s="447"/>
    </row>
    <row r="459" ht="13.5" customHeight="1">
      <c r="B459" s="447"/>
    </row>
    <row r="460" ht="13.5" customHeight="1">
      <c r="B460" s="447"/>
    </row>
    <row r="461" ht="13.5" customHeight="1">
      <c r="B461" s="447"/>
    </row>
    <row r="462" ht="13.5" customHeight="1">
      <c r="B462" s="447"/>
    </row>
    <row r="463" ht="13.5" customHeight="1">
      <c r="B463" s="447"/>
    </row>
    <row r="464" ht="13.5" customHeight="1">
      <c r="B464" s="447"/>
    </row>
    <row r="465" ht="13.5" customHeight="1">
      <c r="B465" s="447"/>
    </row>
    <row r="466" ht="13.5" customHeight="1">
      <c r="B466" s="447"/>
    </row>
    <row r="467" ht="13.5" customHeight="1">
      <c r="B467" s="447"/>
    </row>
    <row r="468" ht="13.5" customHeight="1">
      <c r="B468" s="447"/>
    </row>
    <row r="469" ht="13.5" customHeight="1">
      <c r="B469" s="447"/>
    </row>
    <row r="470" ht="13.5" customHeight="1">
      <c r="B470" s="447"/>
    </row>
    <row r="471" ht="13.5" customHeight="1">
      <c r="B471" s="447"/>
    </row>
    <row r="472" ht="13.5" customHeight="1">
      <c r="B472" s="447"/>
    </row>
    <row r="473" ht="13.5" customHeight="1">
      <c r="B473" s="447"/>
    </row>
    <row r="474" ht="13.5" customHeight="1">
      <c r="B474" s="447"/>
    </row>
    <row r="475" ht="13.5" customHeight="1">
      <c r="B475" s="447"/>
    </row>
    <row r="476" ht="13.5" customHeight="1">
      <c r="B476" s="447"/>
    </row>
    <row r="477" ht="13.5" customHeight="1">
      <c r="B477" s="447"/>
    </row>
    <row r="478" ht="13.5" customHeight="1">
      <c r="B478" s="447"/>
    </row>
    <row r="479" ht="13.5" customHeight="1">
      <c r="B479" s="447"/>
    </row>
    <row r="480" ht="13.5" customHeight="1">
      <c r="B480" s="447"/>
    </row>
    <row r="481" ht="13.5" customHeight="1">
      <c r="B481" s="447"/>
    </row>
    <row r="482" ht="13.5" customHeight="1">
      <c r="B482" s="447"/>
    </row>
    <row r="483" ht="13.5" customHeight="1">
      <c r="B483" s="447"/>
    </row>
    <row r="484" ht="13.5" customHeight="1">
      <c r="B484" s="447"/>
    </row>
    <row r="485" ht="13.5" customHeight="1">
      <c r="B485" s="447"/>
    </row>
    <row r="486" ht="13.5" customHeight="1">
      <c r="B486" s="447"/>
    </row>
    <row r="487" ht="13.5" customHeight="1">
      <c r="B487" s="447"/>
    </row>
    <row r="488" ht="13.5" customHeight="1">
      <c r="B488" s="447"/>
    </row>
    <row r="489" ht="13.5" customHeight="1">
      <c r="B489" s="447"/>
    </row>
    <row r="490" ht="13.5" customHeight="1">
      <c r="B490" s="447"/>
    </row>
    <row r="491" ht="13.5" customHeight="1">
      <c r="B491" s="447"/>
    </row>
    <row r="492" ht="13.5" customHeight="1">
      <c r="B492" s="447"/>
    </row>
    <row r="493" ht="13.5" customHeight="1">
      <c r="B493" s="447"/>
    </row>
    <row r="494" ht="13.5" customHeight="1">
      <c r="B494" s="447"/>
    </row>
    <row r="495" ht="13.5" customHeight="1">
      <c r="B495" s="447"/>
    </row>
    <row r="496" ht="13.5" customHeight="1">
      <c r="B496" s="447"/>
    </row>
    <row r="497" ht="13.5" customHeight="1">
      <c r="B497" s="447"/>
    </row>
    <row r="498" ht="13.5" customHeight="1">
      <c r="B498" s="447"/>
    </row>
    <row r="499" ht="13.5" customHeight="1">
      <c r="B499" s="447"/>
    </row>
    <row r="500" ht="13.5" customHeight="1">
      <c r="B500" s="447"/>
    </row>
    <row r="501" ht="13.5" customHeight="1">
      <c r="B501" s="447"/>
    </row>
    <row r="502" ht="13.5" customHeight="1">
      <c r="B502" s="447"/>
    </row>
    <row r="503" ht="13.5" customHeight="1">
      <c r="B503" s="447"/>
    </row>
    <row r="504" ht="13.5" customHeight="1">
      <c r="B504" s="447"/>
    </row>
    <row r="505" ht="13.5" customHeight="1">
      <c r="B505" s="447"/>
    </row>
    <row r="506" ht="13.5" customHeight="1">
      <c r="B506" s="447"/>
    </row>
    <row r="507" ht="13.5" customHeight="1">
      <c r="B507" s="447"/>
    </row>
    <row r="508" ht="13.5" customHeight="1">
      <c r="B508" s="447"/>
    </row>
    <row r="509" ht="13.5" customHeight="1">
      <c r="B509" s="447"/>
    </row>
    <row r="510" ht="13.5" customHeight="1">
      <c r="B510" s="447"/>
    </row>
    <row r="511" ht="13.5" customHeight="1">
      <c r="B511" s="447"/>
    </row>
    <row r="512" ht="13.5" customHeight="1">
      <c r="B512" s="447"/>
    </row>
    <row r="513" ht="13.5" customHeight="1">
      <c r="B513" s="447"/>
    </row>
    <row r="514" ht="13.5" customHeight="1">
      <c r="B514" s="447"/>
    </row>
    <row r="515" ht="13.5" customHeight="1">
      <c r="B515" s="447"/>
    </row>
    <row r="516" ht="13.5" customHeight="1">
      <c r="B516" s="447"/>
    </row>
    <row r="517" ht="13.5" customHeight="1">
      <c r="B517" s="447"/>
    </row>
    <row r="518" ht="13.5" customHeight="1">
      <c r="B518" s="447"/>
    </row>
    <row r="519" ht="13.5" customHeight="1">
      <c r="B519" s="447"/>
    </row>
    <row r="520" ht="13.5" customHeight="1">
      <c r="B520" s="447"/>
    </row>
    <row r="521" ht="13.5" customHeight="1">
      <c r="B521" s="447"/>
    </row>
    <row r="522" ht="13.5" customHeight="1">
      <c r="B522" s="447"/>
    </row>
    <row r="523" ht="13.5" customHeight="1">
      <c r="B523" s="447"/>
    </row>
    <row r="524" ht="13.5" customHeight="1">
      <c r="B524" s="447"/>
    </row>
    <row r="525" ht="13.5" customHeight="1">
      <c r="B525" s="447"/>
    </row>
    <row r="526" ht="13.5" customHeight="1">
      <c r="B526" s="447"/>
    </row>
    <row r="527" ht="13.5" customHeight="1">
      <c r="B527" s="447"/>
    </row>
    <row r="528" ht="13.5" customHeight="1">
      <c r="B528" s="447"/>
    </row>
    <row r="529" ht="13.5" customHeight="1">
      <c r="B529" s="447"/>
    </row>
    <row r="530" ht="13.5" customHeight="1">
      <c r="B530" s="447"/>
    </row>
    <row r="531" ht="13.5" customHeight="1">
      <c r="B531" s="447"/>
    </row>
    <row r="532" ht="13.5" customHeight="1">
      <c r="B532" s="447"/>
    </row>
    <row r="533" ht="13.5" customHeight="1">
      <c r="B533" s="447"/>
    </row>
    <row r="534" ht="13.5" customHeight="1">
      <c r="B534" s="447"/>
    </row>
    <row r="535" ht="13.5" customHeight="1">
      <c r="B535" s="447"/>
    </row>
    <row r="536" ht="13.5" customHeight="1">
      <c r="B536" s="447"/>
    </row>
    <row r="537" ht="13.5" customHeight="1">
      <c r="B537" s="447"/>
    </row>
    <row r="538" ht="13.5" customHeight="1">
      <c r="B538" s="447"/>
    </row>
    <row r="539" ht="13.5" customHeight="1">
      <c r="B539" s="447"/>
    </row>
    <row r="540" ht="13.5" customHeight="1">
      <c r="B540" s="447"/>
    </row>
    <row r="541" ht="13.5" customHeight="1">
      <c r="B541" s="447"/>
    </row>
    <row r="542" ht="13.5" customHeight="1">
      <c r="B542" s="447"/>
    </row>
    <row r="543" ht="13.5" customHeight="1">
      <c r="B543" s="447"/>
    </row>
    <row r="544" ht="13.5" customHeight="1">
      <c r="B544" s="447"/>
    </row>
    <row r="545" ht="13.5" customHeight="1">
      <c r="B545" s="447"/>
    </row>
    <row r="546" ht="13.5" customHeight="1">
      <c r="B546" s="447"/>
    </row>
    <row r="547" ht="13.5" customHeight="1">
      <c r="B547" s="447"/>
    </row>
    <row r="548" ht="13.5" customHeight="1">
      <c r="B548" s="447"/>
    </row>
    <row r="549" ht="13.5" customHeight="1">
      <c r="B549" s="447"/>
    </row>
    <row r="550" ht="13.5" customHeight="1">
      <c r="B550" s="447"/>
    </row>
    <row r="551" ht="13.5" customHeight="1">
      <c r="B551" s="447"/>
    </row>
    <row r="552" ht="13.5" customHeight="1">
      <c r="B552" s="447"/>
    </row>
    <row r="553" ht="13.5" customHeight="1">
      <c r="B553" s="447"/>
    </row>
    <row r="554" ht="13.5" customHeight="1">
      <c r="B554" s="447"/>
    </row>
    <row r="555" ht="13.5" customHeight="1">
      <c r="B555" s="447"/>
    </row>
    <row r="556" ht="13.5" customHeight="1">
      <c r="B556" s="447"/>
    </row>
    <row r="557" ht="13.5" customHeight="1">
      <c r="B557" s="447"/>
    </row>
    <row r="558" ht="13.5" customHeight="1">
      <c r="B558" s="447"/>
    </row>
    <row r="559" ht="13.5" customHeight="1">
      <c r="B559" s="447"/>
    </row>
    <row r="560" ht="13.5" customHeight="1">
      <c r="B560" s="447"/>
    </row>
    <row r="561" ht="13.5" customHeight="1">
      <c r="B561" s="447"/>
    </row>
    <row r="562" ht="13.5" customHeight="1">
      <c r="B562" s="447"/>
    </row>
    <row r="563" ht="13.5" customHeight="1">
      <c r="B563" s="447"/>
    </row>
    <row r="564" ht="13.5" customHeight="1">
      <c r="B564" s="447"/>
    </row>
    <row r="565" ht="13.5" customHeight="1">
      <c r="B565" s="447"/>
    </row>
    <row r="566" ht="13.5" customHeight="1">
      <c r="B566" s="447"/>
    </row>
    <row r="567" ht="13.5" customHeight="1">
      <c r="B567" s="447"/>
    </row>
    <row r="568" ht="13.5" customHeight="1">
      <c r="B568" s="447"/>
    </row>
    <row r="569" ht="13.5" customHeight="1">
      <c r="B569" s="447"/>
    </row>
    <row r="570" ht="13.5" customHeight="1">
      <c r="B570" s="447"/>
    </row>
    <row r="571" ht="13.5" customHeight="1">
      <c r="B571" s="447"/>
    </row>
    <row r="572" ht="13.5" customHeight="1">
      <c r="B572" s="447"/>
    </row>
    <row r="573" ht="13.5" customHeight="1">
      <c r="B573" s="447"/>
    </row>
    <row r="574" ht="13.5" customHeight="1">
      <c r="B574" s="447"/>
    </row>
    <row r="575" ht="13.5" customHeight="1">
      <c r="B575" s="447"/>
    </row>
    <row r="576" ht="13.5" customHeight="1">
      <c r="B576" s="447"/>
    </row>
    <row r="577" ht="13.5" customHeight="1">
      <c r="B577" s="447"/>
    </row>
    <row r="578" ht="13.5" customHeight="1">
      <c r="B578" s="447"/>
    </row>
    <row r="579" ht="13.5" customHeight="1">
      <c r="B579" s="447"/>
    </row>
    <row r="580" ht="13.5" customHeight="1">
      <c r="B580" s="447"/>
    </row>
    <row r="581" ht="13.5" customHeight="1">
      <c r="B581" s="447"/>
    </row>
    <row r="582" ht="13.5" customHeight="1">
      <c r="B582" s="447"/>
    </row>
    <row r="583" ht="13.5" customHeight="1">
      <c r="B583" s="447"/>
    </row>
    <row r="584" ht="13.5" customHeight="1">
      <c r="B584" s="447"/>
    </row>
    <row r="585" ht="13.5" customHeight="1">
      <c r="B585" s="447"/>
    </row>
    <row r="586" ht="13.5" customHeight="1">
      <c r="B586" s="447"/>
    </row>
    <row r="587" ht="13.5" customHeight="1">
      <c r="B587" s="447"/>
    </row>
    <row r="588" ht="13.5" customHeight="1">
      <c r="B588" s="447"/>
    </row>
    <row r="589" ht="13.5" customHeight="1">
      <c r="B589" s="447"/>
    </row>
    <row r="590" ht="13.5" customHeight="1">
      <c r="B590" s="447"/>
    </row>
    <row r="591" ht="13.5" customHeight="1">
      <c r="B591" s="447"/>
    </row>
    <row r="592" ht="13.5" customHeight="1">
      <c r="B592" s="447"/>
    </row>
    <row r="593" ht="13.5" customHeight="1">
      <c r="B593" s="447"/>
    </row>
    <row r="594" ht="13.5" customHeight="1">
      <c r="B594" s="447"/>
    </row>
    <row r="595" ht="13.5" customHeight="1">
      <c r="B595" s="447"/>
    </row>
    <row r="596" ht="13.5" customHeight="1">
      <c r="B596" s="447"/>
    </row>
    <row r="597" ht="13.5" customHeight="1">
      <c r="B597" s="447"/>
    </row>
    <row r="598" ht="13.5" customHeight="1">
      <c r="B598" s="447"/>
    </row>
    <row r="599" ht="13.5" customHeight="1">
      <c r="B599" s="447"/>
    </row>
    <row r="600" ht="13.5" customHeight="1">
      <c r="B600" s="447"/>
    </row>
    <row r="601" ht="13.5" customHeight="1">
      <c r="B601" s="447"/>
    </row>
    <row r="602" ht="13.5" customHeight="1">
      <c r="B602" s="447"/>
    </row>
    <row r="603" ht="13.5" customHeight="1">
      <c r="B603" s="447"/>
    </row>
    <row r="604" ht="13.5" customHeight="1">
      <c r="B604" s="447"/>
    </row>
    <row r="605" ht="13.5" customHeight="1">
      <c r="B605" s="447"/>
    </row>
    <row r="606" ht="13.5" customHeight="1">
      <c r="B606" s="447"/>
    </row>
    <row r="607" ht="13.5" customHeight="1">
      <c r="B607" s="447"/>
    </row>
    <row r="608" ht="13.5" customHeight="1">
      <c r="B608" s="447"/>
    </row>
    <row r="609" ht="13.5" customHeight="1">
      <c r="B609" s="447"/>
    </row>
    <row r="610" ht="13.5" customHeight="1">
      <c r="B610" s="447"/>
    </row>
    <row r="611" ht="13.5" customHeight="1">
      <c r="B611" s="447"/>
    </row>
    <row r="612" ht="13.5" customHeight="1">
      <c r="B612" s="447"/>
    </row>
    <row r="613" ht="13.5" customHeight="1">
      <c r="B613" s="447"/>
    </row>
    <row r="614" ht="13.5" customHeight="1">
      <c r="B614" s="447"/>
    </row>
    <row r="615" ht="13.5" customHeight="1">
      <c r="B615" s="447"/>
    </row>
    <row r="616" ht="13.5" customHeight="1">
      <c r="B616" s="447"/>
    </row>
    <row r="617" ht="13.5" customHeight="1">
      <c r="B617" s="447"/>
    </row>
    <row r="618" ht="13.5" customHeight="1">
      <c r="B618" s="447"/>
    </row>
    <row r="619" ht="13.5" customHeight="1">
      <c r="B619" s="447"/>
    </row>
    <row r="620" ht="13.5" customHeight="1">
      <c r="B620" s="447"/>
    </row>
    <row r="621" ht="13.5" customHeight="1">
      <c r="B621" s="447"/>
    </row>
    <row r="622" ht="13.5" customHeight="1">
      <c r="B622" s="447"/>
    </row>
    <row r="623" ht="13.5" customHeight="1">
      <c r="B623" s="447"/>
    </row>
    <row r="624" ht="13.5" customHeight="1">
      <c r="B624" s="447"/>
    </row>
    <row r="625" ht="13.5" customHeight="1">
      <c r="B625" s="447"/>
    </row>
    <row r="626" ht="13.5" customHeight="1">
      <c r="B626" s="447"/>
    </row>
    <row r="627" ht="13.5" customHeight="1">
      <c r="B627" s="447"/>
    </row>
    <row r="628" ht="13.5" customHeight="1">
      <c r="B628" s="447"/>
    </row>
    <row r="629" ht="13.5" customHeight="1">
      <c r="B629" s="447"/>
    </row>
    <row r="630" ht="13.5" customHeight="1">
      <c r="B630" s="447"/>
    </row>
    <row r="631" ht="13.5" customHeight="1">
      <c r="B631" s="447"/>
    </row>
    <row r="632" ht="13.5" customHeight="1">
      <c r="B632" s="447"/>
    </row>
    <row r="633" ht="13.5" customHeight="1">
      <c r="B633" s="447"/>
    </row>
    <row r="634" ht="13.5" customHeight="1">
      <c r="B634" s="447"/>
    </row>
    <row r="635" ht="13.5" customHeight="1">
      <c r="B635" s="447"/>
    </row>
    <row r="636" ht="13.5" customHeight="1">
      <c r="B636" s="447"/>
    </row>
    <row r="637" ht="13.5" customHeight="1">
      <c r="B637" s="447"/>
    </row>
    <row r="638" ht="13.5" customHeight="1">
      <c r="B638" s="447"/>
    </row>
    <row r="639" ht="13.5" customHeight="1">
      <c r="B639" s="447"/>
    </row>
    <row r="640" ht="13.5" customHeight="1">
      <c r="B640" s="447"/>
    </row>
    <row r="641" ht="13.5" customHeight="1">
      <c r="B641" s="447"/>
    </row>
    <row r="642" ht="13.5" customHeight="1">
      <c r="B642" s="447"/>
    </row>
    <row r="643" ht="13.5" customHeight="1">
      <c r="B643" s="447"/>
    </row>
    <row r="644" ht="13.5" customHeight="1">
      <c r="B644" s="447"/>
    </row>
    <row r="645" ht="13.5" customHeight="1">
      <c r="B645" s="447"/>
    </row>
    <row r="646" ht="13.5" customHeight="1">
      <c r="B646" s="447"/>
    </row>
    <row r="647" ht="13.5" customHeight="1">
      <c r="B647" s="447"/>
    </row>
    <row r="648" ht="13.5" customHeight="1">
      <c r="B648" s="447"/>
    </row>
    <row r="649" ht="13.5" customHeight="1">
      <c r="B649" s="447"/>
    </row>
    <row r="650" ht="13.5" customHeight="1">
      <c r="B650" s="447"/>
    </row>
    <row r="651" ht="13.5" customHeight="1">
      <c r="B651" s="447"/>
    </row>
    <row r="652" ht="13.5" customHeight="1">
      <c r="B652" s="447"/>
    </row>
    <row r="653" ht="13.5" customHeight="1">
      <c r="B653" s="447"/>
    </row>
    <row r="654" ht="13.5" customHeight="1">
      <c r="B654" s="447"/>
    </row>
    <row r="655" ht="13.5" customHeight="1">
      <c r="B655" s="447"/>
    </row>
    <row r="656" ht="13.5" customHeight="1">
      <c r="B656" s="447"/>
    </row>
    <row r="657" ht="13.5" customHeight="1">
      <c r="B657" s="447"/>
    </row>
    <row r="658" ht="13.5" customHeight="1">
      <c r="B658" s="447"/>
    </row>
    <row r="659" ht="13.5" customHeight="1">
      <c r="B659" s="447"/>
    </row>
    <row r="660" ht="13.5" customHeight="1">
      <c r="B660" s="447"/>
    </row>
    <row r="661" ht="13.5" customHeight="1">
      <c r="B661" s="447"/>
    </row>
    <row r="662" ht="13.5" customHeight="1">
      <c r="B662" s="447"/>
    </row>
    <row r="663" ht="13.5" customHeight="1">
      <c r="B663" s="447"/>
    </row>
    <row r="664" ht="13.5" customHeight="1">
      <c r="B664" s="447"/>
    </row>
    <row r="665" ht="13.5" customHeight="1">
      <c r="B665" s="447"/>
    </row>
    <row r="666" ht="13.5" customHeight="1">
      <c r="B666" s="447"/>
    </row>
    <row r="667" ht="13.5" customHeight="1">
      <c r="B667" s="447"/>
    </row>
    <row r="668" ht="13.5" customHeight="1">
      <c r="B668" s="447"/>
    </row>
    <row r="669" ht="13.5" customHeight="1">
      <c r="B669" s="447"/>
    </row>
    <row r="670" ht="13.5" customHeight="1">
      <c r="B670" s="447"/>
    </row>
    <row r="671" ht="13.5" customHeight="1">
      <c r="B671" s="447"/>
    </row>
    <row r="672" ht="13.5" customHeight="1">
      <c r="B672" s="447"/>
    </row>
    <row r="673" ht="13.5" customHeight="1">
      <c r="B673" s="447"/>
    </row>
    <row r="674" ht="13.5" customHeight="1">
      <c r="B674" s="447"/>
    </row>
    <row r="675" ht="13.5" customHeight="1">
      <c r="B675" s="447"/>
    </row>
    <row r="676" ht="13.5" customHeight="1">
      <c r="B676" s="447"/>
    </row>
    <row r="677" ht="13.5" customHeight="1">
      <c r="B677" s="447"/>
    </row>
    <row r="678" ht="13.5" customHeight="1">
      <c r="B678" s="447"/>
    </row>
    <row r="679" ht="13.5" customHeight="1">
      <c r="B679" s="447"/>
    </row>
    <row r="680" ht="13.5" customHeight="1">
      <c r="B680" s="447"/>
    </row>
    <row r="681" ht="13.5" customHeight="1">
      <c r="B681" s="447"/>
    </row>
    <row r="682" ht="13.5" customHeight="1">
      <c r="B682" s="447"/>
    </row>
    <row r="683" ht="13.5" customHeight="1">
      <c r="B683" s="447"/>
    </row>
    <row r="684" ht="13.5" customHeight="1">
      <c r="B684" s="447"/>
    </row>
    <row r="685" ht="13.5" customHeight="1">
      <c r="B685" s="447"/>
    </row>
    <row r="686" ht="13.5" customHeight="1">
      <c r="B686" s="447"/>
    </row>
    <row r="687" ht="13.5" customHeight="1">
      <c r="B687" s="447"/>
    </row>
    <row r="688" ht="13.5" customHeight="1">
      <c r="B688" s="447"/>
    </row>
    <row r="689" ht="13.5" customHeight="1">
      <c r="B689" s="447"/>
    </row>
    <row r="690" ht="13.5" customHeight="1">
      <c r="B690" s="447"/>
    </row>
    <row r="691" ht="13.5" customHeight="1">
      <c r="B691" s="447"/>
    </row>
    <row r="692" ht="13.5" customHeight="1">
      <c r="B692" s="447"/>
    </row>
  </sheetData>
  <mergeCells count="17">
    <mergeCell ref="A5:A6"/>
    <mergeCell ref="B5:B6"/>
    <mergeCell ref="C5:C6"/>
    <mergeCell ref="D5:D6"/>
    <mergeCell ref="E5:E6"/>
    <mergeCell ref="F5:F6"/>
    <mergeCell ref="G5:G6"/>
    <mergeCell ref="M26:M28"/>
    <mergeCell ref="M30:M31"/>
    <mergeCell ref="B50:K50"/>
    <mergeCell ref="H5:H6"/>
    <mergeCell ref="I5:I6"/>
    <mergeCell ref="J5:J6"/>
    <mergeCell ref="K5:K6"/>
    <mergeCell ref="L5:L6"/>
    <mergeCell ref="M14:M16"/>
    <mergeCell ref="M18:M2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6" width="7.63"/>
    <col customWidth="1" min="7" max="7" width="8.0"/>
    <col customWidth="1" min="8" max="8" width="7.25"/>
    <col customWidth="1" min="9" max="9" width="7.88"/>
    <col customWidth="1" min="10" max="11" width="7.63"/>
    <col customWidth="1" min="12" max="12" width="9.75"/>
    <col customWidth="1" min="13" max="24" width="12.63"/>
  </cols>
  <sheetData>
    <row r="1" ht="13.5" customHeight="1">
      <c r="A1" s="263"/>
      <c r="B1" s="437"/>
      <c r="C1" s="264"/>
      <c r="D1" s="264"/>
      <c r="E1" s="265"/>
      <c r="F1" s="265"/>
      <c r="G1" s="263"/>
      <c r="H1" s="263"/>
      <c r="I1" s="263"/>
      <c r="J1" s="266"/>
      <c r="K1" s="266"/>
      <c r="L1" s="263"/>
    </row>
    <row r="2" ht="13.5" customHeight="1">
      <c r="A2" s="263"/>
      <c r="B2" s="437"/>
      <c r="C2" s="264"/>
      <c r="D2" s="264"/>
      <c r="E2" s="265"/>
      <c r="F2" s="265"/>
      <c r="G2" s="263"/>
      <c r="H2" s="263"/>
      <c r="I2" s="263"/>
      <c r="J2" s="266"/>
      <c r="K2" s="266"/>
      <c r="L2" s="263"/>
    </row>
    <row r="3" ht="13.5" customHeight="1">
      <c r="A3" s="263"/>
      <c r="B3" s="437"/>
      <c r="C3" s="264"/>
      <c r="D3" s="264"/>
      <c r="E3" s="265"/>
      <c r="F3" s="265"/>
      <c r="G3" s="263"/>
      <c r="H3" s="263"/>
      <c r="I3" s="263"/>
      <c r="J3" s="266"/>
      <c r="K3" s="266"/>
      <c r="L3" s="263"/>
    </row>
    <row r="4" ht="13.5" customHeight="1">
      <c r="A4" s="263"/>
      <c r="B4" s="437"/>
      <c r="C4" s="264"/>
      <c r="D4" s="264"/>
      <c r="E4" s="265"/>
      <c r="F4" s="265"/>
      <c r="G4" s="263"/>
      <c r="H4" s="263"/>
      <c r="I4" s="263"/>
      <c r="J4" s="266"/>
      <c r="K4" s="266"/>
      <c r="L4" s="263"/>
    </row>
    <row r="5" ht="13.5" customHeight="1">
      <c r="A5" s="268" t="s">
        <v>28</v>
      </c>
      <c r="B5" s="438" t="s">
        <v>222</v>
      </c>
      <c r="C5" s="270" t="s">
        <v>737</v>
      </c>
      <c r="D5" s="270" t="s">
        <v>674</v>
      </c>
      <c r="E5" s="270" t="s">
        <v>675</v>
      </c>
      <c r="F5" s="270" t="s">
        <v>676</v>
      </c>
      <c r="G5" s="269" t="s">
        <v>737</v>
      </c>
      <c r="H5" s="269" t="s">
        <v>674</v>
      </c>
      <c r="I5" s="269" t="s">
        <v>676</v>
      </c>
      <c r="J5" s="270" t="s">
        <v>34</v>
      </c>
      <c r="K5" s="270" t="s">
        <v>678</v>
      </c>
      <c r="L5" s="269" t="s">
        <v>679</v>
      </c>
    </row>
    <row r="6" ht="13.5" customHeight="1">
      <c r="A6" s="53"/>
      <c r="B6" s="54"/>
      <c r="C6" s="54"/>
      <c r="D6" s="54"/>
      <c r="E6" s="54"/>
      <c r="F6" s="54"/>
      <c r="G6" s="54"/>
      <c r="H6" s="54"/>
      <c r="I6" s="54"/>
      <c r="J6" s="54"/>
      <c r="K6" s="54"/>
      <c r="L6" s="54"/>
    </row>
    <row r="7" ht="13.5" customHeight="1">
      <c r="A7" s="273"/>
      <c r="B7" s="448" t="s">
        <v>708</v>
      </c>
      <c r="C7" s="275"/>
      <c r="D7" s="275"/>
      <c r="E7" s="275"/>
      <c r="F7" s="275"/>
      <c r="G7" s="276"/>
      <c r="H7" s="276"/>
      <c r="I7" s="276"/>
      <c r="J7" s="275"/>
      <c r="K7" s="275"/>
      <c r="L7" s="277"/>
    </row>
    <row r="8" ht="13.5" customHeight="1">
      <c r="A8" s="281"/>
      <c r="B8" s="274" t="s">
        <v>825</v>
      </c>
      <c r="C8" s="282"/>
      <c r="D8" s="282"/>
      <c r="E8" s="282"/>
      <c r="F8" s="282"/>
      <c r="G8" s="274"/>
      <c r="H8" s="274"/>
      <c r="I8" s="274"/>
      <c r="J8" s="282"/>
      <c r="K8" s="282"/>
      <c r="L8" s="283"/>
    </row>
    <row r="9" ht="13.5" customHeight="1">
      <c r="A9" s="285"/>
      <c r="B9" s="439" t="str">
        <f>'Lite Premium'!I57</f>
        <v>Supply and installation of Open unit - Inner 1mm with MR ply frame and Smooth finish laminate</v>
      </c>
      <c r="C9" s="287">
        <v>4.0</v>
      </c>
      <c r="D9" s="287">
        <v>7.25</v>
      </c>
      <c r="E9" s="288">
        <f>C9*D9</f>
        <v>29</v>
      </c>
      <c r="F9" s="287" t="s">
        <v>683</v>
      </c>
      <c r="G9" s="289">
        <f t="shared" ref="G9:H9" si="1">C9*300</f>
        <v>1200</v>
      </c>
      <c r="H9" s="289">
        <f t="shared" si="1"/>
        <v>2175</v>
      </c>
      <c r="I9" s="289" t="s">
        <v>684</v>
      </c>
      <c r="J9" s="290">
        <f>'Lite Premium'!J57</f>
        <v>1500</v>
      </c>
      <c r="K9" s="290">
        <v>1.0</v>
      </c>
      <c r="L9" s="291">
        <f>K9*J9*E9</f>
        <v>43500</v>
      </c>
      <c r="M9" s="293"/>
      <c r="N9" s="293"/>
      <c r="O9" s="293"/>
      <c r="P9" s="293"/>
      <c r="Q9" s="293"/>
      <c r="R9" s="293"/>
      <c r="S9" s="293"/>
      <c r="T9" s="293"/>
      <c r="U9" s="293"/>
      <c r="V9" s="293"/>
      <c r="W9" s="293"/>
      <c r="X9" s="293"/>
    </row>
    <row r="10" ht="13.5" customHeight="1">
      <c r="A10" s="281"/>
      <c r="B10" s="274" t="s">
        <v>827</v>
      </c>
      <c r="C10" s="282"/>
      <c r="D10" s="282"/>
      <c r="E10" s="282"/>
      <c r="F10" s="282"/>
      <c r="G10" s="274"/>
      <c r="H10" s="274"/>
      <c r="I10" s="274"/>
      <c r="J10" s="282"/>
      <c r="K10" s="282"/>
      <c r="L10" s="283"/>
      <c r="M10" s="293"/>
      <c r="N10" s="293"/>
      <c r="O10" s="293"/>
      <c r="P10" s="293"/>
      <c r="Q10" s="293"/>
      <c r="R10" s="293"/>
      <c r="S10" s="293"/>
      <c r="T10" s="293"/>
      <c r="U10" s="293"/>
      <c r="V10" s="293"/>
      <c r="W10" s="293"/>
      <c r="X10" s="293"/>
    </row>
    <row r="11" ht="13.5" customHeight="1">
      <c r="A11" s="285"/>
      <c r="B11" s="439" t="str">
        <f>'Lite Premium'!I48</f>
        <v>Supply and installation of Base storage unit with MR ply frame - Inner 1mm, Black/Silver Aluminium Profile with Fluted Glass Shutter, Smooth finish laminate and soft close hinges  </v>
      </c>
      <c r="C11" s="287">
        <v>4.0</v>
      </c>
      <c r="D11" s="287">
        <v>7.25</v>
      </c>
      <c r="E11" s="288">
        <f>C11*D11</f>
        <v>29</v>
      </c>
      <c r="F11" s="287" t="s">
        <v>683</v>
      </c>
      <c r="G11" s="289">
        <f t="shared" ref="G11:H11" si="2">C11*300</f>
        <v>1200</v>
      </c>
      <c r="H11" s="289">
        <f t="shared" si="2"/>
        <v>2175</v>
      </c>
      <c r="I11" s="289" t="s">
        <v>684</v>
      </c>
      <c r="J11" s="290">
        <f>'Lite Premium'!J48</f>
        <v>2600</v>
      </c>
      <c r="K11" s="290">
        <v>1.0</v>
      </c>
      <c r="L11" s="291">
        <f>K11*J11*E11</f>
        <v>75400</v>
      </c>
      <c r="M11" s="293"/>
      <c r="N11" s="293"/>
      <c r="O11" s="293"/>
      <c r="P11" s="293"/>
      <c r="Q11" s="293"/>
      <c r="R11" s="293"/>
      <c r="S11" s="293"/>
      <c r="T11" s="293"/>
      <c r="U11" s="293"/>
      <c r="V11" s="293"/>
      <c r="W11" s="293"/>
      <c r="X11" s="293"/>
    </row>
    <row r="12" ht="13.5" customHeight="1">
      <c r="A12" s="281"/>
      <c r="B12" s="274" t="s">
        <v>829</v>
      </c>
      <c r="C12" s="282"/>
      <c r="D12" s="282"/>
      <c r="E12" s="282"/>
      <c r="F12" s="282"/>
      <c r="G12" s="274"/>
      <c r="H12" s="274"/>
      <c r="I12" s="274"/>
      <c r="J12" s="282"/>
      <c r="K12" s="282"/>
      <c r="L12" s="283"/>
      <c r="M12" s="293"/>
      <c r="N12" s="293"/>
      <c r="O12" s="293"/>
      <c r="P12" s="293"/>
      <c r="Q12" s="293"/>
      <c r="R12" s="293"/>
      <c r="S12" s="293"/>
      <c r="T12" s="293"/>
      <c r="U12" s="293"/>
      <c r="V12" s="293"/>
      <c r="W12" s="293"/>
      <c r="X12" s="293"/>
    </row>
    <row r="13" ht="13.5" customHeight="1">
      <c r="A13" s="294"/>
      <c r="B13" s="275" t="str">
        <f>'Lite Premium'!I233</f>
        <v>Supply and installation of Wall Panel with MR ply frame, Designer laminate </v>
      </c>
      <c r="C13" s="287">
        <v>13.5</v>
      </c>
      <c r="D13" s="287">
        <v>5.5</v>
      </c>
      <c r="E13" s="288">
        <f t="shared" ref="E13:E16" si="4">C13*D13</f>
        <v>74.25</v>
      </c>
      <c r="F13" s="287" t="s">
        <v>683</v>
      </c>
      <c r="G13" s="289">
        <f t="shared" ref="G13:H13" si="3">C13*300</f>
        <v>4050</v>
      </c>
      <c r="H13" s="289">
        <f t="shared" si="3"/>
        <v>1650</v>
      </c>
      <c r="I13" s="296" t="s">
        <v>684</v>
      </c>
      <c r="J13" s="297">
        <f>'Lite Premium'!J233</f>
        <v>1050</v>
      </c>
      <c r="K13" s="297">
        <v>1.0</v>
      </c>
      <c r="L13" s="291">
        <f t="shared" ref="L13:L16" si="6">K13*J13*E13</f>
        <v>77962.5</v>
      </c>
      <c r="M13" s="293"/>
      <c r="N13" s="293"/>
      <c r="O13" s="293"/>
      <c r="P13" s="293"/>
      <c r="Q13" s="293"/>
      <c r="R13" s="293"/>
      <c r="S13" s="293"/>
      <c r="T13" s="293"/>
      <c r="U13" s="293"/>
      <c r="V13" s="293"/>
      <c r="W13" s="293"/>
      <c r="X13" s="293"/>
    </row>
    <row r="14" ht="13.5" customHeight="1">
      <c r="A14" s="285"/>
      <c r="B14" s="439" t="str">
        <f>'Lite Premium'!I167</f>
        <v>Supply and installation of Base storage unit with MR ply frame, HDHMR Shutter, MR+ laminate and soft close hinges  </v>
      </c>
      <c r="C14" s="287">
        <v>11.0</v>
      </c>
      <c r="D14" s="287">
        <v>1.5</v>
      </c>
      <c r="E14" s="288">
        <f t="shared" si="4"/>
        <v>16.5</v>
      </c>
      <c r="F14" s="287" t="s">
        <v>683</v>
      </c>
      <c r="G14" s="289">
        <f t="shared" ref="G14:H14" si="5">C14*300</f>
        <v>3300</v>
      </c>
      <c r="H14" s="289">
        <f t="shared" si="5"/>
        <v>450</v>
      </c>
      <c r="I14" s="289" t="s">
        <v>684</v>
      </c>
      <c r="J14" s="290">
        <f>'Lite Premium'!J167</f>
        <v>1600</v>
      </c>
      <c r="K14" s="290">
        <v>1.0</v>
      </c>
      <c r="L14" s="291">
        <f t="shared" si="6"/>
        <v>26400</v>
      </c>
      <c r="M14" s="441" t="s">
        <v>902</v>
      </c>
      <c r="N14" s="293"/>
      <c r="O14" s="293"/>
      <c r="P14" s="293"/>
      <c r="Q14" s="293"/>
      <c r="R14" s="293"/>
      <c r="S14" s="293"/>
      <c r="T14" s="293"/>
      <c r="U14" s="293"/>
      <c r="V14" s="293"/>
      <c r="W14" s="293"/>
      <c r="X14" s="293"/>
    </row>
    <row r="15" ht="13.5" customHeight="1">
      <c r="A15" s="285"/>
      <c r="B15" s="439" t="str">
        <f>'Lite Premium'!I176</f>
        <v>Supply and installation of Base storage unit with MR ply frame, Black/Silver Aluminium Profile with Clear/Tinted Glass Shutter, MR+ laminate and soft close hinges  </v>
      </c>
      <c r="C15" s="287">
        <v>2.75</v>
      </c>
      <c r="D15" s="287">
        <v>1.5</v>
      </c>
      <c r="E15" s="288">
        <f t="shared" si="4"/>
        <v>4.125</v>
      </c>
      <c r="F15" s="287" t="s">
        <v>683</v>
      </c>
      <c r="G15" s="289">
        <f t="shared" ref="G15:H15" si="7">C15*300</f>
        <v>825</v>
      </c>
      <c r="H15" s="289">
        <f t="shared" si="7"/>
        <v>450</v>
      </c>
      <c r="I15" s="289" t="s">
        <v>684</v>
      </c>
      <c r="J15" s="290">
        <f>'Lite Premium'!J176</f>
        <v>2450</v>
      </c>
      <c r="K15" s="290">
        <v>1.0</v>
      </c>
      <c r="L15" s="291">
        <f t="shared" si="6"/>
        <v>10106.25</v>
      </c>
      <c r="N15" s="293"/>
      <c r="O15" s="293"/>
      <c r="P15" s="293"/>
      <c r="Q15" s="293"/>
      <c r="R15" s="293"/>
      <c r="S15" s="293"/>
      <c r="T15" s="293"/>
      <c r="U15" s="293"/>
      <c r="V15" s="293"/>
      <c r="W15" s="293"/>
      <c r="X15" s="293"/>
    </row>
    <row r="16" ht="13.5" customHeight="1">
      <c r="A16" s="285"/>
      <c r="B16" s="439" t="str">
        <f>'Lite Premium'!I176</f>
        <v>Supply and installation of Base storage unit with MR ply frame, Black/Silver Aluminium Profile with Clear/Tinted Glass Shutter, MR+ laminate and soft close hinges  </v>
      </c>
      <c r="C16" s="287">
        <v>1.75</v>
      </c>
      <c r="D16" s="287">
        <v>7.0</v>
      </c>
      <c r="E16" s="288">
        <f t="shared" si="4"/>
        <v>12.25</v>
      </c>
      <c r="F16" s="287" t="s">
        <v>683</v>
      </c>
      <c r="G16" s="289">
        <f t="shared" ref="G16:H16" si="8">C16*300</f>
        <v>525</v>
      </c>
      <c r="H16" s="289">
        <f t="shared" si="8"/>
        <v>2100</v>
      </c>
      <c r="I16" s="289" t="s">
        <v>684</v>
      </c>
      <c r="J16" s="290">
        <f>'Lite Premium'!J176</f>
        <v>2450</v>
      </c>
      <c r="K16" s="290">
        <v>1.0</v>
      </c>
      <c r="L16" s="291">
        <f t="shared" si="6"/>
        <v>30012.5</v>
      </c>
      <c r="N16" s="293"/>
      <c r="O16" s="293"/>
      <c r="P16" s="293"/>
      <c r="Q16" s="293"/>
      <c r="R16" s="293"/>
      <c r="S16" s="293"/>
      <c r="T16" s="293"/>
      <c r="U16" s="293"/>
      <c r="V16" s="293"/>
      <c r="W16" s="293"/>
      <c r="X16" s="293"/>
    </row>
    <row r="17" ht="13.5" customHeight="1">
      <c r="A17" s="281"/>
      <c r="B17" s="274" t="s">
        <v>833</v>
      </c>
      <c r="C17" s="282"/>
      <c r="D17" s="282"/>
      <c r="E17" s="282"/>
      <c r="F17" s="282"/>
      <c r="G17" s="274"/>
      <c r="H17" s="274"/>
      <c r="I17" s="274"/>
      <c r="J17" s="282"/>
      <c r="K17" s="282"/>
      <c r="L17" s="283"/>
      <c r="M17" s="293"/>
      <c r="N17" s="293"/>
      <c r="O17" s="293"/>
      <c r="P17" s="293"/>
      <c r="Q17" s="293"/>
      <c r="R17" s="293"/>
      <c r="S17" s="293"/>
      <c r="T17" s="293"/>
      <c r="U17" s="293"/>
      <c r="V17" s="293"/>
      <c r="W17" s="293"/>
      <c r="X17" s="293"/>
    </row>
    <row r="18" ht="13.5" customHeight="1">
      <c r="A18" s="285"/>
      <c r="B18" s="439" t="str">
        <f>'Lite Premium'!I176</f>
        <v>Supply and installation of Base storage unit with MR ply frame, Black/Silver Aluminium Profile with Clear/Tinted Glass Shutter, MR+ laminate and soft close hinges  </v>
      </c>
      <c r="C18" s="287">
        <v>3.25</v>
      </c>
      <c r="D18" s="287">
        <v>6.75</v>
      </c>
      <c r="E18" s="288">
        <f t="shared" ref="E18:E21" si="10">C18*D18</f>
        <v>21.9375</v>
      </c>
      <c r="F18" s="287" t="s">
        <v>683</v>
      </c>
      <c r="G18" s="289">
        <f t="shared" ref="G18:H18" si="9">C18*300</f>
        <v>975</v>
      </c>
      <c r="H18" s="289">
        <f t="shared" si="9"/>
        <v>2025</v>
      </c>
      <c r="I18" s="289" t="s">
        <v>684</v>
      </c>
      <c r="J18" s="290">
        <f>'Lite Premium'!J176</f>
        <v>2450</v>
      </c>
      <c r="K18" s="290">
        <v>1.0</v>
      </c>
      <c r="L18" s="291">
        <f t="shared" ref="L18:L21" si="12">K18*J18*E18</f>
        <v>53746.875</v>
      </c>
      <c r="M18" s="441" t="s">
        <v>902</v>
      </c>
      <c r="N18" s="293"/>
      <c r="O18" s="293"/>
      <c r="P18" s="293"/>
      <c r="Q18" s="293"/>
      <c r="R18" s="293"/>
      <c r="S18" s="293"/>
      <c r="T18" s="293"/>
      <c r="U18" s="293"/>
      <c r="V18" s="293"/>
      <c r="W18" s="293"/>
      <c r="X18" s="293"/>
    </row>
    <row r="19" ht="13.5" customHeight="1">
      <c r="A19" s="285"/>
      <c r="B19" s="439" t="str">
        <f>'Lite Premium'!I194</f>
        <v>Supply and installation of Loft Frame and Shutter unit with MR Frame, HDHMR Shutter, MR+ laminate and Soft Close hinges  </v>
      </c>
      <c r="C19" s="287">
        <v>7.5</v>
      </c>
      <c r="D19" s="287">
        <v>6.75</v>
      </c>
      <c r="E19" s="288">
        <f t="shared" si="10"/>
        <v>50.625</v>
      </c>
      <c r="F19" s="287" t="s">
        <v>683</v>
      </c>
      <c r="G19" s="289">
        <f t="shared" ref="G19:H19" si="11">C19*300</f>
        <v>2250</v>
      </c>
      <c r="H19" s="289">
        <f t="shared" si="11"/>
        <v>2025</v>
      </c>
      <c r="I19" s="289" t="s">
        <v>684</v>
      </c>
      <c r="J19" s="290">
        <f>'Lite Premium'!J194</f>
        <v>997</v>
      </c>
      <c r="K19" s="290">
        <v>1.0</v>
      </c>
      <c r="L19" s="291">
        <f t="shared" si="12"/>
        <v>50473.125</v>
      </c>
      <c r="N19" s="293"/>
      <c r="O19" s="293"/>
      <c r="P19" s="293"/>
      <c r="Q19" s="293"/>
      <c r="R19" s="293"/>
      <c r="S19" s="293"/>
      <c r="T19" s="293"/>
      <c r="U19" s="293"/>
      <c r="V19" s="293"/>
      <c r="W19" s="293"/>
      <c r="X19" s="293"/>
    </row>
    <row r="20" ht="13.5" customHeight="1">
      <c r="A20" s="285"/>
      <c r="B20" s="439" t="str">
        <f>'Lite Premium'!I195</f>
        <v>Supply and installation of Ledge with 25mm Ledge MR and MR+ laminate </v>
      </c>
      <c r="C20" s="287">
        <v>3.5</v>
      </c>
      <c r="D20" s="287">
        <v>1.5</v>
      </c>
      <c r="E20" s="288">
        <f t="shared" si="10"/>
        <v>5.25</v>
      </c>
      <c r="F20" s="287" t="s">
        <v>683</v>
      </c>
      <c r="G20" s="289">
        <f t="shared" ref="G20:H20" si="13">C20*300</f>
        <v>1050</v>
      </c>
      <c r="H20" s="289">
        <f t="shared" si="13"/>
        <v>450</v>
      </c>
      <c r="I20" s="289" t="s">
        <v>684</v>
      </c>
      <c r="J20" s="290">
        <f>'Lite Premium'!J195</f>
        <v>883</v>
      </c>
      <c r="K20" s="290">
        <v>3.0</v>
      </c>
      <c r="L20" s="291">
        <f t="shared" si="12"/>
        <v>13907.25</v>
      </c>
      <c r="N20" s="293"/>
      <c r="O20" s="293"/>
      <c r="P20" s="293"/>
      <c r="Q20" s="293"/>
      <c r="R20" s="293"/>
      <c r="S20" s="293"/>
      <c r="T20" s="293"/>
      <c r="U20" s="293"/>
      <c r="V20" s="293"/>
      <c r="W20" s="293"/>
      <c r="X20" s="293"/>
    </row>
    <row r="21" ht="13.5" customHeight="1">
      <c r="A21" s="285"/>
      <c r="B21" s="439" t="str">
        <f>'Lite Premium'!I199</f>
        <v>Supply and installation of Wall Panel with MR Ply Frame, MR+ laminate </v>
      </c>
      <c r="C21" s="287">
        <v>3.0</v>
      </c>
      <c r="D21" s="287">
        <v>2.5</v>
      </c>
      <c r="E21" s="288">
        <f t="shared" si="10"/>
        <v>7.5</v>
      </c>
      <c r="F21" s="287" t="s">
        <v>683</v>
      </c>
      <c r="G21" s="289">
        <f t="shared" ref="G21:H21" si="14">C21*300</f>
        <v>900</v>
      </c>
      <c r="H21" s="289">
        <f t="shared" si="14"/>
        <v>750</v>
      </c>
      <c r="I21" s="289" t="s">
        <v>684</v>
      </c>
      <c r="J21" s="290">
        <f>'Lite Premium'!J199</f>
        <v>1000</v>
      </c>
      <c r="K21" s="290">
        <v>1.0</v>
      </c>
      <c r="L21" s="291">
        <f t="shared" si="12"/>
        <v>7500</v>
      </c>
      <c r="N21" s="293"/>
      <c r="O21" s="293"/>
      <c r="P21" s="293"/>
      <c r="Q21" s="293"/>
      <c r="R21" s="293"/>
      <c r="S21" s="293"/>
      <c r="T21" s="293"/>
      <c r="U21" s="293"/>
      <c r="V21" s="293"/>
      <c r="W21" s="293"/>
      <c r="X21" s="293"/>
    </row>
    <row r="22" ht="13.5" customHeight="1">
      <c r="A22" s="298"/>
      <c r="B22" s="274" t="s">
        <v>688</v>
      </c>
      <c r="C22" s="299"/>
      <c r="D22" s="299"/>
      <c r="E22" s="300"/>
      <c r="F22" s="299"/>
      <c r="G22" s="301"/>
      <c r="H22" s="301"/>
      <c r="I22" s="301"/>
      <c r="J22" s="302"/>
      <c r="K22" s="302"/>
      <c r="L22" s="303"/>
    </row>
    <row r="23" ht="13.5" customHeight="1">
      <c r="A23" s="285"/>
      <c r="B23" s="439" t="str">
        <f>'Lite Premium'!I241</f>
        <v>Supply and installation of Base storage unit with MR ply frame, HDHMR Shutter, Acrylic laminate and soft close hinges  </v>
      </c>
      <c r="C23" s="287">
        <v>8.25</v>
      </c>
      <c r="D23" s="287">
        <v>3.0</v>
      </c>
      <c r="E23" s="288">
        <f t="shared" ref="E23:E33" si="16">C23*D23</f>
        <v>24.75</v>
      </c>
      <c r="F23" s="287" t="s">
        <v>683</v>
      </c>
      <c r="G23" s="289">
        <f t="shared" ref="G23:H23" si="15">C23*300</f>
        <v>2475</v>
      </c>
      <c r="H23" s="289">
        <f t="shared" si="15"/>
        <v>900</v>
      </c>
      <c r="I23" s="289" t="s">
        <v>684</v>
      </c>
      <c r="J23" s="290">
        <f>'Lite Premium'!J241</f>
        <v>1825</v>
      </c>
      <c r="K23" s="290">
        <v>1.0</v>
      </c>
      <c r="L23" s="291">
        <f t="shared" ref="L23:L33" si="18">K23*J23*E23</f>
        <v>45168.75</v>
      </c>
    </row>
    <row r="24" ht="13.5" customHeight="1">
      <c r="A24" s="285"/>
      <c r="B24" s="439" t="str">
        <f>'Lite Premium'!I129</f>
        <v>Supply and installation of Jam Panel with MR Ply Frame, Glossy Finish laminate </v>
      </c>
      <c r="C24" s="287">
        <v>14.75</v>
      </c>
      <c r="D24" s="287">
        <v>1.0</v>
      </c>
      <c r="E24" s="288">
        <f t="shared" si="16"/>
        <v>14.75</v>
      </c>
      <c r="F24" s="287" t="s">
        <v>683</v>
      </c>
      <c r="G24" s="289">
        <f t="shared" ref="G24:H24" si="17">C24*300</f>
        <v>4425</v>
      </c>
      <c r="H24" s="289">
        <f t="shared" si="17"/>
        <v>300</v>
      </c>
      <c r="I24" s="289" t="s">
        <v>684</v>
      </c>
      <c r="J24" s="290">
        <f>'Lite Premium'!J127</f>
        <v>950</v>
      </c>
      <c r="K24" s="290">
        <v>1.0</v>
      </c>
      <c r="L24" s="291">
        <f t="shared" si="18"/>
        <v>14012.5</v>
      </c>
      <c r="M24" s="442" t="s">
        <v>899</v>
      </c>
      <c r="N24" s="293"/>
      <c r="O24" s="293"/>
      <c r="P24" s="293"/>
      <c r="Q24" s="293"/>
      <c r="R24" s="293"/>
      <c r="S24" s="293"/>
      <c r="T24" s="293"/>
      <c r="U24" s="293"/>
      <c r="V24" s="293"/>
      <c r="W24" s="293"/>
      <c r="X24" s="293"/>
    </row>
    <row r="25" ht="13.5" customHeight="1">
      <c r="A25" s="285"/>
      <c r="B25" s="439" t="str">
        <f>'Lite Premium'!I241</f>
        <v>Supply and installation of Base storage unit with MR ply frame, HDHMR Shutter, Acrylic laminate and soft close hinges  </v>
      </c>
      <c r="C25" s="287">
        <v>22.5</v>
      </c>
      <c r="D25" s="287">
        <v>3.0</v>
      </c>
      <c r="E25" s="288">
        <f t="shared" si="16"/>
        <v>67.5</v>
      </c>
      <c r="F25" s="287" t="s">
        <v>683</v>
      </c>
      <c r="G25" s="289">
        <f t="shared" ref="G25:H25" si="19">C25*300</f>
        <v>6750</v>
      </c>
      <c r="H25" s="289">
        <f t="shared" si="19"/>
        <v>900</v>
      </c>
      <c r="I25" s="289" t="s">
        <v>684</v>
      </c>
      <c r="J25" s="290">
        <f>'Lite Premium'!J241</f>
        <v>1825</v>
      </c>
      <c r="K25" s="290">
        <v>1.0</v>
      </c>
      <c r="L25" s="291">
        <f t="shared" si="18"/>
        <v>123187.5</v>
      </c>
    </row>
    <row r="26" ht="13.5" customHeight="1">
      <c r="A26" s="285"/>
      <c r="B26" s="439" t="str">
        <f>'Lite Premium'!I136</f>
        <v>Supply and installation of Wall storage unit with BWP Carcass, HDHMR Shutter, MR+ laminate and soft close hinges  </v>
      </c>
      <c r="C26" s="287">
        <v>12.25</v>
      </c>
      <c r="D26" s="287">
        <v>2.25</v>
      </c>
      <c r="E26" s="288">
        <f t="shared" si="16"/>
        <v>27.5625</v>
      </c>
      <c r="F26" s="287" t="s">
        <v>683</v>
      </c>
      <c r="G26" s="289">
        <f t="shared" ref="G26:H26" si="20">C26*300</f>
        <v>3675</v>
      </c>
      <c r="H26" s="289">
        <f t="shared" si="20"/>
        <v>675</v>
      </c>
      <c r="I26" s="289" t="s">
        <v>684</v>
      </c>
      <c r="J26" s="290">
        <f>'Lite Premium'!J135</f>
        <v>1700</v>
      </c>
      <c r="K26" s="290">
        <v>1.0</v>
      </c>
      <c r="L26" s="291">
        <f t="shared" si="18"/>
        <v>46856.25</v>
      </c>
      <c r="M26" s="3" t="s">
        <v>903</v>
      </c>
    </row>
    <row r="27" ht="13.5" customHeight="1">
      <c r="A27" s="285"/>
      <c r="B27" s="439" t="str">
        <f>'Lite Premium'!I145</f>
        <v>Supply and installation of Wall storage unit with BWP Carcass, Black/Silver Aluminium Profile with Clear/Tinted Glass Shutter, MR+ laminate and soft close hinges  </v>
      </c>
      <c r="C27" s="287">
        <v>1.25</v>
      </c>
      <c r="D27" s="287">
        <v>4.25</v>
      </c>
      <c r="E27" s="288">
        <f t="shared" si="16"/>
        <v>5.3125</v>
      </c>
      <c r="F27" s="287" t="s">
        <v>683</v>
      </c>
      <c r="G27" s="289">
        <f t="shared" ref="G27:H27" si="21">C27*300</f>
        <v>375</v>
      </c>
      <c r="H27" s="289">
        <f t="shared" si="21"/>
        <v>1275</v>
      </c>
      <c r="I27" s="289" t="s">
        <v>684</v>
      </c>
      <c r="J27" s="290">
        <f>'Lite Premium'!J144</f>
        <v>2550</v>
      </c>
      <c r="K27" s="290">
        <v>1.0</v>
      </c>
      <c r="L27" s="291">
        <f t="shared" si="18"/>
        <v>13546.875</v>
      </c>
    </row>
    <row r="28" ht="13.5" customHeight="1">
      <c r="A28" s="285"/>
      <c r="B28" s="439" t="str">
        <f>'Lite Premium'!I145</f>
        <v>Supply and installation of Wall storage unit with BWP Carcass, Black/Silver Aluminium Profile with Clear/Tinted Glass Shutter, MR+ laminate and soft close hinges  </v>
      </c>
      <c r="C28" s="287">
        <v>5.5</v>
      </c>
      <c r="D28" s="287">
        <v>2.25</v>
      </c>
      <c r="E28" s="288">
        <f t="shared" si="16"/>
        <v>12.375</v>
      </c>
      <c r="F28" s="287" t="s">
        <v>683</v>
      </c>
      <c r="G28" s="289">
        <f t="shared" ref="G28:H28" si="22">C28*300</f>
        <v>1650</v>
      </c>
      <c r="H28" s="289">
        <f t="shared" si="22"/>
        <v>675</v>
      </c>
      <c r="I28" s="289" t="s">
        <v>684</v>
      </c>
      <c r="J28" s="290">
        <f>'Lite Premium'!J144</f>
        <v>2550</v>
      </c>
      <c r="K28" s="290">
        <v>1.0</v>
      </c>
      <c r="L28" s="291">
        <f t="shared" si="18"/>
        <v>31556.25</v>
      </c>
      <c r="N28" s="293"/>
      <c r="O28" s="293"/>
      <c r="P28" s="293"/>
      <c r="Q28" s="293"/>
      <c r="R28" s="293"/>
      <c r="S28" s="293"/>
      <c r="T28" s="293"/>
      <c r="U28" s="293"/>
      <c r="V28" s="293"/>
      <c r="W28" s="293"/>
      <c r="X28" s="293"/>
    </row>
    <row r="29" ht="13.5" customHeight="1">
      <c r="A29" s="285"/>
      <c r="B29" s="439" t="str">
        <f>'Lite Premium'!I243</f>
        <v>Supply and installation of Tall storage unit with MR ply frame, HDHMR Shutter, Acrylic laminate and soft close hinges  </v>
      </c>
      <c r="C29" s="287">
        <v>5.75</v>
      </c>
      <c r="D29" s="287">
        <v>7.25</v>
      </c>
      <c r="E29" s="288">
        <f t="shared" si="16"/>
        <v>41.6875</v>
      </c>
      <c r="F29" s="287" t="s">
        <v>683</v>
      </c>
      <c r="G29" s="289">
        <f t="shared" ref="G29:H29" si="23">C29*300</f>
        <v>1725</v>
      </c>
      <c r="H29" s="289">
        <f t="shared" si="23"/>
        <v>2175</v>
      </c>
      <c r="I29" s="289" t="s">
        <v>684</v>
      </c>
      <c r="J29" s="290">
        <f>'Lite Premium'!J241</f>
        <v>1825</v>
      </c>
      <c r="K29" s="290">
        <v>1.0</v>
      </c>
      <c r="L29" s="291">
        <f t="shared" si="18"/>
        <v>76079.6875</v>
      </c>
      <c r="M29" s="293"/>
      <c r="N29" s="293"/>
      <c r="O29" s="293"/>
      <c r="P29" s="293"/>
      <c r="Q29" s="293"/>
      <c r="R29" s="293"/>
      <c r="S29" s="293"/>
      <c r="T29" s="293"/>
      <c r="U29" s="293"/>
      <c r="V29" s="293"/>
      <c r="W29" s="293"/>
      <c r="X29" s="293"/>
    </row>
    <row r="30" ht="13.5" customHeight="1">
      <c r="A30" s="306"/>
      <c r="B30" s="439" t="str">
        <f>'Lite Premium'!I121</f>
        <v>Supply and installation of Loft Frame and Shutter unit with MR Frame, HDHMR Shutter, Glossy  finish laminate and Soft Close hinges  </v>
      </c>
      <c r="C30" s="287">
        <v>14.75</v>
      </c>
      <c r="D30" s="287">
        <v>2.5</v>
      </c>
      <c r="E30" s="288">
        <f t="shared" si="16"/>
        <v>36.875</v>
      </c>
      <c r="F30" s="287" t="s">
        <v>683</v>
      </c>
      <c r="G30" s="289">
        <f t="shared" ref="G30:H30" si="24">C30*300</f>
        <v>4425</v>
      </c>
      <c r="H30" s="289">
        <f t="shared" si="24"/>
        <v>750</v>
      </c>
      <c r="I30" s="289" t="s">
        <v>684</v>
      </c>
      <c r="J30" s="290">
        <f>'Lite Premium'!J121</f>
        <v>947</v>
      </c>
      <c r="K30" s="290">
        <v>1.0</v>
      </c>
      <c r="L30" s="291">
        <f t="shared" si="18"/>
        <v>34920.625</v>
      </c>
      <c r="M30" s="3" t="s">
        <v>901</v>
      </c>
    </row>
    <row r="31" ht="13.5" customHeight="1">
      <c r="A31" s="306"/>
      <c r="B31" s="439" t="str">
        <f>'Lite Premium'!I121</f>
        <v>Supply and installation of Loft Frame and Shutter unit with MR Frame, HDHMR Shutter, Glossy  finish laminate and Soft Close hinges  </v>
      </c>
      <c r="C31" s="287">
        <v>2.75</v>
      </c>
      <c r="D31" s="287">
        <v>7.25</v>
      </c>
      <c r="E31" s="288">
        <f t="shared" si="16"/>
        <v>19.9375</v>
      </c>
      <c r="F31" s="287" t="s">
        <v>683</v>
      </c>
      <c r="G31" s="289">
        <f t="shared" ref="G31:H31" si="25">C31*300</f>
        <v>825</v>
      </c>
      <c r="H31" s="289">
        <f t="shared" si="25"/>
        <v>2175</v>
      </c>
      <c r="I31" s="289" t="s">
        <v>684</v>
      </c>
      <c r="J31" s="290">
        <f>'Lite Premium'!J121</f>
        <v>947</v>
      </c>
      <c r="K31" s="290">
        <v>1.0</v>
      </c>
      <c r="L31" s="291">
        <f t="shared" si="18"/>
        <v>18880.8125</v>
      </c>
      <c r="N31" s="293"/>
      <c r="O31" s="293"/>
      <c r="P31" s="293"/>
      <c r="Q31" s="293"/>
      <c r="R31" s="293"/>
      <c r="S31" s="293"/>
      <c r="T31" s="293"/>
      <c r="U31" s="293"/>
      <c r="V31" s="293"/>
      <c r="W31" s="293"/>
      <c r="X31" s="293"/>
    </row>
    <row r="32" ht="13.5" customHeight="1">
      <c r="A32" s="285"/>
      <c r="B32" s="439" t="str">
        <f>'Lite Premium'!I176</f>
        <v>Supply and installation of Base storage unit with MR ply frame, Black/Silver Aluminium Profile with Clear/Tinted Glass Shutter, MR+ laminate and soft close hinges  </v>
      </c>
      <c r="C32" s="287">
        <v>3.0</v>
      </c>
      <c r="D32" s="287">
        <v>7.25</v>
      </c>
      <c r="E32" s="288">
        <f t="shared" si="16"/>
        <v>21.75</v>
      </c>
      <c r="F32" s="287" t="s">
        <v>683</v>
      </c>
      <c r="G32" s="289">
        <f t="shared" ref="G32:H32" si="26">C32*300</f>
        <v>900</v>
      </c>
      <c r="H32" s="289">
        <f t="shared" si="26"/>
        <v>2175</v>
      </c>
      <c r="I32" s="289" t="s">
        <v>684</v>
      </c>
      <c r="J32" s="290">
        <f>'Lite Premium'!J176</f>
        <v>2450</v>
      </c>
      <c r="K32" s="290">
        <v>1.0</v>
      </c>
      <c r="L32" s="291">
        <f t="shared" si="18"/>
        <v>53287.5</v>
      </c>
      <c r="M32" s="293"/>
      <c r="N32" s="293"/>
      <c r="O32" s="293"/>
      <c r="P32" s="293"/>
      <c r="Q32" s="293"/>
      <c r="R32" s="293"/>
      <c r="S32" s="293"/>
      <c r="T32" s="293"/>
      <c r="U32" s="293"/>
      <c r="V32" s="293"/>
      <c r="W32" s="293"/>
      <c r="X32" s="293"/>
    </row>
    <row r="33" ht="13.5" customHeight="1">
      <c r="A33" s="306"/>
      <c r="B33" s="439" t="str">
        <f>'Lite Premium'!I131</f>
        <v>Supply and installation of Base Panel with MR Ply Frame, Glossy Finish laminate </v>
      </c>
      <c r="C33" s="287">
        <v>3.5</v>
      </c>
      <c r="D33" s="287">
        <v>1.0</v>
      </c>
      <c r="E33" s="288">
        <f t="shared" si="16"/>
        <v>3.5</v>
      </c>
      <c r="F33" s="287" t="s">
        <v>683</v>
      </c>
      <c r="G33" s="289">
        <f t="shared" ref="G33:H33" si="27">C33*300</f>
        <v>1050</v>
      </c>
      <c r="H33" s="289">
        <f t="shared" si="27"/>
        <v>300</v>
      </c>
      <c r="I33" s="289" t="s">
        <v>684</v>
      </c>
      <c r="J33" s="290">
        <f>'Lite Premium'!J127</f>
        <v>950</v>
      </c>
      <c r="K33" s="290">
        <v>1.0</v>
      </c>
      <c r="L33" s="291">
        <f t="shared" si="18"/>
        <v>3325</v>
      </c>
      <c r="M33" s="3" t="s">
        <v>899</v>
      </c>
    </row>
    <row r="34" ht="13.5" customHeight="1">
      <c r="A34" s="281"/>
      <c r="B34" s="448" t="s">
        <v>710</v>
      </c>
      <c r="C34" s="308"/>
      <c r="D34" s="308"/>
      <c r="E34" s="308"/>
      <c r="F34" s="308"/>
      <c r="G34" s="283"/>
      <c r="H34" s="283"/>
      <c r="I34" s="283"/>
      <c r="J34" s="308"/>
      <c r="K34" s="308"/>
      <c r="L34" s="283"/>
    </row>
    <row r="35" ht="13.5" customHeight="1">
      <c r="A35" s="285"/>
      <c r="B35" s="439" t="str">
        <f>'Lite Premium'!I223</f>
        <v>Supply and installation of Wardrobe with MRCarcass, HDHMR  Shutter, Designer finish laminate and soft close hinges  </v>
      </c>
      <c r="C35" s="287">
        <v>7.25</v>
      </c>
      <c r="D35" s="287">
        <v>8.75</v>
      </c>
      <c r="E35" s="288">
        <f t="shared" ref="E35:E40" si="29">C35*D35</f>
        <v>63.4375</v>
      </c>
      <c r="F35" s="287" t="s">
        <v>683</v>
      </c>
      <c r="G35" s="289">
        <f t="shared" ref="G35:H35" si="28">C35*300</f>
        <v>2175</v>
      </c>
      <c r="H35" s="289">
        <f t="shared" si="28"/>
        <v>2625</v>
      </c>
      <c r="I35" s="289" t="s">
        <v>684</v>
      </c>
      <c r="J35" s="290">
        <f>'Lite Premium'!J220</f>
        <v>1650</v>
      </c>
      <c r="K35" s="290">
        <v>1.0</v>
      </c>
      <c r="L35" s="291">
        <f t="shared" ref="L35:L40" si="31">K35*J35*E35</f>
        <v>104671.875</v>
      </c>
      <c r="M35" s="293"/>
      <c r="N35" s="293"/>
      <c r="O35" s="293"/>
      <c r="P35" s="293"/>
      <c r="Q35" s="293"/>
      <c r="R35" s="293"/>
      <c r="S35" s="293"/>
      <c r="T35" s="293"/>
      <c r="U35" s="293"/>
      <c r="V35" s="293"/>
      <c r="W35" s="293"/>
      <c r="X35" s="293"/>
    </row>
    <row r="36" ht="13.5" customHeight="1">
      <c r="A36" s="285"/>
      <c r="B36" s="439" t="str">
        <f>'Lite Premium'!I222</f>
        <v>Supply and installation of Tall storage unit with MRCarcass, HDHMR  Shutter, Designer finish laminate and soft close hinges  </v>
      </c>
      <c r="C36" s="287">
        <v>2.0</v>
      </c>
      <c r="D36" s="287">
        <v>7.0</v>
      </c>
      <c r="E36" s="288">
        <f t="shared" si="29"/>
        <v>14</v>
      </c>
      <c r="F36" s="287" t="s">
        <v>683</v>
      </c>
      <c r="G36" s="289">
        <f t="shared" ref="G36:H36" si="30">C36*300</f>
        <v>600</v>
      </c>
      <c r="H36" s="289">
        <f t="shared" si="30"/>
        <v>2100</v>
      </c>
      <c r="I36" s="289" t="s">
        <v>684</v>
      </c>
      <c r="J36" s="290">
        <f>'Lite Premium'!J220</f>
        <v>1650</v>
      </c>
      <c r="K36" s="290">
        <v>1.0</v>
      </c>
      <c r="L36" s="291">
        <f t="shared" si="31"/>
        <v>23100</v>
      </c>
    </row>
    <row r="37" ht="13.5" customHeight="1">
      <c r="A37" s="285"/>
      <c r="B37" s="275" t="str">
        <f>'Lite Premium'!I233</f>
        <v>Supply and installation of Wall Panel with MR ply frame, Designer laminate </v>
      </c>
      <c r="C37" s="287">
        <v>6.5</v>
      </c>
      <c r="D37" s="287">
        <v>1.0</v>
      </c>
      <c r="E37" s="288">
        <f t="shared" si="29"/>
        <v>6.5</v>
      </c>
      <c r="F37" s="287" t="s">
        <v>683</v>
      </c>
      <c r="G37" s="289">
        <f t="shared" ref="G37:H37" si="32">C37*300</f>
        <v>1950</v>
      </c>
      <c r="H37" s="289">
        <f t="shared" si="32"/>
        <v>300</v>
      </c>
      <c r="I37" s="289" t="s">
        <v>684</v>
      </c>
      <c r="J37" s="290">
        <f>'Lite Premium'!J233</f>
        <v>1050</v>
      </c>
      <c r="K37" s="290">
        <v>1.0</v>
      </c>
      <c r="L37" s="291">
        <f t="shared" si="31"/>
        <v>6825</v>
      </c>
      <c r="M37" s="293"/>
      <c r="N37" s="293"/>
      <c r="O37" s="293"/>
      <c r="P37" s="293"/>
      <c r="Q37" s="293"/>
      <c r="R37" s="293"/>
      <c r="S37" s="293"/>
      <c r="T37" s="293"/>
      <c r="U37" s="293"/>
      <c r="V37" s="293"/>
      <c r="W37" s="293"/>
      <c r="X37" s="293"/>
    </row>
    <row r="38" ht="13.5" customHeight="1">
      <c r="A38" s="285"/>
      <c r="B38" s="275" t="str">
        <f>'Lite Premium'!I231</f>
        <v>Supply and installation of Ledge with 50mm Ledge MR and Designer Laminate Finish</v>
      </c>
      <c r="C38" s="287">
        <v>9.0</v>
      </c>
      <c r="D38" s="287">
        <v>1.0</v>
      </c>
      <c r="E38" s="288">
        <f t="shared" si="29"/>
        <v>9</v>
      </c>
      <c r="F38" s="287" t="s">
        <v>683</v>
      </c>
      <c r="G38" s="289">
        <f t="shared" ref="G38:H38" si="33">C38*300</f>
        <v>2700</v>
      </c>
      <c r="H38" s="289">
        <f t="shared" si="33"/>
        <v>300</v>
      </c>
      <c r="I38" s="289" t="s">
        <v>684</v>
      </c>
      <c r="J38" s="290">
        <f>'Lite Premium'!J231</f>
        <v>1133</v>
      </c>
      <c r="K38" s="290">
        <v>1.0</v>
      </c>
      <c r="L38" s="291">
        <f t="shared" si="31"/>
        <v>10197</v>
      </c>
      <c r="M38" s="293"/>
      <c r="N38" s="293"/>
      <c r="O38" s="293"/>
      <c r="P38" s="293"/>
      <c r="Q38" s="293"/>
      <c r="R38" s="293"/>
      <c r="S38" s="293"/>
      <c r="T38" s="293"/>
      <c r="U38" s="293"/>
      <c r="V38" s="293"/>
      <c r="W38" s="293"/>
      <c r="X38" s="293"/>
    </row>
    <row r="39" ht="13.5" customHeight="1">
      <c r="A39" s="306"/>
      <c r="B39" s="275" t="str">
        <f>'Lite Premium'!I35</f>
        <v>Supply and installation of Wardrobe with MR Carcass, HDHMR Shutter, Smooth finish laminate and soft close hinges  </v>
      </c>
      <c r="C39" s="287">
        <v>8.5</v>
      </c>
      <c r="D39" s="287">
        <v>8.25</v>
      </c>
      <c r="E39" s="288">
        <f t="shared" si="29"/>
        <v>70.125</v>
      </c>
      <c r="F39" s="287" t="s">
        <v>683</v>
      </c>
      <c r="G39" s="289">
        <f t="shared" ref="G39:H39" si="34">C39*300</f>
        <v>2550</v>
      </c>
      <c r="H39" s="289">
        <f t="shared" si="34"/>
        <v>2475</v>
      </c>
      <c r="I39" s="289" t="s">
        <v>684</v>
      </c>
      <c r="J39" s="290">
        <f>'Lite Premium'!J32</f>
        <v>1500</v>
      </c>
      <c r="K39" s="290">
        <v>1.0</v>
      </c>
      <c r="L39" s="291">
        <f t="shared" si="31"/>
        <v>105187.5</v>
      </c>
      <c r="M39" s="293"/>
      <c r="N39" s="293"/>
      <c r="O39" s="293"/>
      <c r="P39" s="293"/>
      <c r="Q39" s="293"/>
      <c r="R39" s="293"/>
      <c r="S39" s="293"/>
      <c r="T39" s="293"/>
      <c r="U39" s="293"/>
      <c r="V39" s="293"/>
      <c r="W39" s="293"/>
      <c r="X39" s="293"/>
    </row>
    <row r="40" ht="13.5" customHeight="1">
      <c r="A40" s="306"/>
      <c r="B40" s="275" t="str">
        <f>'Lite Premium'!I220</f>
        <v>Supply and installation of Base storage unit with MR Carcass, HDHMR  Shutter, Designer finish laminate and soft close hinges  </v>
      </c>
      <c r="C40" s="287">
        <v>8.5</v>
      </c>
      <c r="D40" s="287">
        <v>2.0</v>
      </c>
      <c r="E40" s="288">
        <f t="shared" si="29"/>
        <v>17</v>
      </c>
      <c r="F40" s="287" t="s">
        <v>683</v>
      </c>
      <c r="G40" s="289">
        <f t="shared" ref="G40:H40" si="35">C40*300</f>
        <v>2550</v>
      </c>
      <c r="H40" s="289">
        <f t="shared" si="35"/>
        <v>600</v>
      </c>
      <c r="I40" s="289" t="s">
        <v>684</v>
      </c>
      <c r="J40" s="290">
        <f>'Lite Premium'!J220</f>
        <v>1650</v>
      </c>
      <c r="K40" s="290">
        <v>1.0</v>
      </c>
      <c r="L40" s="291">
        <f t="shared" si="31"/>
        <v>28050</v>
      </c>
      <c r="M40" s="293"/>
      <c r="N40" s="293"/>
      <c r="O40" s="293"/>
      <c r="P40" s="293"/>
      <c r="Q40" s="293"/>
      <c r="R40" s="293"/>
      <c r="S40" s="293"/>
      <c r="T40" s="293"/>
      <c r="U40" s="293"/>
      <c r="V40" s="293"/>
      <c r="W40" s="293"/>
      <c r="X40" s="293"/>
    </row>
    <row r="41" ht="13.5" customHeight="1">
      <c r="A41" s="281"/>
      <c r="B41" s="274" t="s">
        <v>853</v>
      </c>
      <c r="C41" s="308"/>
      <c r="D41" s="308"/>
      <c r="E41" s="308"/>
      <c r="F41" s="308"/>
      <c r="G41" s="283"/>
      <c r="H41" s="283"/>
      <c r="I41" s="283"/>
      <c r="J41" s="308"/>
      <c r="K41" s="308"/>
      <c r="L41" s="283"/>
    </row>
    <row r="42" ht="13.5" customHeight="1">
      <c r="A42" s="285"/>
      <c r="B42" s="439" t="str">
        <f>'Lite Premium'!I59</f>
        <v>Supply and installation of Ledge with 25mm Ledge MR Frame and Smooth Finish laminate </v>
      </c>
      <c r="C42" s="287">
        <v>8.0</v>
      </c>
      <c r="D42" s="287">
        <v>2.0</v>
      </c>
      <c r="E42" s="288">
        <f t="shared" ref="E42:E48" si="37">C42*D42</f>
        <v>16</v>
      </c>
      <c r="F42" s="287" t="s">
        <v>683</v>
      </c>
      <c r="G42" s="289">
        <f t="shared" ref="G42:H42" si="36">C42*300</f>
        <v>2400</v>
      </c>
      <c r="H42" s="289">
        <f t="shared" si="36"/>
        <v>600</v>
      </c>
      <c r="I42" s="289" t="s">
        <v>684</v>
      </c>
      <c r="J42" s="290">
        <f>'Lite Premium'!J59</f>
        <v>783</v>
      </c>
      <c r="K42" s="290">
        <v>1.0</v>
      </c>
      <c r="L42" s="291">
        <f t="shared" ref="L42:L48" si="39">K42*J42*E42</f>
        <v>12528</v>
      </c>
      <c r="M42" s="293"/>
      <c r="N42" s="293"/>
      <c r="O42" s="293"/>
      <c r="P42" s="293"/>
      <c r="Q42" s="293"/>
      <c r="R42" s="293"/>
      <c r="S42" s="293"/>
      <c r="T42" s="293"/>
      <c r="U42" s="293"/>
      <c r="V42" s="293"/>
      <c r="W42" s="293"/>
      <c r="X42" s="293"/>
    </row>
    <row r="43" ht="13.5" customHeight="1">
      <c r="A43" s="285"/>
      <c r="B43" s="275" t="str">
        <f>'Lite Premium'!I57</f>
        <v>Supply and installation of Open unit - Inner 1mm with MR ply frame and Smooth finish laminate</v>
      </c>
      <c r="C43" s="287">
        <v>5.5</v>
      </c>
      <c r="D43" s="287">
        <v>1.0</v>
      </c>
      <c r="E43" s="288">
        <f t="shared" si="37"/>
        <v>5.5</v>
      </c>
      <c r="F43" s="287" t="s">
        <v>683</v>
      </c>
      <c r="G43" s="289">
        <f t="shared" ref="G43:H43" si="38">C43*300</f>
        <v>1650</v>
      </c>
      <c r="H43" s="289">
        <f t="shared" si="38"/>
        <v>300</v>
      </c>
      <c r="I43" s="289" t="s">
        <v>684</v>
      </c>
      <c r="J43" s="290">
        <f>'Lite Premium'!J57</f>
        <v>1500</v>
      </c>
      <c r="K43" s="290">
        <v>1.0</v>
      </c>
      <c r="L43" s="291">
        <f t="shared" si="39"/>
        <v>8250</v>
      </c>
      <c r="M43" s="293"/>
      <c r="N43" s="293"/>
      <c r="O43" s="293"/>
      <c r="P43" s="293"/>
      <c r="Q43" s="293"/>
      <c r="R43" s="293"/>
      <c r="S43" s="293"/>
      <c r="T43" s="293"/>
      <c r="U43" s="293"/>
      <c r="V43" s="293"/>
      <c r="W43" s="293"/>
      <c r="X43" s="293"/>
    </row>
    <row r="44" ht="13.5" customHeight="1">
      <c r="A44" s="285"/>
      <c r="B44" s="439" t="str">
        <f>'Lite Premium'!I33</f>
        <v>Supply and installation of Wall storage with MR Carcass, HDHMR Shutter, Smooth finish laminate and soft close hinges  </v>
      </c>
      <c r="C44" s="287">
        <v>5.5</v>
      </c>
      <c r="D44" s="287">
        <v>3.0</v>
      </c>
      <c r="E44" s="288">
        <f t="shared" si="37"/>
        <v>16.5</v>
      </c>
      <c r="F44" s="287" t="s">
        <v>683</v>
      </c>
      <c r="G44" s="289">
        <f t="shared" ref="G44:H44" si="40">C44*300</f>
        <v>1650</v>
      </c>
      <c r="H44" s="289">
        <f t="shared" si="40"/>
        <v>900</v>
      </c>
      <c r="I44" s="289" t="s">
        <v>684</v>
      </c>
      <c r="J44" s="290">
        <f>'Lite Premium'!J32</f>
        <v>1500</v>
      </c>
      <c r="K44" s="290">
        <v>1.0</v>
      </c>
      <c r="L44" s="291">
        <f t="shared" si="39"/>
        <v>24750</v>
      </c>
      <c r="M44" s="293"/>
      <c r="N44" s="293"/>
      <c r="O44" s="293"/>
      <c r="P44" s="293"/>
      <c r="Q44" s="293"/>
      <c r="R44" s="293"/>
      <c r="S44" s="293"/>
      <c r="T44" s="293"/>
      <c r="U44" s="293"/>
      <c r="V44" s="293"/>
      <c r="W44" s="293"/>
      <c r="X44" s="293"/>
    </row>
    <row r="45" ht="13.5" customHeight="1">
      <c r="A45" s="285"/>
      <c r="B45" s="439" t="str">
        <f>'Lite Premium'!I32</f>
        <v>Supply and installation of Base storage with MR Carcass, HDHMR Shutter, Smooth finish laminate and soft close hinges  </v>
      </c>
      <c r="C45" s="287">
        <v>1.75</v>
      </c>
      <c r="D45" s="287">
        <v>2.75</v>
      </c>
      <c r="E45" s="288">
        <f t="shared" si="37"/>
        <v>4.8125</v>
      </c>
      <c r="F45" s="287" t="s">
        <v>683</v>
      </c>
      <c r="G45" s="289">
        <f t="shared" ref="G45:H45" si="41">C45*300</f>
        <v>525</v>
      </c>
      <c r="H45" s="289">
        <f t="shared" si="41"/>
        <v>825</v>
      </c>
      <c r="I45" s="289" t="s">
        <v>684</v>
      </c>
      <c r="J45" s="290">
        <f>'Lite Premium'!J32</f>
        <v>1500</v>
      </c>
      <c r="K45" s="290">
        <v>1.0</v>
      </c>
      <c r="L45" s="291">
        <f t="shared" si="39"/>
        <v>7218.75</v>
      </c>
      <c r="M45" s="293"/>
      <c r="N45" s="293"/>
      <c r="O45" s="293"/>
      <c r="P45" s="293"/>
      <c r="Q45" s="293"/>
      <c r="R45" s="293"/>
      <c r="S45" s="293"/>
      <c r="T45" s="293"/>
      <c r="U45" s="293"/>
      <c r="V45" s="293"/>
      <c r="W45" s="293"/>
      <c r="X45" s="293"/>
    </row>
    <row r="46" ht="13.5" customHeight="1">
      <c r="A46" s="306"/>
      <c r="B46" s="439" t="str">
        <f>'Lite Premium'!I58</f>
        <v>Supply and installation of Loft Frame and Shutter unit with MR Frame, HDHMR Shutter, Smooth finish laminate and Soft Close hinges  </v>
      </c>
      <c r="C46" s="287">
        <v>10.5</v>
      </c>
      <c r="D46" s="287">
        <v>2.5</v>
      </c>
      <c r="E46" s="288">
        <f t="shared" si="37"/>
        <v>26.25</v>
      </c>
      <c r="F46" s="287" t="s">
        <v>683</v>
      </c>
      <c r="G46" s="289">
        <f t="shared" ref="G46:H46" si="42">C46*300</f>
        <v>3150</v>
      </c>
      <c r="H46" s="289">
        <f t="shared" si="42"/>
        <v>750</v>
      </c>
      <c r="I46" s="289" t="s">
        <v>684</v>
      </c>
      <c r="J46" s="290">
        <f>'Lite Premium'!J58</f>
        <v>897</v>
      </c>
      <c r="K46" s="290">
        <v>1.0</v>
      </c>
      <c r="L46" s="291">
        <f t="shared" si="39"/>
        <v>23546.25</v>
      </c>
      <c r="M46" s="293"/>
      <c r="N46" s="293"/>
      <c r="O46" s="293"/>
      <c r="P46" s="293"/>
      <c r="Q46" s="293"/>
      <c r="R46" s="293"/>
      <c r="S46" s="293"/>
      <c r="T46" s="293"/>
      <c r="U46" s="293"/>
      <c r="V46" s="293"/>
      <c r="W46" s="293"/>
      <c r="X46" s="293"/>
    </row>
    <row r="47" ht="13.5" customHeight="1">
      <c r="A47" s="306"/>
      <c r="B47" s="275" t="str">
        <f>'Lite Premium'!I57</f>
        <v>Supply and installation of Open unit - Inner 1mm with MR ply frame and Smooth finish laminate</v>
      </c>
      <c r="C47" s="287">
        <v>10.5</v>
      </c>
      <c r="D47" s="287">
        <v>7.0</v>
      </c>
      <c r="E47" s="288">
        <f t="shared" si="37"/>
        <v>73.5</v>
      </c>
      <c r="F47" s="287" t="s">
        <v>683</v>
      </c>
      <c r="G47" s="289">
        <f t="shared" ref="G47:H47" si="43">C47*300</f>
        <v>3150</v>
      </c>
      <c r="H47" s="289">
        <f t="shared" si="43"/>
        <v>2100</v>
      </c>
      <c r="I47" s="289" t="s">
        <v>684</v>
      </c>
      <c r="J47" s="290">
        <f>'Lite Premium'!J57</f>
        <v>1500</v>
      </c>
      <c r="K47" s="290">
        <v>1.0</v>
      </c>
      <c r="L47" s="291">
        <f t="shared" si="39"/>
        <v>110250</v>
      </c>
      <c r="M47" s="293"/>
      <c r="N47" s="293"/>
      <c r="O47" s="293"/>
      <c r="P47" s="293"/>
      <c r="Q47" s="293"/>
      <c r="R47" s="293"/>
      <c r="S47" s="293"/>
      <c r="T47" s="293"/>
      <c r="U47" s="293"/>
      <c r="V47" s="293"/>
      <c r="W47" s="293"/>
      <c r="X47" s="293"/>
    </row>
    <row r="48" ht="13.5" customHeight="1">
      <c r="A48" s="285"/>
      <c r="B48" s="275" t="str">
        <f>'Lite Premium'!I64</f>
        <v>Supply and installation of Wall Panel with MR Ply Frame, Smooth Finish laminate </v>
      </c>
      <c r="C48" s="287">
        <v>2.0</v>
      </c>
      <c r="D48" s="287">
        <v>5.5</v>
      </c>
      <c r="E48" s="288">
        <f t="shared" si="37"/>
        <v>11</v>
      </c>
      <c r="F48" s="287" t="s">
        <v>683</v>
      </c>
      <c r="G48" s="289">
        <f t="shared" ref="G48:H48" si="44">C48*300</f>
        <v>600</v>
      </c>
      <c r="H48" s="289">
        <f t="shared" si="44"/>
        <v>1650</v>
      </c>
      <c r="I48" s="289" t="s">
        <v>684</v>
      </c>
      <c r="J48" s="290">
        <f>'Lite Premium'!J64</f>
        <v>900</v>
      </c>
      <c r="K48" s="290">
        <v>1.0</v>
      </c>
      <c r="L48" s="291">
        <f t="shared" si="39"/>
        <v>9900</v>
      </c>
      <c r="M48" s="293"/>
      <c r="N48" s="293"/>
      <c r="O48" s="293"/>
      <c r="P48" s="293"/>
      <c r="Q48" s="293"/>
      <c r="R48" s="293"/>
      <c r="S48" s="293"/>
      <c r="T48" s="293"/>
      <c r="U48" s="293"/>
      <c r="V48" s="293"/>
      <c r="W48" s="293"/>
      <c r="X48" s="293"/>
    </row>
    <row r="49" ht="13.5" customHeight="1">
      <c r="A49" s="306"/>
      <c r="B49" s="309" t="s">
        <v>701</v>
      </c>
      <c r="C49" s="299"/>
      <c r="D49" s="299"/>
      <c r="E49" s="300"/>
      <c r="F49" s="299"/>
      <c r="G49" s="310"/>
      <c r="H49" s="310"/>
      <c r="I49" s="310"/>
      <c r="J49" s="302"/>
      <c r="K49" s="302"/>
      <c r="L49" s="312">
        <v>10000.0</v>
      </c>
    </row>
    <row r="50" ht="13.5" customHeight="1">
      <c r="A50" s="298"/>
      <c r="B50" s="313" t="s">
        <v>702</v>
      </c>
      <c r="C50" s="94"/>
      <c r="D50" s="94"/>
      <c r="E50" s="94"/>
      <c r="F50" s="94"/>
      <c r="G50" s="94"/>
      <c r="H50" s="94"/>
      <c r="I50" s="94"/>
      <c r="J50" s="94"/>
      <c r="K50" s="95"/>
      <c r="L50" s="314">
        <f>SUM(L8:L48)</f>
        <v>1324304.625</v>
      </c>
    </row>
    <row r="51" ht="13.5" customHeight="1">
      <c r="A51" s="298"/>
      <c r="B51" s="313" t="s">
        <v>705</v>
      </c>
      <c r="C51" s="443"/>
      <c r="D51" s="443"/>
      <c r="E51" s="443"/>
      <c r="F51" s="443"/>
      <c r="G51" s="443"/>
      <c r="H51" s="443"/>
      <c r="I51" s="443"/>
      <c r="J51" s="443"/>
      <c r="K51" s="443"/>
      <c r="L51" s="314">
        <f>L50*18%</f>
        <v>238374.8325</v>
      </c>
    </row>
    <row r="52" ht="13.5" customHeight="1">
      <c r="A52" s="321"/>
      <c r="B52" s="322" t="s">
        <v>706</v>
      </c>
      <c r="C52" s="444"/>
      <c r="D52" s="444"/>
      <c r="E52" s="444"/>
      <c r="F52" s="444"/>
      <c r="G52" s="444"/>
      <c r="H52" s="444"/>
      <c r="I52" s="444"/>
      <c r="J52" s="444"/>
      <c r="K52" s="444"/>
      <c r="L52" s="314">
        <f>L50+L51</f>
        <v>1562679.458</v>
      </c>
    </row>
    <row r="53" ht="13.5" customHeight="1">
      <c r="A53" s="325"/>
      <c r="B53" s="325"/>
      <c r="C53" s="445"/>
      <c r="D53" s="445"/>
      <c r="E53" s="446"/>
      <c r="F53" s="446"/>
      <c r="G53" s="328"/>
      <c r="H53" s="329"/>
      <c r="I53" s="330"/>
      <c r="J53" s="446"/>
      <c r="K53" s="446"/>
      <c r="L53" s="331"/>
    </row>
    <row r="54" ht="13.5" customHeight="1">
      <c r="A54" s="325"/>
      <c r="B54" s="325"/>
      <c r="C54" s="326"/>
      <c r="D54" s="326"/>
      <c r="E54" s="327"/>
      <c r="F54" s="327"/>
      <c r="G54" s="328"/>
      <c r="H54" s="329"/>
      <c r="I54" s="330"/>
      <c r="J54" s="327"/>
      <c r="K54" s="327"/>
      <c r="L54" s="331"/>
      <c r="N54" s="449"/>
    </row>
    <row r="55" ht="13.5" customHeight="1">
      <c r="A55" s="325"/>
      <c r="B55" s="325"/>
      <c r="C55" s="326"/>
      <c r="D55" s="326"/>
      <c r="E55" s="327"/>
      <c r="F55" s="327"/>
      <c r="G55" s="328"/>
      <c r="H55" s="329"/>
      <c r="I55" s="330"/>
      <c r="J55" s="327"/>
      <c r="K55" s="327"/>
      <c r="L55" s="331"/>
    </row>
    <row r="56" ht="13.5" customHeight="1">
      <c r="A56" s="267"/>
      <c r="B56" s="267"/>
      <c r="C56" s="433"/>
      <c r="D56" s="433"/>
      <c r="E56" s="433"/>
      <c r="F56" s="433"/>
      <c r="G56" s="267"/>
      <c r="H56" s="267"/>
      <c r="I56" s="267"/>
      <c r="J56" s="433"/>
      <c r="K56" s="433"/>
      <c r="L56" s="434"/>
    </row>
    <row r="57" ht="13.5" customHeight="1">
      <c r="A57" s="267"/>
      <c r="B57" s="267"/>
      <c r="C57" s="433"/>
      <c r="D57" s="433"/>
      <c r="E57" s="433"/>
      <c r="F57" s="433"/>
      <c r="G57" s="267"/>
      <c r="H57" s="267"/>
      <c r="I57" s="267"/>
      <c r="J57" s="433"/>
      <c r="K57" s="433"/>
      <c r="L57" s="434"/>
    </row>
    <row r="58" ht="13.5" customHeight="1">
      <c r="A58" s="267"/>
      <c r="B58" s="267"/>
      <c r="C58" s="433"/>
      <c r="D58" s="433"/>
      <c r="E58" s="433"/>
      <c r="F58" s="433"/>
      <c r="G58" s="267"/>
      <c r="H58" s="267"/>
      <c r="I58" s="267"/>
      <c r="J58" s="433"/>
      <c r="K58" s="433"/>
      <c r="L58" s="434"/>
    </row>
    <row r="59" ht="13.5" customHeight="1">
      <c r="A59" s="267"/>
      <c r="B59" s="267"/>
      <c r="C59" s="433"/>
      <c r="D59" s="433"/>
      <c r="E59" s="433"/>
      <c r="F59" s="433"/>
      <c r="G59" s="267"/>
      <c r="H59" s="267"/>
      <c r="I59" s="267"/>
      <c r="J59" s="433"/>
      <c r="K59" s="433"/>
      <c r="L59" s="434"/>
    </row>
    <row r="60" ht="13.5" customHeight="1">
      <c r="A60" s="267"/>
      <c r="B60" s="267"/>
      <c r="C60" s="433"/>
      <c r="D60" s="433"/>
      <c r="E60" s="433"/>
      <c r="F60" s="433"/>
      <c r="G60" s="267"/>
      <c r="H60" s="267"/>
      <c r="I60" s="267"/>
      <c r="J60" s="433"/>
      <c r="K60" s="433"/>
      <c r="L60" s="434"/>
    </row>
    <row r="61" ht="13.5" customHeight="1">
      <c r="A61" s="267"/>
      <c r="B61" s="267"/>
      <c r="C61" s="433"/>
      <c r="D61" s="433"/>
      <c r="E61" s="433"/>
      <c r="F61" s="433"/>
      <c r="G61" s="267"/>
      <c r="H61" s="267"/>
      <c r="I61" s="267"/>
      <c r="J61" s="433"/>
      <c r="K61" s="433"/>
      <c r="L61" s="434"/>
    </row>
    <row r="62" ht="13.5" customHeight="1">
      <c r="A62" s="267"/>
      <c r="B62" s="267"/>
      <c r="C62" s="433"/>
      <c r="D62" s="433"/>
      <c r="E62" s="433"/>
      <c r="F62" s="433"/>
      <c r="G62" s="267"/>
      <c r="H62" s="267"/>
      <c r="I62" s="267"/>
      <c r="J62" s="433"/>
      <c r="K62" s="433"/>
      <c r="L62" s="434"/>
    </row>
    <row r="63" ht="13.5" customHeight="1">
      <c r="A63" s="267"/>
      <c r="B63" s="267"/>
      <c r="C63" s="433"/>
      <c r="D63" s="433"/>
      <c r="E63" s="433"/>
      <c r="F63" s="433"/>
      <c r="G63" s="267"/>
      <c r="H63" s="267"/>
      <c r="I63" s="267"/>
      <c r="J63" s="433"/>
      <c r="K63" s="433"/>
      <c r="L63" s="434"/>
    </row>
    <row r="64" ht="13.5" customHeight="1">
      <c r="A64" s="267"/>
      <c r="B64" s="267"/>
      <c r="C64" s="433"/>
      <c r="D64" s="433"/>
      <c r="E64" s="433"/>
      <c r="F64" s="433"/>
      <c r="G64" s="267"/>
      <c r="H64" s="267"/>
      <c r="I64" s="267"/>
      <c r="J64" s="433"/>
      <c r="K64" s="433"/>
      <c r="L64" s="434"/>
    </row>
    <row r="65" ht="13.5" customHeight="1">
      <c r="A65" s="267"/>
      <c r="B65" s="267"/>
      <c r="C65" s="433"/>
      <c r="D65" s="433"/>
      <c r="E65" s="433"/>
      <c r="F65" s="433"/>
      <c r="G65" s="267"/>
      <c r="H65" s="267"/>
      <c r="I65" s="267"/>
      <c r="J65" s="433"/>
      <c r="K65" s="433"/>
      <c r="L65" s="434"/>
    </row>
    <row r="66" ht="13.5" customHeight="1">
      <c r="A66" s="267"/>
      <c r="B66" s="267"/>
      <c r="C66" s="433"/>
      <c r="D66" s="433"/>
      <c r="E66" s="433"/>
      <c r="F66" s="433"/>
      <c r="G66" s="267"/>
      <c r="H66" s="267"/>
      <c r="I66" s="267"/>
      <c r="J66" s="433"/>
      <c r="K66" s="433"/>
      <c r="L66" s="434"/>
    </row>
    <row r="67" ht="13.5" customHeight="1">
      <c r="A67" s="267"/>
      <c r="B67" s="267"/>
      <c r="C67" s="433"/>
      <c r="D67" s="433"/>
      <c r="E67" s="433"/>
      <c r="F67" s="433"/>
      <c r="G67" s="267"/>
      <c r="H67" s="267"/>
      <c r="I67" s="267"/>
      <c r="J67" s="433"/>
      <c r="K67" s="433"/>
      <c r="L67" s="434"/>
    </row>
    <row r="68" ht="13.5" customHeight="1">
      <c r="A68" s="267"/>
      <c r="B68" s="267"/>
      <c r="C68" s="433"/>
      <c r="D68" s="433"/>
      <c r="E68" s="433"/>
      <c r="F68" s="433"/>
      <c r="G68" s="267"/>
      <c r="H68" s="267"/>
      <c r="I68" s="267"/>
      <c r="J68" s="433"/>
      <c r="K68" s="433"/>
      <c r="L68" s="434"/>
    </row>
    <row r="69" ht="13.5" customHeight="1">
      <c r="A69" s="267"/>
      <c r="B69" s="267"/>
      <c r="C69" s="433"/>
      <c r="D69" s="433"/>
      <c r="E69" s="433"/>
      <c r="F69" s="433"/>
      <c r="G69" s="267"/>
      <c r="H69" s="267"/>
      <c r="I69" s="267"/>
      <c r="J69" s="433"/>
      <c r="K69" s="433"/>
      <c r="L69" s="434"/>
    </row>
    <row r="70" ht="13.5" customHeight="1">
      <c r="A70" s="267"/>
      <c r="B70" s="267"/>
      <c r="C70" s="433"/>
      <c r="D70" s="433"/>
      <c r="E70" s="433"/>
      <c r="F70" s="433"/>
      <c r="G70" s="267"/>
      <c r="H70" s="267"/>
      <c r="I70" s="267"/>
      <c r="J70" s="433"/>
      <c r="K70" s="433"/>
      <c r="L70" s="434"/>
    </row>
    <row r="71" ht="13.5" customHeight="1">
      <c r="A71" s="267"/>
      <c r="B71" s="267"/>
      <c r="C71" s="433"/>
      <c r="D71" s="433"/>
      <c r="E71" s="433"/>
      <c r="F71" s="433"/>
      <c r="G71" s="267"/>
      <c r="H71" s="267"/>
      <c r="I71" s="267"/>
      <c r="J71" s="433"/>
      <c r="K71" s="433"/>
      <c r="L71" s="434"/>
    </row>
    <row r="72" ht="13.5" customHeight="1">
      <c r="A72" s="267"/>
      <c r="B72" s="267"/>
      <c r="C72" s="433"/>
      <c r="D72" s="433"/>
      <c r="E72" s="433"/>
      <c r="F72" s="433"/>
      <c r="G72" s="267"/>
      <c r="H72" s="267"/>
      <c r="I72" s="267"/>
      <c r="J72" s="433"/>
      <c r="K72" s="433"/>
      <c r="L72" s="434"/>
    </row>
    <row r="73" ht="13.5" customHeight="1">
      <c r="A73" s="267"/>
      <c r="B73" s="267"/>
      <c r="C73" s="433"/>
      <c r="D73" s="433"/>
      <c r="E73" s="433"/>
      <c r="F73" s="433"/>
      <c r="G73" s="267"/>
      <c r="H73" s="267"/>
      <c r="I73" s="267"/>
      <c r="J73" s="433"/>
      <c r="K73" s="433"/>
      <c r="L73" s="434"/>
    </row>
    <row r="74" ht="13.5" customHeight="1">
      <c r="A74" s="267"/>
      <c r="B74" s="267"/>
      <c r="C74" s="433"/>
      <c r="D74" s="433"/>
      <c r="E74" s="433"/>
      <c r="F74" s="433"/>
      <c r="G74" s="267"/>
      <c r="H74" s="267"/>
      <c r="I74" s="267"/>
      <c r="J74" s="433"/>
      <c r="K74" s="433"/>
      <c r="L74" s="434"/>
    </row>
    <row r="75" ht="13.5" customHeight="1">
      <c r="A75" s="267"/>
      <c r="B75" s="267"/>
      <c r="C75" s="433"/>
      <c r="D75" s="433"/>
      <c r="E75" s="433"/>
      <c r="F75" s="433"/>
      <c r="G75" s="267"/>
      <c r="H75" s="267"/>
      <c r="I75" s="267"/>
      <c r="J75" s="433"/>
      <c r="K75" s="433"/>
      <c r="L75" s="434"/>
    </row>
    <row r="76" ht="13.5" customHeight="1">
      <c r="A76" s="267"/>
      <c r="B76" s="267"/>
      <c r="C76" s="433"/>
      <c r="D76" s="433"/>
      <c r="E76" s="433"/>
      <c r="F76" s="433"/>
      <c r="G76" s="267"/>
      <c r="H76" s="267"/>
      <c r="I76" s="267"/>
      <c r="J76" s="433"/>
      <c r="K76" s="433"/>
      <c r="L76" s="434"/>
    </row>
    <row r="77" ht="13.5" customHeight="1">
      <c r="A77" s="267"/>
      <c r="B77" s="267"/>
      <c r="C77" s="433"/>
      <c r="D77" s="433"/>
      <c r="E77" s="433"/>
      <c r="F77" s="433"/>
      <c r="G77" s="267"/>
      <c r="H77" s="267"/>
      <c r="I77" s="267"/>
      <c r="J77" s="433"/>
      <c r="K77" s="433"/>
      <c r="L77" s="434"/>
    </row>
    <row r="78" ht="13.5" customHeight="1">
      <c r="A78" s="267"/>
      <c r="B78" s="267"/>
      <c r="C78" s="433"/>
      <c r="D78" s="433"/>
      <c r="E78" s="433"/>
      <c r="F78" s="433"/>
      <c r="G78" s="267"/>
      <c r="H78" s="267"/>
      <c r="I78" s="267"/>
      <c r="J78" s="433"/>
      <c r="K78" s="433"/>
      <c r="L78" s="434"/>
    </row>
    <row r="79" ht="13.5" customHeight="1">
      <c r="A79" s="267"/>
      <c r="B79" s="267"/>
      <c r="C79" s="433"/>
      <c r="D79" s="433"/>
      <c r="E79" s="433"/>
      <c r="F79" s="433"/>
      <c r="G79" s="267"/>
      <c r="H79" s="267"/>
      <c r="I79" s="267"/>
      <c r="J79" s="433"/>
      <c r="K79" s="433"/>
      <c r="L79" s="434"/>
    </row>
    <row r="80" ht="13.5" customHeight="1">
      <c r="A80" s="267"/>
      <c r="B80" s="267"/>
      <c r="C80" s="433"/>
      <c r="D80" s="433"/>
      <c r="E80" s="433"/>
      <c r="F80" s="433"/>
      <c r="G80" s="267"/>
      <c r="H80" s="267"/>
      <c r="I80" s="267"/>
      <c r="J80" s="433"/>
      <c r="K80" s="433"/>
      <c r="L80" s="434"/>
    </row>
    <row r="81" ht="13.5" customHeight="1">
      <c r="A81" s="267"/>
      <c r="B81" s="267"/>
      <c r="C81" s="433"/>
      <c r="D81" s="433"/>
      <c r="E81" s="433"/>
      <c r="F81" s="433"/>
      <c r="G81" s="267"/>
      <c r="H81" s="267"/>
      <c r="I81" s="267"/>
      <c r="J81" s="433"/>
      <c r="K81" s="433"/>
      <c r="L81" s="434"/>
    </row>
    <row r="82" ht="13.5" customHeight="1">
      <c r="A82" s="267"/>
      <c r="B82" s="267"/>
      <c r="C82" s="433"/>
      <c r="D82" s="433"/>
      <c r="E82" s="433"/>
      <c r="F82" s="433"/>
      <c r="G82" s="267"/>
      <c r="H82" s="267"/>
      <c r="I82" s="267"/>
      <c r="J82" s="433"/>
      <c r="K82" s="433"/>
      <c r="L82" s="434"/>
    </row>
    <row r="83" ht="13.5" customHeight="1">
      <c r="A83" s="267"/>
      <c r="B83" s="267"/>
      <c r="C83" s="433"/>
      <c r="D83" s="433"/>
      <c r="E83" s="433"/>
      <c r="F83" s="433"/>
      <c r="G83" s="267"/>
      <c r="H83" s="267"/>
      <c r="I83" s="267"/>
      <c r="J83" s="433"/>
      <c r="K83" s="433"/>
      <c r="L83" s="434"/>
    </row>
    <row r="84" ht="13.5" customHeight="1">
      <c r="A84" s="267"/>
      <c r="B84" s="267"/>
      <c r="C84" s="433"/>
      <c r="D84" s="433"/>
      <c r="E84" s="433"/>
      <c r="F84" s="433"/>
      <c r="G84" s="267"/>
      <c r="H84" s="267"/>
      <c r="I84" s="267"/>
      <c r="J84" s="433"/>
      <c r="K84" s="433"/>
      <c r="L84" s="434"/>
    </row>
    <row r="85" ht="13.5" customHeight="1">
      <c r="A85" s="267"/>
      <c r="B85" s="267"/>
      <c r="C85" s="433"/>
      <c r="D85" s="433"/>
      <c r="E85" s="433"/>
      <c r="F85" s="433"/>
      <c r="G85" s="267"/>
      <c r="H85" s="267"/>
      <c r="I85" s="267"/>
      <c r="J85" s="433"/>
      <c r="K85" s="433"/>
      <c r="L85" s="434"/>
    </row>
    <row r="86" ht="13.5" customHeight="1">
      <c r="A86" s="267"/>
      <c r="B86" s="267"/>
      <c r="C86" s="433"/>
      <c r="D86" s="433"/>
      <c r="E86" s="433"/>
      <c r="F86" s="433"/>
      <c r="G86" s="267"/>
      <c r="H86" s="267"/>
      <c r="I86" s="267"/>
      <c r="J86" s="433"/>
      <c r="K86" s="433"/>
      <c r="L86" s="434"/>
    </row>
    <row r="87" ht="13.5" customHeight="1">
      <c r="A87" s="267"/>
      <c r="B87" s="267"/>
      <c r="C87" s="433"/>
      <c r="D87" s="433"/>
      <c r="E87" s="433"/>
      <c r="F87" s="433"/>
      <c r="G87" s="267"/>
      <c r="H87" s="267"/>
      <c r="I87" s="267"/>
      <c r="J87" s="433"/>
      <c r="K87" s="433"/>
      <c r="L87" s="434"/>
    </row>
    <row r="88" ht="13.5" customHeight="1">
      <c r="A88" s="267"/>
      <c r="B88" s="267"/>
      <c r="C88" s="433"/>
      <c r="D88" s="433"/>
      <c r="E88" s="433"/>
      <c r="F88" s="433"/>
      <c r="G88" s="267"/>
      <c r="H88" s="267"/>
      <c r="I88" s="267"/>
      <c r="J88" s="433"/>
      <c r="K88" s="433"/>
      <c r="L88" s="434"/>
    </row>
    <row r="89" ht="13.5" customHeight="1">
      <c r="A89" s="267"/>
      <c r="B89" s="267"/>
      <c r="C89" s="433"/>
      <c r="D89" s="433"/>
      <c r="E89" s="433"/>
      <c r="F89" s="433"/>
      <c r="G89" s="267"/>
      <c r="H89" s="267"/>
      <c r="I89" s="267"/>
      <c r="J89" s="433"/>
      <c r="K89" s="433"/>
      <c r="L89" s="434"/>
    </row>
    <row r="90" ht="13.5" customHeight="1">
      <c r="A90" s="267"/>
      <c r="B90" s="267"/>
      <c r="C90" s="433"/>
      <c r="D90" s="433"/>
      <c r="E90" s="433"/>
      <c r="F90" s="433"/>
      <c r="G90" s="267"/>
      <c r="H90" s="267"/>
      <c r="I90" s="267"/>
      <c r="J90" s="433"/>
      <c r="K90" s="433"/>
      <c r="L90" s="434"/>
    </row>
    <row r="91" ht="13.5" customHeight="1">
      <c r="A91" s="267"/>
      <c r="B91" s="267"/>
      <c r="C91" s="433"/>
      <c r="D91" s="433"/>
      <c r="E91" s="433"/>
      <c r="F91" s="433"/>
      <c r="G91" s="267"/>
      <c r="H91" s="267"/>
      <c r="I91" s="267"/>
      <c r="J91" s="433"/>
      <c r="K91" s="433"/>
      <c r="L91" s="434"/>
    </row>
    <row r="92" ht="13.5" customHeight="1">
      <c r="A92" s="267"/>
      <c r="B92" s="267"/>
      <c r="C92" s="433"/>
      <c r="D92" s="433"/>
      <c r="E92" s="433"/>
      <c r="F92" s="433"/>
      <c r="G92" s="267"/>
      <c r="H92" s="267"/>
      <c r="I92" s="267"/>
      <c r="J92" s="433"/>
      <c r="K92" s="433"/>
      <c r="L92" s="434"/>
    </row>
    <row r="93" ht="13.5" customHeight="1">
      <c r="A93" s="267"/>
      <c r="B93" s="267"/>
      <c r="C93" s="433"/>
      <c r="D93" s="433"/>
      <c r="E93" s="433"/>
      <c r="F93" s="433"/>
      <c r="G93" s="267"/>
      <c r="H93" s="267"/>
      <c r="I93" s="267"/>
      <c r="J93" s="433"/>
      <c r="K93" s="433"/>
      <c r="L93" s="434"/>
    </row>
    <row r="94" ht="13.5" customHeight="1">
      <c r="A94" s="267"/>
      <c r="B94" s="267"/>
      <c r="C94" s="433"/>
      <c r="D94" s="433"/>
      <c r="E94" s="433"/>
      <c r="F94" s="433"/>
      <c r="G94" s="267"/>
      <c r="H94" s="267"/>
      <c r="I94" s="267"/>
      <c r="J94" s="433"/>
      <c r="K94" s="433"/>
      <c r="L94" s="434"/>
    </row>
    <row r="95" ht="13.5" customHeight="1">
      <c r="A95" s="267"/>
      <c r="B95" s="267"/>
      <c r="C95" s="433"/>
      <c r="D95" s="433"/>
      <c r="E95" s="433"/>
      <c r="F95" s="433"/>
      <c r="G95" s="267"/>
      <c r="H95" s="267"/>
      <c r="I95" s="267"/>
      <c r="J95" s="433"/>
      <c r="K95" s="433"/>
      <c r="L95" s="434"/>
    </row>
    <row r="96" ht="13.5" customHeight="1">
      <c r="A96" s="267"/>
      <c r="B96" s="267"/>
      <c r="C96" s="433"/>
      <c r="D96" s="433"/>
      <c r="E96" s="433"/>
      <c r="F96" s="433"/>
      <c r="G96" s="267"/>
      <c r="H96" s="267"/>
      <c r="I96" s="267"/>
      <c r="J96" s="433"/>
      <c r="K96" s="433"/>
      <c r="L96" s="434"/>
    </row>
    <row r="97" ht="13.5" customHeight="1">
      <c r="A97" s="267"/>
      <c r="B97" s="267"/>
      <c r="C97" s="433"/>
      <c r="D97" s="433"/>
      <c r="E97" s="433"/>
      <c r="F97" s="433"/>
      <c r="G97" s="267"/>
      <c r="H97" s="267"/>
      <c r="I97" s="267"/>
      <c r="J97" s="433"/>
      <c r="K97" s="433"/>
      <c r="L97" s="434"/>
    </row>
    <row r="98" ht="13.5" customHeight="1">
      <c r="A98" s="267"/>
      <c r="B98" s="267"/>
      <c r="C98" s="433"/>
      <c r="D98" s="433"/>
      <c r="E98" s="433"/>
      <c r="F98" s="433"/>
      <c r="G98" s="267"/>
      <c r="H98" s="267"/>
      <c r="I98" s="267"/>
      <c r="J98" s="433"/>
      <c r="K98" s="433"/>
      <c r="L98" s="434"/>
    </row>
    <row r="99" ht="13.5" customHeight="1">
      <c r="A99" s="267"/>
      <c r="B99" s="267"/>
      <c r="C99" s="433"/>
      <c r="D99" s="433"/>
      <c r="E99" s="433"/>
      <c r="F99" s="433"/>
      <c r="G99" s="267"/>
      <c r="H99" s="267"/>
      <c r="I99" s="267"/>
      <c r="J99" s="433"/>
      <c r="K99" s="433"/>
      <c r="L99" s="434"/>
    </row>
    <row r="100" ht="13.5" customHeight="1">
      <c r="A100" s="267"/>
      <c r="B100" s="267"/>
      <c r="C100" s="433"/>
      <c r="D100" s="433"/>
      <c r="E100" s="433"/>
      <c r="F100" s="433"/>
      <c r="G100" s="267"/>
      <c r="H100" s="267"/>
      <c r="I100" s="267"/>
      <c r="J100" s="433"/>
      <c r="K100" s="433"/>
      <c r="L100" s="434"/>
    </row>
    <row r="101" ht="13.5" customHeight="1">
      <c r="A101" s="267"/>
      <c r="B101" s="267"/>
      <c r="C101" s="433"/>
      <c r="D101" s="433"/>
      <c r="E101" s="433"/>
      <c r="F101" s="433"/>
      <c r="G101" s="267"/>
      <c r="H101" s="267"/>
      <c r="I101" s="267"/>
      <c r="J101" s="433"/>
      <c r="K101" s="433"/>
      <c r="L101" s="434"/>
    </row>
    <row r="102" ht="13.5" customHeight="1">
      <c r="A102" s="267"/>
      <c r="B102" s="267"/>
      <c r="C102" s="433"/>
      <c r="D102" s="433"/>
      <c r="E102" s="433"/>
      <c r="F102" s="433"/>
      <c r="G102" s="267"/>
      <c r="H102" s="267"/>
      <c r="I102" s="267"/>
      <c r="J102" s="433"/>
      <c r="K102" s="433"/>
      <c r="L102" s="434"/>
    </row>
    <row r="103" ht="13.5" customHeight="1">
      <c r="A103" s="267"/>
      <c r="B103" s="267"/>
      <c r="C103" s="433"/>
      <c r="D103" s="433"/>
      <c r="E103" s="433"/>
      <c r="F103" s="433"/>
      <c r="G103" s="267"/>
      <c r="H103" s="267"/>
      <c r="I103" s="267"/>
      <c r="J103" s="433"/>
      <c r="K103" s="433"/>
      <c r="L103" s="434"/>
    </row>
    <row r="104" ht="13.5" customHeight="1">
      <c r="A104" s="267"/>
      <c r="B104" s="267"/>
      <c r="C104" s="433"/>
      <c r="D104" s="433"/>
      <c r="E104" s="433"/>
      <c r="F104" s="433"/>
      <c r="G104" s="267"/>
      <c r="H104" s="267"/>
      <c r="I104" s="267"/>
      <c r="J104" s="433"/>
      <c r="K104" s="433"/>
      <c r="L104" s="434"/>
    </row>
    <row r="105" ht="13.5" customHeight="1">
      <c r="A105" s="267"/>
      <c r="B105" s="267"/>
      <c r="C105" s="433"/>
      <c r="D105" s="433"/>
      <c r="E105" s="433"/>
      <c r="F105" s="433"/>
      <c r="G105" s="267"/>
      <c r="H105" s="267"/>
      <c r="I105" s="267"/>
      <c r="J105" s="433"/>
      <c r="K105" s="433"/>
      <c r="L105" s="434"/>
    </row>
    <row r="106" ht="13.5" customHeight="1">
      <c r="A106" s="267"/>
      <c r="B106" s="267"/>
      <c r="C106" s="433"/>
      <c r="D106" s="433"/>
      <c r="E106" s="433"/>
      <c r="F106" s="433"/>
      <c r="G106" s="267"/>
      <c r="H106" s="267"/>
      <c r="I106" s="267"/>
      <c r="J106" s="433"/>
      <c r="K106" s="433"/>
      <c r="L106" s="434"/>
    </row>
    <row r="107" ht="13.5" customHeight="1">
      <c r="A107" s="267"/>
      <c r="B107" s="267"/>
      <c r="C107" s="433"/>
      <c r="D107" s="433"/>
      <c r="E107" s="433"/>
      <c r="F107" s="433"/>
      <c r="G107" s="267"/>
      <c r="H107" s="267"/>
      <c r="I107" s="267"/>
      <c r="J107" s="433"/>
      <c r="K107" s="433"/>
      <c r="L107" s="434"/>
    </row>
    <row r="108" ht="13.5" customHeight="1">
      <c r="A108" s="267"/>
      <c r="B108" s="267"/>
      <c r="C108" s="433"/>
      <c r="D108" s="433"/>
      <c r="E108" s="433"/>
      <c r="F108" s="433"/>
      <c r="G108" s="267"/>
      <c r="H108" s="267"/>
      <c r="I108" s="267"/>
      <c r="J108" s="433"/>
      <c r="K108" s="433"/>
      <c r="L108" s="434"/>
    </row>
    <row r="109" ht="13.5" customHeight="1">
      <c r="A109" s="267"/>
      <c r="B109" s="267"/>
      <c r="C109" s="433"/>
      <c r="D109" s="433"/>
      <c r="E109" s="433"/>
      <c r="F109" s="433"/>
      <c r="G109" s="267"/>
      <c r="H109" s="267"/>
      <c r="I109" s="267"/>
      <c r="J109" s="433"/>
      <c r="K109" s="433"/>
      <c r="L109" s="434"/>
    </row>
    <row r="110" ht="13.5" customHeight="1">
      <c r="A110" s="267"/>
      <c r="B110" s="267"/>
      <c r="C110" s="433"/>
      <c r="D110" s="433"/>
      <c r="E110" s="433"/>
      <c r="F110" s="433"/>
      <c r="G110" s="267"/>
      <c r="H110" s="267"/>
      <c r="I110" s="267"/>
      <c r="J110" s="433"/>
      <c r="K110" s="433"/>
      <c r="L110" s="434"/>
    </row>
    <row r="111" ht="13.5" customHeight="1">
      <c r="A111" s="267"/>
      <c r="B111" s="267"/>
      <c r="C111" s="433"/>
      <c r="D111" s="433"/>
      <c r="E111" s="433"/>
      <c r="F111" s="433"/>
      <c r="G111" s="267"/>
      <c r="H111" s="267"/>
      <c r="I111" s="267"/>
      <c r="J111" s="433"/>
      <c r="K111" s="433"/>
      <c r="L111" s="434"/>
    </row>
    <row r="112" ht="13.5" customHeight="1">
      <c r="A112" s="267"/>
      <c r="B112" s="267"/>
      <c r="C112" s="433"/>
      <c r="D112" s="433"/>
      <c r="E112" s="433"/>
      <c r="F112" s="433"/>
      <c r="G112" s="267"/>
      <c r="H112" s="267"/>
      <c r="I112" s="267"/>
      <c r="J112" s="433"/>
      <c r="K112" s="433"/>
      <c r="L112" s="434"/>
    </row>
    <row r="113" ht="13.5" customHeight="1">
      <c r="A113" s="267"/>
      <c r="B113" s="267"/>
      <c r="C113" s="433"/>
      <c r="D113" s="433"/>
      <c r="E113" s="433"/>
      <c r="F113" s="433"/>
      <c r="G113" s="267"/>
      <c r="H113" s="267"/>
      <c r="I113" s="267"/>
      <c r="J113" s="433"/>
      <c r="K113" s="433"/>
      <c r="L113" s="434"/>
    </row>
    <row r="114" ht="13.5" customHeight="1">
      <c r="A114" s="267"/>
      <c r="B114" s="267"/>
      <c r="C114" s="433"/>
      <c r="D114" s="433"/>
      <c r="E114" s="433"/>
      <c r="F114" s="433"/>
      <c r="G114" s="267"/>
      <c r="H114" s="267"/>
      <c r="I114" s="267"/>
      <c r="J114" s="433"/>
      <c r="K114" s="433"/>
      <c r="L114" s="434"/>
    </row>
    <row r="115" ht="13.5" customHeight="1">
      <c r="A115" s="267"/>
      <c r="B115" s="267"/>
      <c r="C115" s="433"/>
      <c r="D115" s="433"/>
      <c r="E115" s="433"/>
      <c r="F115" s="433"/>
      <c r="G115" s="267"/>
      <c r="H115" s="267"/>
      <c r="I115" s="267"/>
      <c r="J115" s="433"/>
      <c r="K115" s="433"/>
      <c r="L115" s="434"/>
    </row>
    <row r="116" ht="13.5" customHeight="1">
      <c r="A116" s="267"/>
      <c r="B116" s="267"/>
      <c r="C116" s="433"/>
      <c r="D116" s="433"/>
      <c r="E116" s="433"/>
      <c r="F116" s="433"/>
      <c r="G116" s="267"/>
      <c r="H116" s="267"/>
      <c r="I116" s="267"/>
      <c r="J116" s="433"/>
      <c r="K116" s="433"/>
      <c r="L116" s="434"/>
    </row>
    <row r="117" ht="13.5" customHeight="1">
      <c r="A117" s="267"/>
      <c r="B117" s="267"/>
      <c r="C117" s="433"/>
      <c r="D117" s="433"/>
      <c r="E117" s="433"/>
      <c r="F117" s="433"/>
      <c r="G117" s="267"/>
      <c r="H117" s="267"/>
      <c r="I117" s="267"/>
      <c r="J117" s="433"/>
      <c r="K117" s="433"/>
      <c r="L117" s="434"/>
    </row>
    <row r="118" ht="13.5" customHeight="1">
      <c r="A118" s="267"/>
      <c r="B118" s="267"/>
      <c r="C118" s="433"/>
      <c r="D118" s="433"/>
      <c r="E118" s="433"/>
      <c r="F118" s="433"/>
      <c r="G118" s="267"/>
      <c r="H118" s="267"/>
      <c r="I118" s="267"/>
      <c r="J118" s="433"/>
      <c r="K118" s="433"/>
      <c r="L118" s="434"/>
    </row>
    <row r="119" ht="13.5" customHeight="1">
      <c r="A119" s="267"/>
      <c r="B119" s="267"/>
      <c r="C119" s="433"/>
      <c r="D119" s="433"/>
      <c r="E119" s="433"/>
      <c r="F119" s="433"/>
      <c r="G119" s="267"/>
      <c r="H119" s="267"/>
      <c r="I119" s="267"/>
      <c r="J119" s="433"/>
      <c r="K119" s="433"/>
      <c r="L119" s="434"/>
    </row>
    <row r="120" ht="13.5" customHeight="1">
      <c r="A120" s="267"/>
      <c r="B120" s="267"/>
      <c r="C120" s="433"/>
      <c r="D120" s="433"/>
      <c r="E120" s="433"/>
      <c r="F120" s="433"/>
      <c r="G120" s="267"/>
      <c r="H120" s="267"/>
      <c r="I120" s="267"/>
      <c r="J120" s="433"/>
      <c r="K120" s="433"/>
      <c r="L120" s="434"/>
    </row>
    <row r="121" ht="13.5" customHeight="1">
      <c r="A121" s="267"/>
      <c r="B121" s="267"/>
      <c r="C121" s="433"/>
      <c r="D121" s="433"/>
      <c r="E121" s="433"/>
      <c r="F121" s="433"/>
      <c r="G121" s="267"/>
      <c r="H121" s="267"/>
      <c r="I121" s="267"/>
      <c r="J121" s="433"/>
      <c r="K121" s="433"/>
      <c r="L121" s="434"/>
    </row>
    <row r="122" ht="13.5" customHeight="1">
      <c r="A122" s="267"/>
      <c r="B122" s="267"/>
      <c r="C122" s="433"/>
      <c r="D122" s="433"/>
      <c r="E122" s="433"/>
      <c r="F122" s="433"/>
      <c r="G122" s="267"/>
      <c r="H122" s="267"/>
      <c r="I122" s="267"/>
      <c r="J122" s="433"/>
      <c r="K122" s="433"/>
      <c r="L122" s="434"/>
    </row>
    <row r="123" ht="13.5" customHeight="1">
      <c r="A123" s="267"/>
      <c r="B123" s="267"/>
      <c r="C123" s="433"/>
      <c r="D123" s="433"/>
      <c r="E123" s="433"/>
      <c r="F123" s="433"/>
      <c r="G123" s="267"/>
      <c r="H123" s="267"/>
      <c r="I123" s="267"/>
      <c r="J123" s="433"/>
      <c r="K123" s="433"/>
      <c r="L123" s="434"/>
    </row>
    <row r="124" ht="13.5" customHeight="1">
      <c r="A124" s="267"/>
      <c r="B124" s="267"/>
      <c r="C124" s="433"/>
      <c r="D124" s="433"/>
      <c r="E124" s="433"/>
      <c r="F124" s="433"/>
      <c r="G124" s="267"/>
      <c r="H124" s="267"/>
      <c r="I124" s="267"/>
      <c r="J124" s="433"/>
      <c r="K124" s="433"/>
      <c r="L124" s="434"/>
    </row>
    <row r="125" ht="13.5" customHeight="1">
      <c r="A125" s="267"/>
      <c r="B125" s="267"/>
      <c r="C125" s="433"/>
      <c r="D125" s="433"/>
      <c r="E125" s="433"/>
      <c r="F125" s="433"/>
      <c r="G125" s="267"/>
      <c r="H125" s="267"/>
      <c r="I125" s="267"/>
      <c r="J125" s="433"/>
      <c r="K125" s="433"/>
      <c r="L125" s="434"/>
    </row>
    <row r="126" ht="13.5" customHeight="1">
      <c r="A126" s="267"/>
      <c r="B126" s="267"/>
      <c r="C126" s="433"/>
      <c r="D126" s="433"/>
      <c r="E126" s="433"/>
      <c r="F126" s="433"/>
      <c r="G126" s="267"/>
      <c r="H126" s="267"/>
      <c r="I126" s="267"/>
      <c r="J126" s="433"/>
      <c r="K126" s="433"/>
      <c r="L126" s="434"/>
    </row>
    <row r="127" ht="13.5" customHeight="1">
      <c r="A127" s="267"/>
      <c r="B127" s="267"/>
      <c r="C127" s="433"/>
      <c r="D127" s="433"/>
      <c r="E127" s="433"/>
      <c r="F127" s="433"/>
      <c r="G127" s="267"/>
      <c r="H127" s="267"/>
      <c r="I127" s="267"/>
      <c r="J127" s="433"/>
      <c r="K127" s="433"/>
      <c r="L127" s="434"/>
    </row>
    <row r="128" ht="13.5" customHeight="1">
      <c r="A128" s="267"/>
      <c r="B128" s="267"/>
      <c r="C128" s="433"/>
      <c r="D128" s="433"/>
      <c r="E128" s="433"/>
      <c r="F128" s="433"/>
      <c r="G128" s="267"/>
      <c r="H128" s="267"/>
      <c r="I128" s="267"/>
      <c r="J128" s="433"/>
      <c r="K128" s="433"/>
      <c r="L128" s="434"/>
    </row>
    <row r="129" ht="13.5" customHeight="1">
      <c r="A129" s="267"/>
      <c r="B129" s="267"/>
      <c r="C129" s="433"/>
      <c r="D129" s="433"/>
      <c r="E129" s="433"/>
      <c r="F129" s="433"/>
      <c r="G129" s="267"/>
      <c r="H129" s="267"/>
      <c r="I129" s="267"/>
      <c r="J129" s="433"/>
      <c r="K129" s="433"/>
      <c r="L129" s="434"/>
    </row>
    <row r="130" ht="13.5" customHeight="1">
      <c r="A130" s="267"/>
      <c r="B130" s="267"/>
      <c r="C130" s="433"/>
      <c r="D130" s="433"/>
      <c r="E130" s="433"/>
      <c r="F130" s="433"/>
      <c r="G130" s="267"/>
      <c r="H130" s="267"/>
      <c r="I130" s="267"/>
      <c r="J130" s="433"/>
      <c r="K130" s="433"/>
      <c r="L130" s="434"/>
    </row>
    <row r="131" ht="13.5" customHeight="1">
      <c r="A131" s="267"/>
      <c r="B131" s="267"/>
      <c r="C131" s="433"/>
      <c r="D131" s="433"/>
      <c r="E131" s="433"/>
      <c r="F131" s="433"/>
      <c r="G131" s="267"/>
      <c r="H131" s="267"/>
      <c r="I131" s="267"/>
      <c r="J131" s="433"/>
      <c r="K131" s="433"/>
      <c r="L131" s="434"/>
    </row>
    <row r="132" ht="13.5" customHeight="1">
      <c r="A132" s="267"/>
      <c r="B132" s="267"/>
      <c r="C132" s="433"/>
      <c r="D132" s="433"/>
      <c r="E132" s="433"/>
      <c r="F132" s="433"/>
      <c r="G132" s="267"/>
      <c r="H132" s="267"/>
      <c r="I132" s="267"/>
      <c r="J132" s="433"/>
      <c r="K132" s="433"/>
      <c r="L132" s="434"/>
    </row>
    <row r="133" ht="13.5" customHeight="1">
      <c r="A133" s="267"/>
      <c r="B133" s="267"/>
      <c r="C133" s="433"/>
      <c r="D133" s="433"/>
      <c r="E133" s="433"/>
      <c r="F133" s="433"/>
      <c r="G133" s="267"/>
      <c r="H133" s="267"/>
      <c r="I133" s="267"/>
      <c r="J133" s="433"/>
      <c r="K133" s="433"/>
      <c r="L133" s="434"/>
    </row>
    <row r="134" ht="13.5" customHeight="1">
      <c r="A134" s="267"/>
      <c r="B134" s="267"/>
      <c r="C134" s="433"/>
      <c r="D134" s="433"/>
      <c r="E134" s="433"/>
      <c r="F134" s="433"/>
      <c r="G134" s="267"/>
      <c r="H134" s="267"/>
      <c r="I134" s="267"/>
      <c r="J134" s="433"/>
      <c r="K134" s="433"/>
      <c r="L134" s="434"/>
    </row>
    <row r="135" ht="13.5" customHeight="1">
      <c r="A135" s="267"/>
      <c r="B135" s="267"/>
      <c r="C135" s="433"/>
      <c r="D135" s="433"/>
      <c r="E135" s="433"/>
      <c r="F135" s="433"/>
      <c r="G135" s="267"/>
      <c r="H135" s="267"/>
      <c r="I135" s="267"/>
      <c r="J135" s="433"/>
      <c r="K135" s="433"/>
      <c r="L135" s="434"/>
    </row>
    <row r="136" ht="13.5" customHeight="1">
      <c r="A136" s="267"/>
      <c r="B136" s="267"/>
      <c r="C136" s="433"/>
      <c r="D136" s="433"/>
      <c r="E136" s="433"/>
      <c r="F136" s="433"/>
      <c r="G136" s="267"/>
      <c r="H136" s="267"/>
      <c r="I136" s="267"/>
      <c r="J136" s="433"/>
      <c r="K136" s="433"/>
      <c r="L136" s="434"/>
    </row>
    <row r="137" ht="13.5" customHeight="1">
      <c r="A137" s="267"/>
      <c r="B137" s="267"/>
      <c r="C137" s="433"/>
      <c r="D137" s="433"/>
      <c r="E137" s="433"/>
      <c r="F137" s="433"/>
      <c r="G137" s="267"/>
      <c r="H137" s="267"/>
      <c r="I137" s="267"/>
      <c r="J137" s="433"/>
      <c r="K137" s="433"/>
      <c r="L137" s="434"/>
    </row>
    <row r="138" ht="13.5" customHeight="1">
      <c r="A138" s="267"/>
      <c r="B138" s="267"/>
      <c r="C138" s="433"/>
      <c r="D138" s="433"/>
      <c r="E138" s="433"/>
      <c r="F138" s="433"/>
      <c r="G138" s="267"/>
      <c r="H138" s="267"/>
      <c r="I138" s="267"/>
      <c r="J138" s="433"/>
      <c r="K138" s="433"/>
      <c r="L138" s="434"/>
    </row>
    <row r="139" ht="13.5" customHeight="1">
      <c r="A139" s="267"/>
      <c r="B139" s="267"/>
      <c r="C139" s="433"/>
      <c r="D139" s="433"/>
      <c r="E139" s="433"/>
      <c r="F139" s="433"/>
      <c r="G139" s="267"/>
      <c r="H139" s="267"/>
      <c r="I139" s="267"/>
      <c r="J139" s="433"/>
      <c r="K139" s="433"/>
      <c r="L139" s="434"/>
    </row>
    <row r="140" ht="13.5" customHeight="1">
      <c r="A140" s="267"/>
      <c r="B140" s="267"/>
      <c r="C140" s="433"/>
      <c r="D140" s="433"/>
      <c r="E140" s="433"/>
      <c r="F140" s="433"/>
      <c r="G140" s="267"/>
      <c r="H140" s="267"/>
      <c r="I140" s="267"/>
      <c r="J140" s="433"/>
      <c r="K140" s="433"/>
      <c r="L140" s="434"/>
    </row>
    <row r="141" ht="13.5" customHeight="1">
      <c r="A141" s="267"/>
      <c r="B141" s="267"/>
      <c r="C141" s="433"/>
      <c r="D141" s="433"/>
      <c r="E141" s="433"/>
      <c r="F141" s="433"/>
      <c r="G141" s="267"/>
      <c r="H141" s="267"/>
      <c r="I141" s="267"/>
      <c r="J141" s="433"/>
      <c r="K141" s="433"/>
      <c r="L141" s="434"/>
    </row>
    <row r="142" ht="13.5" customHeight="1">
      <c r="A142" s="267"/>
      <c r="B142" s="267"/>
      <c r="C142" s="433"/>
      <c r="D142" s="433"/>
      <c r="E142" s="433"/>
      <c r="F142" s="433"/>
      <c r="G142" s="267"/>
      <c r="H142" s="267"/>
      <c r="I142" s="267"/>
      <c r="J142" s="433"/>
      <c r="K142" s="433"/>
      <c r="L142" s="434"/>
    </row>
    <row r="143" ht="13.5" customHeight="1">
      <c r="A143" s="267"/>
      <c r="B143" s="267"/>
      <c r="C143" s="433"/>
      <c r="D143" s="433"/>
      <c r="E143" s="433"/>
      <c r="F143" s="433"/>
      <c r="G143" s="267"/>
      <c r="H143" s="267"/>
      <c r="I143" s="267"/>
      <c r="J143" s="433"/>
      <c r="K143" s="433"/>
      <c r="L143" s="434"/>
    </row>
    <row r="144" ht="13.5" customHeight="1">
      <c r="A144" s="267"/>
      <c r="B144" s="267"/>
      <c r="C144" s="433"/>
      <c r="D144" s="433"/>
      <c r="E144" s="433"/>
      <c r="F144" s="433"/>
      <c r="G144" s="267"/>
      <c r="H144" s="267"/>
      <c r="I144" s="267"/>
      <c r="J144" s="433"/>
      <c r="K144" s="433"/>
      <c r="L144" s="434"/>
    </row>
    <row r="145" ht="13.5" customHeight="1">
      <c r="A145" s="267"/>
      <c r="B145" s="267"/>
      <c r="C145" s="433"/>
      <c r="D145" s="433"/>
      <c r="E145" s="433"/>
      <c r="F145" s="433"/>
      <c r="G145" s="267"/>
      <c r="H145" s="267"/>
      <c r="I145" s="267"/>
      <c r="J145" s="433"/>
      <c r="K145" s="433"/>
      <c r="L145" s="434"/>
    </row>
    <row r="146" ht="13.5" customHeight="1">
      <c r="A146" s="267"/>
      <c r="B146" s="267"/>
      <c r="C146" s="433"/>
      <c r="D146" s="433"/>
      <c r="E146" s="433"/>
      <c r="F146" s="433"/>
      <c r="G146" s="267"/>
      <c r="H146" s="267"/>
      <c r="I146" s="267"/>
      <c r="J146" s="433"/>
      <c r="K146" s="433"/>
      <c r="L146" s="434"/>
    </row>
    <row r="147" ht="13.5" customHeight="1">
      <c r="A147" s="267"/>
      <c r="B147" s="267"/>
      <c r="C147" s="433"/>
      <c r="D147" s="433"/>
      <c r="E147" s="433"/>
      <c r="F147" s="433"/>
      <c r="G147" s="267"/>
      <c r="H147" s="267"/>
      <c r="I147" s="267"/>
      <c r="J147" s="433"/>
      <c r="K147" s="433"/>
      <c r="L147" s="434"/>
    </row>
    <row r="148" ht="13.5" customHeight="1">
      <c r="A148" s="267"/>
      <c r="B148" s="267"/>
      <c r="C148" s="433"/>
      <c r="D148" s="433"/>
      <c r="E148" s="433"/>
      <c r="F148" s="433"/>
      <c r="G148" s="267"/>
      <c r="H148" s="267"/>
      <c r="I148" s="267"/>
      <c r="J148" s="433"/>
      <c r="K148" s="433"/>
      <c r="L148" s="434"/>
    </row>
    <row r="149" ht="13.5" customHeight="1">
      <c r="A149" s="267"/>
      <c r="B149" s="267"/>
      <c r="C149" s="433"/>
      <c r="D149" s="433"/>
      <c r="E149" s="433"/>
      <c r="F149" s="433"/>
      <c r="G149" s="267"/>
      <c r="H149" s="267"/>
      <c r="I149" s="267"/>
      <c r="J149" s="433"/>
      <c r="K149" s="433"/>
      <c r="L149" s="434"/>
    </row>
    <row r="150" ht="13.5" customHeight="1">
      <c r="A150" s="267"/>
      <c r="B150" s="267"/>
      <c r="C150" s="433"/>
      <c r="D150" s="433"/>
      <c r="E150" s="433"/>
      <c r="F150" s="433"/>
      <c r="G150" s="267"/>
      <c r="H150" s="267"/>
      <c r="I150" s="267"/>
      <c r="J150" s="433"/>
      <c r="K150" s="433"/>
      <c r="L150" s="434"/>
    </row>
    <row r="151" ht="13.5" customHeight="1">
      <c r="A151" s="267"/>
      <c r="B151" s="267"/>
      <c r="C151" s="433"/>
      <c r="D151" s="433"/>
      <c r="E151" s="433"/>
      <c r="F151" s="433"/>
      <c r="G151" s="267"/>
      <c r="H151" s="267"/>
      <c r="I151" s="267"/>
      <c r="J151" s="433"/>
      <c r="K151" s="433"/>
      <c r="L151" s="434"/>
    </row>
    <row r="152" ht="13.5" customHeight="1">
      <c r="A152" s="267"/>
      <c r="B152" s="267"/>
      <c r="C152" s="433"/>
      <c r="D152" s="433"/>
      <c r="E152" s="433"/>
      <c r="F152" s="433"/>
      <c r="G152" s="267"/>
      <c r="H152" s="267"/>
      <c r="I152" s="267"/>
      <c r="J152" s="433"/>
      <c r="K152" s="433"/>
      <c r="L152" s="434"/>
    </row>
    <row r="153" ht="13.5" customHeight="1">
      <c r="A153" s="267"/>
      <c r="B153" s="267"/>
      <c r="C153" s="433"/>
      <c r="D153" s="433"/>
      <c r="E153" s="433"/>
      <c r="F153" s="433"/>
      <c r="G153" s="267"/>
      <c r="H153" s="267"/>
      <c r="I153" s="267"/>
      <c r="J153" s="433"/>
      <c r="K153" s="433"/>
      <c r="L153" s="434"/>
    </row>
    <row r="154" ht="13.5" customHeight="1">
      <c r="A154" s="267"/>
      <c r="B154" s="267"/>
      <c r="C154" s="433"/>
      <c r="D154" s="433"/>
      <c r="E154" s="433"/>
      <c r="F154" s="433"/>
      <c r="G154" s="267"/>
      <c r="H154" s="267"/>
      <c r="I154" s="267"/>
      <c r="J154" s="433"/>
      <c r="K154" s="433"/>
      <c r="L154" s="434"/>
    </row>
    <row r="155" ht="13.5" customHeight="1">
      <c r="A155" s="267"/>
      <c r="B155" s="267"/>
      <c r="C155" s="433"/>
      <c r="D155" s="433"/>
      <c r="E155" s="433"/>
      <c r="F155" s="433"/>
      <c r="G155" s="267"/>
      <c r="H155" s="267"/>
      <c r="I155" s="267"/>
      <c r="J155" s="433"/>
      <c r="K155" s="433"/>
      <c r="L155" s="434"/>
    </row>
    <row r="156" ht="13.5" customHeight="1">
      <c r="A156" s="267"/>
      <c r="B156" s="267"/>
      <c r="C156" s="433"/>
      <c r="D156" s="433"/>
      <c r="E156" s="433"/>
      <c r="F156" s="433"/>
      <c r="G156" s="267"/>
      <c r="H156" s="267"/>
      <c r="I156" s="267"/>
      <c r="J156" s="433"/>
      <c r="K156" s="433"/>
      <c r="L156" s="434"/>
    </row>
    <row r="157" ht="13.5" customHeight="1">
      <c r="A157" s="267"/>
      <c r="B157" s="267"/>
      <c r="C157" s="433"/>
      <c r="D157" s="433"/>
      <c r="E157" s="433"/>
      <c r="F157" s="433"/>
      <c r="G157" s="267"/>
      <c r="H157" s="267"/>
      <c r="I157" s="267"/>
      <c r="J157" s="433"/>
      <c r="K157" s="433"/>
      <c r="L157" s="434"/>
    </row>
    <row r="158" ht="13.5" customHeight="1">
      <c r="A158" s="267"/>
      <c r="B158" s="267"/>
      <c r="C158" s="433"/>
      <c r="D158" s="433"/>
      <c r="E158" s="433"/>
      <c r="F158" s="433"/>
      <c r="G158" s="267"/>
      <c r="H158" s="267"/>
      <c r="I158" s="267"/>
      <c r="J158" s="433"/>
      <c r="K158" s="433"/>
      <c r="L158" s="434"/>
    </row>
    <row r="159" ht="13.5" customHeight="1">
      <c r="A159" s="267"/>
      <c r="B159" s="267"/>
      <c r="C159" s="433"/>
      <c r="D159" s="433"/>
      <c r="E159" s="433"/>
      <c r="F159" s="433"/>
      <c r="G159" s="267"/>
      <c r="H159" s="267"/>
      <c r="I159" s="267"/>
      <c r="J159" s="433"/>
      <c r="K159" s="433"/>
      <c r="L159" s="434"/>
    </row>
    <row r="160" ht="13.5" customHeight="1">
      <c r="A160" s="267"/>
      <c r="B160" s="267"/>
      <c r="C160" s="433"/>
      <c r="D160" s="433"/>
      <c r="E160" s="433"/>
      <c r="F160" s="433"/>
      <c r="G160" s="267"/>
      <c r="H160" s="267"/>
      <c r="I160" s="267"/>
      <c r="J160" s="433"/>
      <c r="K160" s="433"/>
      <c r="L160" s="434"/>
    </row>
    <row r="161" ht="13.5" customHeight="1">
      <c r="A161" s="267"/>
      <c r="B161" s="267"/>
      <c r="C161" s="433"/>
      <c r="D161" s="433"/>
      <c r="E161" s="433"/>
      <c r="F161" s="433"/>
      <c r="G161" s="267"/>
      <c r="H161" s="267"/>
      <c r="I161" s="267"/>
      <c r="J161" s="433"/>
      <c r="K161" s="433"/>
      <c r="L161" s="434"/>
    </row>
    <row r="162" ht="13.5" customHeight="1">
      <c r="A162" s="267"/>
      <c r="B162" s="267"/>
      <c r="C162" s="433"/>
      <c r="D162" s="433"/>
      <c r="E162" s="433"/>
      <c r="F162" s="433"/>
      <c r="G162" s="267"/>
      <c r="H162" s="267"/>
      <c r="I162" s="267"/>
      <c r="J162" s="433"/>
      <c r="K162" s="433"/>
      <c r="L162" s="434"/>
    </row>
    <row r="163" ht="13.5" customHeight="1">
      <c r="A163" s="267"/>
      <c r="B163" s="267"/>
      <c r="C163" s="433"/>
      <c r="D163" s="433"/>
      <c r="E163" s="433"/>
      <c r="F163" s="433"/>
      <c r="G163" s="267"/>
      <c r="H163" s="267"/>
      <c r="I163" s="267"/>
      <c r="J163" s="433"/>
      <c r="K163" s="433"/>
      <c r="L163" s="434"/>
    </row>
    <row r="164" ht="13.5" customHeight="1">
      <c r="A164" s="267"/>
      <c r="B164" s="267"/>
      <c r="C164" s="433"/>
      <c r="D164" s="433"/>
      <c r="E164" s="433"/>
      <c r="F164" s="433"/>
      <c r="G164" s="267"/>
      <c r="H164" s="267"/>
      <c r="I164" s="267"/>
      <c r="J164" s="433"/>
      <c r="K164" s="433"/>
      <c r="L164" s="434"/>
    </row>
    <row r="165" ht="13.5" customHeight="1">
      <c r="A165" s="267"/>
      <c r="B165" s="267"/>
      <c r="C165" s="433"/>
      <c r="D165" s="433"/>
      <c r="E165" s="433"/>
      <c r="F165" s="433"/>
      <c r="G165" s="267"/>
      <c r="H165" s="267"/>
      <c r="I165" s="267"/>
      <c r="J165" s="433"/>
      <c r="K165" s="433"/>
      <c r="L165" s="434"/>
    </row>
    <row r="166" ht="13.5" customHeight="1">
      <c r="A166" s="267"/>
      <c r="B166" s="267"/>
      <c r="C166" s="433"/>
      <c r="D166" s="433"/>
      <c r="E166" s="433"/>
      <c r="F166" s="433"/>
      <c r="G166" s="267"/>
      <c r="H166" s="267"/>
      <c r="I166" s="267"/>
      <c r="J166" s="433"/>
      <c r="K166" s="433"/>
      <c r="L166" s="434"/>
    </row>
    <row r="167" ht="13.5" customHeight="1">
      <c r="A167" s="267"/>
      <c r="B167" s="267"/>
      <c r="C167" s="433"/>
      <c r="D167" s="433"/>
      <c r="E167" s="433"/>
      <c r="F167" s="433"/>
      <c r="G167" s="267"/>
      <c r="H167" s="267"/>
      <c r="I167" s="267"/>
      <c r="J167" s="433"/>
      <c r="K167" s="433"/>
      <c r="L167" s="434"/>
    </row>
    <row r="168" ht="13.5" customHeight="1">
      <c r="A168" s="267"/>
      <c r="B168" s="267"/>
      <c r="C168" s="433"/>
      <c r="D168" s="433"/>
      <c r="E168" s="433"/>
      <c r="F168" s="433"/>
      <c r="G168" s="267"/>
      <c r="H168" s="267"/>
      <c r="I168" s="267"/>
      <c r="J168" s="433"/>
      <c r="K168" s="433"/>
      <c r="L168" s="434"/>
    </row>
    <row r="169" ht="13.5" customHeight="1">
      <c r="A169" s="267"/>
      <c r="B169" s="267"/>
      <c r="C169" s="433"/>
      <c r="D169" s="433"/>
      <c r="E169" s="433"/>
      <c r="F169" s="433"/>
      <c r="G169" s="267"/>
      <c r="H169" s="267"/>
      <c r="I169" s="267"/>
      <c r="J169" s="433"/>
      <c r="K169" s="433"/>
      <c r="L169" s="434"/>
    </row>
    <row r="170" ht="13.5" customHeight="1">
      <c r="A170" s="267"/>
      <c r="B170" s="267"/>
      <c r="C170" s="433"/>
      <c r="D170" s="433"/>
      <c r="E170" s="433"/>
      <c r="F170" s="433"/>
      <c r="G170" s="267"/>
      <c r="H170" s="267"/>
      <c r="I170" s="267"/>
      <c r="J170" s="433"/>
      <c r="K170" s="433"/>
      <c r="L170" s="434"/>
    </row>
    <row r="171" ht="13.5" customHeight="1">
      <c r="A171" s="267"/>
      <c r="B171" s="267"/>
      <c r="C171" s="433"/>
      <c r="D171" s="433"/>
      <c r="E171" s="433"/>
      <c r="F171" s="433"/>
      <c r="G171" s="267"/>
      <c r="H171" s="267"/>
      <c r="I171" s="267"/>
      <c r="J171" s="433"/>
      <c r="K171" s="433"/>
      <c r="L171" s="434"/>
    </row>
    <row r="172" ht="13.5" customHeight="1">
      <c r="A172" s="267"/>
      <c r="B172" s="267"/>
      <c r="C172" s="433"/>
      <c r="D172" s="433"/>
      <c r="E172" s="433"/>
      <c r="F172" s="433"/>
      <c r="G172" s="267"/>
      <c r="H172" s="267"/>
      <c r="I172" s="267"/>
      <c r="J172" s="433"/>
      <c r="K172" s="433"/>
      <c r="L172" s="434"/>
    </row>
    <row r="173" ht="13.5" customHeight="1">
      <c r="A173" s="267"/>
      <c r="B173" s="267"/>
      <c r="C173" s="433"/>
      <c r="D173" s="433"/>
      <c r="E173" s="433"/>
      <c r="F173" s="433"/>
      <c r="G173" s="267"/>
      <c r="H173" s="267"/>
      <c r="I173" s="267"/>
      <c r="J173" s="433"/>
      <c r="K173" s="433"/>
      <c r="L173" s="434"/>
    </row>
    <row r="174" ht="13.5" customHeight="1">
      <c r="A174" s="267"/>
      <c r="B174" s="267"/>
      <c r="C174" s="433"/>
      <c r="D174" s="433"/>
      <c r="E174" s="433"/>
      <c r="F174" s="433"/>
      <c r="G174" s="267"/>
      <c r="H174" s="267"/>
      <c r="I174" s="267"/>
      <c r="J174" s="433"/>
      <c r="K174" s="433"/>
      <c r="L174" s="434"/>
    </row>
    <row r="175" ht="13.5" customHeight="1">
      <c r="A175" s="267"/>
      <c r="B175" s="267"/>
      <c r="C175" s="433"/>
      <c r="D175" s="433"/>
      <c r="E175" s="433"/>
      <c r="F175" s="433"/>
      <c r="G175" s="267"/>
      <c r="H175" s="267"/>
      <c r="I175" s="267"/>
      <c r="J175" s="433"/>
      <c r="K175" s="433"/>
      <c r="L175" s="434"/>
    </row>
    <row r="176" ht="13.5" customHeight="1">
      <c r="A176" s="267"/>
      <c r="B176" s="267"/>
      <c r="C176" s="433"/>
      <c r="D176" s="433"/>
      <c r="E176" s="433"/>
      <c r="F176" s="433"/>
      <c r="G176" s="267"/>
      <c r="H176" s="267"/>
      <c r="I176" s="267"/>
      <c r="J176" s="433"/>
      <c r="K176" s="433"/>
      <c r="L176" s="434"/>
    </row>
    <row r="177" ht="13.5" customHeight="1">
      <c r="A177" s="267"/>
      <c r="B177" s="267"/>
      <c r="C177" s="433"/>
      <c r="D177" s="433"/>
      <c r="E177" s="433"/>
      <c r="F177" s="433"/>
      <c r="G177" s="267"/>
      <c r="H177" s="267"/>
      <c r="I177" s="267"/>
      <c r="J177" s="433"/>
      <c r="K177" s="433"/>
      <c r="L177" s="434"/>
    </row>
    <row r="178" ht="13.5" customHeight="1">
      <c r="A178" s="267"/>
      <c r="B178" s="267"/>
      <c r="C178" s="433"/>
      <c r="D178" s="433"/>
      <c r="E178" s="433"/>
      <c r="F178" s="433"/>
      <c r="G178" s="267"/>
      <c r="H178" s="267"/>
      <c r="I178" s="267"/>
      <c r="J178" s="433"/>
      <c r="K178" s="433"/>
      <c r="L178" s="434"/>
    </row>
    <row r="179" ht="13.5" customHeight="1">
      <c r="A179" s="267"/>
      <c r="B179" s="267"/>
      <c r="C179" s="433"/>
      <c r="D179" s="433"/>
      <c r="E179" s="433"/>
      <c r="F179" s="433"/>
      <c r="G179" s="267"/>
      <c r="H179" s="267"/>
      <c r="I179" s="267"/>
      <c r="J179" s="433"/>
      <c r="K179" s="433"/>
      <c r="L179" s="434"/>
    </row>
    <row r="180" ht="13.5" customHeight="1">
      <c r="A180" s="267"/>
      <c r="B180" s="267"/>
      <c r="C180" s="433"/>
      <c r="D180" s="433"/>
      <c r="E180" s="433"/>
      <c r="F180" s="433"/>
      <c r="G180" s="267"/>
      <c r="H180" s="267"/>
      <c r="I180" s="267"/>
      <c r="J180" s="433"/>
      <c r="K180" s="433"/>
      <c r="L180" s="434"/>
    </row>
    <row r="181" ht="13.5" customHeight="1">
      <c r="A181" s="267"/>
      <c r="B181" s="267"/>
      <c r="C181" s="433"/>
      <c r="D181" s="433"/>
      <c r="E181" s="433"/>
      <c r="F181" s="433"/>
      <c r="G181" s="267"/>
      <c r="H181" s="267"/>
      <c r="I181" s="267"/>
      <c r="J181" s="433"/>
      <c r="K181" s="433"/>
      <c r="L181" s="434"/>
    </row>
    <row r="182" ht="13.5" customHeight="1">
      <c r="A182" s="267"/>
      <c r="B182" s="267"/>
      <c r="C182" s="433"/>
      <c r="D182" s="433"/>
      <c r="E182" s="433"/>
      <c r="F182" s="433"/>
      <c r="G182" s="267"/>
      <c r="H182" s="267"/>
      <c r="I182" s="267"/>
      <c r="J182" s="433"/>
      <c r="K182" s="433"/>
      <c r="L182" s="434"/>
    </row>
    <row r="183" ht="13.5" customHeight="1">
      <c r="A183" s="267"/>
      <c r="B183" s="267"/>
      <c r="C183" s="433"/>
      <c r="D183" s="433"/>
      <c r="E183" s="433"/>
      <c r="F183" s="433"/>
      <c r="G183" s="267"/>
      <c r="H183" s="267"/>
      <c r="I183" s="267"/>
      <c r="J183" s="433"/>
      <c r="K183" s="433"/>
      <c r="L183" s="434"/>
    </row>
    <row r="184" ht="13.5" customHeight="1">
      <c r="A184" s="267"/>
      <c r="B184" s="267"/>
      <c r="C184" s="433"/>
      <c r="D184" s="433"/>
      <c r="E184" s="433"/>
      <c r="F184" s="433"/>
      <c r="G184" s="267"/>
      <c r="H184" s="267"/>
      <c r="I184" s="267"/>
      <c r="J184" s="433"/>
      <c r="K184" s="433"/>
      <c r="L184" s="434"/>
    </row>
    <row r="185" ht="13.5" customHeight="1">
      <c r="A185" s="267"/>
      <c r="B185" s="267"/>
      <c r="C185" s="433"/>
      <c r="D185" s="433"/>
      <c r="E185" s="433"/>
      <c r="F185" s="433"/>
      <c r="G185" s="267"/>
      <c r="H185" s="267"/>
      <c r="I185" s="267"/>
      <c r="J185" s="433"/>
      <c r="K185" s="433"/>
      <c r="L185" s="434"/>
    </row>
    <row r="186" ht="13.5" customHeight="1">
      <c r="A186" s="267"/>
      <c r="B186" s="267"/>
      <c r="C186" s="433"/>
      <c r="D186" s="433"/>
      <c r="E186" s="433"/>
      <c r="F186" s="433"/>
      <c r="G186" s="267"/>
      <c r="H186" s="267"/>
      <c r="I186" s="267"/>
      <c r="J186" s="433"/>
      <c r="K186" s="433"/>
      <c r="L186" s="434"/>
    </row>
    <row r="187" ht="13.5" customHeight="1">
      <c r="A187" s="267"/>
      <c r="B187" s="267"/>
      <c r="C187" s="433"/>
      <c r="D187" s="433"/>
      <c r="E187" s="433"/>
      <c r="F187" s="433"/>
      <c r="G187" s="267"/>
      <c r="H187" s="267"/>
      <c r="I187" s="267"/>
      <c r="J187" s="433"/>
      <c r="K187" s="433"/>
      <c r="L187" s="434"/>
    </row>
    <row r="188" ht="13.5" customHeight="1">
      <c r="A188" s="267"/>
      <c r="B188" s="267"/>
      <c r="C188" s="433"/>
      <c r="D188" s="433"/>
      <c r="E188" s="433"/>
      <c r="F188" s="433"/>
      <c r="G188" s="267"/>
      <c r="H188" s="267"/>
      <c r="I188" s="267"/>
      <c r="J188" s="433"/>
      <c r="K188" s="433"/>
      <c r="L188" s="434"/>
    </row>
    <row r="189" ht="13.5" customHeight="1">
      <c r="A189" s="267"/>
      <c r="B189" s="267"/>
      <c r="C189" s="433"/>
      <c r="D189" s="433"/>
      <c r="E189" s="433"/>
      <c r="F189" s="433"/>
      <c r="G189" s="267"/>
      <c r="H189" s="267"/>
      <c r="I189" s="267"/>
      <c r="J189" s="433"/>
      <c r="K189" s="433"/>
      <c r="L189" s="434"/>
    </row>
    <row r="190" ht="13.5" customHeight="1">
      <c r="A190" s="267"/>
      <c r="B190" s="267"/>
      <c r="C190" s="433"/>
      <c r="D190" s="433"/>
      <c r="E190" s="433"/>
      <c r="F190" s="433"/>
      <c r="G190" s="267"/>
      <c r="H190" s="267"/>
      <c r="I190" s="267"/>
      <c r="J190" s="433"/>
      <c r="K190" s="433"/>
      <c r="L190" s="434"/>
    </row>
    <row r="191" ht="13.5" customHeight="1">
      <c r="A191" s="267"/>
      <c r="B191" s="267"/>
      <c r="C191" s="433"/>
      <c r="D191" s="433"/>
      <c r="E191" s="433"/>
      <c r="F191" s="433"/>
      <c r="G191" s="267"/>
      <c r="H191" s="267"/>
      <c r="I191" s="267"/>
      <c r="J191" s="433"/>
      <c r="K191" s="433"/>
      <c r="L191" s="434"/>
    </row>
    <row r="192" ht="13.5" customHeight="1">
      <c r="A192" s="267"/>
      <c r="B192" s="267"/>
      <c r="C192" s="433"/>
      <c r="D192" s="433"/>
      <c r="E192" s="433"/>
      <c r="F192" s="433"/>
      <c r="G192" s="267"/>
      <c r="H192" s="267"/>
      <c r="I192" s="267"/>
      <c r="J192" s="433"/>
      <c r="K192" s="433"/>
      <c r="L192" s="434"/>
    </row>
    <row r="193" ht="13.5" customHeight="1">
      <c r="A193" s="267"/>
      <c r="B193" s="267"/>
      <c r="C193" s="433"/>
      <c r="D193" s="433"/>
      <c r="E193" s="433"/>
      <c r="F193" s="433"/>
      <c r="G193" s="267"/>
      <c r="H193" s="267"/>
      <c r="I193" s="267"/>
      <c r="J193" s="433"/>
      <c r="K193" s="433"/>
      <c r="L193" s="434"/>
    </row>
    <row r="194" ht="13.5" customHeight="1">
      <c r="A194" s="267"/>
      <c r="B194" s="267"/>
      <c r="C194" s="433"/>
      <c r="D194" s="433"/>
      <c r="E194" s="433"/>
      <c r="F194" s="433"/>
      <c r="G194" s="267"/>
      <c r="H194" s="267"/>
      <c r="I194" s="267"/>
      <c r="J194" s="433"/>
      <c r="K194" s="433"/>
      <c r="L194" s="434"/>
    </row>
    <row r="195" ht="13.5" customHeight="1">
      <c r="A195" s="267"/>
      <c r="B195" s="267"/>
      <c r="C195" s="433"/>
      <c r="D195" s="433"/>
      <c r="E195" s="433"/>
      <c r="F195" s="433"/>
      <c r="G195" s="267"/>
      <c r="H195" s="267"/>
      <c r="I195" s="267"/>
      <c r="J195" s="433"/>
      <c r="K195" s="433"/>
      <c r="L195" s="434"/>
    </row>
    <row r="196" ht="13.5" customHeight="1">
      <c r="A196" s="267"/>
      <c r="B196" s="267"/>
      <c r="C196" s="433"/>
      <c r="D196" s="433"/>
      <c r="E196" s="433"/>
      <c r="F196" s="433"/>
      <c r="G196" s="267"/>
      <c r="H196" s="267"/>
      <c r="I196" s="267"/>
      <c r="J196" s="433"/>
      <c r="K196" s="433"/>
      <c r="L196" s="434"/>
    </row>
    <row r="197" ht="13.5" customHeight="1">
      <c r="A197" s="267"/>
      <c r="B197" s="267"/>
      <c r="C197" s="433"/>
      <c r="D197" s="433"/>
      <c r="E197" s="433"/>
      <c r="F197" s="433"/>
      <c r="G197" s="267"/>
      <c r="H197" s="267"/>
      <c r="I197" s="267"/>
      <c r="J197" s="433"/>
      <c r="K197" s="433"/>
      <c r="L197" s="434"/>
    </row>
    <row r="198" ht="13.5" customHeight="1">
      <c r="A198" s="267"/>
      <c r="B198" s="267"/>
      <c r="C198" s="433"/>
      <c r="D198" s="433"/>
      <c r="E198" s="433"/>
      <c r="F198" s="433"/>
      <c r="G198" s="267"/>
      <c r="H198" s="267"/>
      <c r="I198" s="267"/>
      <c r="J198" s="433"/>
      <c r="K198" s="433"/>
      <c r="L198" s="434"/>
    </row>
    <row r="199" ht="13.5" customHeight="1">
      <c r="A199" s="267"/>
      <c r="B199" s="267"/>
      <c r="C199" s="433"/>
      <c r="D199" s="433"/>
      <c r="E199" s="433"/>
      <c r="F199" s="433"/>
      <c r="G199" s="267"/>
      <c r="H199" s="267"/>
      <c r="I199" s="267"/>
      <c r="J199" s="433"/>
      <c r="K199" s="433"/>
      <c r="L199" s="434"/>
    </row>
    <row r="200" ht="13.5" customHeight="1">
      <c r="A200" s="267"/>
      <c r="B200" s="267"/>
      <c r="C200" s="433"/>
      <c r="D200" s="433"/>
      <c r="E200" s="433"/>
      <c r="F200" s="433"/>
      <c r="G200" s="267"/>
      <c r="H200" s="267"/>
      <c r="I200" s="267"/>
      <c r="J200" s="433"/>
      <c r="K200" s="433"/>
      <c r="L200" s="434"/>
    </row>
    <row r="201" ht="13.5" customHeight="1">
      <c r="A201" s="267"/>
      <c r="B201" s="267"/>
      <c r="C201" s="433"/>
      <c r="D201" s="433"/>
      <c r="E201" s="433"/>
      <c r="F201" s="433"/>
      <c r="G201" s="267"/>
      <c r="H201" s="267"/>
      <c r="I201" s="267"/>
      <c r="J201" s="433"/>
      <c r="K201" s="433"/>
      <c r="L201" s="434"/>
    </row>
    <row r="202" ht="13.5" customHeight="1">
      <c r="A202" s="267"/>
      <c r="B202" s="267"/>
      <c r="C202" s="433"/>
      <c r="D202" s="433"/>
      <c r="E202" s="433"/>
      <c r="F202" s="433"/>
      <c r="G202" s="267"/>
      <c r="H202" s="267"/>
      <c r="I202" s="267"/>
      <c r="J202" s="433"/>
      <c r="K202" s="433"/>
      <c r="L202" s="434"/>
    </row>
    <row r="203" ht="13.5" customHeight="1">
      <c r="A203" s="267"/>
      <c r="B203" s="267"/>
      <c r="C203" s="433"/>
      <c r="D203" s="433"/>
      <c r="E203" s="433"/>
      <c r="F203" s="433"/>
      <c r="G203" s="267"/>
      <c r="H203" s="267"/>
      <c r="I203" s="267"/>
      <c r="J203" s="433"/>
      <c r="K203" s="433"/>
      <c r="L203" s="434"/>
    </row>
    <row r="204" ht="13.5" customHeight="1">
      <c r="A204" s="267"/>
      <c r="B204" s="267"/>
      <c r="C204" s="433"/>
      <c r="D204" s="433"/>
      <c r="E204" s="433"/>
      <c r="F204" s="433"/>
      <c r="G204" s="267"/>
      <c r="H204" s="267"/>
      <c r="I204" s="267"/>
      <c r="J204" s="433"/>
      <c r="K204" s="433"/>
      <c r="L204" s="434"/>
    </row>
    <row r="205" ht="13.5" customHeight="1">
      <c r="A205" s="267"/>
      <c r="B205" s="267"/>
      <c r="C205" s="433"/>
      <c r="D205" s="433"/>
      <c r="E205" s="433"/>
      <c r="F205" s="433"/>
      <c r="G205" s="267"/>
      <c r="H205" s="267"/>
      <c r="I205" s="267"/>
      <c r="J205" s="433"/>
      <c r="K205" s="433"/>
      <c r="L205" s="434"/>
    </row>
    <row r="206" ht="13.5" customHeight="1">
      <c r="A206" s="267"/>
      <c r="B206" s="267"/>
      <c r="C206" s="433"/>
      <c r="D206" s="433"/>
      <c r="E206" s="433"/>
      <c r="F206" s="433"/>
      <c r="G206" s="267"/>
      <c r="H206" s="267"/>
      <c r="I206" s="267"/>
      <c r="J206" s="433"/>
      <c r="K206" s="433"/>
      <c r="L206" s="434"/>
    </row>
    <row r="207" ht="13.5" customHeight="1">
      <c r="A207" s="267"/>
      <c r="B207" s="267"/>
      <c r="C207" s="433"/>
      <c r="D207" s="433"/>
      <c r="E207" s="433"/>
      <c r="F207" s="433"/>
      <c r="G207" s="267"/>
      <c r="H207" s="267"/>
      <c r="I207" s="267"/>
      <c r="J207" s="433"/>
      <c r="K207" s="433"/>
      <c r="L207" s="434"/>
    </row>
    <row r="208" ht="13.5" customHeight="1">
      <c r="A208" s="267"/>
      <c r="B208" s="267"/>
      <c r="C208" s="433"/>
      <c r="D208" s="433"/>
      <c r="E208" s="433"/>
      <c r="F208" s="433"/>
      <c r="G208" s="267"/>
      <c r="H208" s="267"/>
      <c r="I208" s="267"/>
      <c r="J208" s="433"/>
      <c r="K208" s="433"/>
      <c r="L208" s="434"/>
    </row>
    <row r="209" ht="13.5" customHeight="1">
      <c r="A209" s="267"/>
      <c r="B209" s="267"/>
      <c r="C209" s="433"/>
      <c r="D209" s="433"/>
      <c r="E209" s="433"/>
      <c r="F209" s="433"/>
      <c r="G209" s="267"/>
      <c r="H209" s="267"/>
      <c r="I209" s="267"/>
      <c r="J209" s="433"/>
      <c r="K209" s="433"/>
      <c r="L209" s="434"/>
    </row>
    <row r="210" ht="13.5" customHeight="1">
      <c r="A210" s="267"/>
      <c r="B210" s="267"/>
      <c r="C210" s="433"/>
      <c r="D210" s="433"/>
      <c r="E210" s="433"/>
      <c r="F210" s="433"/>
      <c r="G210" s="267"/>
      <c r="H210" s="267"/>
      <c r="I210" s="267"/>
      <c r="J210" s="433"/>
      <c r="K210" s="433"/>
      <c r="L210" s="434"/>
    </row>
    <row r="211" ht="13.5" customHeight="1">
      <c r="A211" s="267"/>
      <c r="B211" s="267"/>
      <c r="C211" s="433"/>
      <c r="D211" s="433"/>
      <c r="E211" s="433"/>
      <c r="F211" s="433"/>
      <c r="G211" s="267"/>
      <c r="H211" s="267"/>
      <c r="I211" s="267"/>
      <c r="J211" s="433"/>
      <c r="K211" s="433"/>
      <c r="L211" s="434"/>
    </row>
    <row r="212" ht="13.5" customHeight="1">
      <c r="A212" s="267"/>
      <c r="B212" s="267"/>
      <c r="C212" s="433"/>
      <c r="D212" s="433"/>
      <c r="E212" s="433"/>
      <c r="F212" s="433"/>
      <c r="G212" s="267"/>
      <c r="H212" s="267"/>
      <c r="I212" s="267"/>
      <c r="J212" s="433"/>
      <c r="K212" s="433"/>
      <c r="L212" s="434"/>
    </row>
    <row r="213" ht="13.5" customHeight="1">
      <c r="A213" s="267"/>
      <c r="B213" s="267"/>
      <c r="C213" s="433"/>
      <c r="D213" s="433"/>
      <c r="E213" s="433"/>
      <c r="F213" s="433"/>
      <c r="G213" s="267"/>
      <c r="H213" s="267"/>
      <c r="I213" s="267"/>
      <c r="J213" s="433"/>
      <c r="K213" s="433"/>
      <c r="L213" s="434"/>
    </row>
    <row r="214" ht="13.5" customHeight="1">
      <c r="A214" s="267"/>
      <c r="B214" s="267"/>
      <c r="C214" s="433"/>
      <c r="D214" s="433"/>
      <c r="E214" s="433"/>
      <c r="F214" s="433"/>
      <c r="G214" s="267"/>
      <c r="H214" s="267"/>
      <c r="I214" s="267"/>
      <c r="J214" s="433"/>
      <c r="K214" s="433"/>
      <c r="L214" s="434"/>
    </row>
    <row r="215" ht="13.5" customHeight="1">
      <c r="A215" s="267"/>
      <c r="B215" s="267"/>
      <c r="C215" s="433"/>
      <c r="D215" s="433"/>
      <c r="E215" s="433"/>
      <c r="F215" s="433"/>
      <c r="G215" s="267"/>
      <c r="H215" s="267"/>
      <c r="I215" s="267"/>
      <c r="J215" s="433"/>
      <c r="K215" s="433"/>
      <c r="L215" s="434"/>
    </row>
    <row r="216" ht="13.5" customHeight="1">
      <c r="A216" s="267"/>
      <c r="B216" s="267"/>
      <c r="C216" s="433"/>
      <c r="D216" s="433"/>
      <c r="E216" s="433"/>
      <c r="F216" s="433"/>
      <c r="G216" s="267"/>
      <c r="H216" s="267"/>
      <c r="I216" s="267"/>
      <c r="J216" s="433"/>
      <c r="K216" s="433"/>
      <c r="L216" s="434"/>
    </row>
    <row r="217" ht="13.5" customHeight="1">
      <c r="A217" s="267"/>
      <c r="B217" s="267"/>
      <c r="C217" s="433"/>
      <c r="D217" s="433"/>
      <c r="E217" s="433"/>
      <c r="F217" s="433"/>
      <c r="G217" s="267"/>
      <c r="H217" s="267"/>
      <c r="I217" s="267"/>
      <c r="J217" s="433"/>
      <c r="K217" s="433"/>
      <c r="L217" s="434"/>
    </row>
    <row r="218" ht="13.5" customHeight="1">
      <c r="A218" s="267"/>
      <c r="B218" s="267"/>
      <c r="C218" s="433"/>
      <c r="D218" s="433"/>
      <c r="E218" s="433"/>
      <c r="F218" s="433"/>
      <c r="G218" s="267"/>
      <c r="H218" s="267"/>
      <c r="I218" s="267"/>
      <c r="J218" s="433"/>
      <c r="K218" s="433"/>
      <c r="L218" s="434"/>
    </row>
    <row r="219" ht="13.5" customHeight="1">
      <c r="A219" s="267"/>
      <c r="B219" s="267"/>
      <c r="C219" s="433"/>
      <c r="D219" s="433"/>
      <c r="E219" s="433"/>
      <c r="F219" s="433"/>
      <c r="G219" s="267"/>
      <c r="H219" s="267"/>
      <c r="I219" s="267"/>
      <c r="J219" s="433"/>
      <c r="K219" s="433"/>
      <c r="L219" s="434"/>
    </row>
    <row r="220" ht="13.5" customHeight="1">
      <c r="A220" s="267"/>
      <c r="B220" s="267"/>
      <c r="C220" s="433"/>
      <c r="D220" s="433"/>
      <c r="E220" s="433"/>
      <c r="F220" s="433"/>
      <c r="G220" s="267"/>
      <c r="H220" s="267"/>
      <c r="I220" s="267"/>
      <c r="J220" s="433"/>
      <c r="K220" s="433"/>
      <c r="L220" s="434"/>
    </row>
    <row r="221" ht="13.5" customHeight="1">
      <c r="A221" s="267"/>
      <c r="B221" s="267"/>
      <c r="C221" s="433"/>
      <c r="D221" s="433"/>
      <c r="E221" s="433"/>
      <c r="F221" s="433"/>
      <c r="G221" s="267"/>
      <c r="H221" s="267"/>
      <c r="I221" s="267"/>
      <c r="J221" s="433"/>
      <c r="K221" s="433"/>
      <c r="L221" s="434"/>
    </row>
    <row r="222" ht="13.5" customHeight="1">
      <c r="B222" s="447"/>
    </row>
    <row r="223" ht="13.5" customHeight="1">
      <c r="B223" s="447"/>
    </row>
    <row r="224" ht="13.5" customHeight="1">
      <c r="B224" s="447"/>
    </row>
    <row r="225" ht="13.5" customHeight="1">
      <c r="B225" s="447"/>
    </row>
    <row r="226" ht="13.5" customHeight="1">
      <c r="B226" s="447"/>
    </row>
    <row r="227" ht="13.5" customHeight="1">
      <c r="B227" s="447"/>
    </row>
    <row r="228" ht="13.5" customHeight="1">
      <c r="B228" s="447"/>
    </row>
    <row r="229" ht="13.5" customHeight="1">
      <c r="B229" s="447"/>
    </row>
    <row r="230" ht="13.5" customHeight="1">
      <c r="B230" s="447"/>
    </row>
    <row r="231" ht="13.5" customHeight="1">
      <c r="B231" s="447"/>
    </row>
    <row r="232" ht="13.5" customHeight="1">
      <c r="B232" s="447"/>
    </row>
    <row r="233" ht="13.5" customHeight="1">
      <c r="B233" s="447"/>
    </row>
    <row r="234" ht="13.5" customHeight="1">
      <c r="B234" s="447"/>
    </row>
    <row r="235" ht="13.5" customHeight="1">
      <c r="B235" s="447"/>
    </row>
    <row r="236" ht="13.5" customHeight="1">
      <c r="B236" s="447"/>
    </row>
    <row r="237" ht="13.5" customHeight="1">
      <c r="B237" s="447"/>
    </row>
    <row r="238" ht="13.5" customHeight="1">
      <c r="B238" s="447"/>
    </row>
    <row r="239" ht="13.5" customHeight="1">
      <c r="B239" s="447"/>
    </row>
    <row r="240" ht="13.5" customHeight="1">
      <c r="B240" s="447"/>
    </row>
    <row r="241" ht="13.5" customHeight="1">
      <c r="B241" s="447"/>
    </row>
    <row r="242" ht="13.5" customHeight="1">
      <c r="B242" s="447"/>
    </row>
    <row r="243" ht="13.5" customHeight="1">
      <c r="B243" s="447"/>
    </row>
    <row r="244" ht="13.5" customHeight="1">
      <c r="B244" s="447"/>
    </row>
    <row r="245" ht="13.5" customHeight="1">
      <c r="B245" s="447"/>
    </row>
    <row r="246" ht="13.5" customHeight="1">
      <c r="B246" s="447"/>
    </row>
    <row r="247" ht="13.5" customHeight="1">
      <c r="B247" s="447"/>
    </row>
    <row r="248" ht="13.5" customHeight="1">
      <c r="B248" s="447"/>
    </row>
    <row r="249" ht="13.5" customHeight="1">
      <c r="B249" s="447"/>
    </row>
    <row r="250" ht="13.5" customHeight="1">
      <c r="B250" s="447"/>
    </row>
    <row r="251" ht="13.5" customHeight="1">
      <c r="B251" s="447"/>
    </row>
    <row r="252" ht="13.5" customHeight="1">
      <c r="B252" s="447"/>
    </row>
    <row r="253" ht="13.5" customHeight="1">
      <c r="B253" s="447"/>
    </row>
    <row r="254" ht="13.5" customHeight="1">
      <c r="B254" s="447"/>
    </row>
    <row r="255" ht="13.5" customHeight="1">
      <c r="B255" s="447"/>
    </row>
    <row r="256" ht="13.5" customHeight="1">
      <c r="B256" s="447"/>
    </row>
    <row r="257" ht="13.5" customHeight="1">
      <c r="B257" s="447"/>
    </row>
    <row r="258" ht="13.5" customHeight="1">
      <c r="B258" s="447"/>
    </row>
    <row r="259" ht="13.5" customHeight="1">
      <c r="B259" s="447"/>
    </row>
    <row r="260" ht="13.5" customHeight="1">
      <c r="B260" s="447"/>
    </row>
    <row r="261" ht="13.5" customHeight="1">
      <c r="B261" s="447"/>
    </row>
    <row r="262" ht="13.5" customHeight="1">
      <c r="B262" s="447"/>
    </row>
    <row r="263" ht="13.5" customHeight="1">
      <c r="B263" s="447"/>
    </row>
    <row r="264" ht="13.5" customHeight="1">
      <c r="B264" s="447"/>
    </row>
    <row r="265" ht="13.5" customHeight="1">
      <c r="B265" s="447"/>
    </row>
    <row r="266" ht="13.5" customHeight="1">
      <c r="B266" s="447"/>
    </row>
    <row r="267" ht="13.5" customHeight="1">
      <c r="B267" s="447"/>
    </row>
    <row r="268" ht="13.5" customHeight="1">
      <c r="B268" s="447"/>
    </row>
    <row r="269" ht="13.5" customHeight="1">
      <c r="B269" s="447"/>
    </row>
    <row r="270" ht="13.5" customHeight="1">
      <c r="B270" s="447"/>
    </row>
    <row r="271" ht="13.5" customHeight="1">
      <c r="B271" s="447"/>
    </row>
    <row r="272" ht="13.5" customHeight="1">
      <c r="B272" s="447"/>
    </row>
    <row r="273" ht="13.5" customHeight="1">
      <c r="B273" s="447"/>
    </row>
    <row r="274" ht="13.5" customHeight="1">
      <c r="B274" s="447"/>
    </row>
    <row r="275" ht="13.5" customHeight="1">
      <c r="B275" s="447"/>
    </row>
    <row r="276" ht="13.5" customHeight="1">
      <c r="B276" s="447"/>
    </row>
    <row r="277" ht="13.5" customHeight="1">
      <c r="B277" s="447"/>
    </row>
    <row r="278" ht="13.5" customHeight="1">
      <c r="B278" s="447"/>
    </row>
    <row r="279" ht="13.5" customHeight="1">
      <c r="B279" s="447"/>
    </row>
    <row r="280" ht="13.5" customHeight="1">
      <c r="B280" s="447"/>
    </row>
    <row r="281" ht="13.5" customHeight="1">
      <c r="B281" s="447"/>
    </row>
    <row r="282" ht="13.5" customHeight="1">
      <c r="B282" s="447"/>
    </row>
    <row r="283" ht="13.5" customHeight="1">
      <c r="B283" s="447"/>
    </row>
    <row r="284" ht="13.5" customHeight="1">
      <c r="B284" s="447"/>
    </row>
    <row r="285" ht="13.5" customHeight="1">
      <c r="B285" s="447"/>
    </row>
    <row r="286" ht="13.5" customHeight="1">
      <c r="B286" s="447"/>
    </row>
    <row r="287" ht="13.5" customHeight="1">
      <c r="B287" s="447"/>
    </row>
    <row r="288" ht="13.5" customHeight="1">
      <c r="B288" s="447"/>
    </row>
    <row r="289" ht="13.5" customHeight="1">
      <c r="B289" s="447"/>
    </row>
    <row r="290" ht="13.5" customHeight="1">
      <c r="B290" s="447"/>
    </row>
    <row r="291" ht="13.5" customHeight="1">
      <c r="B291" s="447"/>
    </row>
    <row r="292" ht="13.5" customHeight="1">
      <c r="B292" s="447"/>
    </row>
    <row r="293" ht="13.5" customHeight="1">
      <c r="B293" s="447"/>
    </row>
    <row r="294" ht="13.5" customHeight="1">
      <c r="B294" s="447"/>
    </row>
    <row r="295" ht="13.5" customHeight="1">
      <c r="B295" s="447"/>
    </row>
    <row r="296" ht="13.5" customHeight="1">
      <c r="B296" s="447"/>
    </row>
    <row r="297" ht="13.5" customHeight="1">
      <c r="B297" s="447"/>
    </row>
    <row r="298" ht="13.5" customHeight="1">
      <c r="B298" s="447"/>
    </row>
    <row r="299" ht="13.5" customHeight="1">
      <c r="B299" s="447"/>
    </row>
    <row r="300" ht="13.5" customHeight="1">
      <c r="B300" s="447"/>
    </row>
    <row r="301" ht="13.5" customHeight="1">
      <c r="B301" s="447"/>
    </row>
    <row r="302" ht="13.5" customHeight="1">
      <c r="B302" s="447"/>
    </row>
    <row r="303" ht="13.5" customHeight="1">
      <c r="B303" s="447"/>
    </row>
    <row r="304" ht="13.5" customHeight="1">
      <c r="B304" s="447"/>
    </row>
    <row r="305" ht="13.5" customHeight="1">
      <c r="B305" s="447"/>
    </row>
    <row r="306" ht="13.5" customHeight="1">
      <c r="B306" s="447"/>
    </row>
    <row r="307" ht="13.5" customHeight="1">
      <c r="B307" s="447"/>
    </row>
    <row r="308" ht="13.5" customHeight="1">
      <c r="B308" s="447"/>
    </row>
    <row r="309" ht="13.5" customHeight="1">
      <c r="B309" s="447"/>
    </row>
    <row r="310" ht="13.5" customHeight="1">
      <c r="B310" s="447"/>
    </row>
    <row r="311" ht="13.5" customHeight="1">
      <c r="B311" s="447"/>
    </row>
    <row r="312" ht="13.5" customHeight="1">
      <c r="B312" s="447"/>
    </row>
    <row r="313" ht="13.5" customHeight="1">
      <c r="B313" s="447"/>
    </row>
    <row r="314" ht="13.5" customHeight="1">
      <c r="B314" s="447"/>
    </row>
    <row r="315" ht="13.5" customHeight="1">
      <c r="B315" s="447"/>
    </row>
    <row r="316" ht="13.5" customHeight="1">
      <c r="B316" s="447"/>
    </row>
    <row r="317" ht="13.5" customHeight="1">
      <c r="B317" s="447"/>
    </row>
    <row r="318" ht="13.5" customHeight="1">
      <c r="B318" s="447"/>
    </row>
    <row r="319" ht="13.5" customHeight="1">
      <c r="B319" s="447"/>
    </row>
    <row r="320" ht="13.5" customHeight="1">
      <c r="B320" s="447"/>
    </row>
    <row r="321" ht="13.5" customHeight="1">
      <c r="B321" s="447"/>
    </row>
    <row r="322" ht="13.5" customHeight="1">
      <c r="B322" s="447"/>
    </row>
    <row r="323" ht="13.5" customHeight="1">
      <c r="B323" s="447"/>
    </row>
    <row r="324" ht="13.5" customHeight="1">
      <c r="B324" s="447"/>
    </row>
    <row r="325" ht="13.5" customHeight="1">
      <c r="B325" s="447"/>
    </row>
    <row r="326" ht="13.5" customHeight="1">
      <c r="B326" s="447"/>
    </row>
    <row r="327" ht="13.5" customHeight="1">
      <c r="B327" s="447"/>
    </row>
    <row r="328" ht="13.5" customHeight="1">
      <c r="B328" s="447"/>
    </row>
    <row r="329" ht="13.5" customHeight="1">
      <c r="B329" s="447"/>
    </row>
    <row r="330" ht="13.5" customHeight="1">
      <c r="B330" s="447"/>
    </row>
    <row r="331" ht="13.5" customHeight="1">
      <c r="B331" s="447"/>
    </row>
    <row r="332" ht="13.5" customHeight="1">
      <c r="B332" s="447"/>
    </row>
    <row r="333" ht="13.5" customHeight="1">
      <c r="B333" s="447"/>
    </row>
    <row r="334" ht="13.5" customHeight="1">
      <c r="B334" s="447"/>
    </row>
    <row r="335" ht="13.5" customHeight="1">
      <c r="B335" s="447"/>
    </row>
    <row r="336" ht="13.5" customHeight="1">
      <c r="B336" s="447"/>
    </row>
    <row r="337" ht="13.5" customHeight="1">
      <c r="B337" s="447"/>
    </row>
    <row r="338" ht="13.5" customHeight="1">
      <c r="B338" s="447"/>
    </row>
    <row r="339" ht="13.5" customHeight="1">
      <c r="B339" s="447"/>
    </row>
    <row r="340" ht="13.5" customHeight="1">
      <c r="B340" s="447"/>
    </row>
    <row r="341" ht="13.5" customHeight="1">
      <c r="B341" s="447"/>
    </row>
    <row r="342" ht="13.5" customHeight="1">
      <c r="B342" s="447"/>
    </row>
    <row r="343" ht="13.5" customHeight="1">
      <c r="B343" s="447"/>
    </row>
    <row r="344" ht="13.5" customHeight="1">
      <c r="B344" s="447"/>
    </row>
    <row r="345" ht="13.5" customHeight="1">
      <c r="B345" s="447"/>
    </row>
    <row r="346" ht="13.5" customHeight="1">
      <c r="B346" s="447"/>
    </row>
    <row r="347" ht="13.5" customHeight="1">
      <c r="B347" s="447"/>
    </row>
    <row r="348" ht="13.5" customHeight="1">
      <c r="B348" s="447"/>
    </row>
    <row r="349" ht="13.5" customHeight="1">
      <c r="B349" s="447"/>
    </row>
    <row r="350" ht="13.5" customHeight="1">
      <c r="B350" s="447"/>
    </row>
    <row r="351" ht="13.5" customHeight="1">
      <c r="B351" s="447"/>
    </row>
    <row r="352" ht="13.5" customHeight="1">
      <c r="B352" s="447"/>
    </row>
    <row r="353" ht="13.5" customHeight="1">
      <c r="B353" s="447"/>
    </row>
    <row r="354" ht="13.5" customHeight="1">
      <c r="B354" s="447"/>
    </row>
    <row r="355" ht="13.5" customHeight="1">
      <c r="B355" s="447"/>
    </row>
    <row r="356" ht="13.5" customHeight="1">
      <c r="B356" s="447"/>
    </row>
    <row r="357" ht="13.5" customHeight="1">
      <c r="B357" s="447"/>
    </row>
    <row r="358" ht="13.5" customHeight="1">
      <c r="B358" s="447"/>
    </row>
    <row r="359" ht="13.5" customHeight="1">
      <c r="B359" s="447"/>
    </row>
    <row r="360" ht="13.5" customHeight="1">
      <c r="B360" s="447"/>
    </row>
    <row r="361" ht="13.5" customHeight="1">
      <c r="B361" s="447"/>
    </row>
    <row r="362" ht="13.5" customHeight="1">
      <c r="B362" s="447"/>
    </row>
    <row r="363" ht="13.5" customHeight="1">
      <c r="B363" s="447"/>
    </row>
    <row r="364" ht="13.5" customHeight="1">
      <c r="B364" s="447"/>
    </row>
    <row r="365" ht="13.5" customHeight="1">
      <c r="B365" s="447"/>
    </row>
    <row r="366" ht="13.5" customHeight="1">
      <c r="B366" s="447"/>
    </row>
    <row r="367" ht="13.5" customHeight="1">
      <c r="B367" s="447"/>
    </row>
    <row r="368" ht="13.5" customHeight="1">
      <c r="B368" s="447"/>
    </row>
    <row r="369" ht="13.5" customHeight="1">
      <c r="B369" s="447"/>
    </row>
    <row r="370" ht="13.5" customHeight="1">
      <c r="B370" s="447"/>
    </row>
    <row r="371" ht="13.5" customHeight="1">
      <c r="B371" s="447"/>
    </row>
    <row r="372" ht="13.5" customHeight="1">
      <c r="B372" s="447"/>
    </row>
    <row r="373" ht="13.5" customHeight="1">
      <c r="B373" s="447"/>
    </row>
    <row r="374" ht="13.5" customHeight="1">
      <c r="B374" s="447"/>
    </row>
    <row r="375" ht="13.5" customHeight="1">
      <c r="B375" s="447"/>
    </row>
    <row r="376" ht="13.5" customHeight="1">
      <c r="B376" s="447"/>
    </row>
    <row r="377" ht="13.5" customHeight="1">
      <c r="B377" s="447"/>
    </row>
    <row r="378" ht="13.5" customHeight="1">
      <c r="B378" s="447"/>
    </row>
    <row r="379" ht="13.5" customHeight="1">
      <c r="B379" s="447"/>
    </row>
    <row r="380" ht="13.5" customHeight="1">
      <c r="B380" s="447"/>
    </row>
    <row r="381" ht="13.5" customHeight="1">
      <c r="B381" s="447"/>
    </row>
    <row r="382" ht="13.5" customHeight="1">
      <c r="B382" s="447"/>
    </row>
    <row r="383" ht="13.5" customHeight="1">
      <c r="B383" s="447"/>
    </row>
    <row r="384" ht="13.5" customHeight="1">
      <c r="B384" s="447"/>
    </row>
    <row r="385" ht="13.5" customHeight="1">
      <c r="B385" s="447"/>
    </row>
    <row r="386" ht="13.5" customHeight="1">
      <c r="B386" s="447"/>
    </row>
    <row r="387" ht="13.5" customHeight="1">
      <c r="B387" s="447"/>
    </row>
    <row r="388" ht="13.5" customHeight="1">
      <c r="B388" s="447"/>
    </row>
    <row r="389" ht="13.5" customHeight="1">
      <c r="B389" s="447"/>
    </row>
    <row r="390" ht="13.5" customHeight="1">
      <c r="B390" s="447"/>
    </row>
    <row r="391" ht="13.5" customHeight="1">
      <c r="B391" s="447"/>
    </row>
    <row r="392" ht="13.5" customHeight="1">
      <c r="B392" s="447"/>
    </row>
    <row r="393" ht="13.5" customHeight="1">
      <c r="B393" s="447"/>
    </row>
    <row r="394" ht="13.5" customHeight="1">
      <c r="B394" s="447"/>
    </row>
    <row r="395" ht="13.5" customHeight="1">
      <c r="B395" s="447"/>
    </row>
    <row r="396" ht="13.5" customHeight="1">
      <c r="B396" s="447"/>
    </row>
    <row r="397" ht="13.5" customHeight="1">
      <c r="B397" s="447"/>
    </row>
    <row r="398" ht="13.5" customHeight="1">
      <c r="B398" s="447"/>
    </row>
    <row r="399" ht="13.5" customHeight="1">
      <c r="B399" s="447"/>
    </row>
    <row r="400" ht="13.5" customHeight="1">
      <c r="B400" s="447"/>
    </row>
    <row r="401" ht="13.5" customHeight="1">
      <c r="B401" s="447"/>
    </row>
    <row r="402" ht="13.5" customHeight="1">
      <c r="B402" s="447"/>
    </row>
    <row r="403" ht="13.5" customHeight="1">
      <c r="B403" s="447"/>
    </row>
    <row r="404" ht="13.5" customHeight="1">
      <c r="B404" s="447"/>
    </row>
    <row r="405" ht="13.5" customHeight="1">
      <c r="B405" s="447"/>
    </row>
    <row r="406" ht="13.5" customHeight="1">
      <c r="B406" s="447"/>
    </row>
    <row r="407" ht="13.5" customHeight="1">
      <c r="B407" s="447"/>
    </row>
    <row r="408" ht="13.5" customHeight="1">
      <c r="B408" s="447"/>
    </row>
    <row r="409" ht="13.5" customHeight="1">
      <c r="B409" s="447"/>
    </row>
    <row r="410" ht="13.5" customHeight="1">
      <c r="B410" s="447"/>
    </row>
    <row r="411" ht="13.5" customHeight="1">
      <c r="B411" s="447"/>
    </row>
    <row r="412" ht="13.5" customHeight="1">
      <c r="B412" s="447"/>
    </row>
    <row r="413" ht="13.5" customHeight="1">
      <c r="B413" s="447"/>
    </row>
    <row r="414" ht="13.5" customHeight="1">
      <c r="B414" s="447"/>
    </row>
    <row r="415" ht="13.5" customHeight="1">
      <c r="B415" s="447"/>
    </row>
    <row r="416" ht="13.5" customHeight="1">
      <c r="B416" s="447"/>
    </row>
    <row r="417" ht="13.5" customHeight="1">
      <c r="B417" s="447"/>
    </row>
    <row r="418" ht="13.5" customHeight="1">
      <c r="B418" s="447"/>
    </row>
    <row r="419" ht="13.5" customHeight="1">
      <c r="B419" s="447"/>
    </row>
    <row r="420" ht="13.5" customHeight="1">
      <c r="B420" s="447"/>
    </row>
    <row r="421" ht="13.5" customHeight="1">
      <c r="B421" s="447"/>
    </row>
    <row r="422" ht="13.5" customHeight="1">
      <c r="B422" s="447"/>
    </row>
    <row r="423" ht="13.5" customHeight="1">
      <c r="B423" s="447"/>
    </row>
    <row r="424" ht="13.5" customHeight="1">
      <c r="B424" s="447"/>
    </row>
    <row r="425" ht="13.5" customHeight="1">
      <c r="B425" s="447"/>
    </row>
    <row r="426" ht="13.5" customHeight="1">
      <c r="B426" s="447"/>
    </row>
    <row r="427" ht="13.5" customHeight="1">
      <c r="B427" s="447"/>
    </row>
    <row r="428" ht="13.5" customHeight="1">
      <c r="B428" s="447"/>
    </row>
    <row r="429" ht="13.5" customHeight="1">
      <c r="B429" s="447"/>
    </row>
    <row r="430" ht="13.5" customHeight="1">
      <c r="B430" s="447"/>
    </row>
    <row r="431" ht="13.5" customHeight="1">
      <c r="B431" s="447"/>
    </row>
    <row r="432" ht="13.5" customHeight="1">
      <c r="B432" s="447"/>
    </row>
    <row r="433" ht="13.5" customHeight="1">
      <c r="B433" s="447"/>
    </row>
    <row r="434" ht="13.5" customHeight="1">
      <c r="B434" s="447"/>
    </row>
    <row r="435" ht="13.5" customHeight="1">
      <c r="B435" s="447"/>
    </row>
    <row r="436" ht="13.5" customHeight="1">
      <c r="B436" s="447"/>
    </row>
    <row r="437" ht="13.5" customHeight="1">
      <c r="B437" s="447"/>
    </row>
    <row r="438" ht="13.5" customHeight="1">
      <c r="B438" s="447"/>
    </row>
    <row r="439" ht="13.5" customHeight="1">
      <c r="B439" s="447"/>
    </row>
    <row r="440" ht="13.5" customHeight="1">
      <c r="B440" s="447"/>
    </row>
    <row r="441" ht="13.5" customHeight="1">
      <c r="B441" s="447"/>
    </row>
    <row r="442" ht="13.5" customHeight="1">
      <c r="B442" s="447"/>
    </row>
    <row r="443" ht="13.5" customHeight="1">
      <c r="B443" s="447"/>
    </row>
    <row r="444" ht="13.5" customHeight="1">
      <c r="B444" s="447"/>
    </row>
    <row r="445" ht="13.5" customHeight="1">
      <c r="B445" s="447"/>
    </row>
    <row r="446" ht="13.5" customHeight="1">
      <c r="B446" s="447"/>
    </row>
    <row r="447" ht="13.5" customHeight="1">
      <c r="B447" s="447"/>
    </row>
    <row r="448" ht="13.5" customHeight="1">
      <c r="B448" s="447"/>
    </row>
    <row r="449" ht="13.5" customHeight="1">
      <c r="B449" s="447"/>
    </row>
    <row r="450" ht="13.5" customHeight="1">
      <c r="B450" s="447"/>
    </row>
    <row r="451" ht="13.5" customHeight="1">
      <c r="B451" s="447"/>
    </row>
    <row r="452" ht="13.5" customHeight="1">
      <c r="B452" s="447"/>
    </row>
    <row r="453" ht="13.5" customHeight="1">
      <c r="B453" s="447"/>
    </row>
    <row r="454" ht="13.5" customHeight="1">
      <c r="B454" s="447"/>
    </row>
    <row r="455" ht="13.5" customHeight="1">
      <c r="B455" s="447"/>
    </row>
    <row r="456" ht="13.5" customHeight="1">
      <c r="B456" s="447"/>
    </row>
    <row r="457" ht="13.5" customHeight="1">
      <c r="B457" s="447"/>
    </row>
    <row r="458" ht="13.5" customHeight="1">
      <c r="B458" s="447"/>
    </row>
    <row r="459" ht="13.5" customHeight="1">
      <c r="B459" s="447"/>
    </row>
    <row r="460" ht="13.5" customHeight="1">
      <c r="B460" s="447"/>
    </row>
    <row r="461" ht="13.5" customHeight="1">
      <c r="B461" s="447"/>
    </row>
    <row r="462" ht="13.5" customHeight="1">
      <c r="B462" s="447"/>
    </row>
    <row r="463" ht="13.5" customHeight="1">
      <c r="B463" s="447"/>
    </row>
    <row r="464" ht="13.5" customHeight="1">
      <c r="B464" s="447"/>
    </row>
    <row r="465" ht="13.5" customHeight="1">
      <c r="B465" s="447"/>
    </row>
    <row r="466" ht="13.5" customHeight="1">
      <c r="B466" s="447"/>
    </row>
    <row r="467" ht="13.5" customHeight="1">
      <c r="B467" s="447"/>
    </row>
    <row r="468" ht="13.5" customHeight="1">
      <c r="B468" s="447"/>
    </row>
    <row r="469" ht="13.5" customHeight="1">
      <c r="B469" s="447"/>
    </row>
    <row r="470" ht="13.5" customHeight="1">
      <c r="B470" s="447"/>
    </row>
    <row r="471" ht="13.5" customHeight="1">
      <c r="B471" s="447"/>
    </row>
    <row r="472" ht="13.5" customHeight="1">
      <c r="B472" s="447"/>
    </row>
    <row r="473" ht="13.5" customHeight="1">
      <c r="B473" s="447"/>
    </row>
    <row r="474" ht="13.5" customHeight="1">
      <c r="B474" s="447"/>
    </row>
    <row r="475" ht="13.5" customHeight="1">
      <c r="B475" s="447"/>
    </row>
    <row r="476" ht="13.5" customHeight="1">
      <c r="B476" s="447"/>
    </row>
    <row r="477" ht="13.5" customHeight="1">
      <c r="B477" s="447"/>
    </row>
    <row r="478" ht="13.5" customHeight="1">
      <c r="B478" s="447"/>
    </row>
    <row r="479" ht="13.5" customHeight="1">
      <c r="B479" s="447"/>
    </row>
    <row r="480" ht="13.5" customHeight="1">
      <c r="B480" s="447"/>
    </row>
    <row r="481" ht="13.5" customHeight="1">
      <c r="B481" s="447"/>
    </row>
    <row r="482" ht="13.5" customHeight="1">
      <c r="B482" s="447"/>
    </row>
    <row r="483" ht="13.5" customHeight="1">
      <c r="B483" s="447"/>
    </row>
    <row r="484" ht="13.5" customHeight="1">
      <c r="B484" s="447"/>
    </row>
    <row r="485" ht="13.5" customHeight="1">
      <c r="B485" s="447"/>
    </row>
    <row r="486" ht="13.5" customHeight="1">
      <c r="B486" s="447"/>
    </row>
    <row r="487" ht="13.5" customHeight="1">
      <c r="B487" s="447"/>
    </row>
    <row r="488" ht="13.5" customHeight="1">
      <c r="B488" s="447"/>
    </row>
    <row r="489" ht="13.5" customHeight="1">
      <c r="B489" s="447"/>
    </row>
    <row r="490" ht="13.5" customHeight="1">
      <c r="B490" s="447"/>
    </row>
    <row r="491" ht="13.5" customHeight="1">
      <c r="B491" s="447"/>
    </row>
    <row r="492" ht="13.5" customHeight="1">
      <c r="B492" s="447"/>
    </row>
    <row r="493" ht="13.5" customHeight="1">
      <c r="B493" s="447"/>
    </row>
    <row r="494" ht="13.5" customHeight="1">
      <c r="B494" s="447"/>
    </row>
    <row r="495" ht="13.5" customHeight="1">
      <c r="B495" s="447"/>
    </row>
    <row r="496" ht="13.5" customHeight="1">
      <c r="B496" s="447"/>
    </row>
    <row r="497" ht="13.5" customHeight="1">
      <c r="B497" s="447"/>
    </row>
    <row r="498" ht="13.5" customHeight="1">
      <c r="B498" s="447"/>
    </row>
    <row r="499" ht="13.5" customHeight="1">
      <c r="B499" s="447"/>
    </row>
    <row r="500" ht="13.5" customHeight="1">
      <c r="B500" s="447"/>
    </row>
    <row r="501" ht="13.5" customHeight="1">
      <c r="B501" s="447"/>
    </row>
    <row r="502" ht="13.5" customHeight="1">
      <c r="B502" s="447"/>
    </row>
    <row r="503" ht="13.5" customHeight="1">
      <c r="B503" s="447"/>
    </row>
    <row r="504" ht="13.5" customHeight="1">
      <c r="B504" s="447"/>
    </row>
    <row r="505" ht="13.5" customHeight="1">
      <c r="B505" s="447"/>
    </row>
    <row r="506" ht="13.5" customHeight="1">
      <c r="B506" s="447"/>
    </row>
    <row r="507" ht="13.5" customHeight="1">
      <c r="B507" s="447"/>
    </row>
    <row r="508" ht="13.5" customHeight="1">
      <c r="B508" s="447"/>
    </row>
    <row r="509" ht="13.5" customHeight="1">
      <c r="B509" s="447"/>
    </row>
    <row r="510" ht="13.5" customHeight="1">
      <c r="B510" s="447"/>
    </row>
    <row r="511" ht="13.5" customHeight="1">
      <c r="B511" s="447"/>
    </row>
    <row r="512" ht="13.5" customHeight="1">
      <c r="B512" s="447"/>
    </row>
    <row r="513" ht="13.5" customHeight="1">
      <c r="B513" s="447"/>
    </row>
    <row r="514" ht="13.5" customHeight="1">
      <c r="B514" s="447"/>
    </row>
    <row r="515" ht="13.5" customHeight="1">
      <c r="B515" s="447"/>
    </row>
    <row r="516" ht="13.5" customHeight="1">
      <c r="B516" s="447"/>
    </row>
    <row r="517" ht="13.5" customHeight="1">
      <c r="B517" s="447"/>
    </row>
    <row r="518" ht="13.5" customHeight="1">
      <c r="B518" s="447"/>
    </row>
    <row r="519" ht="13.5" customHeight="1">
      <c r="B519" s="447"/>
    </row>
    <row r="520" ht="13.5" customHeight="1">
      <c r="B520" s="447"/>
    </row>
    <row r="521" ht="13.5" customHeight="1">
      <c r="B521" s="447"/>
    </row>
    <row r="522" ht="13.5" customHeight="1">
      <c r="B522" s="447"/>
    </row>
    <row r="523" ht="13.5" customHeight="1">
      <c r="B523" s="447"/>
    </row>
    <row r="524" ht="13.5" customHeight="1">
      <c r="B524" s="447"/>
    </row>
    <row r="525" ht="13.5" customHeight="1">
      <c r="B525" s="447"/>
    </row>
    <row r="526" ht="13.5" customHeight="1">
      <c r="B526" s="447"/>
    </row>
    <row r="527" ht="13.5" customHeight="1">
      <c r="B527" s="447"/>
    </row>
    <row r="528" ht="13.5" customHeight="1">
      <c r="B528" s="447"/>
    </row>
    <row r="529" ht="13.5" customHeight="1">
      <c r="B529" s="447"/>
    </row>
    <row r="530" ht="13.5" customHeight="1">
      <c r="B530" s="447"/>
    </row>
    <row r="531" ht="13.5" customHeight="1">
      <c r="B531" s="447"/>
    </row>
    <row r="532" ht="13.5" customHeight="1">
      <c r="B532" s="447"/>
    </row>
    <row r="533" ht="13.5" customHeight="1">
      <c r="B533" s="447"/>
    </row>
    <row r="534" ht="13.5" customHeight="1">
      <c r="B534" s="447"/>
    </row>
    <row r="535" ht="13.5" customHeight="1">
      <c r="B535" s="447"/>
    </row>
    <row r="536" ht="13.5" customHeight="1">
      <c r="B536" s="447"/>
    </row>
    <row r="537" ht="13.5" customHeight="1">
      <c r="B537" s="447"/>
    </row>
    <row r="538" ht="13.5" customHeight="1">
      <c r="B538" s="447"/>
    </row>
    <row r="539" ht="13.5" customHeight="1">
      <c r="B539" s="447"/>
    </row>
    <row r="540" ht="13.5" customHeight="1">
      <c r="B540" s="447"/>
    </row>
    <row r="541" ht="13.5" customHeight="1">
      <c r="B541" s="447"/>
    </row>
    <row r="542" ht="13.5" customHeight="1">
      <c r="B542" s="447"/>
    </row>
    <row r="543" ht="13.5" customHeight="1">
      <c r="B543" s="447"/>
    </row>
    <row r="544" ht="13.5" customHeight="1">
      <c r="B544" s="447"/>
    </row>
    <row r="545" ht="13.5" customHeight="1">
      <c r="B545" s="447"/>
    </row>
    <row r="546" ht="13.5" customHeight="1">
      <c r="B546" s="447"/>
    </row>
    <row r="547" ht="13.5" customHeight="1">
      <c r="B547" s="447"/>
    </row>
    <row r="548" ht="13.5" customHeight="1">
      <c r="B548" s="447"/>
    </row>
    <row r="549" ht="13.5" customHeight="1">
      <c r="B549" s="447"/>
    </row>
    <row r="550" ht="13.5" customHeight="1">
      <c r="B550" s="447"/>
    </row>
    <row r="551" ht="13.5" customHeight="1">
      <c r="B551" s="447"/>
    </row>
    <row r="552" ht="13.5" customHeight="1">
      <c r="B552" s="447"/>
    </row>
    <row r="553" ht="13.5" customHeight="1">
      <c r="B553" s="447"/>
    </row>
    <row r="554" ht="13.5" customHeight="1">
      <c r="B554" s="447"/>
    </row>
    <row r="555" ht="13.5" customHeight="1">
      <c r="B555" s="447"/>
    </row>
    <row r="556" ht="13.5" customHeight="1">
      <c r="B556" s="447"/>
    </row>
    <row r="557" ht="13.5" customHeight="1">
      <c r="B557" s="447"/>
    </row>
    <row r="558" ht="13.5" customHeight="1">
      <c r="B558" s="447"/>
    </row>
    <row r="559" ht="13.5" customHeight="1">
      <c r="B559" s="447"/>
    </row>
    <row r="560" ht="13.5" customHeight="1">
      <c r="B560" s="447"/>
    </row>
    <row r="561" ht="13.5" customHeight="1">
      <c r="B561" s="447"/>
    </row>
    <row r="562" ht="13.5" customHeight="1">
      <c r="B562" s="447"/>
    </row>
    <row r="563" ht="13.5" customHeight="1">
      <c r="B563" s="447"/>
    </row>
    <row r="564" ht="13.5" customHeight="1">
      <c r="B564" s="447"/>
    </row>
    <row r="565" ht="13.5" customHeight="1">
      <c r="B565" s="447"/>
    </row>
    <row r="566" ht="13.5" customHeight="1">
      <c r="B566" s="447"/>
    </row>
    <row r="567" ht="13.5" customHeight="1">
      <c r="B567" s="447"/>
    </row>
    <row r="568" ht="13.5" customHeight="1">
      <c r="B568" s="447"/>
    </row>
    <row r="569" ht="13.5" customHeight="1">
      <c r="B569" s="447"/>
    </row>
    <row r="570" ht="13.5" customHeight="1">
      <c r="B570" s="447"/>
    </row>
    <row r="571" ht="13.5" customHeight="1">
      <c r="B571" s="447"/>
    </row>
    <row r="572" ht="13.5" customHeight="1">
      <c r="B572" s="447"/>
    </row>
    <row r="573" ht="13.5" customHeight="1">
      <c r="B573" s="447"/>
    </row>
    <row r="574" ht="13.5" customHeight="1">
      <c r="B574" s="447"/>
    </row>
    <row r="575" ht="13.5" customHeight="1">
      <c r="B575" s="447"/>
    </row>
    <row r="576" ht="13.5" customHeight="1">
      <c r="B576" s="447"/>
    </row>
    <row r="577" ht="13.5" customHeight="1">
      <c r="B577" s="447"/>
    </row>
    <row r="578" ht="13.5" customHeight="1">
      <c r="B578" s="447"/>
    </row>
    <row r="579" ht="13.5" customHeight="1">
      <c r="B579" s="447"/>
    </row>
    <row r="580" ht="13.5" customHeight="1">
      <c r="B580" s="447"/>
    </row>
    <row r="581" ht="13.5" customHeight="1">
      <c r="B581" s="447"/>
    </row>
    <row r="582" ht="13.5" customHeight="1">
      <c r="B582" s="447"/>
    </row>
    <row r="583" ht="13.5" customHeight="1">
      <c r="B583" s="447"/>
    </row>
    <row r="584" ht="13.5" customHeight="1">
      <c r="B584" s="447"/>
    </row>
    <row r="585" ht="13.5" customHeight="1">
      <c r="B585" s="447"/>
    </row>
    <row r="586" ht="13.5" customHeight="1">
      <c r="B586" s="447"/>
    </row>
    <row r="587" ht="13.5" customHeight="1">
      <c r="B587" s="447"/>
    </row>
    <row r="588" ht="13.5" customHeight="1">
      <c r="B588" s="447"/>
    </row>
    <row r="589" ht="13.5" customHeight="1">
      <c r="B589" s="447"/>
    </row>
    <row r="590" ht="13.5" customHeight="1">
      <c r="B590" s="447"/>
    </row>
    <row r="591" ht="13.5" customHeight="1">
      <c r="B591" s="447"/>
    </row>
    <row r="592" ht="13.5" customHeight="1">
      <c r="B592" s="447"/>
    </row>
    <row r="593" ht="13.5" customHeight="1">
      <c r="B593" s="447"/>
    </row>
    <row r="594" ht="13.5" customHeight="1">
      <c r="B594" s="447"/>
    </row>
    <row r="595" ht="13.5" customHeight="1">
      <c r="B595" s="447"/>
    </row>
    <row r="596" ht="13.5" customHeight="1">
      <c r="B596" s="447"/>
    </row>
    <row r="597" ht="13.5" customHeight="1">
      <c r="B597" s="447"/>
    </row>
    <row r="598" ht="13.5" customHeight="1">
      <c r="B598" s="447"/>
    </row>
    <row r="599" ht="13.5" customHeight="1">
      <c r="B599" s="447"/>
    </row>
    <row r="600" ht="13.5" customHeight="1">
      <c r="B600" s="447"/>
    </row>
    <row r="601" ht="13.5" customHeight="1">
      <c r="B601" s="447"/>
    </row>
    <row r="602" ht="13.5" customHeight="1">
      <c r="B602" s="447"/>
    </row>
    <row r="603" ht="13.5" customHeight="1">
      <c r="B603" s="447"/>
    </row>
    <row r="604" ht="13.5" customHeight="1">
      <c r="B604" s="447"/>
    </row>
    <row r="605" ht="13.5" customHeight="1">
      <c r="B605" s="447"/>
    </row>
    <row r="606" ht="13.5" customHeight="1">
      <c r="B606" s="447"/>
    </row>
    <row r="607" ht="13.5" customHeight="1">
      <c r="B607" s="447"/>
    </row>
    <row r="608" ht="13.5" customHeight="1">
      <c r="B608" s="447"/>
    </row>
    <row r="609" ht="13.5" customHeight="1">
      <c r="B609" s="447"/>
    </row>
    <row r="610" ht="13.5" customHeight="1">
      <c r="B610" s="447"/>
    </row>
    <row r="611" ht="13.5" customHeight="1">
      <c r="B611" s="447"/>
    </row>
    <row r="612" ht="13.5" customHeight="1">
      <c r="B612" s="447"/>
    </row>
    <row r="613" ht="13.5" customHeight="1">
      <c r="B613" s="447"/>
    </row>
    <row r="614" ht="13.5" customHeight="1">
      <c r="B614" s="447"/>
    </row>
    <row r="615" ht="13.5" customHeight="1">
      <c r="B615" s="447"/>
    </row>
    <row r="616" ht="13.5" customHeight="1">
      <c r="B616" s="447"/>
    </row>
    <row r="617" ht="13.5" customHeight="1">
      <c r="B617" s="447"/>
    </row>
    <row r="618" ht="13.5" customHeight="1">
      <c r="B618" s="447"/>
    </row>
    <row r="619" ht="13.5" customHeight="1">
      <c r="B619" s="447"/>
    </row>
    <row r="620" ht="13.5" customHeight="1">
      <c r="B620" s="447"/>
    </row>
    <row r="621" ht="13.5" customHeight="1">
      <c r="B621" s="447"/>
    </row>
    <row r="622" ht="13.5" customHeight="1">
      <c r="B622" s="447"/>
    </row>
    <row r="623" ht="13.5" customHeight="1">
      <c r="B623" s="447"/>
    </row>
    <row r="624" ht="13.5" customHeight="1">
      <c r="B624" s="447"/>
    </row>
    <row r="625" ht="13.5" customHeight="1">
      <c r="B625" s="447"/>
    </row>
    <row r="626" ht="13.5" customHeight="1">
      <c r="B626" s="447"/>
    </row>
    <row r="627" ht="13.5" customHeight="1">
      <c r="B627" s="447"/>
    </row>
    <row r="628" ht="13.5" customHeight="1">
      <c r="B628" s="447"/>
    </row>
    <row r="629" ht="13.5" customHeight="1">
      <c r="B629" s="447"/>
    </row>
    <row r="630" ht="13.5" customHeight="1">
      <c r="B630" s="447"/>
    </row>
    <row r="631" ht="13.5" customHeight="1">
      <c r="B631" s="447"/>
    </row>
    <row r="632" ht="13.5" customHeight="1">
      <c r="B632" s="447"/>
    </row>
    <row r="633" ht="13.5" customHeight="1">
      <c r="B633" s="447"/>
    </row>
    <row r="634" ht="13.5" customHeight="1">
      <c r="B634" s="447"/>
    </row>
    <row r="635" ht="13.5" customHeight="1">
      <c r="B635" s="447"/>
    </row>
    <row r="636" ht="13.5" customHeight="1">
      <c r="B636" s="447"/>
    </row>
    <row r="637" ht="13.5" customHeight="1">
      <c r="B637" s="447"/>
    </row>
    <row r="638" ht="13.5" customHeight="1">
      <c r="B638" s="447"/>
    </row>
    <row r="639" ht="13.5" customHeight="1">
      <c r="B639" s="447"/>
    </row>
    <row r="640" ht="13.5" customHeight="1">
      <c r="B640" s="447"/>
    </row>
    <row r="641" ht="13.5" customHeight="1">
      <c r="B641" s="447"/>
    </row>
    <row r="642" ht="13.5" customHeight="1">
      <c r="B642" s="447"/>
    </row>
    <row r="643" ht="13.5" customHeight="1">
      <c r="B643" s="447"/>
    </row>
    <row r="644" ht="13.5" customHeight="1">
      <c r="B644" s="447"/>
    </row>
    <row r="645" ht="13.5" customHeight="1">
      <c r="B645" s="447"/>
    </row>
    <row r="646" ht="13.5" customHeight="1">
      <c r="B646" s="447"/>
    </row>
    <row r="647" ht="13.5" customHeight="1">
      <c r="B647" s="447"/>
    </row>
    <row r="648" ht="13.5" customHeight="1">
      <c r="B648" s="447"/>
    </row>
    <row r="649" ht="13.5" customHeight="1">
      <c r="B649" s="447"/>
    </row>
    <row r="650" ht="13.5" customHeight="1">
      <c r="B650" s="447"/>
    </row>
    <row r="651" ht="13.5" customHeight="1">
      <c r="B651" s="447"/>
    </row>
    <row r="652" ht="13.5" customHeight="1">
      <c r="B652" s="447"/>
    </row>
    <row r="653" ht="13.5" customHeight="1">
      <c r="B653" s="447"/>
    </row>
    <row r="654" ht="13.5" customHeight="1">
      <c r="B654" s="447"/>
    </row>
    <row r="655" ht="13.5" customHeight="1">
      <c r="B655" s="447"/>
    </row>
    <row r="656" ht="13.5" customHeight="1">
      <c r="B656" s="447"/>
    </row>
    <row r="657" ht="13.5" customHeight="1">
      <c r="B657" s="447"/>
    </row>
    <row r="658" ht="13.5" customHeight="1">
      <c r="B658" s="447"/>
    </row>
    <row r="659" ht="13.5" customHeight="1">
      <c r="B659" s="447"/>
    </row>
    <row r="660" ht="13.5" customHeight="1">
      <c r="B660" s="447"/>
    </row>
    <row r="661" ht="13.5" customHeight="1">
      <c r="B661" s="447"/>
    </row>
    <row r="662" ht="13.5" customHeight="1">
      <c r="B662" s="447"/>
    </row>
    <row r="663" ht="13.5" customHeight="1">
      <c r="B663" s="447"/>
    </row>
    <row r="664" ht="13.5" customHeight="1">
      <c r="B664" s="447"/>
    </row>
    <row r="665" ht="13.5" customHeight="1">
      <c r="B665" s="447"/>
    </row>
    <row r="666" ht="13.5" customHeight="1">
      <c r="B666" s="447"/>
    </row>
    <row r="667" ht="13.5" customHeight="1">
      <c r="B667" s="447"/>
    </row>
    <row r="668" ht="13.5" customHeight="1">
      <c r="B668" s="447"/>
    </row>
    <row r="669" ht="13.5" customHeight="1">
      <c r="B669" s="447"/>
    </row>
    <row r="670" ht="13.5" customHeight="1">
      <c r="B670" s="447"/>
    </row>
    <row r="671" ht="13.5" customHeight="1">
      <c r="B671" s="447"/>
    </row>
    <row r="672" ht="13.5" customHeight="1">
      <c r="B672" s="447"/>
    </row>
    <row r="673" ht="13.5" customHeight="1">
      <c r="B673" s="447"/>
    </row>
    <row r="674" ht="13.5" customHeight="1">
      <c r="B674" s="447"/>
    </row>
    <row r="675" ht="13.5" customHeight="1">
      <c r="B675" s="447"/>
    </row>
    <row r="676" ht="13.5" customHeight="1">
      <c r="B676" s="447"/>
    </row>
    <row r="677" ht="13.5" customHeight="1">
      <c r="B677" s="447"/>
    </row>
    <row r="678" ht="13.5" customHeight="1">
      <c r="B678" s="447"/>
    </row>
    <row r="679" ht="13.5" customHeight="1">
      <c r="B679" s="447"/>
    </row>
    <row r="680" ht="13.5" customHeight="1">
      <c r="B680" s="447"/>
    </row>
    <row r="681" ht="13.5" customHeight="1">
      <c r="B681" s="447"/>
    </row>
    <row r="682" ht="13.5" customHeight="1">
      <c r="B682" s="447"/>
    </row>
    <row r="683" ht="13.5" customHeight="1">
      <c r="B683" s="447"/>
    </row>
    <row r="684" ht="13.5" customHeight="1">
      <c r="B684" s="447"/>
    </row>
    <row r="685" ht="13.5" customHeight="1">
      <c r="B685" s="447"/>
    </row>
    <row r="686" ht="13.5" customHeight="1">
      <c r="B686" s="447"/>
    </row>
    <row r="687" ht="13.5" customHeight="1">
      <c r="B687" s="447"/>
    </row>
    <row r="688" ht="13.5" customHeight="1">
      <c r="B688" s="447"/>
    </row>
    <row r="689" ht="13.5" customHeight="1">
      <c r="B689" s="447"/>
    </row>
    <row r="690" ht="13.5" customHeight="1">
      <c r="B690" s="447"/>
    </row>
    <row r="691" ht="13.5" customHeight="1">
      <c r="B691" s="447"/>
    </row>
    <row r="692" ht="13.5" customHeight="1">
      <c r="B692" s="447"/>
    </row>
  </sheetData>
  <mergeCells count="17">
    <mergeCell ref="A5:A6"/>
    <mergeCell ref="B5:B6"/>
    <mergeCell ref="C5:C6"/>
    <mergeCell ref="D5:D6"/>
    <mergeCell ref="E5:E6"/>
    <mergeCell ref="F5:F6"/>
    <mergeCell ref="G5:G6"/>
    <mergeCell ref="M26:M28"/>
    <mergeCell ref="M30:M31"/>
    <mergeCell ref="B50:K50"/>
    <mergeCell ref="H5:H6"/>
    <mergeCell ref="I5:I6"/>
    <mergeCell ref="J5:J6"/>
    <mergeCell ref="K5:K6"/>
    <mergeCell ref="L5:L6"/>
    <mergeCell ref="M14:M16"/>
    <mergeCell ref="M18:M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5"/>
    <col customWidth="1" min="2" max="2" width="41.75"/>
    <col customWidth="1" min="3" max="6" width="5.88"/>
    <col customWidth="1" min="7" max="7" width="8.0"/>
    <col customWidth="1" min="8" max="8" width="7.25"/>
    <col customWidth="1" min="9" max="9" width="7.38"/>
    <col customWidth="1" min="10" max="10" width="5.0"/>
    <col customWidth="1" min="11" max="11" width="7.25"/>
    <col customWidth="1" min="12" max="12" width="11.5"/>
    <col customWidth="1" min="13" max="13" width="9.0"/>
    <col customWidth="1" min="14" max="16" width="7.63"/>
    <col customWidth="1" min="17" max="18" width="12.63"/>
    <col customWidth="1" min="19" max="19" width="7.63"/>
    <col customWidth="1" min="20" max="20" width="9.13"/>
    <col customWidth="1" min="21" max="21" width="7.63"/>
    <col customWidth="1" min="22" max="41" width="12.63"/>
  </cols>
  <sheetData>
    <row r="1" ht="13.5" customHeight="1">
      <c r="A1" s="450" t="s">
        <v>28</v>
      </c>
      <c r="B1" s="450" t="s">
        <v>222</v>
      </c>
      <c r="C1" s="450" t="s">
        <v>737</v>
      </c>
      <c r="D1" s="450" t="s">
        <v>674</v>
      </c>
      <c r="E1" s="450" t="s">
        <v>675</v>
      </c>
      <c r="F1" s="450" t="s">
        <v>676</v>
      </c>
      <c r="G1" s="450" t="s">
        <v>737</v>
      </c>
      <c r="H1" s="450" t="s">
        <v>674</v>
      </c>
      <c r="I1" s="450" t="s">
        <v>676</v>
      </c>
      <c r="J1" s="451"/>
      <c r="K1" s="451"/>
      <c r="L1" s="450" t="s">
        <v>679</v>
      </c>
      <c r="M1" s="452"/>
      <c r="N1" s="368"/>
      <c r="O1" s="368"/>
      <c r="P1" s="368"/>
      <c r="Q1" s="453"/>
      <c r="R1" s="453"/>
      <c r="S1" s="452"/>
      <c r="T1" s="452" t="s">
        <v>680</v>
      </c>
      <c r="U1" s="452"/>
      <c r="V1" s="453"/>
      <c r="W1" s="453"/>
      <c r="X1" s="453"/>
      <c r="Y1" s="453"/>
      <c r="Z1" s="453"/>
      <c r="AA1" s="453"/>
      <c r="AB1" s="453"/>
      <c r="AC1" s="453"/>
      <c r="AD1" s="453"/>
      <c r="AE1" s="453"/>
      <c r="AF1" s="453"/>
      <c r="AG1" s="453"/>
      <c r="AH1" s="453"/>
      <c r="AI1" s="453"/>
      <c r="AJ1" s="453"/>
      <c r="AK1" s="453"/>
      <c r="AL1" s="453"/>
      <c r="AM1" s="453"/>
      <c r="AN1" s="453"/>
      <c r="AO1" s="453"/>
    </row>
    <row r="2" ht="13.5" customHeight="1">
      <c r="A2" s="454"/>
      <c r="B2" s="455" t="s">
        <v>904</v>
      </c>
      <c r="C2" s="454"/>
      <c r="D2" s="454"/>
      <c r="E2" s="454"/>
      <c r="F2" s="454"/>
      <c r="G2" s="454"/>
      <c r="H2" s="454"/>
      <c r="I2" s="454"/>
      <c r="J2" s="456" t="s">
        <v>34</v>
      </c>
      <c r="K2" s="456" t="s">
        <v>678</v>
      </c>
      <c r="L2" s="454"/>
      <c r="M2" s="452"/>
      <c r="N2" s="368"/>
      <c r="O2" s="368"/>
      <c r="P2" s="368"/>
      <c r="Q2" s="453"/>
      <c r="R2" s="453"/>
      <c r="S2" s="452"/>
      <c r="T2" s="452"/>
      <c r="U2" s="293"/>
      <c r="V2" s="453"/>
      <c r="W2" s="453"/>
      <c r="X2" s="453"/>
      <c r="Y2" s="453"/>
      <c r="Z2" s="453"/>
      <c r="AA2" s="453"/>
      <c r="AB2" s="453"/>
      <c r="AC2" s="453"/>
      <c r="AD2" s="453"/>
      <c r="AE2" s="453"/>
      <c r="AF2" s="453"/>
      <c r="AG2" s="453"/>
      <c r="AH2" s="453"/>
      <c r="AI2" s="453"/>
      <c r="AJ2" s="453"/>
      <c r="AK2" s="453"/>
      <c r="AL2" s="453"/>
      <c r="AM2" s="453"/>
      <c r="AN2" s="453"/>
      <c r="AO2" s="453"/>
    </row>
    <row r="3" ht="13.5" customHeight="1">
      <c r="A3" s="454"/>
      <c r="B3" s="455" t="s">
        <v>905</v>
      </c>
      <c r="C3" s="457"/>
      <c r="D3" s="457"/>
      <c r="E3" s="457"/>
      <c r="F3" s="457"/>
      <c r="G3" s="457"/>
      <c r="H3" s="457"/>
      <c r="I3" s="457"/>
      <c r="J3" s="457"/>
      <c r="K3" s="457"/>
      <c r="L3" s="457"/>
      <c r="M3" s="452"/>
      <c r="N3" s="368"/>
      <c r="O3" s="368"/>
      <c r="P3" s="368"/>
      <c r="Q3" s="453"/>
      <c r="R3" s="453"/>
      <c r="S3" s="452"/>
      <c r="T3" s="452"/>
      <c r="U3" s="293"/>
      <c r="V3" s="453"/>
      <c r="W3" s="453"/>
      <c r="X3" s="453"/>
      <c r="Y3" s="453"/>
      <c r="Z3" s="453"/>
      <c r="AA3" s="453"/>
      <c r="AB3" s="453"/>
      <c r="AC3" s="453"/>
      <c r="AD3" s="453"/>
      <c r="AE3" s="453"/>
      <c r="AF3" s="453"/>
      <c r="AG3" s="453"/>
      <c r="AH3" s="453"/>
      <c r="AI3" s="453"/>
      <c r="AJ3" s="453"/>
      <c r="AK3" s="453"/>
      <c r="AL3" s="453"/>
      <c r="AM3" s="453"/>
      <c r="AN3" s="453"/>
      <c r="AO3" s="453"/>
    </row>
    <row r="4" ht="13.5" customHeight="1">
      <c r="A4" s="458"/>
      <c r="B4" s="459" t="s">
        <v>906</v>
      </c>
      <c r="C4" s="460"/>
      <c r="D4" s="460"/>
      <c r="E4" s="460"/>
      <c r="F4" s="460"/>
      <c r="G4" s="460"/>
      <c r="H4" s="460"/>
      <c r="I4" s="460"/>
      <c r="J4" s="460"/>
      <c r="K4" s="460"/>
      <c r="L4" s="460"/>
      <c r="M4" s="452"/>
      <c r="N4" s="368"/>
      <c r="O4" s="368"/>
      <c r="P4" s="368"/>
      <c r="Q4" s="453"/>
      <c r="R4" s="453"/>
      <c r="S4" s="452"/>
      <c r="T4" s="452"/>
      <c r="U4" s="293"/>
      <c r="V4" s="453"/>
      <c r="W4" s="453"/>
      <c r="X4" s="453"/>
      <c r="Y4" s="453"/>
      <c r="Z4" s="453"/>
      <c r="AA4" s="453"/>
      <c r="AB4" s="453"/>
      <c r="AC4" s="453"/>
      <c r="AD4" s="453"/>
      <c r="AE4" s="453"/>
      <c r="AF4" s="453"/>
      <c r="AG4" s="453"/>
      <c r="AH4" s="453"/>
      <c r="AI4" s="453"/>
      <c r="AJ4" s="453"/>
      <c r="AK4" s="453"/>
      <c r="AL4" s="453"/>
      <c r="AM4" s="453"/>
      <c r="AN4" s="453"/>
      <c r="AO4" s="453"/>
    </row>
    <row r="5" ht="13.5" customHeight="1">
      <c r="A5" s="458"/>
      <c r="B5" s="461" t="str">
        <f>Premium!I24</f>
        <v>Supply and installation of Ledge with 25mm Ledge BWP and Smooth Finish Laminate</v>
      </c>
      <c r="C5" s="462">
        <v>6.0</v>
      </c>
      <c r="D5" s="462">
        <v>1.0</v>
      </c>
      <c r="E5" s="463">
        <f t="shared" ref="E5:E6" si="1">C5*D5</f>
        <v>6</v>
      </c>
      <c r="F5" s="464" t="s">
        <v>683</v>
      </c>
      <c r="G5" s="462">
        <v>1800.0</v>
      </c>
      <c r="H5" s="462">
        <v>300.0</v>
      </c>
      <c r="I5" s="465" t="s">
        <v>684</v>
      </c>
      <c r="J5" s="466">
        <f>Premium!O24</f>
        <v>1093.75</v>
      </c>
      <c r="K5" s="466">
        <v>1.0</v>
      </c>
      <c r="L5" s="467">
        <f t="shared" ref="L5:L6" si="2">K5*J5*E5</f>
        <v>6562.5</v>
      </c>
      <c r="M5" s="452"/>
      <c r="N5" s="437"/>
      <c r="O5" s="437"/>
      <c r="P5" s="437"/>
      <c r="Q5" s="468"/>
      <c r="R5" s="468"/>
      <c r="S5" s="452"/>
      <c r="T5" s="452"/>
      <c r="U5" s="452"/>
      <c r="V5" s="468"/>
      <c r="W5" s="468"/>
      <c r="X5" s="468"/>
      <c r="Y5" s="468"/>
      <c r="Z5" s="468"/>
      <c r="AA5" s="468"/>
      <c r="AB5" s="468"/>
      <c r="AC5" s="468"/>
      <c r="AD5" s="468"/>
      <c r="AE5" s="468"/>
      <c r="AF5" s="468"/>
      <c r="AG5" s="468"/>
      <c r="AH5" s="468"/>
      <c r="AI5" s="468"/>
      <c r="AJ5" s="468"/>
      <c r="AK5" s="468"/>
      <c r="AL5" s="468"/>
      <c r="AM5" s="468"/>
      <c r="AN5" s="468"/>
      <c r="AO5" s="468"/>
    </row>
    <row r="6" ht="13.5" customHeight="1">
      <c r="A6" s="458"/>
      <c r="B6" s="461" t="str">
        <f>Premium!I3</f>
        <v>Supply and installation of Base storage unit  with BWP Carcass, HDHMR Boilo Shutter, Smooth finish laminate and soft close hinges  </v>
      </c>
      <c r="C6" s="458">
        <v>3.7</v>
      </c>
      <c r="D6" s="458">
        <v>2.0</v>
      </c>
      <c r="E6" s="469">
        <f t="shared" si="1"/>
        <v>7.4</v>
      </c>
      <c r="F6" s="470" t="s">
        <v>683</v>
      </c>
      <c r="G6" s="458">
        <v>1110.0</v>
      </c>
      <c r="H6" s="458">
        <v>825.0</v>
      </c>
      <c r="I6" s="471" t="s">
        <v>684</v>
      </c>
      <c r="J6" s="472">
        <f>Premium!O3</f>
        <v>2143.75</v>
      </c>
      <c r="K6" s="466">
        <v>1.0</v>
      </c>
      <c r="L6" s="467">
        <f t="shared" si="2"/>
        <v>15863.75</v>
      </c>
      <c r="M6" s="452"/>
      <c r="N6" s="368"/>
      <c r="O6" s="368"/>
      <c r="P6" s="368"/>
      <c r="Q6" s="369"/>
      <c r="R6" s="369"/>
      <c r="S6" s="452"/>
      <c r="T6" s="452"/>
      <c r="U6" s="452"/>
      <c r="V6" s="369"/>
      <c r="W6" s="369"/>
      <c r="X6" s="369"/>
      <c r="Y6" s="369"/>
      <c r="Z6" s="369"/>
      <c r="AA6" s="369"/>
      <c r="AB6" s="369"/>
      <c r="AC6" s="369"/>
      <c r="AD6" s="369"/>
      <c r="AE6" s="369"/>
      <c r="AF6" s="369"/>
      <c r="AG6" s="369"/>
      <c r="AH6" s="369"/>
      <c r="AI6" s="369"/>
      <c r="AJ6" s="369"/>
      <c r="AK6" s="369"/>
      <c r="AL6" s="369"/>
      <c r="AM6" s="369"/>
      <c r="AN6" s="369"/>
      <c r="AO6" s="369"/>
    </row>
    <row r="7" ht="13.5" customHeight="1">
      <c r="A7" s="458"/>
      <c r="B7" s="473" t="s">
        <v>907</v>
      </c>
      <c r="C7" s="460"/>
      <c r="D7" s="460"/>
      <c r="E7" s="460"/>
      <c r="F7" s="460"/>
      <c r="G7" s="460"/>
      <c r="H7" s="460"/>
      <c r="I7" s="460"/>
      <c r="J7" s="460"/>
      <c r="K7" s="460"/>
      <c r="L7" s="460"/>
      <c r="M7" s="452"/>
      <c r="N7" s="368"/>
      <c r="O7" s="368"/>
      <c r="P7" s="368"/>
      <c r="Q7" s="369"/>
      <c r="R7" s="369"/>
      <c r="S7" s="452"/>
      <c r="T7" s="452"/>
      <c r="U7" s="452"/>
      <c r="V7" s="369"/>
      <c r="W7" s="369"/>
      <c r="X7" s="369"/>
      <c r="Y7" s="369"/>
      <c r="Z7" s="369"/>
      <c r="AA7" s="369"/>
      <c r="AB7" s="369"/>
      <c r="AC7" s="369"/>
      <c r="AD7" s="369"/>
      <c r="AE7" s="369"/>
      <c r="AF7" s="369"/>
      <c r="AG7" s="369"/>
      <c r="AH7" s="369"/>
      <c r="AI7" s="369"/>
      <c r="AJ7" s="369"/>
      <c r="AK7" s="369"/>
      <c r="AL7" s="369"/>
      <c r="AM7" s="369"/>
      <c r="AN7" s="369"/>
      <c r="AO7" s="369"/>
    </row>
    <row r="8" ht="13.5" customHeight="1">
      <c r="A8" s="458"/>
      <c r="B8" s="461" t="str">
        <f>Premium!I3</f>
        <v>Supply and installation of Base storage unit  with BWP Carcass, HDHMR Boilo Shutter, Smooth finish laminate and soft close hinges  </v>
      </c>
      <c r="C8" s="458">
        <v>3.0</v>
      </c>
      <c r="D8" s="458">
        <v>5.0</v>
      </c>
      <c r="E8" s="469">
        <f t="shared" ref="E8:E11" si="3">C8*D8</f>
        <v>15</v>
      </c>
      <c r="F8" s="470" t="s">
        <v>683</v>
      </c>
      <c r="G8" s="458">
        <v>900.0</v>
      </c>
      <c r="H8" s="458">
        <v>1500.0</v>
      </c>
      <c r="I8" s="471" t="s">
        <v>684</v>
      </c>
      <c r="J8" s="472">
        <f>Premium!O3</f>
        <v>2143.75</v>
      </c>
      <c r="K8" s="466">
        <v>1.0</v>
      </c>
      <c r="L8" s="467">
        <f t="shared" ref="L8:L11" si="4">K8*J8*E8</f>
        <v>32156.25</v>
      </c>
      <c r="M8" s="452"/>
      <c r="N8" s="368"/>
      <c r="O8" s="368"/>
      <c r="P8" s="368"/>
      <c r="Q8" s="369"/>
      <c r="R8" s="369"/>
      <c r="S8" s="452"/>
      <c r="T8" s="452"/>
      <c r="U8" s="452"/>
      <c r="V8" s="369"/>
      <c r="W8" s="369"/>
      <c r="X8" s="369"/>
      <c r="Y8" s="369"/>
      <c r="Z8" s="369"/>
      <c r="AA8" s="369"/>
      <c r="AB8" s="369"/>
      <c r="AC8" s="369"/>
      <c r="AD8" s="369"/>
      <c r="AE8" s="369"/>
      <c r="AF8" s="369"/>
      <c r="AG8" s="369"/>
      <c r="AH8" s="369"/>
      <c r="AI8" s="369"/>
      <c r="AJ8" s="369"/>
      <c r="AK8" s="369"/>
      <c r="AL8" s="369"/>
      <c r="AM8" s="369"/>
      <c r="AN8" s="369"/>
      <c r="AO8" s="369"/>
    </row>
    <row r="9" ht="13.5" customHeight="1">
      <c r="A9" s="458"/>
      <c r="B9" s="461" t="str">
        <f>Premium!I19</f>
        <v>Supply and installation of Curved Base storage unit  with BWP Carcass, HDHMR Boilo Shutter, Smooth finish laminate and soft close hinges  </v>
      </c>
      <c r="C9" s="458">
        <v>3.5</v>
      </c>
      <c r="D9" s="458">
        <v>2.75</v>
      </c>
      <c r="E9" s="469">
        <f t="shared" si="3"/>
        <v>9.625</v>
      </c>
      <c r="F9" s="470" t="s">
        <v>683</v>
      </c>
      <c r="G9" s="458">
        <v>1050.0</v>
      </c>
      <c r="H9" s="458">
        <v>825.0</v>
      </c>
      <c r="I9" s="471" t="s">
        <v>684</v>
      </c>
      <c r="J9" s="472">
        <f>Premium!O19</f>
        <v>2581.25</v>
      </c>
      <c r="K9" s="466">
        <v>1.0</v>
      </c>
      <c r="L9" s="467">
        <f t="shared" si="4"/>
        <v>24844.53125</v>
      </c>
      <c r="M9" s="452"/>
      <c r="N9" s="368"/>
      <c r="O9" s="368"/>
      <c r="P9" s="368"/>
      <c r="Q9" s="369"/>
      <c r="R9" s="369"/>
      <c r="S9" s="452"/>
      <c r="T9" s="452"/>
      <c r="U9" s="452"/>
      <c r="V9" s="369"/>
      <c r="W9" s="369"/>
      <c r="X9" s="369"/>
      <c r="Y9" s="369"/>
      <c r="Z9" s="369"/>
      <c r="AA9" s="369"/>
      <c r="AB9" s="369"/>
      <c r="AC9" s="369"/>
      <c r="AD9" s="369"/>
      <c r="AE9" s="369"/>
      <c r="AF9" s="369"/>
      <c r="AG9" s="369"/>
      <c r="AH9" s="369"/>
      <c r="AI9" s="369"/>
      <c r="AJ9" s="369"/>
      <c r="AK9" s="369"/>
      <c r="AL9" s="369"/>
      <c r="AM9" s="369"/>
      <c r="AN9" s="369"/>
      <c r="AO9" s="369"/>
    </row>
    <row r="10" ht="13.5" customHeight="1">
      <c r="A10" s="458"/>
      <c r="B10" s="461" t="str">
        <f>Premium!I29</f>
        <v>Supply and installation of Wall Panel with BWP Ply Frame, Smooth Finish laminate </v>
      </c>
      <c r="C10" s="458">
        <v>4.5</v>
      </c>
      <c r="D10" s="458">
        <v>7.0</v>
      </c>
      <c r="E10" s="469">
        <f t="shared" si="3"/>
        <v>31.5</v>
      </c>
      <c r="F10" s="470" t="s">
        <v>683</v>
      </c>
      <c r="G10" s="458">
        <v>1350.0</v>
      </c>
      <c r="H10" s="458">
        <v>2100.0</v>
      </c>
      <c r="I10" s="471" t="s">
        <v>684</v>
      </c>
      <c r="J10" s="472">
        <f>Premium!O29</f>
        <v>1312.5</v>
      </c>
      <c r="K10" s="466">
        <v>1.0</v>
      </c>
      <c r="L10" s="467">
        <f t="shared" si="4"/>
        <v>41343.75</v>
      </c>
      <c r="M10" s="452"/>
      <c r="N10" s="368"/>
      <c r="O10" s="368"/>
      <c r="P10" s="368"/>
      <c r="Q10" s="369"/>
      <c r="R10" s="369"/>
      <c r="S10" s="452"/>
      <c r="T10" s="452"/>
      <c r="U10" s="452"/>
      <c r="V10" s="369"/>
      <c r="W10" s="369"/>
      <c r="X10" s="369"/>
      <c r="Y10" s="369"/>
      <c r="Z10" s="369"/>
      <c r="AA10" s="369"/>
      <c r="AB10" s="369"/>
      <c r="AC10" s="369"/>
      <c r="AD10" s="369"/>
      <c r="AE10" s="369"/>
      <c r="AF10" s="369"/>
      <c r="AG10" s="369"/>
      <c r="AH10" s="369"/>
      <c r="AI10" s="369"/>
      <c r="AJ10" s="369"/>
      <c r="AK10" s="369"/>
      <c r="AL10" s="369"/>
      <c r="AM10" s="369"/>
      <c r="AN10" s="369"/>
      <c r="AO10" s="369"/>
    </row>
    <row r="11" ht="13.5" customHeight="1">
      <c r="A11" s="458"/>
      <c r="B11" s="461" t="str">
        <f>Premium!I35</f>
        <v/>
      </c>
      <c r="C11" s="458">
        <v>9.0</v>
      </c>
      <c r="D11" s="458">
        <v>9.0</v>
      </c>
      <c r="E11" s="469">
        <f t="shared" si="3"/>
        <v>81</v>
      </c>
      <c r="F11" s="470" t="s">
        <v>683</v>
      </c>
      <c r="G11" s="458">
        <v>2700.0</v>
      </c>
      <c r="H11" s="458">
        <v>2700.0</v>
      </c>
      <c r="I11" s="471" t="s">
        <v>684</v>
      </c>
      <c r="J11" s="472">
        <f>Premium!O29</f>
        <v>1312.5</v>
      </c>
      <c r="K11" s="466">
        <v>1.0</v>
      </c>
      <c r="L11" s="467">
        <f t="shared" si="4"/>
        <v>106312.5</v>
      </c>
      <c r="M11" s="452"/>
      <c r="N11" s="368"/>
      <c r="O11" s="368"/>
      <c r="P11" s="368"/>
      <c r="Q11" s="369"/>
      <c r="R11" s="369"/>
      <c r="S11" s="452"/>
      <c r="T11" s="452"/>
      <c r="U11" s="452"/>
      <c r="V11" s="369"/>
      <c r="W11" s="369"/>
      <c r="X11" s="369"/>
      <c r="Y11" s="369"/>
      <c r="Z11" s="369"/>
      <c r="AA11" s="369"/>
      <c r="AB11" s="369"/>
      <c r="AC11" s="369"/>
      <c r="AD11" s="369"/>
      <c r="AE11" s="369"/>
      <c r="AF11" s="369"/>
      <c r="AG11" s="369"/>
      <c r="AH11" s="369"/>
      <c r="AI11" s="369"/>
      <c r="AJ11" s="369"/>
      <c r="AK11" s="369"/>
      <c r="AL11" s="369"/>
      <c r="AM11" s="369"/>
      <c r="AN11" s="369"/>
      <c r="AO11" s="369"/>
    </row>
    <row r="12" ht="13.5" customHeight="1">
      <c r="A12" s="458"/>
      <c r="B12" s="473" t="s">
        <v>833</v>
      </c>
      <c r="C12" s="460"/>
      <c r="D12" s="460"/>
      <c r="E12" s="460"/>
      <c r="F12" s="460"/>
      <c r="G12" s="460"/>
      <c r="H12" s="460"/>
      <c r="I12" s="460"/>
      <c r="J12" s="460"/>
      <c r="K12" s="460"/>
      <c r="L12" s="460"/>
      <c r="M12" s="452"/>
      <c r="N12" s="368"/>
      <c r="O12" s="368"/>
      <c r="P12" s="368"/>
      <c r="Q12" s="369"/>
      <c r="R12" s="369"/>
      <c r="S12" s="452"/>
      <c r="T12" s="452"/>
      <c r="U12" s="452"/>
      <c r="V12" s="369"/>
      <c r="W12" s="369"/>
      <c r="X12" s="369"/>
      <c r="Y12" s="369"/>
      <c r="Z12" s="369"/>
      <c r="AA12" s="369"/>
      <c r="AB12" s="369"/>
      <c r="AC12" s="369"/>
      <c r="AD12" s="369"/>
      <c r="AE12" s="369"/>
      <c r="AF12" s="369"/>
      <c r="AG12" s="369"/>
      <c r="AH12" s="369"/>
      <c r="AI12" s="369"/>
      <c r="AJ12" s="369"/>
      <c r="AK12" s="369"/>
      <c r="AL12" s="369"/>
      <c r="AM12" s="369"/>
      <c r="AN12" s="369"/>
      <c r="AO12" s="369"/>
    </row>
    <row r="13" ht="13.5" customHeight="1">
      <c r="A13" s="458"/>
      <c r="B13" s="461" t="str">
        <f>Premium!I3</f>
        <v>Supply and installation of Base storage unit  with BWP Carcass, HDHMR Boilo Shutter, Smooth finish laminate and soft close hinges  </v>
      </c>
      <c r="C13" s="458">
        <v>3.0</v>
      </c>
      <c r="D13" s="458">
        <v>5.0</v>
      </c>
      <c r="E13" s="469">
        <f t="shared" ref="E13:E16" si="5">C13*D13</f>
        <v>15</v>
      </c>
      <c r="F13" s="470" t="s">
        <v>683</v>
      </c>
      <c r="G13" s="458">
        <v>900.0</v>
      </c>
      <c r="H13" s="458">
        <v>1500.0</v>
      </c>
      <c r="I13" s="471" t="s">
        <v>684</v>
      </c>
      <c r="J13" s="472">
        <f>Premium!O3</f>
        <v>2143.75</v>
      </c>
      <c r="K13" s="466">
        <v>1.0</v>
      </c>
      <c r="L13" s="467">
        <f t="shared" ref="L13:L16" si="6">K13*J13*E13</f>
        <v>32156.25</v>
      </c>
      <c r="M13" s="452"/>
      <c r="N13" s="368"/>
      <c r="O13" s="368"/>
      <c r="P13" s="368"/>
      <c r="Q13" s="369"/>
      <c r="R13" s="369"/>
      <c r="S13" s="452"/>
      <c r="T13" s="452"/>
      <c r="U13" s="452"/>
      <c r="V13" s="369"/>
      <c r="W13" s="369"/>
      <c r="X13" s="369"/>
      <c r="Y13" s="369"/>
      <c r="Z13" s="369"/>
      <c r="AA13" s="369"/>
      <c r="AB13" s="369"/>
      <c r="AC13" s="369"/>
      <c r="AD13" s="369"/>
      <c r="AE13" s="369"/>
      <c r="AF13" s="369"/>
      <c r="AG13" s="369"/>
      <c r="AH13" s="369"/>
      <c r="AI13" s="369"/>
      <c r="AJ13" s="369"/>
      <c r="AK13" s="369"/>
      <c r="AL13" s="369"/>
      <c r="AM13" s="369"/>
      <c r="AN13" s="369"/>
      <c r="AO13" s="369"/>
    </row>
    <row r="14" ht="13.5" customHeight="1">
      <c r="A14" s="458"/>
      <c r="B14" s="461" t="str">
        <f>Premium!I3</f>
        <v>Supply and installation of Base storage unit  with BWP Carcass, HDHMR Boilo Shutter, Smooth finish laminate and soft close hinges  </v>
      </c>
      <c r="C14" s="458">
        <v>4.5</v>
      </c>
      <c r="D14" s="458">
        <v>3.0</v>
      </c>
      <c r="E14" s="469">
        <f t="shared" si="5"/>
        <v>13.5</v>
      </c>
      <c r="F14" s="470" t="s">
        <v>683</v>
      </c>
      <c r="G14" s="458">
        <v>1350.0</v>
      </c>
      <c r="H14" s="458">
        <v>900.0</v>
      </c>
      <c r="I14" s="471" t="s">
        <v>684</v>
      </c>
      <c r="J14" s="472">
        <f>Premium!O3</f>
        <v>2143.75</v>
      </c>
      <c r="K14" s="466">
        <v>1.0</v>
      </c>
      <c r="L14" s="467">
        <f t="shared" si="6"/>
        <v>28940.625</v>
      </c>
      <c r="M14" s="452"/>
      <c r="N14" s="368"/>
      <c r="O14" s="368"/>
      <c r="P14" s="368"/>
      <c r="Q14" s="369"/>
      <c r="R14" s="369"/>
      <c r="S14" s="452"/>
      <c r="T14" s="452"/>
      <c r="U14" s="452"/>
      <c r="V14" s="369"/>
      <c r="W14" s="369"/>
      <c r="X14" s="369"/>
      <c r="Y14" s="369"/>
      <c r="Z14" s="369"/>
      <c r="AA14" s="369"/>
      <c r="AB14" s="369"/>
      <c r="AC14" s="369"/>
      <c r="AD14" s="369"/>
      <c r="AE14" s="369"/>
      <c r="AF14" s="369"/>
      <c r="AG14" s="369"/>
      <c r="AH14" s="369"/>
      <c r="AI14" s="369"/>
      <c r="AJ14" s="369"/>
      <c r="AK14" s="369"/>
      <c r="AL14" s="369"/>
      <c r="AM14" s="369"/>
      <c r="AN14" s="369"/>
      <c r="AO14" s="369"/>
    </row>
    <row r="15" ht="13.5" customHeight="1">
      <c r="A15" s="458"/>
      <c r="B15" s="461" t="str">
        <f>Premium!I3</f>
        <v>Supply and installation of Base storage unit  with BWP Carcass, HDHMR Boilo Shutter, Smooth finish laminate and soft close hinges  </v>
      </c>
      <c r="C15" s="458">
        <v>2.0</v>
      </c>
      <c r="D15" s="458">
        <v>6.0</v>
      </c>
      <c r="E15" s="469">
        <f t="shared" si="5"/>
        <v>12</v>
      </c>
      <c r="F15" s="470" t="s">
        <v>683</v>
      </c>
      <c r="G15" s="458">
        <v>600.0</v>
      </c>
      <c r="H15" s="458">
        <v>1800.0</v>
      </c>
      <c r="I15" s="471" t="s">
        <v>684</v>
      </c>
      <c r="J15" s="472">
        <f>Premium!O3</f>
        <v>2143.75</v>
      </c>
      <c r="K15" s="466">
        <v>1.0</v>
      </c>
      <c r="L15" s="467">
        <f t="shared" si="6"/>
        <v>25725</v>
      </c>
      <c r="M15" s="452"/>
      <c r="N15" s="368"/>
      <c r="O15" s="368"/>
      <c r="P15" s="368"/>
      <c r="Q15" s="369"/>
      <c r="R15" s="369"/>
      <c r="S15" s="452"/>
      <c r="T15" s="452"/>
      <c r="U15" s="452"/>
      <c r="V15" s="369"/>
      <c r="W15" s="369"/>
      <c r="X15" s="369"/>
      <c r="Y15" s="369"/>
      <c r="Z15" s="369"/>
      <c r="AA15" s="369"/>
      <c r="AB15" s="369"/>
      <c r="AC15" s="369"/>
      <c r="AD15" s="369"/>
      <c r="AE15" s="369"/>
      <c r="AF15" s="369"/>
      <c r="AG15" s="369"/>
      <c r="AH15" s="369"/>
      <c r="AI15" s="369"/>
      <c r="AJ15" s="369"/>
      <c r="AK15" s="369"/>
      <c r="AL15" s="369"/>
      <c r="AM15" s="369"/>
      <c r="AN15" s="369"/>
      <c r="AO15" s="369"/>
    </row>
    <row r="16" ht="13.5" customHeight="1">
      <c r="A16" s="458"/>
      <c r="B16" s="461" t="str">
        <f>Premium!I22</f>
        <v>Supply and installation of Open unit - Inner 1mm with BWP ply frame and Smooth finish laminate</v>
      </c>
      <c r="C16" s="458">
        <v>6.0</v>
      </c>
      <c r="D16" s="458">
        <v>4.0</v>
      </c>
      <c r="E16" s="469">
        <f t="shared" si="5"/>
        <v>24</v>
      </c>
      <c r="F16" s="470" t="s">
        <v>683</v>
      </c>
      <c r="G16" s="458">
        <v>1800.0</v>
      </c>
      <c r="H16" s="458">
        <v>1200.0</v>
      </c>
      <c r="I16" s="471" t="s">
        <v>684</v>
      </c>
      <c r="J16" s="472">
        <f>Premium!O22</f>
        <v>2143.75</v>
      </c>
      <c r="K16" s="466">
        <v>1.0</v>
      </c>
      <c r="L16" s="467">
        <f t="shared" si="6"/>
        <v>51450</v>
      </c>
      <c r="M16" s="452"/>
      <c r="N16" s="368"/>
      <c r="O16" s="368"/>
      <c r="P16" s="368"/>
      <c r="Q16" s="369"/>
      <c r="R16" s="369"/>
      <c r="S16" s="452"/>
      <c r="T16" s="474"/>
      <c r="U16" s="452"/>
      <c r="V16" s="369"/>
      <c r="W16" s="369"/>
      <c r="X16" s="369"/>
      <c r="Y16" s="369"/>
      <c r="Z16" s="369"/>
      <c r="AA16" s="369"/>
      <c r="AB16" s="369"/>
      <c r="AC16" s="369"/>
      <c r="AD16" s="369"/>
      <c r="AE16" s="369"/>
      <c r="AF16" s="369"/>
      <c r="AG16" s="369"/>
      <c r="AH16" s="369"/>
      <c r="AI16" s="369"/>
      <c r="AJ16" s="369"/>
      <c r="AK16" s="369"/>
      <c r="AL16" s="369"/>
      <c r="AM16" s="369"/>
      <c r="AN16" s="369"/>
      <c r="AO16" s="369"/>
    </row>
    <row r="17" ht="13.5" customHeight="1">
      <c r="A17" s="458"/>
      <c r="B17" s="473" t="s">
        <v>908</v>
      </c>
      <c r="C17" s="460"/>
      <c r="D17" s="460"/>
      <c r="E17" s="460"/>
      <c r="F17" s="460"/>
      <c r="G17" s="460"/>
      <c r="H17" s="460"/>
      <c r="I17" s="460"/>
      <c r="J17" s="460"/>
      <c r="K17" s="460"/>
      <c r="L17" s="460"/>
      <c r="M17" s="452"/>
      <c r="N17" s="368"/>
      <c r="O17" s="368"/>
      <c r="P17" s="368"/>
      <c r="Q17" s="369"/>
      <c r="R17" s="369"/>
      <c r="S17" s="452"/>
      <c r="T17" s="452"/>
      <c r="U17" s="452"/>
      <c r="V17" s="369"/>
      <c r="W17" s="369"/>
      <c r="X17" s="369"/>
      <c r="Y17" s="369"/>
      <c r="Z17" s="369"/>
      <c r="AA17" s="369"/>
      <c r="AB17" s="369"/>
      <c r="AC17" s="369"/>
      <c r="AD17" s="369"/>
      <c r="AE17" s="369"/>
      <c r="AF17" s="369"/>
      <c r="AG17" s="369"/>
      <c r="AH17" s="369"/>
      <c r="AI17" s="369"/>
      <c r="AJ17" s="369"/>
      <c r="AK17" s="369"/>
      <c r="AL17" s="369"/>
      <c r="AM17" s="369"/>
      <c r="AN17" s="369"/>
      <c r="AO17" s="369"/>
    </row>
    <row r="18" ht="13.5" customHeight="1">
      <c r="A18" s="458"/>
      <c r="B18" s="461" t="str">
        <f>Premium!I63</f>
        <v>Supply and installation of Curved Wall storage unit  with BWP Carcass, HDHMR Boilo Shutter, Glossy finish laminate and soft close hinges  </v>
      </c>
      <c r="C18" s="458">
        <v>10.0</v>
      </c>
      <c r="D18" s="458">
        <v>5.0</v>
      </c>
      <c r="E18" s="469">
        <f t="shared" ref="E18:E26" si="7">C18*D18</f>
        <v>50</v>
      </c>
      <c r="F18" s="470" t="s">
        <v>683</v>
      </c>
      <c r="G18" s="458">
        <v>3000.0</v>
      </c>
      <c r="H18" s="458">
        <v>1500.0</v>
      </c>
      <c r="I18" s="471" t="s">
        <v>684</v>
      </c>
      <c r="J18" s="472">
        <f>Premium!O62</f>
        <v>2643.75</v>
      </c>
      <c r="K18" s="466">
        <v>1.0</v>
      </c>
      <c r="L18" s="467">
        <f t="shared" ref="L18:L26" si="8">K18*J18*E18</f>
        <v>132187.5</v>
      </c>
      <c r="M18" s="475" t="s">
        <v>909</v>
      </c>
      <c r="N18" s="368"/>
      <c r="O18" s="368"/>
      <c r="P18" s="368"/>
      <c r="Q18" s="369"/>
      <c r="R18" s="369"/>
      <c r="S18" s="452"/>
      <c r="T18" s="452"/>
      <c r="U18" s="452"/>
      <c r="V18" s="369"/>
      <c r="W18" s="369"/>
      <c r="X18" s="369"/>
      <c r="Y18" s="369"/>
      <c r="Z18" s="369"/>
      <c r="AA18" s="369"/>
      <c r="AB18" s="369"/>
      <c r="AC18" s="369"/>
      <c r="AD18" s="369"/>
      <c r="AE18" s="369"/>
      <c r="AF18" s="369"/>
      <c r="AG18" s="369"/>
      <c r="AH18" s="369"/>
      <c r="AI18" s="369"/>
      <c r="AJ18" s="369"/>
      <c r="AK18" s="369"/>
      <c r="AL18" s="369"/>
      <c r="AM18" s="369"/>
      <c r="AN18" s="369"/>
      <c r="AO18" s="369"/>
    </row>
    <row r="19" ht="13.5" customHeight="1">
      <c r="A19" s="458"/>
      <c r="B19" s="461" t="str">
        <f>Premium!I55</f>
        <v>Supply and installation of Base storage - Inner 1mm unit with BWP Carcass, Black/Silver Aluminium Profile with Clear/Tinted Glass Shutter, Glossy laminate and soft close hinges  </v>
      </c>
      <c r="C19" s="458">
        <v>3.0</v>
      </c>
      <c r="D19" s="458">
        <v>5.0</v>
      </c>
      <c r="E19" s="469">
        <f t="shared" si="7"/>
        <v>15</v>
      </c>
      <c r="F19" s="470" t="s">
        <v>683</v>
      </c>
      <c r="G19" s="458">
        <v>900.0</v>
      </c>
      <c r="H19" s="458">
        <v>1500.0</v>
      </c>
      <c r="I19" s="471" t="s">
        <v>684</v>
      </c>
      <c r="J19" s="472">
        <f>Premium!O55</f>
        <v>3187.5</v>
      </c>
      <c r="K19" s="466">
        <v>1.0</v>
      </c>
      <c r="L19" s="467">
        <f t="shared" si="8"/>
        <v>47812.5</v>
      </c>
      <c r="N19" s="368"/>
      <c r="O19" s="368"/>
      <c r="P19" s="368"/>
      <c r="Q19" s="369"/>
      <c r="R19" s="369"/>
      <c r="S19" s="452"/>
      <c r="T19" s="452"/>
      <c r="U19" s="452"/>
      <c r="V19" s="369"/>
      <c r="W19" s="369"/>
      <c r="X19" s="369"/>
      <c r="Y19" s="369"/>
      <c r="Z19" s="369"/>
      <c r="AA19" s="369"/>
      <c r="AB19" s="369"/>
      <c r="AC19" s="369"/>
      <c r="AD19" s="369"/>
      <c r="AE19" s="369"/>
      <c r="AF19" s="369"/>
      <c r="AG19" s="369"/>
      <c r="AH19" s="369"/>
      <c r="AI19" s="369"/>
      <c r="AJ19" s="369"/>
      <c r="AK19" s="369"/>
      <c r="AL19" s="369"/>
      <c r="AM19" s="369"/>
      <c r="AN19" s="369"/>
      <c r="AO19" s="369"/>
    </row>
    <row r="20" ht="13.5" customHeight="1">
      <c r="A20" s="458"/>
      <c r="B20" s="461" t="str">
        <f>Premium!I39</f>
        <v>Supply and installation of Tall storage unit  with BWP Carcass, HDHMR Boilo Shutter, Glossy finish laminate and soft close hinges  </v>
      </c>
      <c r="C20" s="458">
        <v>2.0</v>
      </c>
      <c r="D20" s="458">
        <v>7.0</v>
      </c>
      <c r="E20" s="469">
        <f t="shared" si="7"/>
        <v>14</v>
      </c>
      <c r="F20" s="470" t="s">
        <v>683</v>
      </c>
      <c r="G20" s="458">
        <v>600.0</v>
      </c>
      <c r="H20" s="458">
        <v>2100.0</v>
      </c>
      <c r="I20" s="471" t="s">
        <v>684</v>
      </c>
      <c r="J20" s="472">
        <f>Premium!O37</f>
        <v>2206.25</v>
      </c>
      <c r="K20" s="466">
        <v>1.0</v>
      </c>
      <c r="L20" s="467">
        <f t="shared" si="8"/>
        <v>30887.5</v>
      </c>
      <c r="N20" s="368"/>
      <c r="O20" s="368"/>
      <c r="P20" s="368"/>
      <c r="Q20" s="369"/>
      <c r="R20" s="369"/>
      <c r="S20" s="452"/>
      <c r="T20" s="452"/>
      <c r="U20" s="452"/>
      <c r="V20" s="369"/>
      <c r="W20" s="369"/>
      <c r="X20" s="369"/>
      <c r="Y20" s="369"/>
      <c r="Z20" s="369"/>
      <c r="AA20" s="369"/>
      <c r="AB20" s="369"/>
      <c r="AC20" s="369"/>
      <c r="AD20" s="369"/>
      <c r="AE20" s="369"/>
      <c r="AF20" s="369"/>
      <c r="AG20" s="369"/>
      <c r="AH20" s="369"/>
      <c r="AI20" s="369"/>
      <c r="AJ20" s="369"/>
      <c r="AK20" s="369"/>
      <c r="AL20" s="369"/>
      <c r="AM20" s="369"/>
      <c r="AN20" s="369"/>
      <c r="AO20" s="369"/>
    </row>
    <row r="21" ht="13.5" customHeight="1">
      <c r="A21" s="458"/>
      <c r="B21" s="461" t="str">
        <f>Premium!I37</f>
        <v>Supply and installation of Base storage unit  with BWP Carcass, HDHMR Boilo Shutter, Glossy finish laminate and soft close hinges  </v>
      </c>
      <c r="C21" s="458">
        <v>11.0</v>
      </c>
      <c r="D21" s="458">
        <v>2.75</v>
      </c>
      <c r="E21" s="469">
        <f t="shared" si="7"/>
        <v>30.25</v>
      </c>
      <c r="F21" s="470" t="s">
        <v>683</v>
      </c>
      <c r="G21" s="458">
        <v>3300.0</v>
      </c>
      <c r="H21" s="458">
        <v>825.0</v>
      </c>
      <c r="I21" s="471" t="s">
        <v>684</v>
      </c>
      <c r="J21" s="472">
        <f>Premium!O37</f>
        <v>2206.25</v>
      </c>
      <c r="K21" s="466">
        <v>1.0</v>
      </c>
      <c r="L21" s="467">
        <f t="shared" si="8"/>
        <v>66739.0625</v>
      </c>
      <c r="N21" s="368"/>
      <c r="O21" s="368"/>
      <c r="P21" s="368"/>
      <c r="Q21" s="369"/>
      <c r="R21" s="369"/>
      <c r="S21" s="452"/>
      <c r="T21" s="452"/>
      <c r="U21" s="452"/>
      <c r="V21" s="369"/>
      <c r="W21" s="369"/>
      <c r="X21" s="369"/>
      <c r="Y21" s="369"/>
      <c r="Z21" s="369"/>
      <c r="AA21" s="369"/>
      <c r="AB21" s="369"/>
      <c r="AC21" s="369"/>
      <c r="AD21" s="369"/>
      <c r="AE21" s="369"/>
      <c r="AF21" s="369"/>
      <c r="AG21" s="369"/>
      <c r="AH21" s="369"/>
      <c r="AI21" s="369"/>
      <c r="AJ21" s="369"/>
      <c r="AK21" s="369"/>
      <c r="AL21" s="369"/>
      <c r="AM21" s="369"/>
      <c r="AN21" s="369"/>
      <c r="AO21" s="369"/>
    </row>
    <row r="22" ht="13.5" customHeight="1">
      <c r="A22" s="458"/>
      <c r="B22" s="461" t="str">
        <f>Premium!I38</f>
        <v>Supply and installation of Wall storage unit  with BWP Carcass, HDHMR Boilo Shutter, Glossy finish laminate and soft close hinges  </v>
      </c>
      <c r="C22" s="458">
        <v>4.0</v>
      </c>
      <c r="D22" s="458">
        <v>2.3</v>
      </c>
      <c r="E22" s="469">
        <f t="shared" si="7"/>
        <v>9.2</v>
      </c>
      <c r="F22" s="470" t="s">
        <v>683</v>
      </c>
      <c r="G22" s="458">
        <v>1200.0</v>
      </c>
      <c r="H22" s="458">
        <v>690.0</v>
      </c>
      <c r="I22" s="471" t="s">
        <v>684</v>
      </c>
      <c r="J22" s="472">
        <f>Premium!O37</f>
        <v>2206.25</v>
      </c>
      <c r="K22" s="466">
        <v>1.0</v>
      </c>
      <c r="L22" s="467">
        <f t="shared" si="8"/>
        <v>20297.5</v>
      </c>
      <c r="N22" s="368"/>
      <c r="O22" s="368"/>
      <c r="P22" s="368"/>
      <c r="Q22" s="369"/>
      <c r="R22" s="369"/>
      <c r="S22" s="452"/>
      <c r="T22" s="452"/>
      <c r="U22" s="452"/>
      <c r="V22" s="369"/>
      <c r="W22" s="369"/>
      <c r="X22" s="369"/>
      <c r="Y22" s="369"/>
      <c r="Z22" s="369"/>
      <c r="AA22" s="369"/>
      <c r="AB22" s="369"/>
      <c r="AC22" s="369"/>
      <c r="AD22" s="369"/>
      <c r="AE22" s="369"/>
      <c r="AF22" s="369"/>
      <c r="AG22" s="369"/>
      <c r="AH22" s="369"/>
      <c r="AI22" s="369"/>
      <c r="AJ22" s="369"/>
      <c r="AK22" s="369"/>
      <c r="AL22" s="369"/>
      <c r="AM22" s="369"/>
      <c r="AN22" s="369"/>
      <c r="AO22" s="369"/>
    </row>
    <row r="23" ht="13.5" customHeight="1">
      <c r="A23" s="458"/>
      <c r="B23" s="461" t="str">
        <f>Premium!I67</f>
        <v>Supply and installation of Loft Frame and Shutter unit with BWP Frame, HDHMR Boilo Shutter, Glossy  finish laminate and Soft Close hinges  </v>
      </c>
      <c r="C23" s="458">
        <v>6.0</v>
      </c>
      <c r="D23" s="458">
        <v>3.0</v>
      </c>
      <c r="E23" s="469">
        <f t="shared" si="7"/>
        <v>18</v>
      </c>
      <c r="F23" s="470" t="s">
        <v>683</v>
      </c>
      <c r="G23" s="458">
        <v>1800.0</v>
      </c>
      <c r="H23" s="458">
        <v>900.0</v>
      </c>
      <c r="I23" s="471" t="s">
        <v>684</v>
      </c>
      <c r="J23" s="472">
        <f>Premium!O67</f>
        <v>1260</v>
      </c>
      <c r="K23" s="466">
        <v>1.0</v>
      </c>
      <c r="L23" s="467">
        <f t="shared" si="8"/>
        <v>22680</v>
      </c>
      <c r="N23" s="368"/>
      <c r="O23" s="368"/>
      <c r="P23" s="368"/>
      <c r="Q23" s="369"/>
      <c r="R23" s="369"/>
      <c r="S23" s="452"/>
      <c r="T23" s="452"/>
      <c r="U23" s="452"/>
      <c r="V23" s="369"/>
      <c r="W23" s="369"/>
      <c r="X23" s="369"/>
      <c r="Y23" s="369"/>
      <c r="Z23" s="369"/>
      <c r="AA23" s="369"/>
      <c r="AB23" s="369"/>
      <c r="AC23" s="369"/>
      <c r="AD23" s="369"/>
      <c r="AE23" s="369"/>
      <c r="AF23" s="369"/>
      <c r="AG23" s="369"/>
      <c r="AH23" s="369"/>
      <c r="AI23" s="369"/>
      <c r="AJ23" s="369"/>
      <c r="AK23" s="369"/>
      <c r="AL23" s="369"/>
      <c r="AM23" s="369"/>
      <c r="AN23" s="369"/>
      <c r="AO23" s="369"/>
    </row>
    <row r="24" ht="13.5" customHeight="1">
      <c r="A24" s="458"/>
      <c r="B24" s="461" t="str">
        <f>Premium!I73</f>
        <v>Supply and installation of Wall Panel with BWP Ply Frame, Glossy Finish laminate </v>
      </c>
      <c r="C24" s="458">
        <v>4.0</v>
      </c>
      <c r="D24" s="458">
        <v>3.0</v>
      </c>
      <c r="E24" s="469">
        <f t="shared" si="7"/>
        <v>12</v>
      </c>
      <c r="F24" s="470" t="s">
        <v>683</v>
      </c>
      <c r="G24" s="458">
        <v>1200.0</v>
      </c>
      <c r="H24" s="458">
        <v>900.0</v>
      </c>
      <c r="I24" s="471" t="s">
        <v>684</v>
      </c>
      <c r="J24" s="472">
        <f>Premium!O73</f>
        <v>1375</v>
      </c>
      <c r="K24" s="466">
        <v>1.0</v>
      </c>
      <c r="L24" s="467">
        <f t="shared" si="8"/>
        <v>16500</v>
      </c>
      <c r="N24" s="368"/>
      <c r="O24" s="368"/>
      <c r="P24" s="368"/>
      <c r="Q24" s="369"/>
      <c r="R24" s="369"/>
      <c r="S24" s="452"/>
      <c r="T24" s="452"/>
      <c r="U24" s="452"/>
      <c r="V24" s="369"/>
      <c r="W24" s="369"/>
      <c r="X24" s="369"/>
      <c r="Y24" s="369"/>
      <c r="Z24" s="369"/>
      <c r="AA24" s="369"/>
      <c r="AB24" s="369"/>
      <c r="AC24" s="369"/>
      <c r="AD24" s="369"/>
      <c r="AE24" s="369"/>
      <c r="AF24" s="369"/>
      <c r="AG24" s="369"/>
      <c r="AH24" s="369"/>
      <c r="AI24" s="369"/>
      <c r="AJ24" s="369"/>
      <c r="AK24" s="369"/>
      <c r="AL24" s="369"/>
      <c r="AM24" s="369"/>
      <c r="AN24" s="369"/>
      <c r="AO24" s="369"/>
    </row>
    <row r="25" ht="13.5" customHeight="1">
      <c r="A25" s="458"/>
      <c r="B25" s="461" t="str">
        <f>Premium!I72</f>
        <v>Supply and installation of Curved Wall Panel with BWP Ply Frame, Glossy Finish laminate </v>
      </c>
      <c r="C25" s="458">
        <v>5.0</v>
      </c>
      <c r="D25" s="458">
        <v>6.0</v>
      </c>
      <c r="E25" s="469">
        <f t="shared" si="7"/>
        <v>30</v>
      </c>
      <c r="F25" s="470" t="s">
        <v>683</v>
      </c>
      <c r="G25" s="458">
        <v>1500.0</v>
      </c>
      <c r="H25" s="458">
        <v>1800.0</v>
      </c>
      <c r="I25" s="471" t="s">
        <v>684</v>
      </c>
      <c r="J25" s="472">
        <f>Premium!O72</f>
        <v>1322.5</v>
      </c>
      <c r="K25" s="466">
        <v>1.0</v>
      </c>
      <c r="L25" s="467">
        <f t="shared" si="8"/>
        <v>39675</v>
      </c>
      <c r="N25" s="368"/>
      <c r="O25" s="368"/>
      <c r="P25" s="368"/>
      <c r="Q25" s="369"/>
      <c r="R25" s="369"/>
      <c r="S25" s="452"/>
      <c r="T25" s="452"/>
      <c r="U25" s="452"/>
      <c r="V25" s="369"/>
      <c r="W25" s="369"/>
      <c r="X25" s="369"/>
      <c r="Y25" s="369"/>
      <c r="Z25" s="369"/>
      <c r="AA25" s="369"/>
      <c r="AB25" s="369"/>
      <c r="AC25" s="369"/>
      <c r="AD25" s="369"/>
      <c r="AE25" s="369"/>
      <c r="AF25" s="369"/>
      <c r="AG25" s="369"/>
      <c r="AH25" s="369"/>
      <c r="AI25" s="369"/>
      <c r="AJ25" s="369"/>
      <c r="AK25" s="369"/>
      <c r="AL25" s="369"/>
      <c r="AM25" s="369"/>
      <c r="AN25" s="369"/>
      <c r="AO25" s="369"/>
    </row>
    <row r="26" ht="13.5" customHeight="1">
      <c r="A26" s="458"/>
      <c r="B26" s="461" t="str">
        <f>Premium!I73</f>
        <v>Supply and installation of Wall Panel with BWP Ply Frame, Glossy Finish laminate </v>
      </c>
      <c r="C26" s="458">
        <v>20.0</v>
      </c>
      <c r="D26" s="458">
        <v>3.0</v>
      </c>
      <c r="E26" s="469">
        <f t="shared" si="7"/>
        <v>60</v>
      </c>
      <c r="F26" s="470" t="s">
        <v>683</v>
      </c>
      <c r="G26" s="458">
        <v>6000.0</v>
      </c>
      <c r="H26" s="458">
        <v>900.0</v>
      </c>
      <c r="I26" s="471" t="s">
        <v>684</v>
      </c>
      <c r="J26" s="472">
        <f>Premium!O73</f>
        <v>1375</v>
      </c>
      <c r="K26" s="466">
        <v>1.0</v>
      </c>
      <c r="L26" s="467">
        <f t="shared" si="8"/>
        <v>82500</v>
      </c>
      <c r="N26" s="368"/>
      <c r="O26" s="368"/>
      <c r="P26" s="368"/>
      <c r="Q26" s="369"/>
      <c r="R26" s="369"/>
      <c r="S26" s="452"/>
      <c r="T26" s="452"/>
      <c r="U26" s="452"/>
      <c r="V26" s="369"/>
      <c r="W26" s="369"/>
      <c r="X26" s="369"/>
      <c r="Y26" s="369"/>
      <c r="Z26" s="369"/>
      <c r="AA26" s="369"/>
      <c r="AB26" s="369"/>
      <c r="AC26" s="369"/>
      <c r="AD26" s="369"/>
      <c r="AE26" s="369"/>
      <c r="AF26" s="369"/>
      <c r="AG26" s="369"/>
      <c r="AH26" s="369"/>
      <c r="AI26" s="369"/>
      <c r="AJ26" s="369"/>
      <c r="AK26" s="369"/>
      <c r="AL26" s="369"/>
      <c r="AM26" s="369"/>
      <c r="AN26" s="369"/>
      <c r="AO26" s="369"/>
    </row>
    <row r="27" ht="13.5" customHeight="1">
      <c r="A27" s="458"/>
      <c r="B27" s="473" t="s">
        <v>910</v>
      </c>
      <c r="C27" s="460"/>
      <c r="D27" s="460"/>
      <c r="E27" s="460"/>
      <c r="F27" s="460"/>
      <c r="G27" s="460"/>
      <c r="H27" s="460"/>
      <c r="I27" s="460"/>
      <c r="J27" s="460"/>
      <c r="K27" s="460"/>
      <c r="L27" s="460"/>
      <c r="M27" s="452"/>
      <c r="N27" s="368"/>
      <c r="O27" s="368"/>
      <c r="P27" s="368"/>
      <c r="Q27" s="369"/>
      <c r="R27" s="369"/>
      <c r="S27" s="452"/>
      <c r="T27" s="452"/>
      <c r="U27" s="452"/>
      <c r="V27" s="369"/>
      <c r="W27" s="369"/>
      <c r="X27" s="369"/>
      <c r="Y27" s="369"/>
      <c r="Z27" s="369"/>
      <c r="AA27" s="369"/>
      <c r="AB27" s="369"/>
      <c r="AC27" s="369"/>
      <c r="AD27" s="369"/>
      <c r="AE27" s="369"/>
      <c r="AF27" s="369"/>
      <c r="AG27" s="369"/>
      <c r="AH27" s="369"/>
      <c r="AI27" s="369"/>
      <c r="AJ27" s="369"/>
      <c r="AK27" s="369"/>
      <c r="AL27" s="369"/>
      <c r="AM27" s="369"/>
      <c r="AN27" s="369"/>
      <c r="AO27" s="369"/>
    </row>
    <row r="28" ht="13.5" customHeight="1">
      <c r="A28" s="458"/>
      <c r="B28" s="461" t="str">
        <f>Premium!I24</f>
        <v>Supply and installation of Ledge with 25mm Ledge BWP and Smooth Finish Laminate</v>
      </c>
      <c r="C28" s="458">
        <v>3.0</v>
      </c>
      <c r="D28" s="458">
        <v>1.0</v>
      </c>
      <c r="E28" s="469">
        <f t="shared" ref="E28:E32" si="9">C28*D28</f>
        <v>3</v>
      </c>
      <c r="F28" s="470" t="s">
        <v>683</v>
      </c>
      <c r="G28" s="458">
        <v>900.0</v>
      </c>
      <c r="H28" s="458">
        <v>300.0</v>
      </c>
      <c r="I28" s="471" t="s">
        <v>684</v>
      </c>
      <c r="J28" s="472">
        <f>Premium!O24</f>
        <v>1093.75</v>
      </c>
      <c r="K28" s="466">
        <v>1.0</v>
      </c>
      <c r="L28" s="467">
        <f t="shared" ref="L28:L32" si="10">K28*J28*E28</f>
        <v>3281.25</v>
      </c>
      <c r="M28" s="452"/>
      <c r="N28" s="368"/>
      <c r="O28" s="368"/>
      <c r="P28" s="368"/>
      <c r="Q28" s="369"/>
      <c r="R28" s="369"/>
      <c r="S28" s="452"/>
      <c r="T28" s="452"/>
      <c r="U28" s="452"/>
      <c r="V28" s="369"/>
      <c r="W28" s="369"/>
      <c r="X28" s="369"/>
      <c r="Y28" s="369"/>
      <c r="Z28" s="369"/>
      <c r="AA28" s="369"/>
      <c r="AB28" s="369"/>
      <c r="AC28" s="369"/>
      <c r="AD28" s="369"/>
      <c r="AE28" s="369"/>
      <c r="AF28" s="369"/>
      <c r="AG28" s="369"/>
      <c r="AH28" s="369"/>
      <c r="AI28" s="369"/>
      <c r="AJ28" s="369"/>
      <c r="AK28" s="369"/>
      <c r="AL28" s="369"/>
      <c r="AM28" s="369"/>
      <c r="AN28" s="369"/>
      <c r="AO28" s="369"/>
    </row>
    <row r="29" ht="13.5" customHeight="1">
      <c r="A29" s="458"/>
      <c r="B29" s="461" t="str">
        <f>Premium!I22</f>
        <v>Supply and installation of Open unit - Inner 1mm with BWP ply frame and Smooth finish laminate</v>
      </c>
      <c r="C29" s="458">
        <v>3.0</v>
      </c>
      <c r="D29" s="458">
        <v>1.0</v>
      </c>
      <c r="E29" s="469">
        <f t="shared" si="9"/>
        <v>3</v>
      </c>
      <c r="F29" s="470" t="s">
        <v>683</v>
      </c>
      <c r="G29" s="458">
        <v>900.0</v>
      </c>
      <c r="H29" s="458">
        <v>300.0</v>
      </c>
      <c r="I29" s="471" t="s">
        <v>684</v>
      </c>
      <c r="J29" s="472">
        <f>Premium!O22</f>
        <v>2143.75</v>
      </c>
      <c r="K29" s="466">
        <v>1.0</v>
      </c>
      <c r="L29" s="467">
        <f t="shared" si="10"/>
        <v>6431.25</v>
      </c>
      <c r="M29" s="452"/>
      <c r="N29" s="368"/>
      <c r="O29" s="368"/>
      <c r="P29" s="368"/>
      <c r="Q29" s="369"/>
      <c r="R29" s="369"/>
      <c r="S29" s="452"/>
      <c r="T29" s="474"/>
      <c r="U29" s="452">
        <v>3451.0</v>
      </c>
      <c r="V29" s="369"/>
      <c r="W29" s="369"/>
      <c r="X29" s="369"/>
      <c r="Y29" s="369"/>
      <c r="Z29" s="369"/>
      <c r="AA29" s="369"/>
      <c r="AB29" s="369"/>
      <c r="AC29" s="369"/>
      <c r="AD29" s="369"/>
      <c r="AE29" s="369"/>
      <c r="AF29" s="369"/>
      <c r="AG29" s="369"/>
      <c r="AH29" s="369"/>
      <c r="AI29" s="369"/>
      <c r="AJ29" s="369"/>
      <c r="AK29" s="369"/>
      <c r="AL29" s="369"/>
      <c r="AM29" s="369"/>
      <c r="AN29" s="369"/>
      <c r="AO29" s="369"/>
    </row>
    <row r="30" ht="13.5" customHeight="1">
      <c r="A30" s="458"/>
      <c r="B30" s="461" t="str">
        <f>Premium!I3</f>
        <v>Supply and installation of Base storage unit  with BWP Carcass, HDHMR Boilo Shutter, Smooth finish laminate and soft close hinges  </v>
      </c>
      <c r="C30" s="458">
        <v>2.0</v>
      </c>
      <c r="D30" s="458">
        <v>2.0</v>
      </c>
      <c r="E30" s="469">
        <f t="shared" si="9"/>
        <v>4</v>
      </c>
      <c r="F30" s="470" t="s">
        <v>683</v>
      </c>
      <c r="G30" s="458">
        <v>600.0</v>
      </c>
      <c r="H30" s="458">
        <v>600.0</v>
      </c>
      <c r="I30" s="471" t="s">
        <v>684</v>
      </c>
      <c r="J30" s="472">
        <f>Premium!O3</f>
        <v>2143.75</v>
      </c>
      <c r="K30" s="466">
        <v>1.0</v>
      </c>
      <c r="L30" s="467">
        <f t="shared" si="10"/>
        <v>8575</v>
      </c>
      <c r="M30" s="452"/>
      <c r="N30" s="368"/>
      <c r="O30" s="368"/>
      <c r="P30" s="368"/>
      <c r="Q30" s="369"/>
      <c r="R30" s="369"/>
      <c r="S30" s="452"/>
      <c r="T30" s="452"/>
      <c r="U30" s="452"/>
      <c r="V30" s="369"/>
      <c r="W30" s="369"/>
      <c r="X30" s="369"/>
      <c r="Y30" s="369"/>
      <c r="Z30" s="369"/>
      <c r="AA30" s="369"/>
      <c r="AB30" s="369"/>
      <c r="AC30" s="369"/>
      <c r="AD30" s="369"/>
      <c r="AE30" s="369"/>
      <c r="AF30" s="369"/>
      <c r="AG30" s="369"/>
      <c r="AH30" s="369"/>
      <c r="AI30" s="369"/>
      <c r="AJ30" s="369"/>
      <c r="AK30" s="369"/>
      <c r="AL30" s="369"/>
      <c r="AM30" s="369"/>
      <c r="AN30" s="369"/>
      <c r="AO30" s="369"/>
    </row>
    <row r="31" ht="13.5" customHeight="1">
      <c r="A31" s="458"/>
      <c r="B31" s="461" t="str">
        <f>Premium!I3</f>
        <v>Supply and installation of Base storage unit  with BWP Carcass, HDHMR Boilo Shutter, Smooth finish laminate and soft close hinges  </v>
      </c>
      <c r="C31" s="458">
        <v>3.5</v>
      </c>
      <c r="D31" s="458">
        <v>1.0</v>
      </c>
      <c r="E31" s="469">
        <f t="shared" si="9"/>
        <v>3.5</v>
      </c>
      <c r="F31" s="470" t="s">
        <v>683</v>
      </c>
      <c r="G31" s="458">
        <v>1050.0</v>
      </c>
      <c r="H31" s="458">
        <v>300.0</v>
      </c>
      <c r="I31" s="471" t="s">
        <v>684</v>
      </c>
      <c r="J31" s="472">
        <f>Premium!O3</f>
        <v>2143.75</v>
      </c>
      <c r="K31" s="466">
        <v>1.0</v>
      </c>
      <c r="L31" s="467">
        <f t="shared" si="10"/>
        <v>7503.125</v>
      </c>
      <c r="M31" s="452"/>
      <c r="N31" s="368"/>
      <c r="O31" s="368"/>
      <c r="P31" s="368"/>
      <c r="Q31" s="369"/>
      <c r="R31" s="369"/>
      <c r="S31" s="452"/>
      <c r="T31" s="452"/>
      <c r="U31" s="452"/>
      <c r="V31" s="369"/>
      <c r="W31" s="369"/>
      <c r="X31" s="369"/>
      <c r="Y31" s="369"/>
      <c r="Z31" s="369"/>
      <c r="AA31" s="369"/>
      <c r="AB31" s="369"/>
      <c r="AC31" s="369"/>
      <c r="AD31" s="369"/>
      <c r="AE31" s="369"/>
      <c r="AF31" s="369"/>
      <c r="AG31" s="369"/>
      <c r="AH31" s="369"/>
      <c r="AI31" s="369"/>
      <c r="AJ31" s="369"/>
      <c r="AK31" s="369"/>
      <c r="AL31" s="369"/>
      <c r="AM31" s="369"/>
      <c r="AN31" s="369"/>
      <c r="AO31" s="369"/>
    </row>
    <row r="32" ht="13.5" customHeight="1">
      <c r="A32" s="458"/>
      <c r="B32" s="461" t="str">
        <f>Premium!I29</f>
        <v>Supply and installation of Wall Panel with BWP Ply Frame, Smooth Finish laminate </v>
      </c>
      <c r="C32" s="458">
        <v>16.0</v>
      </c>
      <c r="D32" s="458">
        <v>4.0</v>
      </c>
      <c r="E32" s="469">
        <f t="shared" si="9"/>
        <v>64</v>
      </c>
      <c r="F32" s="470" t="s">
        <v>683</v>
      </c>
      <c r="G32" s="458">
        <v>4800.0</v>
      </c>
      <c r="H32" s="458">
        <v>1200.0</v>
      </c>
      <c r="I32" s="471" t="s">
        <v>684</v>
      </c>
      <c r="J32" s="472">
        <f>Premium!O29</f>
        <v>1312.5</v>
      </c>
      <c r="K32" s="466">
        <v>1.0</v>
      </c>
      <c r="L32" s="467">
        <f t="shared" si="10"/>
        <v>84000</v>
      </c>
      <c r="M32" s="452"/>
      <c r="N32" s="368"/>
      <c r="O32" s="368"/>
      <c r="P32" s="368"/>
      <c r="Q32" s="369"/>
      <c r="R32" s="369"/>
      <c r="S32" s="452"/>
      <c r="T32" s="452"/>
      <c r="U32" s="452"/>
      <c r="V32" s="369"/>
      <c r="W32" s="369"/>
      <c r="X32" s="369"/>
      <c r="Y32" s="369"/>
      <c r="Z32" s="369"/>
      <c r="AA32" s="369"/>
      <c r="AB32" s="369"/>
      <c r="AC32" s="369"/>
      <c r="AD32" s="369"/>
      <c r="AE32" s="369"/>
      <c r="AF32" s="369"/>
      <c r="AG32" s="369"/>
      <c r="AH32" s="369"/>
      <c r="AI32" s="369"/>
      <c r="AJ32" s="369"/>
      <c r="AK32" s="369"/>
      <c r="AL32" s="369"/>
      <c r="AM32" s="369"/>
      <c r="AN32" s="369"/>
      <c r="AO32" s="369"/>
    </row>
    <row r="33" ht="13.5" customHeight="1">
      <c r="A33" s="458"/>
      <c r="B33" s="473" t="s">
        <v>911</v>
      </c>
      <c r="C33" s="460"/>
      <c r="D33" s="460"/>
      <c r="E33" s="460"/>
      <c r="F33" s="460"/>
      <c r="G33" s="460"/>
      <c r="H33" s="460"/>
      <c r="I33" s="460"/>
      <c r="J33" s="460"/>
      <c r="K33" s="460"/>
      <c r="L33" s="460"/>
      <c r="M33" s="452"/>
      <c r="N33" s="368"/>
      <c r="O33" s="368"/>
      <c r="P33" s="368"/>
      <c r="Q33" s="369"/>
      <c r="R33" s="369"/>
      <c r="S33" s="452"/>
      <c r="T33" s="452"/>
      <c r="U33" s="452"/>
      <c r="V33" s="369"/>
      <c r="W33" s="369"/>
      <c r="X33" s="369"/>
      <c r="Y33" s="369"/>
      <c r="Z33" s="369"/>
      <c r="AA33" s="369"/>
      <c r="AB33" s="369"/>
      <c r="AC33" s="369"/>
      <c r="AD33" s="369"/>
      <c r="AE33" s="369"/>
      <c r="AF33" s="369"/>
      <c r="AG33" s="369"/>
      <c r="AH33" s="369"/>
      <c r="AI33" s="369"/>
      <c r="AJ33" s="369"/>
      <c r="AK33" s="369"/>
      <c r="AL33" s="369"/>
      <c r="AM33" s="369"/>
      <c r="AN33" s="369"/>
      <c r="AO33" s="369"/>
    </row>
    <row r="34" ht="13.5" customHeight="1">
      <c r="A34" s="458"/>
      <c r="B34" s="461" t="str">
        <f>Premium!I3</f>
        <v>Supply and installation of Base storage unit  with BWP Carcass, HDHMR Boilo Shutter, Smooth finish laminate and soft close hinges  </v>
      </c>
      <c r="C34" s="458">
        <v>2.0</v>
      </c>
      <c r="D34" s="458">
        <v>4.0</v>
      </c>
      <c r="E34" s="469">
        <f>C34*D34</f>
        <v>8</v>
      </c>
      <c r="F34" s="470" t="s">
        <v>683</v>
      </c>
      <c r="G34" s="458">
        <v>600.0</v>
      </c>
      <c r="H34" s="458">
        <v>1200.0</v>
      </c>
      <c r="I34" s="471" t="s">
        <v>684</v>
      </c>
      <c r="J34" s="472">
        <f>Premium!O3</f>
        <v>2143.75</v>
      </c>
      <c r="K34" s="466">
        <v>1.0</v>
      </c>
      <c r="L34" s="467">
        <f>K34*J34*E34</f>
        <v>17150</v>
      </c>
      <c r="M34" s="452"/>
      <c r="N34" s="368"/>
      <c r="O34" s="368"/>
      <c r="P34" s="368"/>
      <c r="Q34" s="369"/>
      <c r="R34" s="369"/>
      <c r="S34" s="452"/>
      <c r="T34" s="452"/>
      <c r="U34" s="452"/>
      <c r="V34" s="369"/>
      <c r="W34" s="369"/>
      <c r="X34" s="369"/>
      <c r="Y34" s="369"/>
      <c r="Z34" s="369"/>
      <c r="AA34" s="369"/>
      <c r="AB34" s="369"/>
      <c r="AC34" s="369"/>
      <c r="AD34" s="369"/>
      <c r="AE34" s="369"/>
      <c r="AF34" s="369"/>
      <c r="AG34" s="369"/>
      <c r="AH34" s="369"/>
      <c r="AI34" s="369"/>
      <c r="AJ34" s="369"/>
      <c r="AK34" s="369"/>
      <c r="AL34" s="369"/>
      <c r="AM34" s="369"/>
      <c r="AN34" s="369"/>
      <c r="AO34" s="369"/>
    </row>
    <row r="35" ht="13.5" customHeight="1">
      <c r="A35" s="454"/>
      <c r="B35" s="455" t="s">
        <v>912</v>
      </c>
      <c r="C35" s="454"/>
      <c r="D35" s="454"/>
      <c r="E35" s="454"/>
      <c r="F35" s="454"/>
      <c r="G35" s="454"/>
      <c r="H35" s="454"/>
      <c r="I35" s="454"/>
      <c r="J35" s="454"/>
      <c r="K35" s="454"/>
      <c r="L35" s="454"/>
      <c r="M35" s="452"/>
      <c r="N35" s="368"/>
      <c r="O35" s="368"/>
      <c r="P35" s="368"/>
      <c r="Q35" s="369"/>
      <c r="R35" s="369"/>
      <c r="S35" s="452"/>
      <c r="T35" s="452"/>
      <c r="U35" s="452"/>
      <c r="V35" s="369"/>
      <c r="W35" s="369"/>
      <c r="X35" s="369"/>
      <c r="Y35" s="369"/>
      <c r="Z35" s="369"/>
      <c r="AA35" s="369"/>
      <c r="AB35" s="369"/>
      <c r="AC35" s="369"/>
      <c r="AD35" s="369"/>
      <c r="AE35" s="369"/>
      <c r="AF35" s="369"/>
      <c r="AG35" s="369"/>
      <c r="AH35" s="369"/>
      <c r="AI35" s="369"/>
      <c r="AJ35" s="369"/>
      <c r="AK35" s="369"/>
      <c r="AL35" s="369"/>
      <c r="AM35" s="369"/>
      <c r="AN35" s="369"/>
      <c r="AO35" s="369"/>
    </row>
    <row r="36" ht="13.5" customHeight="1">
      <c r="A36" s="458"/>
      <c r="B36" s="473" t="s">
        <v>913</v>
      </c>
      <c r="C36" s="460"/>
      <c r="D36" s="460"/>
      <c r="E36" s="460"/>
      <c r="F36" s="460"/>
      <c r="G36" s="460"/>
      <c r="H36" s="460"/>
      <c r="I36" s="460"/>
      <c r="J36" s="460"/>
      <c r="K36" s="460"/>
      <c r="L36" s="460"/>
      <c r="M36" s="452"/>
      <c r="N36" s="368"/>
      <c r="O36" s="368"/>
      <c r="P36" s="368"/>
      <c r="Q36" s="369"/>
      <c r="R36" s="369"/>
      <c r="S36" s="452"/>
      <c r="T36" s="452"/>
      <c r="U36" s="452"/>
      <c r="V36" s="369"/>
      <c r="W36" s="369"/>
      <c r="X36" s="369"/>
      <c r="Y36" s="369"/>
      <c r="Z36" s="369"/>
      <c r="AA36" s="369"/>
      <c r="AB36" s="369"/>
      <c r="AC36" s="369"/>
      <c r="AD36" s="369"/>
      <c r="AE36" s="369"/>
      <c r="AF36" s="369"/>
      <c r="AG36" s="369"/>
      <c r="AH36" s="369"/>
      <c r="AI36" s="369"/>
      <c r="AJ36" s="369"/>
      <c r="AK36" s="369"/>
      <c r="AL36" s="369"/>
      <c r="AM36" s="369"/>
      <c r="AN36" s="369"/>
      <c r="AO36" s="369"/>
    </row>
    <row r="37" ht="13.5" customHeight="1">
      <c r="A37" s="458"/>
      <c r="B37" s="461" t="str">
        <f>Premium!I80</f>
        <v>Supply and installation of Base storage unit  with BWP Carcass, HDHMR Boilo Shutter, MR+ finish laminate and soft close hinges  </v>
      </c>
      <c r="C37" s="458">
        <v>10.0</v>
      </c>
      <c r="D37" s="458">
        <v>1.0</v>
      </c>
      <c r="E37" s="469">
        <f t="shared" ref="E37:E42" si="11">C37*D37</f>
        <v>10</v>
      </c>
      <c r="F37" s="470" t="s">
        <v>683</v>
      </c>
      <c r="G37" s="458">
        <v>3000.0</v>
      </c>
      <c r="H37" s="458">
        <v>300.0</v>
      </c>
      <c r="I37" s="471" t="s">
        <v>684</v>
      </c>
      <c r="J37" s="472">
        <f>Premium!O80</f>
        <v>2268.75</v>
      </c>
      <c r="K37" s="466">
        <v>1.0</v>
      </c>
      <c r="L37" s="467">
        <f t="shared" ref="L37:L42" si="12">K37*J37*E37</f>
        <v>22687.5</v>
      </c>
      <c r="M37" s="475" t="s">
        <v>914</v>
      </c>
      <c r="N37" s="368"/>
      <c r="O37" s="368"/>
      <c r="P37" s="368"/>
      <c r="Q37" s="369"/>
      <c r="R37" s="369"/>
      <c r="S37" s="452"/>
      <c r="T37" s="452"/>
      <c r="U37" s="452"/>
      <c r="V37" s="369"/>
      <c r="W37" s="369"/>
      <c r="X37" s="369"/>
      <c r="Y37" s="369"/>
      <c r="Z37" s="369"/>
      <c r="AA37" s="369"/>
      <c r="AB37" s="369"/>
      <c r="AC37" s="369"/>
      <c r="AD37" s="369"/>
      <c r="AE37" s="369"/>
      <c r="AF37" s="369"/>
      <c r="AG37" s="369"/>
      <c r="AH37" s="369"/>
      <c r="AI37" s="369"/>
      <c r="AJ37" s="369"/>
      <c r="AK37" s="369"/>
      <c r="AL37" s="369"/>
      <c r="AM37" s="369"/>
      <c r="AN37" s="369"/>
      <c r="AO37" s="369"/>
    </row>
    <row r="38" ht="13.5" customHeight="1">
      <c r="A38" s="458"/>
      <c r="B38" s="461" t="str">
        <f>Premium!I106</f>
        <v>Supply and installation of Wall Panel with BWP Ply Frame, MR+ laminate </v>
      </c>
      <c r="C38" s="458">
        <v>10.0</v>
      </c>
      <c r="D38" s="458">
        <v>6.0</v>
      </c>
      <c r="E38" s="469">
        <f t="shared" si="11"/>
        <v>60</v>
      </c>
      <c r="F38" s="470" t="s">
        <v>683</v>
      </c>
      <c r="G38" s="458">
        <v>3000.0</v>
      </c>
      <c r="H38" s="458">
        <v>1800.0</v>
      </c>
      <c r="I38" s="471" t="s">
        <v>684</v>
      </c>
      <c r="J38" s="472">
        <f>Premium!O106</f>
        <v>1437.5</v>
      </c>
      <c r="K38" s="466">
        <v>1.0</v>
      </c>
      <c r="L38" s="467">
        <f t="shared" si="12"/>
        <v>86250</v>
      </c>
      <c r="N38" s="368"/>
      <c r="O38" s="368"/>
      <c r="P38" s="368"/>
      <c r="Q38" s="369"/>
      <c r="R38" s="369"/>
      <c r="S38" s="452"/>
      <c r="T38" s="452"/>
      <c r="U38" s="452"/>
      <c r="V38" s="369"/>
      <c r="W38" s="369"/>
      <c r="X38" s="369"/>
      <c r="Y38" s="369"/>
      <c r="Z38" s="369"/>
      <c r="AA38" s="369"/>
      <c r="AB38" s="369"/>
      <c r="AC38" s="369"/>
      <c r="AD38" s="369"/>
      <c r="AE38" s="369"/>
      <c r="AF38" s="369"/>
      <c r="AG38" s="369"/>
      <c r="AH38" s="369"/>
      <c r="AI38" s="369"/>
      <c r="AJ38" s="369"/>
      <c r="AK38" s="369"/>
      <c r="AL38" s="369"/>
      <c r="AM38" s="369"/>
      <c r="AN38" s="369"/>
      <c r="AO38" s="369"/>
    </row>
    <row r="39" ht="13.5" customHeight="1">
      <c r="A39" s="458"/>
      <c r="B39" s="461" t="str">
        <f>Premium!I100</f>
        <v>Supply and installation of Open Unit - 1mm with BWP Carcass, MR+ laminate </v>
      </c>
      <c r="C39" s="458">
        <v>2.0</v>
      </c>
      <c r="D39" s="458">
        <v>6.0</v>
      </c>
      <c r="E39" s="469">
        <f t="shared" si="11"/>
        <v>12</v>
      </c>
      <c r="F39" s="470" t="s">
        <v>683</v>
      </c>
      <c r="G39" s="458">
        <v>600.0</v>
      </c>
      <c r="H39" s="458">
        <v>1800.0</v>
      </c>
      <c r="I39" s="471" t="s">
        <v>684</v>
      </c>
      <c r="J39" s="472">
        <f>Premium!O100</f>
        <v>2268.75</v>
      </c>
      <c r="K39" s="466">
        <v>1.0</v>
      </c>
      <c r="L39" s="467">
        <f t="shared" si="12"/>
        <v>27225</v>
      </c>
      <c r="N39" s="368"/>
      <c r="O39" s="368"/>
      <c r="P39" s="368"/>
      <c r="Q39" s="369"/>
      <c r="R39" s="369"/>
      <c r="S39" s="452"/>
      <c r="T39" s="452"/>
      <c r="U39" s="452"/>
      <c r="V39" s="369"/>
      <c r="W39" s="369"/>
      <c r="X39" s="369"/>
      <c r="Y39" s="369"/>
      <c r="Z39" s="369"/>
      <c r="AA39" s="369"/>
      <c r="AB39" s="369"/>
      <c r="AC39" s="369"/>
      <c r="AD39" s="369"/>
      <c r="AE39" s="369"/>
      <c r="AF39" s="369"/>
      <c r="AG39" s="369"/>
      <c r="AH39" s="369"/>
      <c r="AI39" s="369"/>
      <c r="AJ39" s="369"/>
      <c r="AK39" s="369"/>
      <c r="AL39" s="369"/>
      <c r="AM39" s="369"/>
      <c r="AN39" s="369"/>
      <c r="AO39" s="369"/>
    </row>
    <row r="40" ht="13.5" customHeight="1">
      <c r="A40" s="458"/>
      <c r="B40" s="461" t="str">
        <f>Premium!I109</f>
        <v>Supply and installation of Ceiling Panel with BWP Ply Frame, MR+ laminate </v>
      </c>
      <c r="C40" s="458">
        <v>4.0</v>
      </c>
      <c r="D40" s="458">
        <v>8.0</v>
      </c>
      <c r="E40" s="469">
        <f t="shared" si="11"/>
        <v>32</v>
      </c>
      <c r="F40" s="470" t="s">
        <v>683</v>
      </c>
      <c r="G40" s="458">
        <v>1200.0</v>
      </c>
      <c r="H40" s="458">
        <v>2400.0</v>
      </c>
      <c r="I40" s="471" t="s">
        <v>684</v>
      </c>
      <c r="J40" s="472">
        <f>Premium!O106</f>
        <v>1437.5</v>
      </c>
      <c r="K40" s="466">
        <v>1.0</v>
      </c>
      <c r="L40" s="467">
        <f t="shared" si="12"/>
        <v>46000</v>
      </c>
      <c r="N40" s="368"/>
      <c r="O40" s="368"/>
      <c r="P40" s="368"/>
      <c r="Q40" s="369"/>
      <c r="R40" s="369"/>
      <c r="S40" s="452"/>
      <c r="T40" s="452"/>
      <c r="U40" s="452"/>
      <c r="V40" s="369"/>
      <c r="W40" s="369"/>
      <c r="X40" s="369"/>
      <c r="Y40" s="369"/>
      <c r="Z40" s="369"/>
      <c r="AA40" s="369"/>
      <c r="AB40" s="369"/>
      <c r="AC40" s="369"/>
      <c r="AD40" s="369"/>
      <c r="AE40" s="369"/>
      <c r="AF40" s="369"/>
      <c r="AG40" s="369"/>
      <c r="AH40" s="369"/>
      <c r="AI40" s="369"/>
      <c r="AJ40" s="369"/>
      <c r="AK40" s="369"/>
      <c r="AL40" s="369"/>
      <c r="AM40" s="369"/>
      <c r="AN40" s="369"/>
      <c r="AO40" s="369"/>
    </row>
    <row r="41" ht="13.5" customHeight="1">
      <c r="A41" s="458"/>
      <c r="B41" s="461" t="str">
        <f>Premium!I80</f>
        <v>Supply and installation of Base storage unit  with BWP Carcass, HDHMR Boilo Shutter, MR+ finish laminate and soft close hinges  </v>
      </c>
      <c r="C41" s="458">
        <v>4.0</v>
      </c>
      <c r="D41" s="458">
        <v>2.5</v>
      </c>
      <c r="E41" s="469">
        <f t="shared" si="11"/>
        <v>10</v>
      </c>
      <c r="F41" s="470" t="s">
        <v>683</v>
      </c>
      <c r="G41" s="458">
        <v>1200.0</v>
      </c>
      <c r="H41" s="458">
        <v>750.0</v>
      </c>
      <c r="I41" s="471" t="s">
        <v>684</v>
      </c>
      <c r="J41" s="472">
        <f>Premium!O80</f>
        <v>2268.75</v>
      </c>
      <c r="K41" s="466">
        <v>1.0</v>
      </c>
      <c r="L41" s="467">
        <f t="shared" si="12"/>
        <v>22687.5</v>
      </c>
      <c r="N41" s="368"/>
      <c r="O41" s="368"/>
      <c r="P41" s="368"/>
      <c r="Q41" s="369"/>
      <c r="R41" s="369"/>
      <c r="S41" s="452"/>
      <c r="T41" s="452"/>
      <c r="U41" s="452"/>
      <c r="V41" s="369"/>
      <c r="W41" s="369"/>
      <c r="X41" s="369"/>
      <c r="Y41" s="369"/>
      <c r="Z41" s="369"/>
      <c r="AA41" s="369"/>
      <c r="AB41" s="369"/>
      <c r="AC41" s="369"/>
      <c r="AD41" s="369"/>
      <c r="AE41" s="369"/>
      <c r="AF41" s="369"/>
      <c r="AG41" s="369"/>
      <c r="AH41" s="369"/>
      <c r="AI41" s="369"/>
      <c r="AJ41" s="369"/>
      <c r="AK41" s="369"/>
      <c r="AL41" s="369"/>
      <c r="AM41" s="369"/>
      <c r="AN41" s="369"/>
      <c r="AO41" s="369"/>
    </row>
    <row r="42" ht="13.5" customHeight="1">
      <c r="A42" s="458"/>
      <c r="B42" s="461" t="str">
        <f>Premium!I105</f>
        <v>Supply and installation of Partition - 75mm with BWP Ply Frame, MR+ laminate </v>
      </c>
      <c r="C42" s="458">
        <v>4.0</v>
      </c>
      <c r="D42" s="458">
        <v>8.0</v>
      </c>
      <c r="E42" s="469">
        <f t="shared" si="11"/>
        <v>32</v>
      </c>
      <c r="F42" s="470" t="s">
        <v>683</v>
      </c>
      <c r="G42" s="458">
        <v>1200.0</v>
      </c>
      <c r="H42" s="458">
        <v>2400.0</v>
      </c>
      <c r="I42" s="471" t="s">
        <v>684</v>
      </c>
      <c r="J42" s="472">
        <f>Premium!O105</f>
        <v>2218.75</v>
      </c>
      <c r="K42" s="466">
        <v>1.0</v>
      </c>
      <c r="L42" s="467">
        <f t="shared" si="12"/>
        <v>71000</v>
      </c>
      <c r="N42" s="368"/>
      <c r="O42" s="368"/>
      <c r="P42" s="368"/>
      <c r="Q42" s="369"/>
      <c r="R42" s="369"/>
      <c r="S42" s="452"/>
      <c r="T42" s="452"/>
      <c r="U42" s="452"/>
      <c r="V42" s="369"/>
      <c r="W42" s="369"/>
      <c r="X42" s="369"/>
      <c r="Y42" s="369"/>
      <c r="Z42" s="369"/>
      <c r="AA42" s="369"/>
      <c r="AB42" s="369"/>
      <c r="AC42" s="369"/>
      <c r="AD42" s="369"/>
      <c r="AE42" s="369"/>
      <c r="AF42" s="369"/>
      <c r="AG42" s="369"/>
      <c r="AH42" s="369"/>
      <c r="AI42" s="369"/>
      <c r="AJ42" s="369"/>
      <c r="AK42" s="369"/>
      <c r="AL42" s="369"/>
      <c r="AM42" s="369"/>
      <c r="AN42" s="369"/>
      <c r="AO42" s="369"/>
    </row>
    <row r="43" ht="13.5" customHeight="1">
      <c r="A43" s="458"/>
      <c r="B43" s="473" t="s">
        <v>915</v>
      </c>
      <c r="C43" s="460"/>
      <c r="D43" s="460"/>
      <c r="E43" s="460"/>
      <c r="F43" s="460"/>
      <c r="G43" s="460"/>
      <c r="H43" s="460"/>
      <c r="I43" s="460"/>
      <c r="J43" s="460"/>
      <c r="K43" s="460"/>
      <c r="L43" s="460"/>
      <c r="M43" s="452"/>
      <c r="N43" s="368"/>
      <c r="O43" s="368"/>
      <c r="P43" s="368"/>
      <c r="Q43" s="369"/>
      <c r="R43" s="369"/>
      <c r="S43" s="452"/>
      <c r="T43" s="452"/>
      <c r="U43" s="452"/>
      <c r="V43" s="369"/>
      <c r="W43" s="369"/>
      <c r="X43" s="369"/>
      <c r="Y43" s="369"/>
      <c r="Z43" s="369"/>
      <c r="AA43" s="369"/>
      <c r="AB43" s="369"/>
      <c r="AC43" s="369"/>
      <c r="AD43" s="369"/>
      <c r="AE43" s="369"/>
      <c r="AF43" s="369"/>
      <c r="AG43" s="369"/>
      <c r="AH43" s="369"/>
      <c r="AI43" s="369"/>
      <c r="AJ43" s="369"/>
      <c r="AK43" s="369"/>
      <c r="AL43" s="369"/>
      <c r="AM43" s="369"/>
      <c r="AN43" s="369"/>
      <c r="AO43" s="369"/>
    </row>
    <row r="44" ht="13.5" customHeight="1">
      <c r="A44" s="458"/>
      <c r="B44" s="461" t="str">
        <f>Premium!I37</f>
        <v>Supply and installation of Base storage unit  with BWP Carcass, HDHMR Boilo Shutter, Glossy finish laminate and soft close hinges  </v>
      </c>
      <c r="C44" s="458">
        <v>14.0</v>
      </c>
      <c r="D44" s="458">
        <v>2.0</v>
      </c>
      <c r="E44" s="469">
        <f t="shared" ref="E44:E48" si="13">C44*D44</f>
        <v>28</v>
      </c>
      <c r="F44" s="470" t="s">
        <v>683</v>
      </c>
      <c r="G44" s="458">
        <v>4200.0</v>
      </c>
      <c r="H44" s="458">
        <v>600.0</v>
      </c>
      <c r="I44" s="471" t="s">
        <v>684</v>
      </c>
      <c r="J44" s="472">
        <f>Premium!O37</f>
        <v>2206.25</v>
      </c>
      <c r="K44" s="466">
        <v>1.0</v>
      </c>
      <c r="L44" s="467">
        <f t="shared" ref="L44:L48" si="14">K44*J44*E44</f>
        <v>61775</v>
      </c>
      <c r="M44" s="475" t="s">
        <v>909</v>
      </c>
      <c r="N44" s="368"/>
      <c r="O44" s="368"/>
      <c r="P44" s="368"/>
      <c r="Q44" s="369"/>
      <c r="R44" s="369"/>
      <c r="S44" s="452"/>
      <c r="T44" s="452"/>
      <c r="U44" s="452"/>
      <c r="V44" s="369"/>
      <c r="W44" s="369"/>
      <c r="X44" s="369"/>
      <c r="Y44" s="369"/>
      <c r="Z44" s="369"/>
      <c r="AA44" s="369"/>
      <c r="AB44" s="369"/>
      <c r="AC44" s="369"/>
      <c r="AD44" s="369"/>
      <c r="AE44" s="369"/>
      <c r="AF44" s="369"/>
      <c r="AG44" s="369"/>
      <c r="AH44" s="369"/>
      <c r="AI44" s="369"/>
      <c r="AJ44" s="369"/>
      <c r="AK44" s="369"/>
      <c r="AL44" s="369"/>
      <c r="AM44" s="369"/>
      <c r="AN44" s="369"/>
      <c r="AO44" s="369"/>
    </row>
    <row r="45" ht="13.5" customHeight="1">
      <c r="A45" s="458"/>
      <c r="B45" s="461" t="str">
        <f>Premium!I39</f>
        <v>Supply and installation of Tall storage unit  with BWP Carcass, HDHMR Boilo Shutter, Glossy finish laminate and soft close hinges  </v>
      </c>
      <c r="C45" s="458">
        <v>3.0</v>
      </c>
      <c r="D45" s="458">
        <v>7.0</v>
      </c>
      <c r="E45" s="469">
        <f t="shared" si="13"/>
        <v>21</v>
      </c>
      <c r="F45" s="470" t="s">
        <v>683</v>
      </c>
      <c r="G45" s="458">
        <v>900.0</v>
      </c>
      <c r="H45" s="458">
        <v>2100.0</v>
      </c>
      <c r="I45" s="471" t="s">
        <v>684</v>
      </c>
      <c r="J45" s="472">
        <f>Premium!O37</f>
        <v>2206.25</v>
      </c>
      <c r="K45" s="466">
        <v>1.0</v>
      </c>
      <c r="L45" s="467">
        <f t="shared" si="14"/>
        <v>46331.25</v>
      </c>
      <c r="N45" s="368"/>
      <c r="O45" s="368"/>
      <c r="P45" s="368"/>
      <c r="Q45" s="369"/>
      <c r="R45" s="369"/>
      <c r="S45" s="452"/>
      <c r="T45" s="452"/>
      <c r="U45" s="452"/>
      <c r="V45" s="369"/>
      <c r="W45" s="369"/>
      <c r="X45" s="369"/>
      <c r="Y45" s="369"/>
      <c r="Z45" s="369"/>
      <c r="AA45" s="369"/>
      <c r="AB45" s="369"/>
      <c r="AC45" s="369"/>
      <c r="AD45" s="369"/>
      <c r="AE45" s="369"/>
      <c r="AF45" s="369"/>
      <c r="AG45" s="369"/>
      <c r="AH45" s="369"/>
      <c r="AI45" s="369"/>
      <c r="AJ45" s="369"/>
      <c r="AK45" s="369"/>
      <c r="AL45" s="369"/>
      <c r="AM45" s="369"/>
      <c r="AN45" s="369"/>
      <c r="AO45" s="369"/>
    </row>
    <row r="46" ht="13.5" customHeight="1">
      <c r="A46" s="458"/>
      <c r="B46" s="461" t="str">
        <f>Premium!I73</f>
        <v>Supply and installation of Wall Panel with BWP Ply Frame, Glossy Finish laminate </v>
      </c>
      <c r="C46" s="458">
        <v>10.0</v>
      </c>
      <c r="D46" s="458">
        <v>6.0</v>
      </c>
      <c r="E46" s="469">
        <f t="shared" si="13"/>
        <v>60</v>
      </c>
      <c r="F46" s="470" t="s">
        <v>683</v>
      </c>
      <c r="G46" s="458">
        <v>3000.0</v>
      </c>
      <c r="H46" s="458">
        <v>1800.0</v>
      </c>
      <c r="I46" s="471" t="s">
        <v>684</v>
      </c>
      <c r="J46" s="472">
        <f>Premium!O73</f>
        <v>1375</v>
      </c>
      <c r="K46" s="466">
        <v>1.0</v>
      </c>
      <c r="L46" s="467">
        <f t="shared" si="14"/>
        <v>82500</v>
      </c>
      <c r="N46" s="368"/>
      <c r="O46" s="368"/>
      <c r="P46" s="368"/>
      <c r="Q46" s="369"/>
      <c r="R46" s="369"/>
      <c r="S46" s="452"/>
      <c r="T46" s="452"/>
      <c r="U46" s="452"/>
      <c r="V46" s="369"/>
      <c r="W46" s="369"/>
      <c r="X46" s="369"/>
      <c r="Y46" s="369"/>
      <c r="Z46" s="369"/>
      <c r="AA46" s="369"/>
      <c r="AB46" s="369"/>
      <c r="AC46" s="369"/>
      <c r="AD46" s="369"/>
      <c r="AE46" s="369"/>
      <c r="AF46" s="369"/>
      <c r="AG46" s="369"/>
      <c r="AH46" s="369"/>
      <c r="AI46" s="369"/>
      <c r="AJ46" s="369"/>
      <c r="AK46" s="369"/>
      <c r="AL46" s="369"/>
      <c r="AM46" s="369"/>
      <c r="AN46" s="369"/>
      <c r="AO46" s="369"/>
    </row>
    <row r="47" ht="13.5" customHeight="1">
      <c r="A47" s="458"/>
      <c r="B47" s="461" t="str">
        <f>Premium!I72</f>
        <v>Supply and installation of Curved Wall Panel with BWP Ply Frame, Glossy Finish laminate </v>
      </c>
      <c r="C47" s="458">
        <v>4.0</v>
      </c>
      <c r="D47" s="458">
        <v>5.0</v>
      </c>
      <c r="E47" s="469">
        <f t="shared" si="13"/>
        <v>20</v>
      </c>
      <c r="F47" s="470" t="s">
        <v>683</v>
      </c>
      <c r="G47" s="458">
        <v>1200.0</v>
      </c>
      <c r="H47" s="458">
        <v>1500.0</v>
      </c>
      <c r="I47" s="471" t="s">
        <v>684</v>
      </c>
      <c r="J47" s="472">
        <f>Premium!O72</f>
        <v>1322.5</v>
      </c>
      <c r="K47" s="466">
        <v>1.0</v>
      </c>
      <c r="L47" s="467">
        <f t="shared" si="14"/>
        <v>26450</v>
      </c>
      <c r="N47" s="368"/>
      <c r="O47" s="368"/>
      <c r="P47" s="368"/>
      <c r="Q47" s="369"/>
      <c r="R47" s="369"/>
      <c r="S47" s="452"/>
      <c r="T47" s="452"/>
      <c r="U47" s="452"/>
      <c r="V47" s="369"/>
      <c r="W47" s="369"/>
      <c r="X47" s="369"/>
      <c r="Y47" s="369"/>
      <c r="Z47" s="369"/>
      <c r="AA47" s="369"/>
      <c r="AB47" s="369"/>
      <c r="AC47" s="369"/>
      <c r="AD47" s="369"/>
      <c r="AE47" s="369"/>
      <c r="AF47" s="369"/>
      <c r="AG47" s="369"/>
      <c r="AH47" s="369"/>
      <c r="AI47" s="369"/>
      <c r="AJ47" s="369"/>
      <c r="AK47" s="369"/>
      <c r="AL47" s="369"/>
      <c r="AM47" s="369"/>
      <c r="AN47" s="369"/>
      <c r="AO47" s="369"/>
    </row>
    <row r="48" ht="13.5" customHeight="1">
      <c r="A48" s="458"/>
      <c r="B48" s="461" t="str">
        <f>Premium!I76</f>
        <v>Supply and installation of Ceiling Panel with BWP Ply Frame, Glossy Finish laminate </v>
      </c>
      <c r="C48" s="458">
        <v>3.0</v>
      </c>
      <c r="D48" s="458">
        <v>7.0</v>
      </c>
      <c r="E48" s="469">
        <f t="shared" si="13"/>
        <v>21</v>
      </c>
      <c r="F48" s="470" t="s">
        <v>683</v>
      </c>
      <c r="G48" s="458">
        <v>900.0</v>
      </c>
      <c r="H48" s="458">
        <v>2100.0</v>
      </c>
      <c r="I48" s="471" t="s">
        <v>684</v>
      </c>
      <c r="J48" s="472">
        <f>Premium!O73</f>
        <v>1375</v>
      </c>
      <c r="K48" s="466">
        <v>1.0</v>
      </c>
      <c r="L48" s="467">
        <f t="shared" si="14"/>
        <v>28875</v>
      </c>
      <c r="N48" s="368"/>
      <c r="O48" s="368"/>
      <c r="P48" s="368"/>
      <c r="Q48" s="369"/>
      <c r="R48" s="369"/>
      <c r="S48" s="452"/>
      <c r="T48" s="452"/>
      <c r="U48" s="452"/>
      <c r="V48" s="369"/>
      <c r="W48" s="369"/>
      <c r="X48" s="369"/>
      <c r="Y48" s="369"/>
      <c r="Z48" s="369"/>
      <c r="AA48" s="369"/>
      <c r="AB48" s="369"/>
      <c r="AC48" s="369"/>
      <c r="AD48" s="369"/>
      <c r="AE48" s="369"/>
      <c r="AF48" s="369"/>
      <c r="AG48" s="369"/>
      <c r="AH48" s="369"/>
      <c r="AI48" s="369"/>
      <c r="AJ48" s="369"/>
      <c r="AK48" s="369"/>
      <c r="AL48" s="369"/>
      <c r="AM48" s="369"/>
      <c r="AN48" s="369"/>
      <c r="AO48" s="369"/>
    </row>
    <row r="49" ht="13.5" customHeight="1">
      <c r="A49" s="458"/>
      <c r="B49" s="473" t="s">
        <v>762</v>
      </c>
      <c r="C49" s="460"/>
      <c r="D49" s="460"/>
      <c r="E49" s="460"/>
      <c r="F49" s="460"/>
      <c r="G49" s="460"/>
      <c r="H49" s="460"/>
      <c r="I49" s="460"/>
      <c r="J49" s="460"/>
      <c r="K49" s="460"/>
      <c r="L49" s="460"/>
      <c r="M49" s="452"/>
      <c r="N49" s="368"/>
      <c r="O49" s="368"/>
      <c r="P49" s="368"/>
      <c r="Q49" s="369"/>
      <c r="R49" s="369"/>
      <c r="S49" s="452"/>
      <c r="T49" s="452"/>
      <c r="U49" s="452"/>
      <c r="V49" s="369"/>
      <c r="W49" s="369"/>
      <c r="X49" s="369"/>
      <c r="Y49" s="369"/>
      <c r="Z49" s="369"/>
      <c r="AA49" s="369"/>
      <c r="AB49" s="369"/>
      <c r="AC49" s="369"/>
      <c r="AD49" s="369"/>
      <c r="AE49" s="369"/>
      <c r="AF49" s="369"/>
      <c r="AG49" s="369"/>
      <c r="AH49" s="369"/>
      <c r="AI49" s="369"/>
      <c r="AJ49" s="369"/>
      <c r="AK49" s="369"/>
      <c r="AL49" s="369"/>
      <c r="AM49" s="369"/>
      <c r="AN49" s="369"/>
      <c r="AO49" s="369"/>
    </row>
    <row r="50" ht="13.5" customHeight="1">
      <c r="A50" s="458"/>
      <c r="B50" s="461" t="str">
        <f>Premium!I87</f>
        <v>Supply and installation of Base storage unit with BWP Carcass, Black/Silver Aluminium Profile with Clear/Tinted Glass Shutter, MR+ laminate and soft close hinges  </v>
      </c>
      <c r="C50" s="458">
        <v>6.0</v>
      </c>
      <c r="D50" s="458">
        <v>2.75</v>
      </c>
      <c r="E50" s="469">
        <f t="shared" ref="E50:E51" si="15">C50*D50</f>
        <v>16.5</v>
      </c>
      <c r="F50" s="470" t="s">
        <v>683</v>
      </c>
      <c r="G50" s="458">
        <v>1800.0</v>
      </c>
      <c r="H50" s="458">
        <v>825.0</v>
      </c>
      <c r="I50" s="471" t="s">
        <v>684</v>
      </c>
      <c r="J50" s="472">
        <f>Premium!O87</f>
        <v>3062.5</v>
      </c>
      <c r="K50" s="466">
        <v>1.0</v>
      </c>
      <c r="L50" s="467">
        <f t="shared" ref="L50:L51" si="16">K50*J50*E50</f>
        <v>50531.25</v>
      </c>
      <c r="M50" s="476" t="s">
        <v>916</v>
      </c>
      <c r="N50" s="368"/>
      <c r="O50" s="368"/>
      <c r="P50" s="368"/>
      <c r="Q50" s="369"/>
      <c r="R50" s="369"/>
      <c r="S50" s="452"/>
      <c r="T50" s="452"/>
      <c r="U50" s="452"/>
      <c r="V50" s="369"/>
      <c r="W50" s="369"/>
      <c r="X50" s="369"/>
      <c r="Y50" s="369"/>
      <c r="Z50" s="369"/>
      <c r="AA50" s="369"/>
      <c r="AB50" s="369"/>
      <c r="AC50" s="369"/>
      <c r="AD50" s="369"/>
      <c r="AE50" s="369"/>
      <c r="AF50" s="369"/>
      <c r="AG50" s="369"/>
      <c r="AH50" s="369"/>
      <c r="AI50" s="369"/>
      <c r="AJ50" s="369"/>
      <c r="AK50" s="369"/>
      <c r="AL50" s="369"/>
      <c r="AM50" s="369"/>
      <c r="AN50" s="369"/>
      <c r="AO50" s="369"/>
    </row>
    <row r="51" ht="13.5" customHeight="1">
      <c r="A51" s="458"/>
      <c r="B51" s="461" t="str">
        <f>Premium!I102</f>
        <v>Supply and installation of Ledge with 25mm Ledge BWP and MR+ Laminate</v>
      </c>
      <c r="C51" s="458">
        <v>6.0</v>
      </c>
      <c r="D51" s="458">
        <v>2.0</v>
      </c>
      <c r="E51" s="469">
        <f t="shared" si="15"/>
        <v>12</v>
      </c>
      <c r="F51" s="470" t="s">
        <v>683</v>
      </c>
      <c r="G51" s="458">
        <v>1800.0</v>
      </c>
      <c r="H51" s="458">
        <v>600.0</v>
      </c>
      <c r="I51" s="471" t="s">
        <v>684</v>
      </c>
      <c r="J51" s="472">
        <f>Premium!O102</f>
        <v>1218.75</v>
      </c>
      <c r="K51" s="466">
        <v>1.0</v>
      </c>
      <c r="L51" s="467">
        <f t="shared" si="16"/>
        <v>14625</v>
      </c>
      <c r="M51" s="452"/>
      <c r="N51" s="368"/>
      <c r="O51" s="368"/>
      <c r="P51" s="368"/>
      <c r="Q51" s="369"/>
      <c r="R51" s="369"/>
      <c r="S51" s="452"/>
      <c r="T51" s="452"/>
      <c r="U51" s="452"/>
      <c r="V51" s="369"/>
      <c r="W51" s="369"/>
      <c r="X51" s="369"/>
      <c r="Y51" s="369"/>
      <c r="Z51" s="369"/>
      <c r="AA51" s="369"/>
      <c r="AB51" s="369"/>
      <c r="AC51" s="369"/>
      <c r="AD51" s="369"/>
      <c r="AE51" s="369"/>
      <c r="AF51" s="369"/>
      <c r="AG51" s="369"/>
      <c r="AH51" s="369"/>
      <c r="AI51" s="369"/>
      <c r="AJ51" s="369"/>
      <c r="AK51" s="369"/>
      <c r="AL51" s="369"/>
      <c r="AM51" s="369"/>
      <c r="AN51" s="369"/>
      <c r="AO51" s="369"/>
    </row>
    <row r="52" ht="13.5" customHeight="1">
      <c r="A52" s="458"/>
      <c r="B52" s="473" t="s">
        <v>917</v>
      </c>
      <c r="C52" s="460"/>
      <c r="D52" s="460"/>
      <c r="E52" s="460"/>
      <c r="F52" s="460"/>
      <c r="G52" s="460"/>
      <c r="H52" s="460"/>
      <c r="I52" s="460"/>
      <c r="J52" s="460"/>
      <c r="K52" s="460"/>
      <c r="L52" s="460"/>
      <c r="M52" s="452"/>
      <c r="N52" s="368"/>
      <c r="O52" s="368"/>
      <c r="P52" s="368"/>
      <c r="Q52" s="369"/>
      <c r="R52" s="369"/>
      <c r="S52" s="452"/>
      <c r="T52" s="452"/>
      <c r="U52" s="452"/>
      <c r="V52" s="369"/>
      <c r="W52" s="369"/>
      <c r="X52" s="369"/>
      <c r="Y52" s="369"/>
      <c r="Z52" s="369"/>
      <c r="AA52" s="369"/>
      <c r="AB52" s="369"/>
      <c r="AC52" s="369"/>
      <c r="AD52" s="369"/>
      <c r="AE52" s="369"/>
      <c r="AF52" s="369"/>
      <c r="AG52" s="369"/>
      <c r="AH52" s="369"/>
      <c r="AI52" s="369"/>
      <c r="AJ52" s="369"/>
      <c r="AK52" s="369"/>
      <c r="AL52" s="369"/>
      <c r="AM52" s="369"/>
      <c r="AN52" s="369"/>
      <c r="AO52" s="369"/>
    </row>
    <row r="53" ht="13.5" customHeight="1">
      <c r="A53" s="458"/>
      <c r="B53" s="461" t="str">
        <f>Premium!I28</f>
        <v>Supply and installation of Curved Wall Panel with BWP Ply Frame, Smooth Finish laminate </v>
      </c>
      <c r="C53" s="458">
        <v>10.0</v>
      </c>
      <c r="D53" s="458">
        <v>1.0</v>
      </c>
      <c r="E53" s="469">
        <f t="shared" ref="E53:E61" si="17">C53*D53</f>
        <v>10</v>
      </c>
      <c r="F53" s="470" t="s">
        <v>683</v>
      </c>
      <c r="G53" s="458">
        <v>3000.0</v>
      </c>
      <c r="H53" s="458">
        <v>300.0</v>
      </c>
      <c r="I53" s="471" t="s">
        <v>684</v>
      </c>
      <c r="J53" s="472">
        <f>Premium!O28</f>
        <v>1260</v>
      </c>
      <c r="K53" s="466">
        <v>1.0</v>
      </c>
      <c r="L53" s="467">
        <f t="shared" ref="L53:L61" si="18">K53*J53*E53</f>
        <v>12600</v>
      </c>
      <c r="M53" s="475" t="s">
        <v>918</v>
      </c>
      <c r="N53" s="368"/>
      <c r="O53" s="368"/>
      <c r="P53" s="368"/>
      <c r="Q53" s="369"/>
      <c r="R53" s="369"/>
      <c r="S53" s="452"/>
      <c r="T53" s="452"/>
      <c r="U53" s="452"/>
      <c r="V53" s="369"/>
      <c r="W53" s="369"/>
      <c r="X53" s="369"/>
      <c r="Y53" s="369"/>
      <c r="Z53" s="369"/>
      <c r="AA53" s="369"/>
      <c r="AB53" s="369"/>
      <c r="AC53" s="369"/>
      <c r="AD53" s="369"/>
      <c r="AE53" s="369"/>
      <c r="AF53" s="369"/>
      <c r="AG53" s="369"/>
      <c r="AH53" s="369"/>
      <c r="AI53" s="369"/>
      <c r="AJ53" s="369"/>
      <c r="AK53" s="369"/>
      <c r="AL53" s="369"/>
      <c r="AM53" s="369"/>
      <c r="AN53" s="369"/>
      <c r="AO53" s="369"/>
    </row>
    <row r="54" ht="13.5" customHeight="1">
      <c r="A54" s="458"/>
      <c r="B54" s="461" t="str">
        <f>Premium!I126</f>
        <v>Supply and installation of Base storage unit with BWP Carcass, HDHMR Boilo Shutter, Acrylic laminate and soft close hinges  </v>
      </c>
      <c r="C54" s="458">
        <v>4.0</v>
      </c>
      <c r="D54" s="458">
        <v>2.75</v>
      </c>
      <c r="E54" s="469">
        <f t="shared" si="17"/>
        <v>11</v>
      </c>
      <c r="F54" s="470" t="s">
        <v>683</v>
      </c>
      <c r="G54" s="458">
        <v>1200.0</v>
      </c>
      <c r="H54" s="458">
        <v>825.0</v>
      </c>
      <c r="I54" s="471" t="s">
        <v>684</v>
      </c>
      <c r="J54" s="472">
        <f>Premium!O126</f>
        <v>2425</v>
      </c>
      <c r="K54" s="466">
        <v>1.0</v>
      </c>
      <c r="L54" s="467">
        <f t="shared" si="18"/>
        <v>26675</v>
      </c>
      <c r="M54" s="452"/>
      <c r="N54" s="368"/>
      <c r="O54" s="368"/>
      <c r="P54" s="368"/>
      <c r="Q54" s="369"/>
      <c r="R54" s="369"/>
      <c r="S54" s="474"/>
      <c r="T54" s="452">
        <v>3451.0</v>
      </c>
      <c r="U54" s="452"/>
      <c r="V54" s="369"/>
      <c r="W54" s="369"/>
      <c r="X54" s="369"/>
      <c r="Y54" s="369"/>
      <c r="Z54" s="369"/>
      <c r="AA54" s="369"/>
      <c r="AB54" s="369"/>
      <c r="AC54" s="369"/>
      <c r="AD54" s="369"/>
      <c r="AE54" s="369"/>
      <c r="AF54" s="369"/>
      <c r="AG54" s="369"/>
      <c r="AH54" s="369"/>
      <c r="AI54" s="369"/>
      <c r="AJ54" s="369"/>
      <c r="AK54" s="369"/>
      <c r="AL54" s="369"/>
      <c r="AM54" s="369"/>
      <c r="AN54" s="369"/>
      <c r="AO54" s="369"/>
    </row>
    <row r="55" ht="13.5" customHeight="1">
      <c r="A55" s="458"/>
      <c r="B55" s="461" t="str">
        <f>Premium!I128</f>
        <v>Supply and installation of Tall storage unit with BWP Carcass, HDHMR Boilo Shutter, Acrylic laminate and soft close hinges  </v>
      </c>
      <c r="C55" s="458">
        <v>2.0</v>
      </c>
      <c r="D55" s="458">
        <v>7.0</v>
      </c>
      <c r="E55" s="469">
        <f t="shared" si="17"/>
        <v>14</v>
      </c>
      <c r="F55" s="470" t="s">
        <v>683</v>
      </c>
      <c r="G55" s="458">
        <v>600.0</v>
      </c>
      <c r="H55" s="458">
        <v>2100.0</v>
      </c>
      <c r="I55" s="471" t="s">
        <v>684</v>
      </c>
      <c r="J55" s="472">
        <f>Premium!O126</f>
        <v>2425</v>
      </c>
      <c r="K55" s="466">
        <v>1.0</v>
      </c>
      <c r="L55" s="467">
        <f t="shared" si="18"/>
        <v>33950</v>
      </c>
      <c r="M55" s="476" t="s">
        <v>919</v>
      </c>
      <c r="N55" s="368"/>
      <c r="O55" s="368"/>
      <c r="P55" s="368"/>
      <c r="Q55" s="369"/>
      <c r="R55" s="369"/>
      <c r="S55" s="452"/>
      <c r="T55" s="452"/>
      <c r="U55" s="452"/>
      <c r="V55" s="369"/>
      <c r="W55" s="369"/>
      <c r="X55" s="369"/>
      <c r="Y55" s="369"/>
      <c r="Z55" s="369"/>
      <c r="AA55" s="369"/>
      <c r="AB55" s="369"/>
      <c r="AC55" s="369"/>
      <c r="AD55" s="369"/>
      <c r="AE55" s="369"/>
      <c r="AF55" s="369"/>
      <c r="AG55" s="369"/>
      <c r="AH55" s="369"/>
      <c r="AI55" s="369"/>
      <c r="AJ55" s="369"/>
      <c r="AK55" s="369"/>
      <c r="AL55" s="369"/>
      <c r="AM55" s="369"/>
      <c r="AN55" s="369"/>
      <c r="AO55" s="369"/>
    </row>
    <row r="56" ht="13.5" customHeight="1">
      <c r="A56" s="458"/>
      <c r="B56" s="461" t="str">
        <f>Premium!I126</f>
        <v>Supply and installation of Base storage unit with BWP Carcass, HDHMR Boilo Shutter, Acrylic laminate and soft close hinges  </v>
      </c>
      <c r="C56" s="458">
        <v>22.0</v>
      </c>
      <c r="D56" s="458">
        <v>2.75</v>
      </c>
      <c r="E56" s="469">
        <f t="shared" si="17"/>
        <v>60.5</v>
      </c>
      <c r="F56" s="470" t="s">
        <v>683</v>
      </c>
      <c r="G56" s="458">
        <v>6600.0</v>
      </c>
      <c r="H56" s="458">
        <v>825.0</v>
      </c>
      <c r="I56" s="471" t="s">
        <v>684</v>
      </c>
      <c r="J56" s="472">
        <f>Premium!O126</f>
        <v>2425</v>
      </c>
      <c r="K56" s="466">
        <v>1.0</v>
      </c>
      <c r="L56" s="467">
        <f t="shared" si="18"/>
        <v>146712.5</v>
      </c>
      <c r="M56" s="452"/>
      <c r="N56" s="368"/>
      <c r="O56" s="368"/>
      <c r="P56" s="368"/>
      <c r="Q56" s="369"/>
      <c r="R56" s="369"/>
      <c r="S56" s="452"/>
      <c r="T56" s="452"/>
      <c r="U56" s="452"/>
      <c r="V56" s="369"/>
      <c r="W56" s="369"/>
      <c r="X56" s="369"/>
      <c r="Y56" s="369"/>
      <c r="Z56" s="369"/>
      <c r="AA56" s="369"/>
      <c r="AB56" s="369"/>
      <c r="AC56" s="369"/>
      <c r="AD56" s="369"/>
      <c r="AE56" s="369"/>
      <c r="AF56" s="369"/>
      <c r="AG56" s="369"/>
      <c r="AH56" s="369"/>
      <c r="AI56" s="369"/>
      <c r="AJ56" s="369"/>
      <c r="AK56" s="369"/>
      <c r="AL56" s="369"/>
      <c r="AM56" s="369"/>
      <c r="AN56" s="369"/>
      <c r="AO56" s="369"/>
    </row>
    <row r="57" ht="13.5" customHeight="1">
      <c r="A57" s="458"/>
      <c r="B57" s="461" t="str">
        <f>Premium!I127</f>
        <v>Supply and installation of Wall storage unit with BWP Carcass, HDHMR Boilo Shutter, Acrylic laminate and soft close hinges  </v>
      </c>
      <c r="C57" s="458">
        <v>8.0</v>
      </c>
      <c r="D57" s="458">
        <v>2.0</v>
      </c>
      <c r="E57" s="469">
        <f t="shared" si="17"/>
        <v>16</v>
      </c>
      <c r="F57" s="470" t="s">
        <v>683</v>
      </c>
      <c r="G57" s="458">
        <v>2400.0</v>
      </c>
      <c r="H57" s="458">
        <v>600.0</v>
      </c>
      <c r="I57" s="471" t="s">
        <v>684</v>
      </c>
      <c r="J57" s="472">
        <f>Premium!O126</f>
        <v>2425</v>
      </c>
      <c r="K57" s="466">
        <v>1.0</v>
      </c>
      <c r="L57" s="467">
        <f t="shared" si="18"/>
        <v>38800</v>
      </c>
      <c r="M57" s="452"/>
      <c r="N57" s="368"/>
      <c r="O57" s="368"/>
      <c r="P57" s="368"/>
      <c r="Q57" s="369"/>
      <c r="R57" s="369"/>
      <c r="S57" s="452"/>
      <c r="T57" s="452"/>
      <c r="U57" s="452"/>
      <c r="V57" s="369"/>
      <c r="W57" s="369"/>
      <c r="X57" s="369"/>
      <c r="Y57" s="369"/>
      <c r="Z57" s="369"/>
      <c r="AA57" s="369"/>
      <c r="AB57" s="369"/>
      <c r="AC57" s="369"/>
      <c r="AD57" s="369"/>
      <c r="AE57" s="369"/>
      <c r="AF57" s="369"/>
      <c r="AG57" s="369"/>
      <c r="AH57" s="369"/>
      <c r="AI57" s="369"/>
      <c r="AJ57" s="369"/>
      <c r="AK57" s="369"/>
      <c r="AL57" s="369"/>
      <c r="AM57" s="369"/>
      <c r="AN57" s="369"/>
      <c r="AO57" s="369"/>
    </row>
    <row r="58" ht="13.5" customHeight="1">
      <c r="A58" s="458"/>
      <c r="B58" s="461" t="str">
        <f>Premium!I138</f>
        <v>Supply and installation of Base storage unit with BWP Carcass, Black/Silver Aluminium Profile with Clear/Tinted Glass Shutter, Acrylic laminate and soft close hinges  </v>
      </c>
      <c r="C58" s="458">
        <v>3.0</v>
      </c>
      <c r="D58" s="458">
        <v>2.0</v>
      </c>
      <c r="E58" s="469">
        <f t="shared" si="17"/>
        <v>6</v>
      </c>
      <c r="F58" s="470" t="s">
        <v>683</v>
      </c>
      <c r="G58" s="458">
        <v>900.0</v>
      </c>
      <c r="H58" s="458">
        <v>600.0</v>
      </c>
      <c r="I58" s="471" t="s">
        <v>684</v>
      </c>
      <c r="J58" s="472">
        <f>Premium!O138</f>
        <v>3381.25</v>
      </c>
      <c r="K58" s="466">
        <v>1.0</v>
      </c>
      <c r="L58" s="467">
        <f t="shared" si="18"/>
        <v>20287.5</v>
      </c>
      <c r="M58" s="452"/>
      <c r="N58" s="368"/>
      <c r="O58" s="368"/>
      <c r="P58" s="368"/>
      <c r="Q58" s="369"/>
      <c r="R58" s="369"/>
      <c r="S58" s="452"/>
      <c r="T58" s="452"/>
      <c r="U58" s="452"/>
      <c r="V58" s="369"/>
      <c r="W58" s="369"/>
      <c r="X58" s="369"/>
      <c r="Y58" s="369"/>
      <c r="Z58" s="369"/>
      <c r="AA58" s="369"/>
      <c r="AB58" s="369"/>
      <c r="AC58" s="369"/>
      <c r="AD58" s="369"/>
      <c r="AE58" s="369"/>
      <c r="AF58" s="369"/>
      <c r="AG58" s="369"/>
      <c r="AH58" s="369"/>
      <c r="AI58" s="369"/>
      <c r="AJ58" s="369"/>
      <c r="AK58" s="369"/>
      <c r="AL58" s="369"/>
      <c r="AM58" s="369"/>
      <c r="AN58" s="369"/>
      <c r="AO58" s="369"/>
    </row>
    <row r="59" ht="13.5" customHeight="1">
      <c r="A59" s="458"/>
      <c r="B59" s="461" t="str">
        <f>Premium!I147</f>
        <v>Supply and installation of Loft Frame and Shutter unit with BWP Frame, HDHMR Boilo Shutter, Acrylic laminate and Soft Close hinges  </v>
      </c>
      <c r="C59" s="458">
        <v>16.0</v>
      </c>
      <c r="D59" s="458">
        <v>3.0</v>
      </c>
      <c r="E59" s="469">
        <f t="shared" si="17"/>
        <v>48</v>
      </c>
      <c r="F59" s="470" t="s">
        <v>683</v>
      </c>
      <c r="G59" s="458">
        <v>4800.0</v>
      </c>
      <c r="H59" s="458">
        <v>900.0</v>
      </c>
      <c r="I59" s="471" t="s">
        <v>684</v>
      </c>
      <c r="J59" s="472">
        <f>Premium!O147</f>
        <v>1478.75</v>
      </c>
      <c r="K59" s="466">
        <v>1.0</v>
      </c>
      <c r="L59" s="467">
        <f t="shared" si="18"/>
        <v>70980</v>
      </c>
      <c r="M59" s="452"/>
      <c r="N59" s="368"/>
      <c r="O59" s="368"/>
      <c r="P59" s="368"/>
      <c r="Q59" s="369"/>
      <c r="R59" s="369"/>
      <c r="S59" s="452"/>
      <c r="T59" s="452"/>
      <c r="U59" s="452"/>
      <c r="V59" s="369"/>
      <c r="W59" s="369"/>
      <c r="X59" s="369"/>
      <c r="Y59" s="369"/>
      <c r="Z59" s="369"/>
      <c r="AA59" s="369"/>
      <c r="AB59" s="369"/>
      <c r="AC59" s="369"/>
      <c r="AD59" s="369"/>
      <c r="AE59" s="369"/>
      <c r="AF59" s="369"/>
      <c r="AG59" s="369"/>
      <c r="AH59" s="369"/>
      <c r="AI59" s="369"/>
      <c r="AJ59" s="369"/>
      <c r="AK59" s="369"/>
      <c r="AL59" s="369"/>
      <c r="AM59" s="369"/>
      <c r="AN59" s="369"/>
      <c r="AO59" s="369"/>
    </row>
    <row r="60" ht="13.5" customHeight="1">
      <c r="A60" s="458"/>
      <c r="B60" s="461" t="str">
        <f>Premium!I152</f>
        <v>Supply and installation of Wall Panel with BWP Ply Frame, Acrylic laminate </v>
      </c>
      <c r="C60" s="458">
        <v>6.0</v>
      </c>
      <c r="D60" s="458">
        <v>3.0</v>
      </c>
      <c r="E60" s="469">
        <f t="shared" si="17"/>
        <v>18</v>
      </c>
      <c r="F60" s="470" t="s">
        <v>683</v>
      </c>
      <c r="G60" s="458">
        <v>1800.0</v>
      </c>
      <c r="H60" s="458">
        <v>900.0</v>
      </c>
      <c r="I60" s="471" t="s">
        <v>684</v>
      </c>
      <c r="J60" s="472">
        <f>Premium!O152</f>
        <v>1593.75</v>
      </c>
      <c r="K60" s="466">
        <v>1.0</v>
      </c>
      <c r="L60" s="467">
        <f t="shared" si="18"/>
        <v>28687.5</v>
      </c>
      <c r="M60" s="452"/>
      <c r="N60" s="368"/>
      <c r="O60" s="368"/>
      <c r="P60" s="368"/>
      <c r="Q60" s="369"/>
      <c r="R60" s="369"/>
      <c r="S60" s="452"/>
      <c r="T60" s="452"/>
      <c r="U60" s="452"/>
      <c r="V60" s="369"/>
      <c r="W60" s="369"/>
      <c r="X60" s="369"/>
      <c r="Y60" s="369"/>
      <c r="Z60" s="369"/>
      <c r="AA60" s="369"/>
      <c r="AB60" s="369"/>
      <c r="AC60" s="369"/>
      <c r="AD60" s="369"/>
      <c r="AE60" s="369"/>
      <c r="AF60" s="369"/>
      <c r="AG60" s="369"/>
      <c r="AH60" s="369"/>
      <c r="AI60" s="369"/>
      <c r="AJ60" s="369"/>
      <c r="AK60" s="369"/>
      <c r="AL60" s="369"/>
      <c r="AM60" s="369"/>
      <c r="AN60" s="369"/>
      <c r="AO60" s="369"/>
    </row>
    <row r="61" ht="13.5" customHeight="1">
      <c r="A61" s="458"/>
      <c r="B61" s="461" t="str">
        <f>Premium!I155</f>
        <v>Supply and installation of Ceiling Panel with BWP Ply Frame, Acrylic laminate </v>
      </c>
      <c r="C61" s="458">
        <v>4.0</v>
      </c>
      <c r="D61" s="458">
        <v>9.0</v>
      </c>
      <c r="E61" s="469">
        <f t="shared" si="17"/>
        <v>36</v>
      </c>
      <c r="F61" s="470" t="s">
        <v>683</v>
      </c>
      <c r="G61" s="458">
        <v>1200.0</v>
      </c>
      <c r="H61" s="458">
        <v>2700.0</v>
      </c>
      <c r="I61" s="471" t="s">
        <v>684</v>
      </c>
      <c r="J61" s="472">
        <f>Premium!O152</f>
        <v>1593.75</v>
      </c>
      <c r="K61" s="466">
        <v>1.0</v>
      </c>
      <c r="L61" s="467">
        <f t="shared" si="18"/>
        <v>57375</v>
      </c>
      <c r="M61" s="452"/>
      <c r="N61" s="368"/>
      <c r="O61" s="368"/>
      <c r="P61" s="368"/>
      <c r="Q61" s="369"/>
      <c r="R61" s="369"/>
      <c r="S61" s="452"/>
      <c r="T61" s="452"/>
      <c r="U61" s="452"/>
      <c r="V61" s="369"/>
      <c r="W61" s="369"/>
      <c r="X61" s="369"/>
      <c r="Y61" s="369"/>
      <c r="Z61" s="369"/>
      <c r="AA61" s="369"/>
      <c r="AB61" s="369"/>
      <c r="AC61" s="369"/>
      <c r="AD61" s="369"/>
      <c r="AE61" s="369"/>
      <c r="AF61" s="369"/>
      <c r="AG61" s="369"/>
      <c r="AH61" s="369"/>
      <c r="AI61" s="369"/>
      <c r="AJ61" s="369"/>
      <c r="AK61" s="369"/>
      <c r="AL61" s="369"/>
      <c r="AM61" s="369"/>
      <c r="AN61" s="369"/>
      <c r="AO61" s="369"/>
    </row>
    <row r="62" ht="13.5" customHeight="1">
      <c r="A62" s="458"/>
      <c r="B62" s="473" t="s">
        <v>920</v>
      </c>
      <c r="C62" s="460"/>
      <c r="D62" s="460"/>
      <c r="E62" s="460"/>
      <c r="F62" s="460"/>
      <c r="G62" s="460"/>
      <c r="H62" s="460"/>
      <c r="I62" s="460"/>
      <c r="J62" s="460"/>
      <c r="K62" s="460"/>
      <c r="L62" s="460"/>
      <c r="M62" s="452"/>
      <c r="N62" s="368"/>
      <c r="O62" s="368"/>
      <c r="P62" s="368"/>
      <c r="Q62" s="369"/>
      <c r="R62" s="369"/>
      <c r="S62" s="452"/>
      <c r="T62" s="452"/>
      <c r="U62" s="452"/>
      <c r="V62" s="369"/>
      <c r="W62" s="369"/>
      <c r="X62" s="369"/>
      <c r="Y62" s="369"/>
      <c r="Z62" s="369"/>
      <c r="AA62" s="369"/>
      <c r="AB62" s="369"/>
      <c r="AC62" s="369"/>
      <c r="AD62" s="369"/>
      <c r="AE62" s="369"/>
      <c r="AF62" s="369"/>
      <c r="AG62" s="369"/>
      <c r="AH62" s="369"/>
      <c r="AI62" s="369"/>
      <c r="AJ62" s="369"/>
      <c r="AK62" s="369"/>
      <c r="AL62" s="369"/>
      <c r="AM62" s="369"/>
      <c r="AN62" s="369"/>
      <c r="AO62" s="369"/>
    </row>
    <row r="63" ht="13.5" customHeight="1">
      <c r="A63" s="458"/>
      <c r="B63" s="461" t="str">
        <f>Premium!I37</f>
        <v>Supply and installation of Base storage unit  with BWP Carcass, HDHMR Boilo Shutter, Glossy finish laminate and soft close hinges  </v>
      </c>
      <c r="C63" s="458">
        <v>4.0</v>
      </c>
      <c r="D63" s="458">
        <v>2.0</v>
      </c>
      <c r="E63" s="469">
        <f t="shared" ref="E63:E64" si="19">C63*D63</f>
        <v>8</v>
      </c>
      <c r="F63" s="470" t="s">
        <v>683</v>
      </c>
      <c r="G63" s="458">
        <v>1200.0</v>
      </c>
      <c r="H63" s="458">
        <v>600.0</v>
      </c>
      <c r="I63" s="471" t="s">
        <v>684</v>
      </c>
      <c r="J63" s="472">
        <f>Premium!O37</f>
        <v>2206.25</v>
      </c>
      <c r="K63" s="466">
        <v>1.0</v>
      </c>
      <c r="L63" s="467">
        <f t="shared" ref="L63:L64" si="20">K63*J63*E63</f>
        <v>17650</v>
      </c>
      <c r="M63" s="452"/>
      <c r="N63" s="368"/>
      <c r="O63" s="368"/>
      <c r="P63" s="368"/>
      <c r="Q63" s="369"/>
      <c r="R63" s="369"/>
      <c r="S63" s="452"/>
      <c r="T63" s="452"/>
      <c r="U63" s="452"/>
      <c r="V63" s="369"/>
      <c r="W63" s="369"/>
      <c r="X63" s="369"/>
      <c r="Y63" s="369"/>
      <c r="Z63" s="369"/>
      <c r="AA63" s="369"/>
      <c r="AB63" s="369"/>
      <c r="AC63" s="369"/>
      <c r="AD63" s="369"/>
      <c r="AE63" s="369"/>
      <c r="AF63" s="369"/>
      <c r="AG63" s="369"/>
      <c r="AH63" s="369"/>
      <c r="AI63" s="369"/>
      <c r="AJ63" s="369"/>
      <c r="AK63" s="369"/>
      <c r="AL63" s="369"/>
      <c r="AM63" s="369"/>
      <c r="AN63" s="369"/>
      <c r="AO63" s="369"/>
    </row>
    <row r="64" ht="13.5" customHeight="1">
      <c r="A64" s="458"/>
      <c r="B64" s="461" t="str">
        <f>Premium!I38</f>
        <v>Supply and installation of Wall storage unit  with BWP Carcass, HDHMR Boilo Shutter, Glossy finish laminate and soft close hinges  </v>
      </c>
      <c r="C64" s="458">
        <v>2.0</v>
      </c>
      <c r="D64" s="458">
        <v>4.0</v>
      </c>
      <c r="E64" s="469">
        <f t="shared" si="19"/>
        <v>8</v>
      </c>
      <c r="F64" s="470" t="s">
        <v>683</v>
      </c>
      <c r="G64" s="458">
        <v>600.0</v>
      </c>
      <c r="H64" s="458">
        <v>1200.0</v>
      </c>
      <c r="I64" s="471" t="s">
        <v>684</v>
      </c>
      <c r="J64" s="472">
        <f>Premium!O37</f>
        <v>2206.25</v>
      </c>
      <c r="K64" s="466">
        <v>1.0</v>
      </c>
      <c r="L64" s="467">
        <f t="shared" si="20"/>
        <v>17650</v>
      </c>
      <c r="M64" s="452"/>
      <c r="N64" s="368"/>
      <c r="O64" s="368"/>
      <c r="P64" s="368"/>
      <c r="Q64" s="369"/>
      <c r="R64" s="369"/>
      <c r="S64" s="452"/>
      <c r="T64" s="452"/>
      <c r="U64" s="452"/>
      <c r="V64" s="369"/>
      <c r="W64" s="369"/>
      <c r="X64" s="369"/>
      <c r="Y64" s="369"/>
      <c r="Z64" s="369"/>
      <c r="AA64" s="369"/>
      <c r="AB64" s="369"/>
      <c r="AC64" s="369"/>
      <c r="AD64" s="369"/>
      <c r="AE64" s="369"/>
      <c r="AF64" s="369"/>
      <c r="AG64" s="369"/>
      <c r="AH64" s="369"/>
      <c r="AI64" s="369"/>
      <c r="AJ64" s="369"/>
      <c r="AK64" s="369"/>
      <c r="AL64" s="369"/>
      <c r="AM64" s="369"/>
      <c r="AN64" s="369"/>
      <c r="AO64" s="369"/>
    </row>
    <row r="65" ht="13.5" customHeight="1">
      <c r="A65" s="458"/>
      <c r="B65" s="473" t="s">
        <v>921</v>
      </c>
      <c r="C65" s="460"/>
      <c r="D65" s="460"/>
      <c r="E65" s="460"/>
      <c r="F65" s="460"/>
      <c r="G65" s="460"/>
      <c r="H65" s="460"/>
      <c r="I65" s="460"/>
      <c r="J65" s="460"/>
      <c r="K65" s="460"/>
      <c r="L65" s="460"/>
      <c r="M65" s="452"/>
      <c r="N65" s="368"/>
      <c r="O65" s="368"/>
      <c r="P65" s="368"/>
      <c r="Q65" s="369"/>
      <c r="R65" s="369"/>
      <c r="S65" s="452"/>
      <c r="T65" s="452"/>
      <c r="U65" s="452"/>
      <c r="V65" s="369"/>
      <c r="W65" s="369"/>
      <c r="X65" s="369"/>
      <c r="Y65" s="369"/>
      <c r="Z65" s="369"/>
      <c r="AA65" s="369"/>
      <c r="AB65" s="369"/>
      <c r="AC65" s="369"/>
      <c r="AD65" s="369"/>
      <c r="AE65" s="369"/>
      <c r="AF65" s="369"/>
      <c r="AG65" s="369"/>
      <c r="AH65" s="369"/>
      <c r="AI65" s="369"/>
      <c r="AJ65" s="369"/>
      <c r="AK65" s="369"/>
      <c r="AL65" s="369"/>
      <c r="AM65" s="369"/>
      <c r="AN65" s="369"/>
      <c r="AO65" s="369"/>
    </row>
    <row r="66" ht="13.5" customHeight="1">
      <c r="A66" s="458"/>
      <c r="B66" s="461" t="str">
        <f>Premium!I39</f>
        <v>Supply and installation of Tall storage unit  with BWP Carcass, HDHMR Boilo Shutter, Glossy finish laminate and soft close hinges  </v>
      </c>
      <c r="C66" s="458">
        <v>4.0</v>
      </c>
      <c r="D66" s="458">
        <v>7.0</v>
      </c>
      <c r="E66" s="469">
        <f t="shared" ref="E66:E69" si="21">C66*D66</f>
        <v>28</v>
      </c>
      <c r="F66" s="470" t="s">
        <v>683</v>
      </c>
      <c r="G66" s="458">
        <v>1200.0</v>
      </c>
      <c r="H66" s="458">
        <v>2100.0</v>
      </c>
      <c r="I66" s="471" t="s">
        <v>684</v>
      </c>
      <c r="J66" s="472">
        <f>Premium!O37</f>
        <v>2206.25</v>
      </c>
      <c r="K66" s="466">
        <v>1.0</v>
      </c>
      <c r="L66" s="467">
        <f t="shared" ref="L66:L69" si="22">K66*J66*E66</f>
        <v>61775</v>
      </c>
      <c r="M66" s="452"/>
      <c r="N66" s="368"/>
      <c r="O66" s="368"/>
      <c r="P66" s="368"/>
      <c r="Q66" s="369"/>
      <c r="R66" s="369"/>
      <c r="S66" s="474"/>
      <c r="T66" s="452">
        <v>3939.0</v>
      </c>
      <c r="U66" s="452"/>
      <c r="V66" s="369"/>
      <c r="W66" s="369"/>
      <c r="X66" s="369"/>
      <c r="Y66" s="369"/>
      <c r="Z66" s="369"/>
      <c r="AA66" s="369"/>
      <c r="AB66" s="369"/>
      <c r="AC66" s="369"/>
      <c r="AD66" s="369"/>
      <c r="AE66" s="369"/>
      <c r="AF66" s="369"/>
      <c r="AG66" s="369"/>
      <c r="AH66" s="369"/>
      <c r="AI66" s="369"/>
      <c r="AJ66" s="369"/>
      <c r="AK66" s="369"/>
      <c r="AL66" s="369"/>
      <c r="AM66" s="369"/>
      <c r="AN66" s="369"/>
      <c r="AO66" s="369"/>
    </row>
    <row r="67" ht="13.5" customHeight="1">
      <c r="A67" s="458"/>
      <c r="B67" s="461" t="str">
        <f>Premium!I67</f>
        <v>Supply and installation of Loft Frame and Shutter unit with BWP Frame, HDHMR Boilo Shutter, Glossy  finish laminate and Soft Close hinges  </v>
      </c>
      <c r="C67" s="458">
        <v>10.0</v>
      </c>
      <c r="D67" s="458">
        <v>3.0</v>
      </c>
      <c r="E67" s="469">
        <f t="shared" si="21"/>
        <v>30</v>
      </c>
      <c r="F67" s="470" t="s">
        <v>683</v>
      </c>
      <c r="G67" s="458">
        <v>3000.0</v>
      </c>
      <c r="H67" s="458">
        <v>900.0</v>
      </c>
      <c r="I67" s="471" t="s">
        <v>684</v>
      </c>
      <c r="J67" s="472">
        <f>Premium!O67</f>
        <v>1260</v>
      </c>
      <c r="K67" s="466">
        <v>1.0</v>
      </c>
      <c r="L67" s="467">
        <f t="shared" si="22"/>
        <v>37800</v>
      </c>
      <c r="M67" s="452"/>
      <c r="N67" s="368"/>
      <c r="O67" s="368"/>
      <c r="P67" s="368"/>
      <c r="Q67" s="369"/>
      <c r="R67" s="369"/>
      <c r="S67" s="474"/>
      <c r="T67" s="452">
        <v>2284.0</v>
      </c>
      <c r="U67" s="452"/>
      <c r="V67" s="369"/>
      <c r="W67" s="369"/>
      <c r="X67" s="369"/>
      <c r="Y67" s="369"/>
      <c r="Z67" s="369"/>
      <c r="AA67" s="369"/>
      <c r="AB67" s="369"/>
      <c r="AC67" s="369"/>
      <c r="AD67" s="369"/>
      <c r="AE67" s="369"/>
      <c r="AF67" s="369"/>
      <c r="AG67" s="369"/>
      <c r="AH67" s="369"/>
      <c r="AI67" s="369"/>
      <c r="AJ67" s="369"/>
      <c r="AK67" s="369"/>
      <c r="AL67" s="369"/>
      <c r="AM67" s="369"/>
      <c r="AN67" s="369"/>
      <c r="AO67" s="369"/>
    </row>
    <row r="68" ht="13.5" customHeight="1">
      <c r="A68" s="458"/>
      <c r="B68" s="461" t="str">
        <f>Premium!I77</f>
        <v>Supply and installation of Base Panel with BWP Ply Frame, Glossy Finish laminate </v>
      </c>
      <c r="C68" s="458">
        <v>6.0</v>
      </c>
      <c r="D68" s="458">
        <v>2.0</v>
      </c>
      <c r="E68" s="469">
        <f t="shared" si="21"/>
        <v>12</v>
      </c>
      <c r="F68" s="470" t="s">
        <v>683</v>
      </c>
      <c r="G68" s="458">
        <v>1800.0</v>
      </c>
      <c r="H68" s="458">
        <v>600.0</v>
      </c>
      <c r="I68" s="471" t="s">
        <v>684</v>
      </c>
      <c r="J68" s="472">
        <f>Premium!O73</f>
        <v>1375</v>
      </c>
      <c r="K68" s="466">
        <v>1.0</v>
      </c>
      <c r="L68" s="467">
        <f t="shared" si="22"/>
        <v>16500</v>
      </c>
      <c r="M68" s="452"/>
      <c r="N68" s="368"/>
      <c r="O68" s="368"/>
      <c r="P68" s="368"/>
      <c r="Q68" s="369"/>
      <c r="R68" s="369"/>
      <c r="S68" s="452"/>
      <c r="T68" s="452"/>
      <c r="U68" s="452"/>
      <c r="V68" s="369"/>
      <c r="W68" s="369"/>
      <c r="X68" s="369"/>
      <c r="Y68" s="369"/>
      <c r="Z68" s="369"/>
      <c r="AA68" s="369"/>
      <c r="AB68" s="369"/>
      <c r="AC68" s="369"/>
      <c r="AD68" s="369"/>
      <c r="AE68" s="369"/>
      <c r="AF68" s="369"/>
      <c r="AG68" s="369"/>
      <c r="AH68" s="369"/>
      <c r="AI68" s="369"/>
      <c r="AJ68" s="369"/>
      <c r="AK68" s="369"/>
      <c r="AL68" s="369"/>
      <c r="AM68" s="369"/>
      <c r="AN68" s="369"/>
      <c r="AO68" s="369"/>
    </row>
    <row r="69" ht="13.5" customHeight="1">
      <c r="A69" s="458"/>
      <c r="B69" s="461" t="str">
        <f>Premium!I24</f>
        <v>Supply and installation of Ledge with 25mm Ledge BWP and Smooth Finish Laminate</v>
      </c>
      <c r="C69" s="458">
        <v>3.0</v>
      </c>
      <c r="D69" s="458">
        <v>1.0</v>
      </c>
      <c r="E69" s="469">
        <f t="shared" si="21"/>
        <v>3</v>
      </c>
      <c r="F69" s="470" t="s">
        <v>683</v>
      </c>
      <c r="G69" s="458">
        <v>900.0</v>
      </c>
      <c r="H69" s="458">
        <v>300.0</v>
      </c>
      <c r="I69" s="471" t="s">
        <v>684</v>
      </c>
      <c r="J69" s="472">
        <f>Premium!O24</f>
        <v>1093.75</v>
      </c>
      <c r="K69" s="466">
        <v>1.0</v>
      </c>
      <c r="L69" s="467">
        <f t="shared" si="22"/>
        <v>3281.25</v>
      </c>
      <c r="M69" s="452"/>
      <c r="N69" s="368"/>
      <c r="O69" s="368"/>
      <c r="P69" s="368"/>
      <c r="Q69" s="369"/>
      <c r="R69" s="369"/>
      <c r="S69" s="452"/>
      <c r="T69" s="452"/>
      <c r="U69" s="452"/>
      <c r="V69" s="369"/>
      <c r="W69" s="369"/>
      <c r="X69" s="369"/>
      <c r="Y69" s="369"/>
      <c r="Z69" s="369"/>
      <c r="AA69" s="369"/>
      <c r="AB69" s="369"/>
      <c r="AC69" s="369"/>
      <c r="AD69" s="369"/>
      <c r="AE69" s="369"/>
      <c r="AF69" s="369"/>
      <c r="AG69" s="369"/>
      <c r="AH69" s="369"/>
      <c r="AI69" s="369"/>
      <c r="AJ69" s="369"/>
      <c r="AK69" s="369"/>
      <c r="AL69" s="369"/>
      <c r="AM69" s="369"/>
      <c r="AN69" s="369"/>
      <c r="AO69" s="369"/>
    </row>
    <row r="70" ht="13.5" customHeight="1">
      <c r="A70" s="458"/>
      <c r="B70" s="473" t="s">
        <v>922</v>
      </c>
      <c r="C70" s="460"/>
      <c r="D70" s="460"/>
      <c r="E70" s="460"/>
      <c r="F70" s="460"/>
      <c r="G70" s="460"/>
      <c r="H70" s="460"/>
      <c r="I70" s="460"/>
      <c r="J70" s="460"/>
      <c r="K70" s="460"/>
      <c r="L70" s="460"/>
      <c r="M70" s="452"/>
      <c r="N70" s="368"/>
      <c r="O70" s="368"/>
      <c r="P70" s="368"/>
      <c r="Q70" s="369"/>
      <c r="R70" s="369"/>
      <c r="S70" s="452"/>
      <c r="T70" s="452"/>
      <c r="U70" s="452"/>
      <c r="V70" s="369"/>
      <c r="W70" s="369"/>
      <c r="X70" s="369"/>
      <c r="Y70" s="369"/>
      <c r="Z70" s="369"/>
      <c r="AA70" s="369"/>
      <c r="AB70" s="369"/>
      <c r="AC70" s="369"/>
      <c r="AD70" s="369"/>
      <c r="AE70" s="369"/>
      <c r="AF70" s="369"/>
      <c r="AG70" s="369"/>
      <c r="AH70" s="369"/>
      <c r="AI70" s="369"/>
      <c r="AJ70" s="369"/>
      <c r="AK70" s="369"/>
      <c r="AL70" s="369"/>
      <c r="AM70" s="369"/>
      <c r="AN70" s="369"/>
      <c r="AO70" s="369"/>
    </row>
    <row r="71" ht="13.5" customHeight="1">
      <c r="A71" s="458"/>
      <c r="B71" s="461" t="str">
        <f>Premium!I3</f>
        <v>Supply and installation of Base storage unit  with BWP Carcass, HDHMR Boilo Shutter, Smooth finish laminate and soft close hinges  </v>
      </c>
      <c r="C71" s="458">
        <v>4.0</v>
      </c>
      <c r="D71" s="458">
        <v>1.0</v>
      </c>
      <c r="E71" s="469">
        <f>C71*D71</f>
        <v>4</v>
      </c>
      <c r="F71" s="470" t="s">
        <v>683</v>
      </c>
      <c r="G71" s="458">
        <v>1200.0</v>
      </c>
      <c r="H71" s="458">
        <v>300.0</v>
      </c>
      <c r="I71" s="471" t="s">
        <v>684</v>
      </c>
      <c r="J71" s="472">
        <f>Premium!O3</f>
        <v>2143.75</v>
      </c>
      <c r="K71" s="466">
        <v>1.0</v>
      </c>
      <c r="L71" s="467">
        <f>K71*J71*E71</f>
        <v>8575</v>
      </c>
      <c r="M71" s="452"/>
      <c r="N71" s="368"/>
      <c r="O71" s="368"/>
      <c r="P71" s="368"/>
      <c r="Q71" s="369"/>
      <c r="R71" s="369"/>
      <c r="S71" s="452"/>
      <c r="T71" s="452"/>
      <c r="U71" s="452"/>
      <c r="V71" s="369"/>
      <c r="W71" s="369"/>
      <c r="X71" s="369"/>
      <c r="Y71" s="369"/>
      <c r="Z71" s="369"/>
      <c r="AA71" s="369"/>
      <c r="AB71" s="369"/>
      <c r="AC71" s="369"/>
      <c r="AD71" s="369"/>
      <c r="AE71" s="369"/>
      <c r="AF71" s="369"/>
      <c r="AG71" s="369"/>
      <c r="AH71" s="369"/>
      <c r="AI71" s="369"/>
      <c r="AJ71" s="369"/>
      <c r="AK71" s="369"/>
      <c r="AL71" s="369"/>
      <c r="AM71" s="369"/>
      <c r="AN71" s="369"/>
      <c r="AO71" s="369"/>
    </row>
    <row r="72" ht="13.5" customHeight="1">
      <c r="A72" s="454"/>
      <c r="B72" s="455" t="s">
        <v>923</v>
      </c>
      <c r="C72" s="454"/>
      <c r="D72" s="454"/>
      <c r="E72" s="454"/>
      <c r="F72" s="454"/>
      <c r="G72" s="454"/>
      <c r="H72" s="454"/>
      <c r="I72" s="477"/>
      <c r="J72" s="477"/>
      <c r="K72" s="478"/>
      <c r="L72" s="454"/>
      <c r="M72" s="452"/>
      <c r="N72" s="368"/>
      <c r="O72" s="368"/>
      <c r="P72" s="368"/>
      <c r="Q72" s="369"/>
      <c r="R72" s="369"/>
      <c r="S72" s="452"/>
      <c r="T72" s="452"/>
      <c r="U72" s="452"/>
      <c r="V72" s="369"/>
      <c r="W72" s="369"/>
      <c r="X72" s="369"/>
      <c r="Y72" s="369"/>
      <c r="Z72" s="369"/>
      <c r="AA72" s="369"/>
      <c r="AB72" s="369"/>
      <c r="AC72" s="369"/>
      <c r="AD72" s="369"/>
      <c r="AE72" s="369"/>
      <c r="AF72" s="369"/>
      <c r="AG72" s="369"/>
      <c r="AH72" s="369"/>
      <c r="AI72" s="369"/>
      <c r="AJ72" s="369"/>
      <c r="AK72" s="369"/>
      <c r="AL72" s="369"/>
      <c r="AM72" s="369"/>
      <c r="AN72" s="369"/>
      <c r="AO72" s="369"/>
    </row>
    <row r="73" ht="13.5" customHeight="1">
      <c r="A73" s="458"/>
      <c r="B73" s="473" t="s">
        <v>924</v>
      </c>
      <c r="C73" s="460"/>
      <c r="D73" s="460"/>
      <c r="E73" s="460"/>
      <c r="F73" s="460"/>
      <c r="G73" s="460"/>
      <c r="H73" s="460"/>
      <c r="I73" s="460"/>
      <c r="J73" s="479"/>
      <c r="K73" s="479"/>
      <c r="L73" s="460"/>
      <c r="M73" s="452"/>
      <c r="N73" s="368"/>
      <c r="O73" s="368"/>
      <c r="P73" s="368"/>
      <c r="Q73" s="369"/>
      <c r="R73" s="369"/>
      <c r="S73" s="452"/>
      <c r="T73" s="452"/>
      <c r="U73" s="452"/>
      <c r="V73" s="369"/>
      <c r="W73" s="369"/>
      <c r="X73" s="369"/>
      <c r="Y73" s="369"/>
      <c r="Z73" s="369"/>
      <c r="AA73" s="369"/>
      <c r="AB73" s="369"/>
      <c r="AC73" s="369"/>
      <c r="AD73" s="369"/>
      <c r="AE73" s="369"/>
      <c r="AF73" s="369"/>
      <c r="AG73" s="369"/>
      <c r="AH73" s="369"/>
      <c r="AI73" s="369"/>
      <c r="AJ73" s="369"/>
      <c r="AK73" s="369"/>
      <c r="AL73" s="369"/>
      <c r="AM73" s="369"/>
      <c r="AN73" s="369"/>
      <c r="AO73" s="369"/>
    </row>
    <row r="74" ht="13.5" customHeight="1">
      <c r="A74" s="458"/>
      <c r="B74" s="461" t="str">
        <f>Premium!I73</f>
        <v>Supply and installation of Wall Panel with BWP Ply Frame, Glossy Finish laminate </v>
      </c>
      <c r="C74" s="458">
        <v>8.0</v>
      </c>
      <c r="D74" s="458">
        <v>3.0</v>
      </c>
      <c r="E74" s="469">
        <f t="shared" ref="E74:E78" si="23">C74*D74</f>
        <v>24</v>
      </c>
      <c r="F74" s="470" t="s">
        <v>683</v>
      </c>
      <c r="G74" s="458">
        <v>2400.0</v>
      </c>
      <c r="H74" s="458">
        <v>900.0</v>
      </c>
      <c r="I74" s="471" t="s">
        <v>684</v>
      </c>
      <c r="J74" s="472">
        <f>Premium!O73</f>
        <v>1375</v>
      </c>
      <c r="K74" s="466">
        <v>1.0</v>
      </c>
      <c r="L74" s="467">
        <f t="shared" ref="L74:L78" si="24">K74*J74*E74</f>
        <v>33000</v>
      </c>
      <c r="M74" s="452"/>
      <c r="N74" s="368"/>
      <c r="O74" s="368"/>
      <c r="P74" s="368"/>
      <c r="Q74" s="369"/>
      <c r="R74" s="369"/>
      <c r="S74" s="474"/>
      <c r="T74" s="452">
        <v>1428.0</v>
      </c>
      <c r="U74" s="452"/>
      <c r="V74" s="369"/>
      <c r="W74" s="369"/>
      <c r="X74" s="369"/>
      <c r="Y74" s="369"/>
      <c r="Z74" s="369"/>
      <c r="AA74" s="369"/>
      <c r="AB74" s="369"/>
      <c r="AC74" s="369"/>
      <c r="AD74" s="369"/>
      <c r="AE74" s="369"/>
      <c r="AF74" s="369"/>
      <c r="AG74" s="369"/>
      <c r="AH74" s="369"/>
      <c r="AI74" s="369"/>
      <c r="AJ74" s="369"/>
      <c r="AK74" s="369"/>
      <c r="AL74" s="369"/>
      <c r="AM74" s="369"/>
      <c r="AN74" s="369"/>
      <c r="AO74" s="369"/>
    </row>
    <row r="75" ht="13.5" customHeight="1">
      <c r="A75" s="458"/>
      <c r="B75" s="461" t="str">
        <f>Premium!I37</f>
        <v>Supply and installation of Base storage unit  with BWP Carcass, HDHMR Boilo Shutter, Glossy finish laminate and soft close hinges  </v>
      </c>
      <c r="C75" s="458">
        <v>4.5</v>
      </c>
      <c r="D75" s="458">
        <v>7.0</v>
      </c>
      <c r="E75" s="469">
        <f t="shared" si="23"/>
        <v>31.5</v>
      </c>
      <c r="F75" s="470" t="s">
        <v>683</v>
      </c>
      <c r="G75" s="458">
        <v>1350.0</v>
      </c>
      <c r="H75" s="458">
        <v>2100.0</v>
      </c>
      <c r="I75" s="471" t="s">
        <v>684</v>
      </c>
      <c r="J75" s="472">
        <f>Premium!O37</f>
        <v>2206.25</v>
      </c>
      <c r="K75" s="466">
        <v>1.0</v>
      </c>
      <c r="L75" s="467">
        <f t="shared" si="24"/>
        <v>69496.875</v>
      </c>
      <c r="M75" s="452"/>
      <c r="N75" s="368"/>
      <c r="O75" s="368"/>
      <c r="P75" s="368"/>
      <c r="Q75" s="369"/>
      <c r="R75" s="369"/>
      <c r="S75" s="452"/>
      <c r="T75" s="452"/>
      <c r="U75" s="452"/>
      <c r="V75" s="369"/>
      <c r="W75" s="369"/>
      <c r="X75" s="369"/>
      <c r="Y75" s="369"/>
      <c r="Z75" s="369"/>
      <c r="AA75" s="369"/>
      <c r="AB75" s="369"/>
      <c r="AC75" s="369"/>
      <c r="AD75" s="369"/>
      <c r="AE75" s="369"/>
      <c r="AF75" s="369"/>
      <c r="AG75" s="369"/>
      <c r="AH75" s="369"/>
      <c r="AI75" s="369"/>
      <c r="AJ75" s="369"/>
      <c r="AK75" s="369"/>
      <c r="AL75" s="369"/>
      <c r="AM75" s="369"/>
      <c r="AN75" s="369"/>
      <c r="AO75" s="369"/>
    </row>
    <row r="76" ht="13.5" customHeight="1">
      <c r="A76" s="458"/>
      <c r="B76" s="461" t="str">
        <f>Premium!I37</f>
        <v>Supply and installation of Base storage unit  with BWP Carcass, HDHMR Boilo Shutter, Glossy finish laminate and soft close hinges  </v>
      </c>
      <c r="C76" s="458">
        <v>6.0</v>
      </c>
      <c r="D76" s="458">
        <v>2.0</v>
      </c>
      <c r="E76" s="469">
        <f t="shared" si="23"/>
        <v>12</v>
      </c>
      <c r="F76" s="470" t="s">
        <v>683</v>
      </c>
      <c r="G76" s="458">
        <v>1800.0</v>
      </c>
      <c r="H76" s="458">
        <v>600.0</v>
      </c>
      <c r="I76" s="471" t="s">
        <v>684</v>
      </c>
      <c r="J76" s="472">
        <f>Premium!O37</f>
        <v>2206.25</v>
      </c>
      <c r="K76" s="466">
        <v>1.0</v>
      </c>
      <c r="L76" s="467">
        <f t="shared" si="24"/>
        <v>26475</v>
      </c>
      <c r="M76" s="452"/>
      <c r="N76" s="368"/>
      <c r="O76" s="368"/>
      <c r="P76" s="368"/>
      <c r="Q76" s="369"/>
      <c r="R76" s="369"/>
      <c r="S76" s="452"/>
      <c r="T76" s="452"/>
      <c r="U76" s="452"/>
      <c r="V76" s="369"/>
      <c r="W76" s="369"/>
      <c r="X76" s="369"/>
      <c r="Y76" s="369"/>
      <c r="Z76" s="369"/>
      <c r="AA76" s="369"/>
      <c r="AB76" s="369"/>
      <c r="AC76" s="369"/>
      <c r="AD76" s="369"/>
      <c r="AE76" s="369"/>
      <c r="AF76" s="369"/>
      <c r="AG76" s="369"/>
      <c r="AH76" s="369"/>
      <c r="AI76" s="369"/>
      <c r="AJ76" s="369"/>
      <c r="AK76" s="369"/>
      <c r="AL76" s="369"/>
      <c r="AM76" s="369"/>
      <c r="AN76" s="369"/>
      <c r="AO76" s="369"/>
    </row>
    <row r="77" ht="13.5" customHeight="1">
      <c r="A77" s="458"/>
      <c r="B77" s="461" t="str">
        <f>Premium!I67</f>
        <v>Supply and installation of Loft Frame and Shutter unit with BWP Frame, HDHMR Boilo Shutter, Glossy  finish laminate and Soft Close hinges  </v>
      </c>
      <c r="C77" s="458">
        <v>10.0</v>
      </c>
      <c r="D77" s="458">
        <v>2.5</v>
      </c>
      <c r="E77" s="469">
        <f t="shared" si="23"/>
        <v>25</v>
      </c>
      <c r="F77" s="470" t="s">
        <v>683</v>
      </c>
      <c r="G77" s="458">
        <v>3000.0</v>
      </c>
      <c r="H77" s="458">
        <v>750.0</v>
      </c>
      <c r="I77" s="471" t="s">
        <v>684</v>
      </c>
      <c r="J77" s="472">
        <f>Premium!O67</f>
        <v>1260</v>
      </c>
      <c r="K77" s="466">
        <v>1.0</v>
      </c>
      <c r="L77" s="467">
        <f t="shared" si="24"/>
        <v>31500</v>
      </c>
      <c r="M77" s="452"/>
      <c r="N77" s="368"/>
      <c r="O77" s="368"/>
      <c r="P77" s="368"/>
      <c r="Q77" s="369"/>
      <c r="R77" s="369"/>
      <c r="S77" s="474"/>
      <c r="T77" s="452">
        <v>2029.0</v>
      </c>
      <c r="U77" s="452"/>
      <c r="V77" s="369"/>
      <c r="W77" s="369"/>
      <c r="X77" s="369"/>
      <c r="Y77" s="369"/>
      <c r="Z77" s="369"/>
      <c r="AA77" s="369"/>
      <c r="AB77" s="369"/>
      <c r="AC77" s="369"/>
      <c r="AD77" s="369"/>
      <c r="AE77" s="369"/>
      <c r="AF77" s="369"/>
      <c r="AG77" s="369"/>
      <c r="AH77" s="369"/>
      <c r="AI77" s="369"/>
      <c r="AJ77" s="369"/>
      <c r="AK77" s="369"/>
      <c r="AL77" s="369"/>
      <c r="AM77" s="369"/>
      <c r="AN77" s="369"/>
      <c r="AO77" s="369"/>
    </row>
    <row r="78" ht="13.5" customHeight="1">
      <c r="A78" s="458"/>
      <c r="B78" s="461" t="str">
        <f>Premium!I77</f>
        <v>Supply and installation of Base Panel with BWP Ply Frame, Glossy Finish laminate </v>
      </c>
      <c r="C78" s="458">
        <v>6.0</v>
      </c>
      <c r="D78" s="458">
        <v>2.5</v>
      </c>
      <c r="E78" s="469">
        <f t="shared" si="23"/>
        <v>15</v>
      </c>
      <c r="F78" s="470" t="s">
        <v>683</v>
      </c>
      <c r="G78" s="458">
        <v>1800.0</v>
      </c>
      <c r="H78" s="458">
        <v>750.0</v>
      </c>
      <c r="I78" s="471" t="s">
        <v>684</v>
      </c>
      <c r="J78" s="472">
        <f>Premium!O73</f>
        <v>1375</v>
      </c>
      <c r="K78" s="466">
        <v>1.0</v>
      </c>
      <c r="L78" s="467">
        <f t="shared" si="24"/>
        <v>20625</v>
      </c>
      <c r="M78" s="452"/>
      <c r="N78" s="368"/>
      <c r="O78" s="368"/>
      <c r="P78" s="368"/>
      <c r="Q78" s="369"/>
      <c r="R78" s="369"/>
      <c r="S78" s="452"/>
      <c r="T78" s="452"/>
      <c r="U78" s="452"/>
      <c r="V78" s="369"/>
      <c r="W78" s="369"/>
      <c r="X78" s="369"/>
      <c r="Y78" s="369"/>
      <c r="Z78" s="369"/>
      <c r="AA78" s="369"/>
      <c r="AB78" s="369"/>
      <c r="AC78" s="369"/>
      <c r="AD78" s="369"/>
      <c r="AE78" s="369"/>
      <c r="AF78" s="369"/>
      <c r="AG78" s="369"/>
      <c r="AH78" s="369"/>
      <c r="AI78" s="369"/>
      <c r="AJ78" s="369"/>
      <c r="AK78" s="369"/>
      <c r="AL78" s="369"/>
      <c r="AM78" s="369"/>
      <c r="AN78" s="369"/>
      <c r="AO78" s="369"/>
    </row>
    <row r="79" ht="13.5" customHeight="1">
      <c r="A79" s="458"/>
      <c r="B79" s="480" t="s">
        <v>913</v>
      </c>
      <c r="C79" s="460"/>
      <c r="D79" s="460"/>
      <c r="E79" s="460"/>
      <c r="F79" s="460"/>
      <c r="G79" s="460"/>
      <c r="H79" s="460"/>
      <c r="I79" s="460"/>
      <c r="J79" s="479"/>
      <c r="K79" s="479"/>
      <c r="L79" s="460"/>
      <c r="M79" s="452"/>
      <c r="N79" s="368"/>
      <c r="O79" s="368"/>
      <c r="P79" s="368"/>
      <c r="Q79" s="369"/>
      <c r="R79" s="369"/>
      <c r="S79" s="452"/>
      <c r="T79" s="452"/>
      <c r="U79" s="452"/>
      <c r="V79" s="369"/>
      <c r="W79" s="369"/>
      <c r="X79" s="369"/>
      <c r="Y79" s="369"/>
      <c r="Z79" s="369"/>
      <c r="AA79" s="369"/>
      <c r="AB79" s="369"/>
      <c r="AC79" s="369"/>
      <c r="AD79" s="369"/>
      <c r="AE79" s="369"/>
      <c r="AF79" s="369"/>
      <c r="AG79" s="369"/>
      <c r="AH79" s="369"/>
      <c r="AI79" s="369"/>
      <c r="AJ79" s="369"/>
      <c r="AK79" s="369"/>
      <c r="AL79" s="369"/>
      <c r="AM79" s="369"/>
      <c r="AN79" s="369"/>
      <c r="AO79" s="369"/>
    </row>
    <row r="80" ht="13.5" customHeight="1">
      <c r="A80" s="458"/>
      <c r="B80" s="461" t="str">
        <f>Premium!I37</f>
        <v>Supply and installation of Base storage unit  with BWP Carcass, HDHMR Boilo Shutter, Glossy finish laminate and soft close hinges  </v>
      </c>
      <c r="C80" s="458">
        <v>5.0</v>
      </c>
      <c r="D80" s="458">
        <v>2.0</v>
      </c>
      <c r="E80" s="469">
        <f t="shared" ref="E80:E81" si="25">C80*D80</f>
        <v>10</v>
      </c>
      <c r="F80" s="470" t="s">
        <v>683</v>
      </c>
      <c r="G80" s="458">
        <v>1500.0</v>
      </c>
      <c r="H80" s="458">
        <v>600.0</v>
      </c>
      <c r="I80" s="471" t="s">
        <v>684</v>
      </c>
      <c r="J80" s="472">
        <f>Premium!O37</f>
        <v>2206.25</v>
      </c>
      <c r="K80" s="466">
        <v>1.0</v>
      </c>
      <c r="L80" s="467">
        <f t="shared" ref="L80:L81" si="26">K80*J80*E80</f>
        <v>22062.5</v>
      </c>
      <c r="M80" s="452"/>
      <c r="N80" s="368"/>
      <c r="O80" s="368"/>
      <c r="P80" s="368"/>
      <c r="Q80" s="369"/>
      <c r="R80" s="369"/>
      <c r="S80" s="452"/>
      <c r="T80" s="452"/>
      <c r="U80" s="452"/>
      <c r="V80" s="369"/>
      <c r="W80" s="369"/>
      <c r="X80" s="369"/>
      <c r="Y80" s="369"/>
      <c r="Z80" s="369"/>
      <c r="AA80" s="369"/>
      <c r="AB80" s="369"/>
      <c r="AC80" s="369"/>
      <c r="AD80" s="369"/>
      <c r="AE80" s="369"/>
      <c r="AF80" s="369"/>
      <c r="AG80" s="369"/>
      <c r="AH80" s="369"/>
      <c r="AI80" s="369"/>
      <c r="AJ80" s="369"/>
      <c r="AK80" s="369"/>
      <c r="AL80" s="369"/>
      <c r="AM80" s="369"/>
      <c r="AN80" s="369"/>
      <c r="AO80" s="369"/>
    </row>
    <row r="81" ht="13.5" customHeight="1">
      <c r="A81" s="458"/>
      <c r="B81" s="461" t="str">
        <f>Premium!I68</f>
        <v>Supply and installation of Ledge with 25mm Ledge BWP and Glossy Finish Laminate</v>
      </c>
      <c r="C81" s="458">
        <v>5.0</v>
      </c>
      <c r="D81" s="458">
        <v>1.0</v>
      </c>
      <c r="E81" s="469">
        <f t="shared" si="25"/>
        <v>5</v>
      </c>
      <c r="F81" s="470" t="s">
        <v>683</v>
      </c>
      <c r="G81" s="458">
        <v>1500.0</v>
      </c>
      <c r="H81" s="458">
        <v>300.0</v>
      </c>
      <c r="I81" s="471" t="s">
        <v>684</v>
      </c>
      <c r="J81" s="472">
        <f>Premium!O68</f>
        <v>1156.25</v>
      </c>
      <c r="K81" s="466">
        <v>1.0</v>
      </c>
      <c r="L81" s="467">
        <f t="shared" si="26"/>
        <v>5781.25</v>
      </c>
      <c r="M81" s="452"/>
      <c r="N81" s="368"/>
      <c r="O81" s="368"/>
      <c r="P81" s="368"/>
      <c r="Q81" s="369"/>
      <c r="R81" s="369"/>
      <c r="S81" s="452"/>
      <c r="T81" s="452"/>
      <c r="U81" s="452"/>
      <c r="V81" s="369"/>
      <c r="W81" s="369"/>
      <c r="X81" s="369"/>
      <c r="Y81" s="369"/>
      <c r="Z81" s="369"/>
      <c r="AA81" s="369"/>
      <c r="AB81" s="369"/>
      <c r="AC81" s="369"/>
      <c r="AD81" s="369"/>
      <c r="AE81" s="369"/>
      <c r="AF81" s="369"/>
      <c r="AG81" s="369"/>
      <c r="AH81" s="369"/>
      <c r="AI81" s="369"/>
      <c r="AJ81" s="369"/>
      <c r="AK81" s="369"/>
      <c r="AL81" s="369"/>
      <c r="AM81" s="369"/>
      <c r="AN81" s="369"/>
      <c r="AO81" s="369"/>
    </row>
    <row r="82" ht="13.5" customHeight="1">
      <c r="A82" s="458"/>
      <c r="B82" s="480" t="s">
        <v>925</v>
      </c>
      <c r="C82" s="460"/>
      <c r="D82" s="460"/>
      <c r="E82" s="460"/>
      <c r="F82" s="460"/>
      <c r="G82" s="460"/>
      <c r="H82" s="460"/>
      <c r="I82" s="460"/>
      <c r="J82" s="479"/>
      <c r="K82" s="479"/>
      <c r="L82" s="460"/>
      <c r="M82" s="452"/>
      <c r="N82" s="368"/>
      <c r="O82" s="368"/>
      <c r="P82" s="368"/>
      <c r="Q82" s="369"/>
      <c r="R82" s="369"/>
      <c r="S82" s="452"/>
      <c r="T82" s="452"/>
      <c r="U82" s="452"/>
      <c r="V82" s="369"/>
      <c r="W82" s="369"/>
      <c r="X82" s="369"/>
      <c r="Y82" s="369"/>
      <c r="Z82" s="369"/>
      <c r="AA82" s="369"/>
      <c r="AB82" s="369"/>
      <c r="AC82" s="369"/>
      <c r="AD82" s="369"/>
      <c r="AE82" s="369"/>
      <c r="AF82" s="369"/>
      <c r="AG82" s="369"/>
      <c r="AH82" s="369"/>
      <c r="AI82" s="369"/>
      <c r="AJ82" s="369"/>
      <c r="AK82" s="369"/>
      <c r="AL82" s="369"/>
      <c r="AM82" s="369"/>
      <c r="AN82" s="369"/>
      <c r="AO82" s="369"/>
    </row>
    <row r="83" ht="13.5" customHeight="1">
      <c r="A83" s="458"/>
      <c r="B83" s="461" t="str">
        <f>Premium!I62</f>
        <v>Supply and installation of Curved Base storage unit  with BWP Carcass, HDHMR Boilo Shutter, Glossy finish laminate and soft close hinges  </v>
      </c>
      <c r="C83" s="458">
        <v>4.0</v>
      </c>
      <c r="D83" s="458">
        <v>2.75</v>
      </c>
      <c r="E83" s="469">
        <f t="shared" ref="E83:E84" si="27">C83*D83</f>
        <v>11</v>
      </c>
      <c r="F83" s="470" t="s">
        <v>683</v>
      </c>
      <c r="G83" s="458">
        <v>1200.0</v>
      </c>
      <c r="H83" s="458">
        <v>825.0</v>
      </c>
      <c r="I83" s="471" t="s">
        <v>684</v>
      </c>
      <c r="J83" s="472">
        <f>Premium!O62</f>
        <v>2643.75</v>
      </c>
      <c r="K83" s="466">
        <v>1.0</v>
      </c>
      <c r="L83" s="467">
        <f t="shared" ref="L83:L84" si="28">K83*J83*E83</f>
        <v>29081.25</v>
      </c>
      <c r="M83" s="452"/>
      <c r="N83" s="368"/>
      <c r="O83" s="368"/>
      <c r="P83" s="368"/>
      <c r="Q83" s="369"/>
      <c r="R83" s="369"/>
      <c r="S83" s="452"/>
      <c r="T83" s="452"/>
      <c r="U83" s="452"/>
      <c r="V83" s="369"/>
      <c r="W83" s="369"/>
      <c r="X83" s="369"/>
      <c r="Y83" s="369"/>
      <c r="Z83" s="369"/>
      <c r="AA83" s="369"/>
      <c r="AB83" s="369"/>
      <c r="AC83" s="369"/>
      <c r="AD83" s="369"/>
      <c r="AE83" s="369"/>
      <c r="AF83" s="369"/>
      <c r="AG83" s="369"/>
      <c r="AH83" s="369"/>
      <c r="AI83" s="369"/>
      <c r="AJ83" s="369"/>
      <c r="AK83" s="369"/>
      <c r="AL83" s="369"/>
      <c r="AM83" s="369"/>
      <c r="AN83" s="369"/>
      <c r="AO83" s="369"/>
    </row>
    <row r="84" ht="13.5" customHeight="1">
      <c r="A84" s="458"/>
      <c r="B84" s="461" t="str">
        <f>Premium!I37</f>
        <v>Supply and installation of Base storage unit  with BWP Carcass, HDHMR Boilo Shutter, Glossy finish laminate and soft close hinges  </v>
      </c>
      <c r="C84" s="458">
        <v>4.0</v>
      </c>
      <c r="D84" s="458">
        <v>2.0</v>
      </c>
      <c r="E84" s="469">
        <f t="shared" si="27"/>
        <v>8</v>
      </c>
      <c r="F84" s="470" t="s">
        <v>683</v>
      </c>
      <c r="G84" s="458">
        <v>900.0</v>
      </c>
      <c r="H84" s="458">
        <v>600.0</v>
      </c>
      <c r="I84" s="471" t="s">
        <v>684</v>
      </c>
      <c r="J84" s="472">
        <f>Premium!O37</f>
        <v>2206.25</v>
      </c>
      <c r="K84" s="466">
        <v>1.0</v>
      </c>
      <c r="L84" s="467">
        <f t="shared" si="28"/>
        <v>17650</v>
      </c>
      <c r="M84" s="452"/>
      <c r="N84" s="368"/>
      <c r="O84" s="368"/>
      <c r="P84" s="368"/>
      <c r="Q84" s="369"/>
      <c r="R84" s="369"/>
      <c r="S84" s="452"/>
      <c r="T84" s="452"/>
      <c r="U84" s="452"/>
      <c r="V84" s="369"/>
      <c r="W84" s="369"/>
      <c r="X84" s="369"/>
      <c r="Y84" s="369"/>
      <c r="Z84" s="369"/>
      <c r="AA84" s="369"/>
      <c r="AB84" s="369"/>
      <c r="AC84" s="369"/>
      <c r="AD84" s="369"/>
      <c r="AE84" s="369"/>
      <c r="AF84" s="369"/>
      <c r="AG84" s="369"/>
      <c r="AH84" s="369"/>
      <c r="AI84" s="369"/>
      <c r="AJ84" s="369"/>
      <c r="AK84" s="369"/>
      <c r="AL84" s="369"/>
      <c r="AM84" s="369"/>
      <c r="AN84" s="369"/>
      <c r="AO84" s="369"/>
    </row>
    <row r="85" ht="13.5" customHeight="1">
      <c r="A85" s="458"/>
      <c r="B85" s="480" t="s">
        <v>926</v>
      </c>
      <c r="C85" s="460"/>
      <c r="D85" s="460"/>
      <c r="E85" s="460"/>
      <c r="F85" s="460"/>
      <c r="G85" s="460"/>
      <c r="H85" s="460"/>
      <c r="I85" s="460"/>
      <c r="J85" s="479"/>
      <c r="K85" s="479"/>
      <c r="L85" s="460"/>
      <c r="M85" s="452"/>
      <c r="N85" s="368"/>
      <c r="O85" s="368"/>
      <c r="P85" s="368"/>
      <c r="Q85" s="369"/>
      <c r="R85" s="369"/>
      <c r="S85" s="452"/>
      <c r="T85" s="452"/>
      <c r="U85" s="452"/>
      <c r="V85" s="369"/>
      <c r="W85" s="369"/>
      <c r="X85" s="369"/>
      <c r="Y85" s="369"/>
      <c r="Z85" s="369"/>
      <c r="AA85" s="369"/>
      <c r="AB85" s="369"/>
      <c r="AC85" s="369"/>
      <c r="AD85" s="369"/>
      <c r="AE85" s="369"/>
      <c r="AF85" s="369"/>
      <c r="AG85" s="369"/>
      <c r="AH85" s="369"/>
      <c r="AI85" s="369"/>
      <c r="AJ85" s="369"/>
      <c r="AK85" s="369"/>
      <c r="AL85" s="369"/>
      <c r="AM85" s="369"/>
      <c r="AN85" s="369"/>
      <c r="AO85" s="369"/>
    </row>
    <row r="86" ht="13.5" customHeight="1">
      <c r="A86" s="458"/>
      <c r="B86" s="461" t="str">
        <f>Premium!I40</f>
        <v>Supply and installation of Wardrobe  with BWP Carcass, HDHMR Boilo Shutter, Glossy finish laminate and soft close hinges  </v>
      </c>
      <c r="C86" s="458">
        <v>8.5</v>
      </c>
      <c r="D86" s="458">
        <v>7.0</v>
      </c>
      <c r="E86" s="469">
        <f t="shared" ref="E86:E91" si="29">C86*D86</f>
        <v>59.5</v>
      </c>
      <c r="F86" s="470" t="s">
        <v>683</v>
      </c>
      <c r="G86" s="458">
        <v>2550.0</v>
      </c>
      <c r="H86" s="458">
        <v>2100.0</v>
      </c>
      <c r="I86" s="471" t="s">
        <v>684</v>
      </c>
      <c r="J86" s="472">
        <f>Premium!O37</f>
        <v>2206.25</v>
      </c>
      <c r="K86" s="466">
        <v>1.0</v>
      </c>
      <c r="L86" s="467">
        <f t="shared" ref="L86:L91" si="30">K86*J86*E86</f>
        <v>131271.875</v>
      </c>
      <c r="M86" s="452"/>
      <c r="N86" s="368"/>
      <c r="O86" s="368"/>
      <c r="P86" s="368"/>
      <c r="Q86" s="369"/>
      <c r="R86" s="369"/>
      <c r="S86" s="452"/>
      <c r="T86" s="452"/>
      <c r="U86" s="452"/>
      <c r="V86" s="369"/>
      <c r="W86" s="369"/>
      <c r="X86" s="369"/>
      <c r="Y86" s="369"/>
      <c r="Z86" s="369"/>
      <c r="AA86" s="369"/>
      <c r="AB86" s="369"/>
      <c r="AC86" s="369"/>
      <c r="AD86" s="369"/>
      <c r="AE86" s="369"/>
      <c r="AF86" s="369"/>
      <c r="AG86" s="369"/>
      <c r="AH86" s="369"/>
      <c r="AI86" s="369"/>
      <c r="AJ86" s="369"/>
      <c r="AK86" s="369"/>
      <c r="AL86" s="369"/>
      <c r="AM86" s="369"/>
      <c r="AN86" s="369"/>
      <c r="AO86" s="369"/>
    </row>
    <row r="87" ht="13.5" customHeight="1">
      <c r="A87" s="458"/>
      <c r="B87" s="461" t="str">
        <f>Premium!I39</f>
        <v>Supply and installation of Tall storage unit  with BWP Carcass, HDHMR Boilo Shutter, Glossy finish laminate and soft close hinges  </v>
      </c>
      <c r="C87" s="458">
        <v>1.5</v>
      </c>
      <c r="D87" s="458">
        <v>7.0</v>
      </c>
      <c r="E87" s="469">
        <f t="shared" si="29"/>
        <v>10.5</v>
      </c>
      <c r="F87" s="470" t="s">
        <v>683</v>
      </c>
      <c r="G87" s="458">
        <v>450.0</v>
      </c>
      <c r="H87" s="458">
        <v>2100.0</v>
      </c>
      <c r="I87" s="471" t="s">
        <v>684</v>
      </c>
      <c r="J87" s="472">
        <f>Premium!O37</f>
        <v>2206.25</v>
      </c>
      <c r="K87" s="466">
        <v>1.0</v>
      </c>
      <c r="L87" s="467">
        <f t="shared" si="30"/>
        <v>23165.625</v>
      </c>
      <c r="M87" s="452"/>
      <c r="N87" s="368"/>
      <c r="O87" s="368"/>
      <c r="P87" s="368"/>
      <c r="Q87" s="369"/>
      <c r="R87" s="369"/>
      <c r="S87" s="452"/>
      <c r="T87" s="452"/>
      <c r="U87" s="452"/>
      <c r="V87" s="369"/>
      <c r="W87" s="369"/>
      <c r="X87" s="369"/>
      <c r="Y87" s="369"/>
      <c r="Z87" s="369"/>
      <c r="AA87" s="369"/>
      <c r="AB87" s="369"/>
      <c r="AC87" s="369"/>
      <c r="AD87" s="369"/>
      <c r="AE87" s="369"/>
      <c r="AF87" s="369"/>
      <c r="AG87" s="369"/>
      <c r="AH87" s="369"/>
      <c r="AI87" s="369"/>
      <c r="AJ87" s="369"/>
      <c r="AK87" s="369"/>
      <c r="AL87" s="369"/>
      <c r="AM87" s="369"/>
      <c r="AN87" s="369"/>
      <c r="AO87" s="369"/>
    </row>
    <row r="88" ht="13.5" customHeight="1">
      <c r="A88" s="458"/>
      <c r="B88" s="461" t="str">
        <f>Premium!I62</f>
        <v>Supply and installation of Curved Base storage unit  with BWP Carcass, HDHMR Boilo Shutter, Glossy finish laminate and soft close hinges  </v>
      </c>
      <c r="C88" s="458">
        <v>3.0</v>
      </c>
      <c r="D88" s="458">
        <v>1.0</v>
      </c>
      <c r="E88" s="469">
        <f t="shared" si="29"/>
        <v>3</v>
      </c>
      <c r="F88" s="470" t="s">
        <v>683</v>
      </c>
      <c r="G88" s="458">
        <v>900.0</v>
      </c>
      <c r="H88" s="458">
        <v>300.0</v>
      </c>
      <c r="I88" s="471" t="s">
        <v>684</v>
      </c>
      <c r="J88" s="472">
        <f>Premium!O62</f>
        <v>2643.75</v>
      </c>
      <c r="K88" s="466">
        <v>1.0</v>
      </c>
      <c r="L88" s="467">
        <f t="shared" si="30"/>
        <v>7931.25</v>
      </c>
      <c r="M88" s="452"/>
      <c r="N88" s="368"/>
      <c r="O88" s="368"/>
      <c r="P88" s="368"/>
      <c r="Q88" s="369"/>
      <c r="R88" s="369"/>
      <c r="S88" s="474"/>
      <c r="T88" s="452">
        <v>4730.0</v>
      </c>
      <c r="U88" s="452"/>
      <c r="V88" s="369"/>
      <c r="W88" s="369"/>
      <c r="X88" s="369"/>
      <c r="Y88" s="369"/>
      <c r="Z88" s="369"/>
      <c r="AA88" s="369"/>
      <c r="AB88" s="369"/>
      <c r="AC88" s="369"/>
      <c r="AD88" s="369"/>
      <c r="AE88" s="369"/>
      <c r="AF88" s="369"/>
      <c r="AG88" s="369"/>
      <c r="AH88" s="369"/>
      <c r="AI88" s="369"/>
      <c r="AJ88" s="369"/>
      <c r="AK88" s="369"/>
      <c r="AL88" s="369"/>
      <c r="AM88" s="369"/>
      <c r="AN88" s="369"/>
      <c r="AO88" s="369"/>
    </row>
    <row r="89" ht="13.5" customHeight="1">
      <c r="A89" s="458"/>
      <c r="B89" s="461" t="str">
        <f>Premium!I73</f>
        <v>Supply and installation of Wall Panel with BWP Ply Frame, Glossy Finish laminate </v>
      </c>
      <c r="C89" s="458">
        <v>2.0</v>
      </c>
      <c r="D89" s="458">
        <v>5.0</v>
      </c>
      <c r="E89" s="469">
        <f t="shared" si="29"/>
        <v>10</v>
      </c>
      <c r="F89" s="470" t="s">
        <v>683</v>
      </c>
      <c r="G89" s="458">
        <v>600.0</v>
      </c>
      <c r="H89" s="458">
        <v>1500.0</v>
      </c>
      <c r="I89" s="471" t="s">
        <v>684</v>
      </c>
      <c r="J89" s="472">
        <f>Premium!O73</f>
        <v>1375</v>
      </c>
      <c r="K89" s="466">
        <v>1.0</v>
      </c>
      <c r="L89" s="467">
        <f t="shared" si="30"/>
        <v>13750</v>
      </c>
      <c r="M89" s="452"/>
      <c r="N89" s="368"/>
      <c r="O89" s="368"/>
      <c r="P89" s="368"/>
      <c r="Q89" s="369"/>
      <c r="R89" s="369"/>
      <c r="S89" s="474"/>
      <c r="T89" s="452"/>
      <c r="U89" s="452"/>
      <c r="V89" s="369"/>
      <c r="W89" s="369"/>
      <c r="X89" s="369"/>
      <c r="Y89" s="369"/>
      <c r="Z89" s="369"/>
      <c r="AA89" s="369"/>
      <c r="AB89" s="369"/>
      <c r="AC89" s="369"/>
      <c r="AD89" s="369"/>
      <c r="AE89" s="369"/>
      <c r="AF89" s="369"/>
      <c r="AG89" s="369"/>
      <c r="AH89" s="369"/>
      <c r="AI89" s="369"/>
      <c r="AJ89" s="369"/>
      <c r="AK89" s="369"/>
      <c r="AL89" s="369"/>
      <c r="AM89" s="369"/>
      <c r="AN89" s="369"/>
      <c r="AO89" s="369"/>
    </row>
    <row r="90" ht="13.5" customHeight="1">
      <c r="A90" s="458"/>
      <c r="B90" s="461" t="str">
        <f>Premium!I67</f>
        <v>Supply and installation of Loft Frame and Shutter unit with BWP Frame, HDHMR Boilo Shutter, Glossy  finish laminate and Soft Close hinges  </v>
      </c>
      <c r="C90" s="458">
        <v>10.0</v>
      </c>
      <c r="D90" s="458">
        <v>2.5</v>
      </c>
      <c r="E90" s="469">
        <f t="shared" si="29"/>
        <v>25</v>
      </c>
      <c r="F90" s="470" t="s">
        <v>683</v>
      </c>
      <c r="G90" s="458">
        <v>3000.0</v>
      </c>
      <c r="H90" s="458">
        <v>750.0</v>
      </c>
      <c r="I90" s="471" t="s">
        <v>684</v>
      </c>
      <c r="J90" s="472">
        <f>Premium!O67</f>
        <v>1260</v>
      </c>
      <c r="K90" s="466">
        <v>1.0</v>
      </c>
      <c r="L90" s="467">
        <f t="shared" si="30"/>
        <v>31500</v>
      </c>
      <c r="M90" s="452"/>
      <c r="N90" s="368"/>
      <c r="O90" s="368"/>
      <c r="P90" s="368"/>
      <c r="Q90" s="369"/>
      <c r="R90" s="369"/>
      <c r="S90" s="474"/>
      <c r="T90" s="452">
        <v>2029.0</v>
      </c>
      <c r="U90" s="452"/>
      <c r="V90" s="369"/>
      <c r="W90" s="369"/>
      <c r="X90" s="369"/>
      <c r="Y90" s="369"/>
      <c r="Z90" s="369"/>
      <c r="AA90" s="369"/>
      <c r="AB90" s="369"/>
      <c r="AC90" s="369"/>
      <c r="AD90" s="369"/>
      <c r="AE90" s="369"/>
      <c r="AF90" s="369"/>
      <c r="AG90" s="369"/>
      <c r="AH90" s="369"/>
      <c r="AI90" s="369"/>
      <c r="AJ90" s="369"/>
      <c r="AK90" s="369"/>
      <c r="AL90" s="369"/>
      <c r="AM90" s="369"/>
      <c r="AN90" s="369"/>
      <c r="AO90" s="369"/>
    </row>
    <row r="91" ht="13.5" customHeight="1">
      <c r="A91" s="458"/>
      <c r="B91" s="461" t="str">
        <f>Premium!I77</f>
        <v>Supply and installation of Base Panel with BWP Ply Frame, Glossy Finish laminate </v>
      </c>
      <c r="C91" s="458">
        <v>2.0</v>
      </c>
      <c r="D91" s="458">
        <v>3.0</v>
      </c>
      <c r="E91" s="469">
        <f t="shared" si="29"/>
        <v>6</v>
      </c>
      <c r="F91" s="470" t="s">
        <v>683</v>
      </c>
      <c r="G91" s="458">
        <v>600.0</v>
      </c>
      <c r="H91" s="458">
        <v>900.0</v>
      </c>
      <c r="I91" s="471" t="s">
        <v>684</v>
      </c>
      <c r="J91" s="472">
        <f>Premium!O73</f>
        <v>1375</v>
      </c>
      <c r="K91" s="466">
        <v>1.0</v>
      </c>
      <c r="L91" s="467">
        <f t="shared" si="30"/>
        <v>8250</v>
      </c>
      <c r="M91" s="452"/>
      <c r="N91" s="368"/>
      <c r="O91" s="368"/>
      <c r="P91" s="368"/>
      <c r="Q91" s="369"/>
      <c r="R91" s="369"/>
      <c r="S91" s="452"/>
      <c r="T91" s="452"/>
      <c r="U91" s="452"/>
      <c r="V91" s="369"/>
      <c r="W91" s="369"/>
      <c r="X91" s="369"/>
      <c r="Y91" s="369"/>
      <c r="Z91" s="369"/>
      <c r="AA91" s="369"/>
      <c r="AB91" s="369"/>
      <c r="AC91" s="369"/>
      <c r="AD91" s="369"/>
      <c r="AE91" s="369"/>
      <c r="AF91" s="369"/>
      <c r="AG91" s="369"/>
      <c r="AH91" s="369"/>
      <c r="AI91" s="369"/>
      <c r="AJ91" s="369"/>
      <c r="AK91" s="369"/>
      <c r="AL91" s="369"/>
      <c r="AM91" s="369"/>
      <c r="AN91" s="369"/>
      <c r="AO91" s="369"/>
    </row>
    <row r="92" ht="13.5" customHeight="1">
      <c r="A92" s="458"/>
      <c r="B92" s="480" t="s">
        <v>927</v>
      </c>
      <c r="C92" s="460"/>
      <c r="D92" s="460"/>
      <c r="E92" s="460"/>
      <c r="F92" s="460"/>
      <c r="G92" s="460"/>
      <c r="H92" s="460"/>
      <c r="I92" s="460"/>
      <c r="J92" s="479"/>
      <c r="K92" s="479"/>
      <c r="L92" s="460"/>
      <c r="M92" s="452"/>
      <c r="N92" s="368"/>
      <c r="O92" s="368"/>
      <c r="P92" s="368"/>
      <c r="Q92" s="369"/>
      <c r="R92" s="369"/>
      <c r="S92" s="452"/>
      <c r="T92" s="452"/>
      <c r="U92" s="452"/>
      <c r="V92" s="369"/>
      <c r="W92" s="369"/>
      <c r="X92" s="369"/>
      <c r="Y92" s="369"/>
      <c r="Z92" s="369"/>
      <c r="AA92" s="369"/>
      <c r="AB92" s="369"/>
      <c r="AC92" s="369"/>
      <c r="AD92" s="369"/>
      <c r="AE92" s="369"/>
      <c r="AF92" s="369"/>
      <c r="AG92" s="369"/>
      <c r="AH92" s="369"/>
      <c r="AI92" s="369"/>
      <c r="AJ92" s="369"/>
      <c r="AK92" s="369"/>
      <c r="AL92" s="369"/>
      <c r="AM92" s="369"/>
      <c r="AN92" s="369"/>
      <c r="AO92" s="369"/>
    </row>
    <row r="93" ht="13.5" customHeight="1">
      <c r="A93" s="458"/>
      <c r="B93" s="461" t="str">
        <f>Premium!I3</f>
        <v>Supply and installation of Base storage unit  with BWP Carcass, HDHMR Boilo Shutter, Smooth finish laminate and soft close hinges  </v>
      </c>
      <c r="C93" s="458">
        <v>6.0</v>
      </c>
      <c r="D93" s="458">
        <v>6.0</v>
      </c>
      <c r="E93" s="469">
        <f>C93*D93</f>
        <v>36</v>
      </c>
      <c r="F93" s="470" t="s">
        <v>683</v>
      </c>
      <c r="G93" s="458">
        <v>1800.0</v>
      </c>
      <c r="H93" s="458">
        <v>1800.0</v>
      </c>
      <c r="I93" s="471" t="s">
        <v>684</v>
      </c>
      <c r="J93" s="472">
        <f>Premium!O3</f>
        <v>2143.75</v>
      </c>
      <c r="K93" s="466">
        <v>1.0</v>
      </c>
      <c r="L93" s="467">
        <f>K93*J93*E93</f>
        <v>77175</v>
      </c>
      <c r="M93" s="452"/>
      <c r="N93" s="368"/>
      <c r="O93" s="368"/>
      <c r="P93" s="368"/>
      <c r="Q93" s="369"/>
      <c r="R93" s="369"/>
      <c r="S93" s="452"/>
      <c r="T93" s="452"/>
      <c r="U93" s="452"/>
      <c r="V93" s="369"/>
      <c r="W93" s="369"/>
      <c r="X93" s="369"/>
      <c r="Y93" s="369"/>
      <c r="Z93" s="369"/>
      <c r="AA93" s="369"/>
      <c r="AB93" s="369"/>
      <c r="AC93" s="369"/>
      <c r="AD93" s="369"/>
      <c r="AE93" s="369"/>
      <c r="AF93" s="369"/>
      <c r="AG93" s="369"/>
      <c r="AH93" s="369"/>
      <c r="AI93" s="369"/>
      <c r="AJ93" s="369"/>
      <c r="AK93" s="369"/>
      <c r="AL93" s="369"/>
      <c r="AM93" s="369"/>
      <c r="AN93" s="369"/>
      <c r="AO93" s="369"/>
    </row>
    <row r="94" ht="13.5" customHeight="1">
      <c r="A94" s="458"/>
      <c r="B94" s="473" t="s">
        <v>928</v>
      </c>
      <c r="C94" s="460"/>
      <c r="D94" s="460"/>
      <c r="E94" s="460"/>
      <c r="F94" s="460"/>
      <c r="G94" s="460"/>
      <c r="H94" s="460"/>
      <c r="I94" s="460"/>
      <c r="J94" s="479"/>
      <c r="K94" s="479"/>
      <c r="L94" s="460"/>
      <c r="M94" s="452"/>
      <c r="N94" s="368"/>
      <c r="O94" s="368"/>
      <c r="P94" s="368"/>
      <c r="Q94" s="369"/>
      <c r="R94" s="369"/>
      <c r="S94" s="452"/>
      <c r="T94" s="452"/>
      <c r="U94" s="452"/>
      <c r="V94" s="369"/>
      <c r="W94" s="369"/>
      <c r="X94" s="369"/>
      <c r="Y94" s="369"/>
      <c r="Z94" s="369"/>
      <c r="AA94" s="369"/>
      <c r="AB94" s="369"/>
      <c r="AC94" s="369"/>
      <c r="AD94" s="369"/>
      <c r="AE94" s="369"/>
      <c r="AF94" s="369"/>
      <c r="AG94" s="369"/>
      <c r="AH94" s="369"/>
      <c r="AI94" s="369"/>
      <c r="AJ94" s="369"/>
      <c r="AK94" s="369"/>
      <c r="AL94" s="369"/>
      <c r="AM94" s="369"/>
      <c r="AN94" s="369"/>
      <c r="AO94" s="369"/>
    </row>
    <row r="95" ht="13.5" customHeight="1">
      <c r="A95" s="458"/>
      <c r="B95" s="461" t="str">
        <f>Premium!I73</f>
        <v>Supply and installation of Wall Panel with BWP Ply Frame, Glossy Finish laminate </v>
      </c>
      <c r="C95" s="458">
        <v>8.0</v>
      </c>
      <c r="D95" s="458">
        <v>10.0</v>
      </c>
      <c r="E95" s="469">
        <f t="shared" ref="E95:E98" si="31">C95*D95</f>
        <v>80</v>
      </c>
      <c r="F95" s="470" t="s">
        <v>683</v>
      </c>
      <c r="G95" s="458">
        <v>2400.0</v>
      </c>
      <c r="H95" s="458">
        <v>3000.0</v>
      </c>
      <c r="I95" s="471" t="s">
        <v>684</v>
      </c>
      <c r="J95" s="472">
        <f>Premium!O73</f>
        <v>1375</v>
      </c>
      <c r="K95" s="466">
        <v>1.0</v>
      </c>
      <c r="L95" s="467">
        <f t="shared" ref="L95:L98" si="32">K95*J95*E95</f>
        <v>110000</v>
      </c>
      <c r="M95" s="452"/>
      <c r="N95" s="368"/>
      <c r="O95" s="368"/>
      <c r="P95" s="368"/>
      <c r="Q95" s="369"/>
      <c r="R95" s="369"/>
      <c r="S95" s="452"/>
      <c r="T95" s="452"/>
      <c r="U95" s="452"/>
      <c r="V95" s="369"/>
      <c r="W95" s="369"/>
      <c r="X95" s="369"/>
      <c r="Y95" s="369"/>
      <c r="Z95" s="369"/>
      <c r="AA95" s="369"/>
      <c r="AB95" s="369"/>
      <c r="AC95" s="369"/>
      <c r="AD95" s="369"/>
      <c r="AE95" s="369"/>
      <c r="AF95" s="369"/>
      <c r="AG95" s="369"/>
      <c r="AH95" s="369"/>
      <c r="AI95" s="369"/>
      <c r="AJ95" s="369"/>
      <c r="AK95" s="369"/>
      <c r="AL95" s="369"/>
      <c r="AM95" s="369"/>
      <c r="AN95" s="369"/>
      <c r="AO95" s="369"/>
    </row>
    <row r="96" ht="13.5" customHeight="1">
      <c r="A96" s="458"/>
      <c r="B96" s="461" t="str">
        <f>Premium!I37</f>
        <v>Supply and installation of Base storage unit  with BWP Carcass, HDHMR Boilo Shutter, Glossy finish laminate and soft close hinges  </v>
      </c>
      <c r="C96" s="458">
        <v>6.0</v>
      </c>
      <c r="D96" s="458">
        <v>7.0</v>
      </c>
      <c r="E96" s="469">
        <f t="shared" si="31"/>
        <v>42</v>
      </c>
      <c r="F96" s="470" t="s">
        <v>683</v>
      </c>
      <c r="G96" s="458">
        <v>1800.0</v>
      </c>
      <c r="H96" s="458">
        <v>2100.0</v>
      </c>
      <c r="I96" s="471" t="s">
        <v>684</v>
      </c>
      <c r="J96" s="472">
        <f>Premium!O37</f>
        <v>2206.25</v>
      </c>
      <c r="K96" s="466">
        <v>1.0</v>
      </c>
      <c r="L96" s="467">
        <f t="shared" si="32"/>
        <v>92662.5</v>
      </c>
      <c r="M96" s="452"/>
      <c r="N96" s="368"/>
      <c r="O96" s="368"/>
      <c r="P96" s="368"/>
      <c r="Q96" s="369"/>
      <c r="R96" s="369"/>
      <c r="S96" s="452"/>
      <c r="T96" s="452"/>
      <c r="U96" s="452"/>
      <c r="V96" s="369"/>
      <c r="W96" s="369"/>
      <c r="X96" s="369"/>
      <c r="Y96" s="369"/>
      <c r="Z96" s="369"/>
      <c r="AA96" s="369"/>
      <c r="AB96" s="369"/>
      <c r="AC96" s="369"/>
      <c r="AD96" s="369"/>
      <c r="AE96" s="369"/>
      <c r="AF96" s="369"/>
      <c r="AG96" s="369"/>
      <c r="AH96" s="369"/>
      <c r="AI96" s="369"/>
      <c r="AJ96" s="369"/>
      <c r="AK96" s="369"/>
      <c r="AL96" s="369"/>
      <c r="AM96" s="369"/>
      <c r="AN96" s="369"/>
      <c r="AO96" s="369"/>
    </row>
    <row r="97" ht="13.5" customHeight="1">
      <c r="A97" s="458"/>
      <c r="B97" s="461" t="str">
        <f>Premium!I67</f>
        <v>Supply and installation of Loft Frame and Shutter unit with BWP Frame, HDHMR Boilo Shutter, Glossy  finish laminate and Soft Close hinges  </v>
      </c>
      <c r="C97" s="458">
        <v>10.0</v>
      </c>
      <c r="D97" s="458">
        <v>2.5</v>
      </c>
      <c r="E97" s="469">
        <f t="shared" si="31"/>
        <v>25</v>
      </c>
      <c r="F97" s="470" t="s">
        <v>683</v>
      </c>
      <c r="G97" s="458">
        <v>1800.0</v>
      </c>
      <c r="H97" s="458">
        <v>750.0</v>
      </c>
      <c r="I97" s="471" t="s">
        <v>684</v>
      </c>
      <c r="J97" s="472">
        <f>Premium!O67</f>
        <v>1260</v>
      </c>
      <c r="K97" s="466">
        <v>1.0</v>
      </c>
      <c r="L97" s="467">
        <f t="shared" si="32"/>
        <v>31500</v>
      </c>
      <c r="M97" s="452"/>
      <c r="N97" s="368"/>
      <c r="O97" s="368"/>
      <c r="P97" s="368"/>
      <c r="Q97" s="369"/>
      <c r="R97" s="369"/>
      <c r="S97" s="452"/>
      <c r="T97" s="452"/>
      <c r="U97" s="452"/>
      <c r="V97" s="369"/>
      <c r="W97" s="369"/>
      <c r="X97" s="369"/>
      <c r="Y97" s="369"/>
      <c r="Z97" s="369"/>
      <c r="AA97" s="369"/>
      <c r="AB97" s="369"/>
      <c r="AC97" s="369"/>
      <c r="AD97" s="369"/>
      <c r="AE97" s="369"/>
      <c r="AF97" s="369"/>
      <c r="AG97" s="369"/>
      <c r="AH97" s="369"/>
      <c r="AI97" s="369"/>
      <c r="AJ97" s="369"/>
      <c r="AK97" s="369"/>
      <c r="AL97" s="369"/>
      <c r="AM97" s="369"/>
      <c r="AN97" s="369"/>
      <c r="AO97" s="369"/>
    </row>
    <row r="98" ht="13.5" customHeight="1">
      <c r="A98" s="458"/>
      <c r="B98" s="461" t="str">
        <f>Premium!I77</f>
        <v>Supply and installation of Base Panel with BWP Ply Frame, Glossy Finish laminate </v>
      </c>
      <c r="C98" s="458">
        <v>6.0</v>
      </c>
      <c r="D98" s="458">
        <v>2.5</v>
      </c>
      <c r="E98" s="469">
        <f t="shared" si="31"/>
        <v>15</v>
      </c>
      <c r="F98" s="470" t="s">
        <v>683</v>
      </c>
      <c r="G98" s="458">
        <v>1800.0</v>
      </c>
      <c r="H98" s="458">
        <v>750.0</v>
      </c>
      <c r="I98" s="471" t="s">
        <v>684</v>
      </c>
      <c r="J98" s="472">
        <f>Premium!O73</f>
        <v>1375</v>
      </c>
      <c r="K98" s="466">
        <v>1.0</v>
      </c>
      <c r="L98" s="467">
        <f t="shared" si="32"/>
        <v>20625</v>
      </c>
      <c r="M98" s="452"/>
      <c r="N98" s="368"/>
      <c r="O98" s="368"/>
      <c r="P98" s="368"/>
      <c r="Q98" s="369"/>
      <c r="R98" s="369"/>
      <c r="S98" s="452"/>
      <c r="T98" s="452"/>
      <c r="U98" s="452"/>
      <c r="V98" s="369"/>
      <c r="W98" s="369"/>
      <c r="X98" s="369"/>
      <c r="Y98" s="369"/>
      <c r="Z98" s="369"/>
      <c r="AA98" s="369"/>
      <c r="AB98" s="369"/>
      <c r="AC98" s="369"/>
      <c r="AD98" s="369"/>
      <c r="AE98" s="369"/>
      <c r="AF98" s="369"/>
      <c r="AG98" s="369"/>
      <c r="AH98" s="369"/>
      <c r="AI98" s="369"/>
      <c r="AJ98" s="369"/>
      <c r="AK98" s="369"/>
      <c r="AL98" s="369"/>
      <c r="AM98" s="369"/>
      <c r="AN98" s="369"/>
      <c r="AO98" s="369"/>
    </row>
    <row r="99" ht="13.5" customHeight="1">
      <c r="A99" s="458"/>
      <c r="B99" s="480" t="s">
        <v>925</v>
      </c>
      <c r="C99" s="460"/>
      <c r="D99" s="460"/>
      <c r="E99" s="460"/>
      <c r="F99" s="460"/>
      <c r="G99" s="460"/>
      <c r="H99" s="460"/>
      <c r="I99" s="460"/>
      <c r="J99" s="479"/>
      <c r="K99" s="479"/>
      <c r="L99" s="460"/>
      <c r="M99" s="452"/>
      <c r="N99" s="368"/>
      <c r="O99" s="368"/>
      <c r="P99" s="368"/>
      <c r="Q99" s="369"/>
      <c r="R99" s="369"/>
      <c r="S99" s="452"/>
      <c r="T99" s="452"/>
      <c r="U99" s="452"/>
      <c r="V99" s="369"/>
      <c r="W99" s="369"/>
      <c r="X99" s="369"/>
      <c r="Y99" s="369"/>
      <c r="Z99" s="369"/>
      <c r="AA99" s="369"/>
      <c r="AB99" s="369"/>
      <c r="AC99" s="369"/>
      <c r="AD99" s="369"/>
      <c r="AE99" s="369"/>
      <c r="AF99" s="369"/>
      <c r="AG99" s="369"/>
      <c r="AH99" s="369"/>
      <c r="AI99" s="369"/>
      <c r="AJ99" s="369"/>
      <c r="AK99" s="369"/>
      <c r="AL99" s="369"/>
      <c r="AM99" s="369"/>
      <c r="AN99" s="369"/>
      <c r="AO99" s="369"/>
    </row>
    <row r="100" ht="13.5" customHeight="1">
      <c r="A100" s="458"/>
      <c r="B100" s="461" t="str">
        <f>Premium!I37</f>
        <v>Supply and installation of Base storage unit  with BWP Carcass, HDHMR Boilo Shutter, Glossy finish laminate and soft close hinges  </v>
      </c>
      <c r="C100" s="458">
        <v>7.0</v>
      </c>
      <c r="D100" s="458">
        <v>1.0</v>
      </c>
      <c r="E100" s="469">
        <f>C100*D100</f>
        <v>7</v>
      </c>
      <c r="F100" s="470" t="s">
        <v>683</v>
      </c>
      <c r="G100" s="458">
        <v>2100.0</v>
      </c>
      <c r="H100" s="458">
        <v>300.0</v>
      </c>
      <c r="I100" s="471" t="s">
        <v>684</v>
      </c>
      <c r="J100" s="472">
        <f>Premium!O37</f>
        <v>2206.25</v>
      </c>
      <c r="K100" s="466">
        <v>1.0</v>
      </c>
      <c r="L100" s="467">
        <f>K100*J100*E100</f>
        <v>15443.75</v>
      </c>
      <c r="M100" s="452"/>
      <c r="N100" s="368"/>
      <c r="O100" s="368"/>
      <c r="P100" s="368"/>
      <c r="Q100" s="369"/>
      <c r="R100" s="369"/>
      <c r="S100" s="452"/>
      <c r="T100" s="452"/>
      <c r="U100" s="452"/>
      <c r="V100" s="369"/>
      <c r="W100" s="369"/>
      <c r="X100" s="369"/>
      <c r="Y100" s="369"/>
      <c r="Z100" s="369"/>
      <c r="AA100" s="369"/>
      <c r="AB100" s="369"/>
      <c r="AC100" s="369"/>
      <c r="AD100" s="369"/>
      <c r="AE100" s="369"/>
      <c r="AF100" s="369"/>
      <c r="AG100" s="369"/>
      <c r="AH100" s="369"/>
      <c r="AI100" s="369"/>
      <c r="AJ100" s="369"/>
      <c r="AK100" s="369"/>
      <c r="AL100" s="369"/>
      <c r="AM100" s="369"/>
      <c r="AN100" s="369"/>
      <c r="AO100" s="369"/>
    </row>
    <row r="101" ht="13.5" customHeight="1">
      <c r="A101" s="458"/>
      <c r="B101" s="480" t="s">
        <v>913</v>
      </c>
      <c r="C101" s="460"/>
      <c r="D101" s="460"/>
      <c r="E101" s="460"/>
      <c r="F101" s="460"/>
      <c r="G101" s="460"/>
      <c r="H101" s="460"/>
      <c r="I101" s="460"/>
      <c r="J101" s="479"/>
      <c r="K101" s="479"/>
      <c r="L101" s="460"/>
      <c r="M101" s="452"/>
      <c r="N101" s="368"/>
      <c r="O101" s="368"/>
      <c r="P101" s="368"/>
      <c r="Q101" s="369"/>
      <c r="R101" s="369"/>
      <c r="S101" s="452"/>
      <c r="T101" s="452"/>
      <c r="U101" s="452"/>
      <c r="V101" s="369"/>
      <c r="W101" s="369"/>
      <c r="X101" s="369"/>
      <c r="Y101" s="369"/>
      <c r="Z101" s="369"/>
      <c r="AA101" s="369"/>
      <c r="AB101" s="369"/>
      <c r="AC101" s="369"/>
      <c r="AD101" s="369"/>
      <c r="AE101" s="369"/>
      <c r="AF101" s="369"/>
      <c r="AG101" s="369"/>
      <c r="AH101" s="369"/>
      <c r="AI101" s="369"/>
      <c r="AJ101" s="369"/>
      <c r="AK101" s="369"/>
      <c r="AL101" s="369"/>
      <c r="AM101" s="369"/>
      <c r="AN101" s="369"/>
      <c r="AO101" s="369"/>
    </row>
    <row r="102" ht="13.5" customHeight="1">
      <c r="A102" s="458"/>
      <c r="B102" s="461" t="str">
        <f>Premium!I62</f>
        <v>Supply and installation of Curved Base storage unit  with BWP Carcass, HDHMR Boilo Shutter, Glossy finish laminate and soft close hinges  </v>
      </c>
      <c r="C102" s="458">
        <v>5.0</v>
      </c>
      <c r="D102" s="458">
        <v>1.0</v>
      </c>
      <c r="E102" s="469">
        <f t="shared" ref="E102:E103" si="33">C102*D102</f>
        <v>5</v>
      </c>
      <c r="F102" s="470" t="s">
        <v>683</v>
      </c>
      <c r="G102" s="458">
        <v>1500.0</v>
      </c>
      <c r="H102" s="458">
        <v>300.0</v>
      </c>
      <c r="I102" s="471" t="s">
        <v>684</v>
      </c>
      <c r="J102" s="472">
        <f>Premium!O62</f>
        <v>2643.75</v>
      </c>
      <c r="K102" s="466">
        <v>1.0</v>
      </c>
      <c r="L102" s="467">
        <f t="shared" ref="L102:L103" si="34">K102*J102*E102</f>
        <v>13218.75</v>
      </c>
      <c r="M102" s="452"/>
      <c r="N102" s="368"/>
      <c r="O102" s="368"/>
      <c r="P102" s="368"/>
      <c r="Q102" s="369"/>
      <c r="R102" s="369"/>
      <c r="S102" s="452"/>
      <c r="T102" s="474"/>
      <c r="U102" s="452">
        <v>4730.0</v>
      </c>
      <c r="V102" s="369"/>
      <c r="W102" s="369"/>
      <c r="X102" s="369"/>
      <c r="Y102" s="369"/>
      <c r="Z102" s="369"/>
      <c r="AA102" s="369"/>
      <c r="AB102" s="369"/>
      <c r="AC102" s="369"/>
      <c r="AD102" s="369"/>
      <c r="AE102" s="369"/>
      <c r="AF102" s="369"/>
      <c r="AG102" s="369"/>
      <c r="AH102" s="369"/>
      <c r="AI102" s="369"/>
      <c r="AJ102" s="369"/>
      <c r="AK102" s="369"/>
      <c r="AL102" s="369"/>
      <c r="AM102" s="369"/>
      <c r="AN102" s="369"/>
      <c r="AO102" s="369"/>
    </row>
    <row r="103" ht="13.5" customHeight="1">
      <c r="A103" s="458"/>
      <c r="B103" s="461" t="str">
        <f>Premium!I68</f>
        <v>Supply and installation of Ledge with 25mm Ledge BWP and Glossy Finish Laminate</v>
      </c>
      <c r="C103" s="458">
        <v>5.0</v>
      </c>
      <c r="D103" s="458">
        <v>1.0</v>
      </c>
      <c r="E103" s="469">
        <f t="shared" si="33"/>
        <v>5</v>
      </c>
      <c r="F103" s="470" t="s">
        <v>683</v>
      </c>
      <c r="G103" s="458">
        <v>1500.0</v>
      </c>
      <c r="H103" s="458">
        <v>300.0</v>
      </c>
      <c r="I103" s="471" t="s">
        <v>684</v>
      </c>
      <c r="J103" s="472">
        <f>Premium!O68</f>
        <v>1156.25</v>
      </c>
      <c r="K103" s="466">
        <v>1.0</v>
      </c>
      <c r="L103" s="467">
        <f t="shared" si="34"/>
        <v>5781.25</v>
      </c>
      <c r="M103" s="452"/>
      <c r="N103" s="368"/>
      <c r="O103" s="368"/>
      <c r="P103" s="368"/>
      <c r="Q103" s="369"/>
      <c r="R103" s="369"/>
      <c r="S103" s="452"/>
      <c r="T103" s="474"/>
      <c r="U103" s="452"/>
      <c r="V103" s="369"/>
      <c r="W103" s="369"/>
      <c r="X103" s="369"/>
      <c r="Y103" s="369"/>
      <c r="Z103" s="369"/>
      <c r="AA103" s="369"/>
      <c r="AB103" s="369"/>
      <c r="AC103" s="369"/>
      <c r="AD103" s="369"/>
      <c r="AE103" s="369"/>
      <c r="AF103" s="369"/>
      <c r="AG103" s="369"/>
      <c r="AH103" s="369"/>
      <c r="AI103" s="369"/>
      <c r="AJ103" s="369"/>
      <c r="AK103" s="369"/>
      <c r="AL103" s="369"/>
      <c r="AM103" s="369"/>
      <c r="AN103" s="369"/>
      <c r="AO103" s="369"/>
    </row>
    <row r="104" ht="13.5" customHeight="1">
      <c r="A104" s="458"/>
      <c r="B104" s="480" t="s">
        <v>929</v>
      </c>
      <c r="C104" s="460"/>
      <c r="D104" s="460"/>
      <c r="E104" s="460"/>
      <c r="F104" s="460"/>
      <c r="G104" s="460"/>
      <c r="H104" s="460"/>
      <c r="I104" s="460"/>
      <c r="J104" s="479"/>
      <c r="K104" s="479"/>
      <c r="L104" s="460"/>
      <c r="M104" s="452"/>
      <c r="N104" s="368"/>
      <c r="O104" s="368"/>
      <c r="P104" s="368"/>
      <c r="Q104" s="369"/>
      <c r="R104" s="369"/>
      <c r="S104" s="452"/>
      <c r="T104" s="452"/>
      <c r="U104" s="452"/>
      <c r="V104" s="369"/>
      <c r="W104" s="369"/>
      <c r="X104" s="369"/>
      <c r="Y104" s="369"/>
      <c r="Z104" s="369"/>
      <c r="AA104" s="369"/>
      <c r="AB104" s="369"/>
      <c r="AC104" s="369"/>
      <c r="AD104" s="369"/>
      <c r="AE104" s="369"/>
      <c r="AF104" s="369"/>
      <c r="AG104" s="369"/>
      <c r="AH104" s="369"/>
      <c r="AI104" s="369"/>
      <c r="AJ104" s="369"/>
      <c r="AK104" s="369"/>
      <c r="AL104" s="369"/>
      <c r="AM104" s="369"/>
      <c r="AN104" s="369"/>
      <c r="AO104" s="369"/>
    </row>
    <row r="105" ht="13.5" customHeight="1">
      <c r="A105" s="458"/>
      <c r="B105" s="461" t="str">
        <f>Premium!I37</f>
        <v>Supply and installation of Base storage unit  with BWP Carcass, HDHMR Boilo Shutter, Glossy finish laminate and soft close hinges  </v>
      </c>
      <c r="C105" s="458">
        <v>6.0</v>
      </c>
      <c r="D105" s="458">
        <v>2.0</v>
      </c>
      <c r="E105" s="469">
        <f t="shared" ref="E105:E106" si="35">C105*D105</f>
        <v>12</v>
      </c>
      <c r="F105" s="470" t="s">
        <v>683</v>
      </c>
      <c r="G105" s="458">
        <v>1800.0</v>
      </c>
      <c r="H105" s="458">
        <v>600.0</v>
      </c>
      <c r="I105" s="471" t="s">
        <v>684</v>
      </c>
      <c r="J105" s="472">
        <f>Premium!O37</f>
        <v>2206.25</v>
      </c>
      <c r="K105" s="466">
        <v>1.0</v>
      </c>
      <c r="L105" s="467">
        <f t="shared" ref="L105:L106" si="36">K105*J105*E105</f>
        <v>26475</v>
      </c>
      <c r="M105" s="452"/>
      <c r="N105" s="368"/>
      <c r="O105" s="368"/>
      <c r="P105" s="368"/>
      <c r="Q105" s="369"/>
      <c r="R105" s="369"/>
      <c r="S105" s="452"/>
      <c r="T105" s="452"/>
      <c r="U105" s="452"/>
      <c r="V105" s="369"/>
      <c r="W105" s="369"/>
      <c r="X105" s="369"/>
      <c r="Y105" s="369"/>
      <c r="Z105" s="369"/>
      <c r="AA105" s="369"/>
      <c r="AB105" s="369"/>
      <c r="AC105" s="369"/>
      <c r="AD105" s="369"/>
      <c r="AE105" s="369"/>
      <c r="AF105" s="369"/>
      <c r="AG105" s="369"/>
      <c r="AH105" s="369"/>
      <c r="AI105" s="369"/>
      <c r="AJ105" s="369"/>
      <c r="AK105" s="369"/>
      <c r="AL105" s="369"/>
      <c r="AM105" s="369"/>
      <c r="AN105" s="369"/>
      <c r="AO105" s="369"/>
    </row>
    <row r="106" ht="13.5" customHeight="1">
      <c r="A106" s="458"/>
      <c r="B106" s="461" t="str">
        <f>Premium!I73</f>
        <v>Supply and installation of Wall Panel with BWP Ply Frame, Glossy Finish laminate </v>
      </c>
      <c r="C106" s="458">
        <v>20.0</v>
      </c>
      <c r="D106" s="458">
        <v>2.0</v>
      </c>
      <c r="E106" s="469">
        <f t="shared" si="35"/>
        <v>40</v>
      </c>
      <c r="F106" s="470" t="s">
        <v>683</v>
      </c>
      <c r="G106" s="458">
        <v>6000.0</v>
      </c>
      <c r="H106" s="458">
        <v>600.0</v>
      </c>
      <c r="I106" s="471" t="s">
        <v>684</v>
      </c>
      <c r="J106" s="472">
        <f>Premium!O73</f>
        <v>1375</v>
      </c>
      <c r="K106" s="466">
        <v>1.0</v>
      </c>
      <c r="L106" s="467">
        <f t="shared" si="36"/>
        <v>55000</v>
      </c>
      <c r="M106" s="452"/>
      <c r="N106" s="368"/>
      <c r="O106" s="368"/>
      <c r="P106" s="368"/>
      <c r="Q106" s="369"/>
      <c r="R106" s="369"/>
      <c r="S106" s="452"/>
      <c r="T106" s="452"/>
      <c r="U106" s="452"/>
      <c r="V106" s="369"/>
      <c r="W106" s="369"/>
      <c r="X106" s="369"/>
      <c r="Y106" s="369"/>
      <c r="Z106" s="369"/>
      <c r="AA106" s="369"/>
      <c r="AB106" s="369"/>
      <c r="AC106" s="369"/>
      <c r="AD106" s="369"/>
      <c r="AE106" s="369"/>
      <c r="AF106" s="369"/>
      <c r="AG106" s="369"/>
      <c r="AH106" s="369"/>
      <c r="AI106" s="369"/>
      <c r="AJ106" s="369"/>
      <c r="AK106" s="369"/>
      <c r="AL106" s="369"/>
      <c r="AM106" s="369"/>
      <c r="AN106" s="369"/>
      <c r="AO106" s="369"/>
    </row>
    <row r="107" ht="13.5" customHeight="1">
      <c r="A107" s="458"/>
      <c r="B107" s="480" t="s">
        <v>926</v>
      </c>
      <c r="C107" s="460"/>
      <c r="D107" s="460"/>
      <c r="E107" s="460"/>
      <c r="F107" s="460"/>
      <c r="G107" s="460"/>
      <c r="H107" s="460"/>
      <c r="I107" s="460"/>
      <c r="J107" s="479"/>
      <c r="K107" s="479"/>
      <c r="L107" s="460"/>
      <c r="M107" s="452"/>
      <c r="N107" s="368"/>
      <c r="O107" s="368"/>
      <c r="P107" s="368"/>
      <c r="Q107" s="369"/>
      <c r="R107" s="369"/>
      <c r="S107" s="452"/>
      <c r="T107" s="452"/>
      <c r="U107" s="452"/>
      <c r="V107" s="369"/>
      <c r="W107" s="369"/>
      <c r="X107" s="369"/>
      <c r="Y107" s="369"/>
      <c r="Z107" s="369"/>
      <c r="AA107" s="369"/>
      <c r="AB107" s="369"/>
      <c r="AC107" s="369"/>
      <c r="AD107" s="369"/>
      <c r="AE107" s="369"/>
      <c r="AF107" s="369"/>
      <c r="AG107" s="369"/>
      <c r="AH107" s="369"/>
      <c r="AI107" s="369"/>
      <c r="AJ107" s="369"/>
      <c r="AK107" s="369"/>
      <c r="AL107" s="369"/>
      <c r="AM107" s="369"/>
      <c r="AN107" s="369"/>
      <c r="AO107" s="369"/>
    </row>
    <row r="108" ht="13.5" customHeight="1">
      <c r="A108" s="458"/>
      <c r="B108" s="461" t="str">
        <f>Premium!I37</f>
        <v>Supply and installation of Base storage unit  with BWP Carcass, HDHMR Boilo Shutter, Glossy finish laminate and soft close hinges  </v>
      </c>
      <c r="C108" s="458">
        <v>7.0</v>
      </c>
      <c r="D108" s="458">
        <v>2.5</v>
      </c>
      <c r="E108" s="469">
        <f t="shared" ref="E108:E115" si="37">C108*D108</f>
        <v>17.5</v>
      </c>
      <c r="F108" s="470" t="s">
        <v>683</v>
      </c>
      <c r="G108" s="458">
        <v>2100.0</v>
      </c>
      <c r="H108" s="458">
        <v>750.0</v>
      </c>
      <c r="I108" s="471" t="s">
        <v>684</v>
      </c>
      <c r="J108" s="472">
        <f>Premium!O37</f>
        <v>2206.25</v>
      </c>
      <c r="K108" s="466">
        <v>1.0</v>
      </c>
      <c r="L108" s="467">
        <f t="shared" ref="L108:L115" si="38">K108*J108*E108</f>
        <v>38609.375</v>
      </c>
      <c r="M108" s="452"/>
      <c r="N108" s="368"/>
      <c r="O108" s="368"/>
      <c r="P108" s="368"/>
      <c r="Q108" s="369"/>
      <c r="R108" s="369"/>
      <c r="S108" s="452"/>
      <c r="T108" s="474"/>
      <c r="U108" s="452"/>
      <c r="V108" s="369"/>
      <c r="W108" s="369"/>
      <c r="X108" s="369"/>
      <c r="Y108" s="369"/>
      <c r="Z108" s="369"/>
      <c r="AA108" s="369"/>
      <c r="AB108" s="369"/>
      <c r="AC108" s="369"/>
      <c r="AD108" s="369"/>
      <c r="AE108" s="369"/>
      <c r="AF108" s="369"/>
      <c r="AG108" s="369"/>
      <c r="AH108" s="369"/>
      <c r="AI108" s="369"/>
      <c r="AJ108" s="369"/>
      <c r="AK108" s="369"/>
      <c r="AL108" s="369"/>
      <c r="AM108" s="369"/>
      <c r="AN108" s="369"/>
      <c r="AO108" s="369"/>
    </row>
    <row r="109" ht="13.5" customHeight="1">
      <c r="A109" s="458"/>
      <c r="B109" s="461" t="str">
        <f>Premium!I40</f>
        <v>Supply and installation of Wardrobe  with BWP Carcass, HDHMR Boilo Shutter, Glossy finish laminate and soft close hinges  </v>
      </c>
      <c r="C109" s="458">
        <v>7.0</v>
      </c>
      <c r="D109" s="458">
        <v>7.0</v>
      </c>
      <c r="E109" s="469">
        <f t="shared" si="37"/>
        <v>49</v>
      </c>
      <c r="F109" s="470" t="s">
        <v>683</v>
      </c>
      <c r="G109" s="458">
        <v>2100.0</v>
      </c>
      <c r="H109" s="458">
        <v>2100.0</v>
      </c>
      <c r="I109" s="471" t="s">
        <v>684</v>
      </c>
      <c r="J109" s="472">
        <f>Premium!O37</f>
        <v>2206.25</v>
      </c>
      <c r="K109" s="466">
        <v>1.0</v>
      </c>
      <c r="L109" s="467">
        <f t="shared" si="38"/>
        <v>108106.25</v>
      </c>
      <c r="M109" s="452"/>
      <c r="N109" s="368"/>
      <c r="O109" s="368"/>
      <c r="P109" s="368"/>
      <c r="Q109" s="369"/>
      <c r="R109" s="369"/>
      <c r="S109" s="452"/>
      <c r="T109" s="452"/>
      <c r="U109" s="452"/>
      <c r="V109" s="369"/>
      <c r="W109" s="369"/>
      <c r="X109" s="369"/>
      <c r="Y109" s="369"/>
      <c r="Z109" s="369"/>
      <c r="AA109" s="369"/>
      <c r="AB109" s="369"/>
      <c r="AC109" s="369"/>
      <c r="AD109" s="369"/>
      <c r="AE109" s="369"/>
      <c r="AF109" s="369"/>
      <c r="AG109" s="369"/>
      <c r="AH109" s="369"/>
      <c r="AI109" s="369"/>
      <c r="AJ109" s="369"/>
      <c r="AK109" s="369"/>
      <c r="AL109" s="369"/>
      <c r="AM109" s="369"/>
      <c r="AN109" s="369"/>
      <c r="AO109" s="369"/>
    </row>
    <row r="110" ht="13.5" customHeight="1">
      <c r="A110" s="458"/>
      <c r="B110" s="461" t="str">
        <f>Premium!I39</f>
        <v>Supply and installation of Tall storage unit  with BWP Carcass, HDHMR Boilo Shutter, Glossy finish laminate and soft close hinges  </v>
      </c>
      <c r="C110" s="458">
        <v>1.5</v>
      </c>
      <c r="D110" s="458">
        <v>7.0</v>
      </c>
      <c r="E110" s="469">
        <f t="shared" si="37"/>
        <v>10.5</v>
      </c>
      <c r="F110" s="470" t="s">
        <v>683</v>
      </c>
      <c r="G110" s="458">
        <v>450.0</v>
      </c>
      <c r="H110" s="458">
        <v>2100.0</v>
      </c>
      <c r="I110" s="471" t="s">
        <v>684</v>
      </c>
      <c r="J110" s="472">
        <f>Premium!O37</f>
        <v>2206.25</v>
      </c>
      <c r="K110" s="466">
        <v>1.0</v>
      </c>
      <c r="L110" s="467">
        <f t="shared" si="38"/>
        <v>23165.625</v>
      </c>
      <c r="M110" s="452"/>
      <c r="N110" s="368"/>
      <c r="O110" s="368"/>
      <c r="P110" s="368"/>
      <c r="Q110" s="369"/>
      <c r="R110" s="369"/>
      <c r="S110" s="452"/>
      <c r="T110" s="452"/>
      <c r="U110" s="452"/>
      <c r="V110" s="369"/>
      <c r="W110" s="369"/>
      <c r="X110" s="369"/>
      <c r="Y110" s="369"/>
      <c r="Z110" s="369"/>
      <c r="AA110" s="369"/>
      <c r="AB110" s="369"/>
      <c r="AC110" s="369"/>
      <c r="AD110" s="369"/>
      <c r="AE110" s="369"/>
      <c r="AF110" s="369"/>
      <c r="AG110" s="369"/>
      <c r="AH110" s="369"/>
      <c r="AI110" s="369"/>
      <c r="AJ110" s="369"/>
      <c r="AK110" s="369"/>
      <c r="AL110" s="369"/>
      <c r="AM110" s="369"/>
      <c r="AN110" s="369"/>
      <c r="AO110" s="369"/>
    </row>
    <row r="111" ht="13.5" customHeight="1">
      <c r="A111" s="458"/>
      <c r="B111" s="461" t="str">
        <f>Premium!I37</f>
        <v>Supply and installation of Base storage unit  with BWP Carcass, HDHMR Boilo Shutter, Glossy finish laminate and soft close hinges  </v>
      </c>
      <c r="C111" s="458">
        <v>2.5</v>
      </c>
      <c r="D111" s="458">
        <v>1.0</v>
      </c>
      <c r="E111" s="469">
        <f t="shared" si="37"/>
        <v>2.5</v>
      </c>
      <c r="F111" s="470" t="s">
        <v>683</v>
      </c>
      <c r="G111" s="458">
        <v>750.0</v>
      </c>
      <c r="H111" s="458">
        <v>300.0</v>
      </c>
      <c r="I111" s="471" t="s">
        <v>684</v>
      </c>
      <c r="J111" s="472">
        <f>Premium!O37</f>
        <v>2206.25</v>
      </c>
      <c r="K111" s="466">
        <v>1.0</v>
      </c>
      <c r="L111" s="467">
        <f t="shared" si="38"/>
        <v>5515.625</v>
      </c>
      <c r="M111" s="452"/>
      <c r="N111" s="368"/>
      <c r="O111" s="368"/>
      <c r="P111" s="368"/>
      <c r="Q111" s="369"/>
      <c r="R111" s="369"/>
      <c r="S111" s="452"/>
      <c r="T111" s="452"/>
      <c r="U111" s="452"/>
      <c r="V111" s="369"/>
      <c r="W111" s="369"/>
      <c r="X111" s="369"/>
      <c r="Y111" s="369"/>
      <c r="Z111" s="369"/>
      <c r="AA111" s="369"/>
      <c r="AB111" s="369"/>
      <c r="AC111" s="369"/>
      <c r="AD111" s="369"/>
      <c r="AE111" s="369"/>
      <c r="AF111" s="369"/>
      <c r="AG111" s="369"/>
      <c r="AH111" s="369"/>
      <c r="AI111" s="369"/>
      <c r="AJ111" s="369"/>
      <c r="AK111" s="369"/>
      <c r="AL111" s="369"/>
      <c r="AM111" s="369"/>
      <c r="AN111" s="369"/>
      <c r="AO111" s="369"/>
    </row>
    <row r="112" ht="13.5" customHeight="1">
      <c r="A112" s="458"/>
      <c r="B112" s="461" t="str">
        <f>Premium!I73</f>
        <v>Supply and installation of Wall Panel with BWP Ply Frame, Glossy Finish laminate </v>
      </c>
      <c r="C112" s="458">
        <v>2.5</v>
      </c>
      <c r="D112" s="458">
        <v>7.0</v>
      </c>
      <c r="E112" s="469">
        <f t="shared" si="37"/>
        <v>17.5</v>
      </c>
      <c r="F112" s="470" t="s">
        <v>683</v>
      </c>
      <c r="G112" s="458">
        <v>750.0</v>
      </c>
      <c r="H112" s="458">
        <v>2100.0</v>
      </c>
      <c r="I112" s="471" t="s">
        <v>684</v>
      </c>
      <c r="J112" s="472">
        <f>Premium!O73</f>
        <v>1375</v>
      </c>
      <c r="K112" s="466">
        <v>1.0</v>
      </c>
      <c r="L112" s="467">
        <f t="shared" si="38"/>
        <v>24062.5</v>
      </c>
      <c r="M112" s="452"/>
      <c r="N112" s="368"/>
      <c r="O112" s="368"/>
      <c r="P112" s="368"/>
      <c r="Q112" s="369"/>
      <c r="R112" s="369"/>
      <c r="S112" s="452"/>
      <c r="T112" s="452"/>
      <c r="U112" s="452"/>
      <c r="V112" s="369"/>
      <c r="W112" s="369"/>
      <c r="X112" s="369"/>
      <c r="Y112" s="369"/>
      <c r="Z112" s="369"/>
      <c r="AA112" s="369"/>
      <c r="AB112" s="369"/>
      <c r="AC112" s="369"/>
      <c r="AD112" s="369"/>
      <c r="AE112" s="369"/>
      <c r="AF112" s="369"/>
      <c r="AG112" s="369"/>
      <c r="AH112" s="369"/>
      <c r="AI112" s="369"/>
      <c r="AJ112" s="369"/>
      <c r="AK112" s="369"/>
      <c r="AL112" s="369"/>
      <c r="AM112" s="369"/>
      <c r="AN112" s="369"/>
      <c r="AO112" s="369"/>
    </row>
    <row r="113" ht="13.5" customHeight="1">
      <c r="A113" s="458"/>
      <c r="B113" s="461" t="str">
        <f>Premium!I67</f>
        <v>Supply and installation of Loft Frame and Shutter unit with BWP Frame, HDHMR Boilo Shutter, Glossy  finish laminate and Soft Close hinges  </v>
      </c>
      <c r="C113" s="458">
        <v>1.5</v>
      </c>
      <c r="D113" s="458">
        <v>2.5</v>
      </c>
      <c r="E113" s="469">
        <f t="shared" si="37"/>
        <v>3.75</v>
      </c>
      <c r="F113" s="470" t="s">
        <v>683</v>
      </c>
      <c r="G113" s="458">
        <v>450.0</v>
      </c>
      <c r="H113" s="458">
        <v>750.0</v>
      </c>
      <c r="I113" s="471" t="s">
        <v>684</v>
      </c>
      <c r="J113" s="472">
        <f>Premium!O67</f>
        <v>1260</v>
      </c>
      <c r="K113" s="466">
        <v>1.0</v>
      </c>
      <c r="L113" s="467">
        <f t="shared" si="38"/>
        <v>4725</v>
      </c>
      <c r="M113" s="452"/>
      <c r="N113" s="368"/>
      <c r="O113" s="368"/>
      <c r="P113" s="368"/>
      <c r="Q113" s="369"/>
      <c r="R113" s="369"/>
      <c r="S113" s="452"/>
      <c r="T113" s="452"/>
      <c r="U113" s="452"/>
      <c r="V113" s="369"/>
      <c r="W113" s="369"/>
      <c r="X113" s="369"/>
      <c r="Y113" s="369"/>
      <c r="Z113" s="369"/>
      <c r="AA113" s="369"/>
      <c r="AB113" s="369"/>
      <c r="AC113" s="369"/>
      <c r="AD113" s="369"/>
      <c r="AE113" s="369"/>
      <c r="AF113" s="369"/>
      <c r="AG113" s="369"/>
      <c r="AH113" s="369"/>
      <c r="AI113" s="369"/>
      <c r="AJ113" s="369"/>
      <c r="AK113" s="369"/>
      <c r="AL113" s="369"/>
      <c r="AM113" s="369"/>
      <c r="AN113" s="369"/>
      <c r="AO113" s="369"/>
    </row>
    <row r="114" ht="13.5" customHeight="1">
      <c r="A114" s="458"/>
      <c r="B114" s="461" t="str">
        <f>Premium!I22</f>
        <v>Supply and installation of Open unit - Inner 1mm with BWP ply frame and Smooth finish laminate</v>
      </c>
      <c r="C114" s="458">
        <v>1.5</v>
      </c>
      <c r="D114" s="458">
        <v>6.0</v>
      </c>
      <c r="E114" s="469">
        <f t="shared" si="37"/>
        <v>9</v>
      </c>
      <c r="F114" s="470" t="s">
        <v>683</v>
      </c>
      <c r="G114" s="458">
        <v>450.0</v>
      </c>
      <c r="H114" s="458">
        <v>1800.0</v>
      </c>
      <c r="I114" s="471" t="s">
        <v>684</v>
      </c>
      <c r="J114" s="472">
        <f>Premium!O22</f>
        <v>2143.75</v>
      </c>
      <c r="K114" s="466">
        <v>1.0</v>
      </c>
      <c r="L114" s="467">
        <f t="shared" si="38"/>
        <v>19293.75</v>
      </c>
      <c r="M114" s="452"/>
      <c r="N114" s="368"/>
      <c r="O114" s="368"/>
      <c r="P114" s="368"/>
      <c r="Q114" s="369"/>
      <c r="R114" s="369"/>
      <c r="S114" s="452"/>
      <c r="T114" s="452"/>
      <c r="U114" s="452"/>
      <c r="V114" s="369"/>
      <c r="W114" s="369"/>
      <c r="X114" s="369"/>
      <c r="Y114" s="369"/>
      <c r="Z114" s="369"/>
      <c r="AA114" s="369"/>
      <c r="AB114" s="369"/>
      <c r="AC114" s="369"/>
      <c r="AD114" s="369"/>
      <c r="AE114" s="369"/>
      <c r="AF114" s="369"/>
      <c r="AG114" s="369"/>
      <c r="AH114" s="369"/>
      <c r="AI114" s="369"/>
      <c r="AJ114" s="369"/>
      <c r="AK114" s="369"/>
      <c r="AL114" s="369"/>
      <c r="AM114" s="369"/>
      <c r="AN114" s="369"/>
      <c r="AO114" s="369"/>
    </row>
    <row r="115" ht="13.5" customHeight="1">
      <c r="A115" s="458"/>
      <c r="B115" s="461" t="str">
        <f>Premium!I24</f>
        <v>Supply and installation of Ledge with 25mm Ledge BWP and Smooth Finish Laminate</v>
      </c>
      <c r="C115" s="458">
        <v>45.0</v>
      </c>
      <c r="D115" s="458">
        <v>1.0</v>
      </c>
      <c r="E115" s="469">
        <f t="shared" si="37"/>
        <v>45</v>
      </c>
      <c r="F115" s="470" t="s">
        <v>683</v>
      </c>
      <c r="G115" s="458">
        <v>13500.0</v>
      </c>
      <c r="H115" s="458">
        <v>300.0</v>
      </c>
      <c r="I115" s="471" t="s">
        <v>684</v>
      </c>
      <c r="J115" s="472">
        <f>Premium!O24</f>
        <v>1093.75</v>
      </c>
      <c r="K115" s="466">
        <v>1.0</v>
      </c>
      <c r="L115" s="467">
        <f t="shared" si="38"/>
        <v>49218.75</v>
      </c>
      <c r="M115" s="452"/>
      <c r="N115" s="368"/>
      <c r="O115" s="368"/>
      <c r="P115" s="368"/>
      <c r="Q115" s="369"/>
      <c r="R115" s="369"/>
      <c r="S115" s="452"/>
      <c r="T115" s="452"/>
      <c r="U115" s="452"/>
      <c r="V115" s="369"/>
      <c r="W115" s="369"/>
      <c r="X115" s="369"/>
      <c r="Y115" s="369"/>
      <c r="Z115" s="369"/>
      <c r="AA115" s="369"/>
      <c r="AB115" s="369"/>
      <c r="AC115" s="369"/>
      <c r="AD115" s="369"/>
      <c r="AE115" s="369"/>
      <c r="AF115" s="369"/>
      <c r="AG115" s="369"/>
      <c r="AH115" s="369"/>
      <c r="AI115" s="369"/>
      <c r="AJ115" s="369"/>
      <c r="AK115" s="369"/>
      <c r="AL115" s="369"/>
      <c r="AM115" s="369"/>
      <c r="AN115" s="369"/>
      <c r="AO115" s="369"/>
    </row>
    <row r="116" ht="13.5" customHeight="1">
      <c r="A116" s="454"/>
      <c r="B116" s="455" t="s">
        <v>923</v>
      </c>
      <c r="C116" s="454"/>
      <c r="D116" s="454"/>
      <c r="E116" s="454"/>
      <c r="F116" s="454"/>
      <c r="G116" s="454"/>
      <c r="H116" s="454"/>
      <c r="I116" s="454"/>
      <c r="J116" s="454"/>
      <c r="K116" s="454"/>
      <c r="L116" s="454"/>
      <c r="M116" s="452"/>
      <c r="N116" s="368"/>
      <c r="O116" s="368"/>
      <c r="P116" s="368"/>
      <c r="Q116" s="369"/>
      <c r="R116" s="369"/>
      <c r="S116" s="452"/>
      <c r="T116" s="452"/>
      <c r="U116" s="452"/>
      <c r="V116" s="369"/>
      <c r="W116" s="369"/>
      <c r="X116" s="369"/>
      <c r="Y116" s="369"/>
      <c r="Z116" s="369"/>
      <c r="AA116" s="369"/>
      <c r="AB116" s="369"/>
      <c r="AC116" s="369"/>
      <c r="AD116" s="369"/>
      <c r="AE116" s="369"/>
      <c r="AF116" s="369"/>
      <c r="AG116" s="369"/>
      <c r="AH116" s="369"/>
      <c r="AI116" s="369"/>
      <c r="AJ116" s="369"/>
      <c r="AK116" s="369"/>
      <c r="AL116" s="369"/>
      <c r="AM116" s="369"/>
      <c r="AN116" s="369"/>
      <c r="AO116" s="369"/>
    </row>
    <row r="117" ht="13.5" customHeight="1">
      <c r="A117" s="458"/>
      <c r="B117" s="473" t="s">
        <v>930</v>
      </c>
      <c r="C117" s="460"/>
      <c r="D117" s="460"/>
      <c r="E117" s="460"/>
      <c r="F117" s="460"/>
      <c r="G117" s="460"/>
      <c r="H117" s="460"/>
      <c r="I117" s="460"/>
      <c r="J117" s="460"/>
      <c r="K117" s="460"/>
      <c r="L117" s="460"/>
      <c r="M117" s="452"/>
      <c r="N117" s="368"/>
      <c r="O117" s="368"/>
      <c r="P117" s="368"/>
      <c r="Q117" s="369"/>
      <c r="R117" s="369"/>
      <c r="S117" s="452"/>
      <c r="T117" s="452"/>
      <c r="U117" s="452"/>
      <c r="V117" s="369"/>
      <c r="W117" s="369"/>
      <c r="X117" s="369"/>
      <c r="Y117" s="369"/>
      <c r="Z117" s="369"/>
      <c r="AA117" s="369"/>
      <c r="AB117" s="369"/>
      <c r="AC117" s="369"/>
      <c r="AD117" s="369"/>
      <c r="AE117" s="369"/>
      <c r="AF117" s="369"/>
      <c r="AG117" s="369"/>
      <c r="AH117" s="369"/>
      <c r="AI117" s="369"/>
      <c r="AJ117" s="369"/>
      <c r="AK117" s="369"/>
      <c r="AL117" s="369"/>
      <c r="AM117" s="369"/>
      <c r="AN117" s="369"/>
      <c r="AO117" s="369"/>
    </row>
    <row r="118" ht="13.5" customHeight="1">
      <c r="A118" s="458"/>
      <c r="B118" s="461" t="str">
        <f>Premium!I73</f>
        <v>Supply and installation of Wall Panel with BWP Ply Frame, Glossy Finish laminate </v>
      </c>
      <c r="C118" s="458">
        <v>8.0</v>
      </c>
      <c r="D118" s="458">
        <v>4.0</v>
      </c>
      <c r="E118" s="469">
        <f t="shared" ref="E118:E123" si="39">C118*D118</f>
        <v>32</v>
      </c>
      <c r="F118" s="470" t="s">
        <v>683</v>
      </c>
      <c r="G118" s="458">
        <v>2400.0</v>
      </c>
      <c r="H118" s="458">
        <v>1200.0</v>
      </c>
      <c r="I118" s="471" t="s">
        <v>684</v>
      </c>
      <c r="J118" s="472">
        <f>Premium!O73</f>
        <v>1375</v>
      </c>
      <c r="K118" s="466">
        <v>1.0</v>
      </c>
      <c r="L118" s="467">
        <f t="shared" ref="L118:L123" si="40">K118*J118*E118</f>
        <v>44000</v>
      </c>
      <c r="M118" s="452"/>
      <c r="N118" s="368"/>
      <c r="O118" s="368"/>
      <c r="P118" s="368"/>
      <c r="Q118" s="369"/>
      <c r="R118" s="369"/>
      <c r="S118" s="452"/>
      <c r="T118" s="452"/>
      <c r="U118" s="452"/>
      <c r="V118" s="369"/>
      <c r="W118" s="369"/>
      <c r="X118" s="369"/>
      <c r="Y118" s="369"/>
      <c r="Z118" s="369"/>
      <c r="AA118" s="369"/>
      <c r="AB118" s="369"/>
      <c r="AC118" s="369"/>
      <c r="AD118" s="369"/>
      <c r="AE118" s="369"/>
      <c r="AF118" s="369"/>
      <c r="AG118" s="369"/>
      <c r="AH118" s="369"/>
      <c r="AI118" s="369"/>
      <c r="AJ118" s="369"/>
      <c r="AK118" s="369"/>
      <c r="AL118" s="369"/>
      <c r="AM118" s="369"/>
      <c r="AN118" s="369"/>
      <c r="AO118" s="369"/>
    </row>
    <row r="119" ht="13.5" customHeight="1">
      <c r="A119" s="458"/>
      <c r="B119" s="461" t="str">
        <f>Premium!I22</f>
        <v>Supply and installation of Open unit - Inner 1mm with BWP ply frame and Smooth finish laminate</v>
      </c>
      <c r="C119" s="458">
        <v>1.5</v>
      </c>
      <c r="D119" s="458">
        <v>6.0</v>
      </c>
      <c r="E119" s="469">
        <f t="shared" si="39"/>
        <v>9</v>
      </c>
      <c r="F119" s="470" t="s">
        <v>683</v>
      </c>
      <c r="G119" s="458">
        <v>300.0</v>
      </c>
      <c r="H119" s="458">
        <v>1800.0</v>
      </c>
      <c r="I119" s="471" t="s">
        <v>684</v>
      </c>
      <c r="J119" s="472">
        <f>Premium!O22</f>
        <v>2143.75</v>
      </c>
      <c r="K119" s="466">
        <v>1.0</v>
      </c>
      <c r="L119" s="467">
        <f t="shared" si="40"/>
        <v>19293.75</v>
      </c>
      <c r="M119" s="452"/>
      <c r="N119" s="368"/>
      <c r="O119" s="368"/>
      <c r="P119" s="368"/>
      <c r="Q119" s="369"/>
      <c r="R119" s="369"/>
      <c r="S119" s="452"/>
      <c r="T119" s="452"/>
      <c r="U119" s="452"/>
      <c r="V119" s="369"/>
      <c r="W119" s="369"/>
      <c r="X119" s="369"/>
      <c r="Y119" s="369"/>
      <c r="Z119" s="369"/>
      <c r="AA119" s="369"/>
      <c r="AB119" s="369"/>
      <c r="AC119" s="369"/>
      <c r="AD119" s="369"/>
      <c r="AE119" s="369"/>
      <c r="AF119" s="369"/>
      <c r="AG119" s="369"/>
      <c r="AH119" s="369"/>
      <c r="AI119" s="369"/>
      <c r="AJ119" s="369"/>
      <c r="AK119" s="369"/>
      <c r="AL119" s="369"/>
      <c r="AM119" s="369"/>
      <c r="AN119" s="369"/>
      <c r="AO119" s="369"/>
    </row>
    <row r="120" ht="13.5" customHeight="1">
      <c r="A120" s="458"/>
      <c r="B120" s="461" t="str">
        <f>Premium!I40</f>
        <v>Supply and installation of Wardrobe  with BWP Carcass, HDHMR Boilo Shutter, Glossy finish laminate and soft close hinges  </v>
      </c>
      <c r="C120" s="458">
        <v>4.0</v>
      </c>
      <c r="D120" s="458">
        <v>7.0</v>
      </c>
      <c r="E120" s="469">
        <f t="shared" si="39"/>
        <v>28</v>
      </c>
      <c r="F120" s="470" t="s">
        <v>683</v>
      </c>
      <c r="G120" s="458">
        <v>1200.0</v>
      </c>
      <c r="H120" s="458">
        <v>2100.0</v>
      </c>
      <c r="I120" s="471" t="s">
        <v>684</v>
      </c>
      <c r="J120" s="472">
        <f>Premium!O37</f>
        <v>2206.25</v>
      </c>
      <c r="K120" s="466">
        <v>1.0</v>
      </c>
      <c r="L120" s="467">
        <f t="shared" si="40"/>
        <v>61775</v>
      </c>
      <c r="M120" s="452"/>
      <c r="N120" s="368"/>
      <c r="O120" s="368"/>
      <c r="P120" s="368"/>
      <c r="Q120" s="369"/>
      <c r="R120" s="369"/>
      <c r="S120" s="452"/>
      <c r="T120" s="474"/>
      <c r="U120" s="452">
        <v>6367.0</v>
      </c>
      <c r="V120" s="369"/>
      <c r="W120" s="369"/>
      <c r="X120" s="369"/>
      <c r="Y120" s="369"/>
      <c r="Z120" s="369"/>
      <c r="AA120" s="369"/>
      <c r="AB120" s="369"/>
      <c r="AC120" s="369"/>
      <c r="AD120" s="369"/>
      <c r="AE120" s="369"/>
      <c r="AF120" s="369"/>
      <c r="AG120" s="369"/>
      <c r="AH120" s="369"/>
      <c r="AI120" s="369"/>
      <c r="AJ120" s="369"/>
      <c r="AK120" s="369"/>
      <c r="AL120" s="369"/>
      <c r="AM120" s="369"/>
      <c r="AN120" s="369"/>
      <c r="AO120" s="369"/>
    </row>
    <row r="121" ht="13.5" customHeight="1">
      <c r="A121" s="458"/>
      <c r="B121" s="461" t="str">
        <f>Premium!I37</f>
        <v>Supply and installation of Base storage unit  with BWP Carcass, HDHMR Boilo Shutter, Glossy finish laminate and soft close hinges  </v>
      </c>
      <c r="C121" s="458">
        <v>6.0</v>
      </c>
      <c r="D121" s="458">
        <v>2.5</v>
      </c>
      <c r="E121" s="469">
        <f t="shared" si="39"/>
        <v>15</v>
      </c>
      <c r="F121" s="470" t="s">
        <v>683</v>
      </c>
      <c r="G121" s="458">
        <v>1650.0</v>
      </c>
      <c r="H121" s="458">
        <v>750.0</v>
      </c>
      <c r="I121" s="471" t="s">
        <v>684</v>
      </c>
      <c r="J121" s="472">
        <f>Premium!O37</f>
        <v>2206.25</v>
      </c>
      <c r="K121" s="466">
        <v>1.0</v>
      </c>
      <c r="L121" s="467">
        <f t="shared" si="40"/>
        <v>33093.75</v>
      </c>
      <c r="M121" s="452"/>
      <c r="N121" s="368"/>
      <c r="O121" s="368"/>
      <c r="P121" s="368"/>
      <c r="Q121" s="369"/>
      <c r="R121" s="369"/>
      <c r="S121" s="452"/>
      <c r="T121" s="452"/>
      <c r="U121" s="452"/>
      <c r="V121" s="369"/>
      <c r="W121" s="369"/>
      <c r="X121" s="369"/>
      <c r="Y121" s="369"/>
      <c r="Z121" s="369"/>
      <c r="AA121" s="369"/>
      <c r="AB121" s="369"/>
      <c r="AC121" s="369"/>
      <c r="AD121" s="369"/>
      <c r="AE121" s="369"/>
      <c r="AF121" s="369"/>
      <c r="AG121" s="369"/>
      <c r="AH121" s="369"/>
      <c r="AI121" s="369"/>
      <c r="AJ121" s="369"/>
      <c r="AK121" s="369"/>
      <c r="AL121" s="369"/>
      <c r="AM121" s="369"/>
      <c r="AN121" s="369"/>
      <c r="AO121" s="369"/>
    </row>
    <row r="122" ht="13.5" customHeight="1">
      <c r="A122" s="458"/>
      <c r="B122" s="461" t="str">
        <f>Premium!I67</f>
        <v>Supply and installation of Loft Frame and Shutter unit with BWP Frame, HDHMR Boilo Shutter, Glossy  finish laminate and Soft Close hinges  </v>
      </c>
      <c r="C122" s="458">
        <v>10.5</v>
      </c>
      <c r="D122" s="458">
        <v>2.5</v>
      </c>
      <c r="E122" s="469">
        <f t="shared" si="39"/>
        <v>26.25</v>
      </c>
      <c r="F122" s="470" t="s">
        <v>683</v>
      </c>
      <c r="G122" s="458">
        <v>3150.0</v>
      </c>
      <c r="H122" s="458">
        <v>750.0</v>
      </c>
      <c r="I122" s="471" t="s">
        <v>684</v>
      </c>
      <c r="J122" s="472">
        <f>Premium!O67</f>
        <v>1260</v>
      </c>
      <c r="K122" s="466">
        <v>1.0</v>
      </c>
      <c r="L122" s="467">
        <f t="shared" si="40"/>
        <v>33075</v>
      </c>
      <c r="M122" s="452"/>
      <c r="N122" s="368"/>
      <c r="O122" s="368"/>
      <c r="P122" s="368"/>
      <c r="Q122" s="369"/>
      <c r="R122" s="369"/>
      <c r="S122" s="452"/>
      <c r="T122" s="452"/>
      <c r="U122" s="452"/>
      <c r="V122" s="369"/>
      <c r="W122" s="369"/>
      <c r="X122" s="369"/>
      <c r="Y122" s="369"/>
      <c r="Z122" s="369"/>
      <c r="AA122" s="369"/>
      <c r="AB122" s="369"/>
      <c r="AC122" s="369"/>
      <c r="AD122" s="369"/>
      <c r="AE122" s="369"/>
      <c r="AF122" s="369"/>
      <c r="AG122" s="369"/>
      <c r="AH122" s="369"/>
      <c r="AI122" s="369"/>
      <c r="AJ122" s="369"/>
      <c r="AK122" s="369"/>
      <c r="AL122" s="369"/>
      <c r="AM122" s="369"/>
      <c r="AN122" s="369"/>
      <c r="AO122" s="369"/>
    </row>
    <row r="123" ht="13.5" customHeight="1">
      <c r="A123" s="458"/>
      <c r="B123" s="461" t="str">
        <f>Premium!I73</f>
        <v>Supply and installation of Wall Panel with BWP Ply Frame, Glossy Finish laminate </v>
      </c>
      <c r="C123" s="458">
        <v>6.0</v>
      </c>
      <c r="D123" s="458">
        <v>2.5</v>
      </c>
      <c r="E123" s="469">
        <f t="shared" si="39"/>
        <v>15</v>
      </c>
      <c r="F123" s="470" t="s">
        <v>683</v>
      </c>
      <c r="G123" s="458">
        <v>1650.0</v>
      </c>
      <c r="H123" s="458">
        <v>750.0</v>
      </c>
      <c r="I123" s="471" t="s">
        <v>684</v>
      </c>
      <c r="J123" s="472">
        <f>Premium!O73</f>
        <v>1375</v>
      </c>
      <c r="K123" s="466">
        <v>1.0</v>
      </c>
      <c r="L123" s="467">
        <f t="shared" si="40"/>
        <v>20625</v>
      </c>
      <c r="M123" s="452"/>
      <c r="N123" s="368"/>
      <c r="O123" s="368"/>
      <c r="P123" s="368"/>
      <c r="Q123" s="369"/>
      <c r="R123" s="369"/>
      <c r="S123" s="452"/>
      <c r="T123" s="452"/>
      <c r="U123" s="452"/>
      <c r="V123" s="369"/>
      <c r="W123" s="369"/>
      <c r="X123" s="369"/>
      <c r="Y123" s="369"/>
      <c r="Z123" s="369"/>
      <c r="AA123" s="369"/>
      <c r="AB123" s="369"/>
      <c r="AC123" s="369"/>
      <c r="AD123" s="369"/>
      <c r="AE123" s="369"/>
      <c r="AF123" s="369"/>
      <c r="AG123" s="369"/>
      <c r="AH123" s="369"/>
      <c r="AI123" s="369"/>
      <c r="AJ123" s="369"/>
      <c r="AK123" s="369"/>
      <c r="AL123" s="369"/>
      <c r="AM123" s="369"/>
      <c r="AN123" s="369"/>
      <c r="AO123" s="369"/>
    </row>
    <row r="124" ht="13.5" customHeight="1">
      <c r="A124" s="458"/>
      <c r="B124" s="480" t="s">
        <v>913</v>
      </c>
      <c r="C124" s="460"/>
      <c r="D124" s="460"/>
      <c r="E124" s="460"/>
      <c r="F124" s="460"/>
      <c r="G124" s="460"/>
      <c r="H124" s="460"/>
      <c r="I124" s="460"/>
      <c r="J124" s="460"/>
      <c r="K124" s="460"/>
      <c r="L124" s="460"/>
      <c r="M124" s="452"/>
      <c r="N124" s="368"/>
      <c r="O124" s="368"/>
      <c r="P124" s="368"/>
      <c r="Q124" s="369"/>
      <c r="R124" s="369"/>
      <c r="S124" s="452"/>
      <c r="T124" s="452"/>
      <c r="U124" s="452"/>
      <c r="V124" s="369"/>
      <c r="W124" s="369"/>
      <c r="X124" s="369"/>
      <c r="Y124" s="369"/>
      <c r="Z124" s="369"/>
      <c r="AA124" s="369"/>
      <c r="AB124" s="369"/>
      <c r="AC124" s="369"/>
      <c r="AD124" s="369"/>
      <c r="AE124" s="369"/>
      <c r="AF124" s="369"/>
      <c r="AG124" s="369"/>
      <c r="AH124" s="369"/>
      <c r="AI124" s="369"/>
      <c r="AJ124" s="369"/>
      <c r="AK124" s="369"/>
      <c r="AL124" s="369"/>
      <c r="AM124" s="369"/>
      <c r="AN124" s="369"/>
      <c r="AO124" s="369"/>
    </row>
    <row r="125" ht="13.5" customHeight="1">
      <c r="A125" s="458"/>
      <c r="B125" s="461" t="str">
        <f>Premium!I62</f>
        <v>Supply and installation of Curved Base storage unit  with BWP Carcass, HDHMR Boilo Shutter, Glossy finish laminate and soft close hinges  </v>
      </c>
      <c r="C125" s="458">
        <v>5.0</v>
      </c>
      <c r="D125" s="458">
        <v>1.0</v>
      </c>
      <c r="E125" s="469">
        <f t="shared" ref="E125:E127" si="41">C125*D125</f>
        <v>5</v>
      </c>
      <c r="F125" s="470" t="s">
        <v>683</v>
      </c>
      <c r="G125" s="458">
        <v>1350.0</v>
      </c>
      <c r="H125" s="458">
        <v>300.0</v>
      </c>
      <c r="I125" s="471" t="s">
        <v>684</v>
      </c>
      <c r="J125" s="472">
        <f>Premium!O62</f>
        <v>2643.75</v>
      </c>
      <c r="K125" s="466">
        <v>1.0</v>
      </c>
      <c r="L125" s="467">
        <f t="shared" ref="L125:L127" si="42">K125*J125*E125</f>
        <v>13218.75</v>
      </c>
      <c r="M125" s="452"/>
      <c r="N125" s="368"/>
      <c r="O125" s="368"/>
      <c r="P125" s="368"/>
      <c r="Q125" s="369"/>
      <c r="R125" s="369"/>
      <c r="S125" s="452"/>
      <c r="T125" s="452"/>
      <c r="U125" s="452"/>
      <c r="V125" s="369"/>
      <c r="W125" s="369"/>
      <c r="X125" s="369"/>
      <c r="Y125" s="369"/>
      <c r="Z125" s="369"/>
      <c r="AA125" s="369"/>
      <c r="AB125" s="369"/>
      <c r="AC125" s="369"/>
      <c r="AD125" s="369"/>
      <c r="AE125" s="369"/>
      <c r="AF125" s="369"/>
      <c r="AG125" s="369"/>
      <c r="AH125" s="369"/>
      <c r="AI125" s="369"/>
      <c r="AJ125" s="369"/>
      <c r="AK125" s="369"/>
      <c r="AL125" s="369"/>
      <c r="AM125" s="369"/>
      <c r="AN125" s="369"/>
      <c r="AO125" s="369"/>
    </row>
    <row r="126" ht="13.5" customHeight="1">
      <c r="A126" s="458"/>
      <c r="B126" s="461" t="str">
        <f>Premium!I24</f>
        <v>Supply and installation of Ledge with 25mm Ledge BWP and Smooth Finish Laminate</v>
      </c>
      <c r="C126" s="458">
        <v>5.0</v>
      </c>
      <c r="D126" s="458">
        <v>1.0</v>
      </c>
      <c r="E126" s="469">
        <f t="shared" si="41"/>
        <v>5</v>
      </c>
      <c r="F126" s="470" t="s">
        <v>683</v>
      </c>
      <c r="G126" s="458">
        <v>1350.0</v>
      </c>
      <c r="H126" s="458">
        <v>300.0</v>
      </c>
      <c r="I126" s="471" t="s">
        <v>684</v>
      </c>
      <c r="J126" s="472">
        <f>Premium!O24</f>
        <v>1093.75</v>
      </c>
      <c r="K126" s="466">
        <v>1.0</v>
      </c>
      <c r="L126" s="467">
        <f t="shared" si="42"/>
        <v>5468.75</v>
      </c>
      <c r="M126" s="452"/>
      <c r="N126" s="368"/>
      <c r="O126" s="368"/>
      <c r="P126" s="368"/>
      <c r="Q126" s="369"/>
      <c r="R126" s="369"/>
      <c r="S126" s="452"/>
      <c r="T126" s="452"/>
      <c r="U126" s="452"/>
      <c r="V126" s="369"/>
      <c r="W126" s="369"/>
      <c r="X126" s="369"/>
      <c r="Y126" s="369"/>
      <c r="Z126" s="369"/>
      <c r="AA126" s="369"/>
      <c r="AB126" s="369"/>
      <c r="AC126" s="369"/>
      <c r="AD126" s="369"/>
      <c r="AE126" s="369"/>
      <c r="AF126" s="369"/>
      <c r="AG126" s="369"/>
      <c r="AH126" s="369"/>
      <c r="AI126" s="369"/>
      <c r="AJ126" s="369"/>
      <c r="AK126" s="369"/>
      <c r="AL126" s="369"/>
      <c r="AM126" s="369"/>
      <c r="AN126" s="369"/>
      <c r="AO126" s="369"/>
    </row>
    <row r="127" ht="13.5" customHeight="1">
      <c r="A127" s="458"/>
      <c r="B127" s="461" t="str">
        <f>Premium!I73</f>
        <v>Supply and installation of Wall Panel with BWP Ply Frame, Glossy Finish laminate </v>
      </c>
      <c r="C127" s="458">
        <v>5.0</v>
      </c>
      <c r="D127" s="458">
        <v>6.0</v>
      </c>
      <c r="E127" s="469">
        <f t="shared" si="41"/>
        <v>30</v>
      </c>
      <c r="F127" s="470" t="s">
        <v>683</v>
      </c>
      <c r="G127" s="458">
        <v>1350.0</v>
      </c>
      <c r="H127" s="458">
        <v>1800.0</v>
      </c>
      <c r="I127" s="471" t="s">
        <v>684</v>
      </c>
      <c r="J127" s="472">
        <f>Premium!O73</f>
        <v>1375</v>
      </c>
      <c r="K127" s="466">
        <v>1.0</v>
      </c>
      <c r="L127" s="467">
        <f t="shared" si="42"/>
        <v>41250</v>
      </c>
      <c r="M127" s="452"/>
      <c r="N127" s="368"/>
      <c r="O127" s="368"/>
      <c r="P127" s="368"/>
      <c r="Q127" s="369"/>
      <c r="R127" s="369"/>
      <c r="S127" s="452"/>
      <c r="T127" s="452"/>
      <c r="U127" s="452"/>
      <c r="V127" s="369"/>
      <c r="W127" s="369"/>
      <c r="X127" s="369"/>
      <c r="Y127" s="369"/>
      <c r="Z127" s="369"/>
      <c r="AA127" s="369"/>
      <c r="AB127" s="369"/>
      <c r="AC127" s="369"/>
      <c r="AD127" s="369"/>
      <c r="AE127" s="369"/>
      <c r="AF127" s="369"/>
      <c r="AG127" s="369"/>
      <c r="AH127" s="369"/>
      <c r="AI127" s="369"/>
      <c r="AJ127" s="369"/>
      <c r="AK127" s="369"/>
      <c r="AL127" s="369"/>
      <c r="AM127" s="369"/>
      <c r="AN127" s="369"/>
      <c r="AO127" s="369"/>
    </row>
    <row r="128" ht="13.5" customHeight="1">
      <c r="A128" s="458"/>
      <c r="B128" s="480" t="s">
        <v>925</v>
      </c>
      <c r="C128" s="460"/>
      <c r="D128" s="460"/>
      <c r="E128" s="460"/>
      <c r="F128" s="460"/>
      <c r="G128" s="460"/>
      <c r="H128" s="460"/>
      <c r="I128" s="460"/>
      <c r="J128" s="460"/>
      <c r="K128" s="460"/>
      <c r="L128" s="460"/>
      <c r="M128" s="452"/>
      <c r="N128" s="368"/>
      <c r="O128" s="368"/>
      <c r="P128" s="368"/>
      <c r="Q128" s="369"/>
      <c r="R128" s="369"/>
      <c r="S128" s="452"/>
      <c r="T128" s="452"/>
      <c r="U128" s="452"/>
      <c r="V128" s="369"/>
      <c r="W128" s="369"/>
      <c r="X128" s="369"/>
      <c r="Y128" s="369"/>
      <c r="Z128" s="369"/>
      <c r="AA128" s="369"/>
      <c r="AB128" s="369"/>
      <c r="AC128" s="369"/>
      <c r="AD128" s="369"/>
      <c r="AE128" s="369"/>
      <c r="AF128" s="369"/>
      <c r="AG128" s="369"/>
      <c r="AH128" s="369"/>
      <c r="AI128" s="369"/>
      <c r="AJ128" s="369"/>
      <c r="AK128" s="369"/>
      <c r="AL128" s="369"/>
      <c r="AM128" s="369"/>
      <c r="AN128" s="369"/>
      <c r="AO128" s="369"/>
    </row>
    <row r="129" ht="13.5" customHeight="1">
      <c r="A129" s="458"/>
      <c r="B129" s="461" t="str">
        <f>Premium!I62</f>
        <v>Supply and installation of Curved Base storage unit  with BWP Carcass, HDHMR Boilo Shutter, Glossy finish laminate and soft close hinges  </v>
      </c>
      <c r="C129" s="458">
        <v>4.0</v>
      </c>
      <c r="D129" s="458">
        <v>2.5</v>
      </c>
      <c r="E129" s="469">
        <f t="shared" ref="E129:E131" si="43">C129*D129</f>
        <v>10</v>
      </c>
      <c r="F129" s="470" t="s">
        <v>683</v>
      </c>
      <c r="G129" s="458">
        <v>1200.0</v>
      </c>
      <c r="H129" s="458">
        <v>750.0</v>
      </c>
      <c r="I129" s="471" t="s">
        <v>684</v>
      </c>
      <c r="J129" s="472">
        <f>Premium!O62</f>
        <v>2643.75</v>
      </c>
      <c r="K129" s="466">
        <v>1.0</v>
      </c>
      <c r="L129" s="467">
        <f t="shared" ref="L129:L131" si="44">K129*J129*E129</f>
        <v>26437.5</v>
      </c>
      <c r="M129" s="452"/>
      <c r="N129" s="368"/>
      <c r="O129" s="368"/>
      <c r="P129" s="368"/>
      <c r="Q129" s="369"/>
      <c r="R129" s="369"/>
      <c r="S129" s="452"/>
      <c r="T129" s="452"/>
      <c r="U129" s="452"/>
      <c r="V129" s="369"/>
      <c r="W129" s="369"/>
      <c r="X129" s="369"/>
      <c r="Y129" s="369"/>
      <c r="Z129" s="369"/>
      <c r="AA129" s="369"/>
      <c r="AB129" s="369"/>
      <c r="AC129" s="369"/>
      <c r="AD129" s="369"/>
      <c r="AE129" s="369"/>
      <c r="AF129" s="369"/>
      <c r="AG129" s="369"/>
      <c r="AH129" s="369"/>
      <c r="AI129" s="369"/>
      <c r="AJ129" s="369"/>
      <c r="AK129" s="369"/>
      <c r="AL129" s="369"/>
      <c r="AM129" s="369"/>
      <c r="AN129" s="369"/>
      <c r="AO129" s="369"/>
    </row>
    <row r="130" ht="13.5" customHeight="1">
      <c r="A130" s="458"/>
      <c r="B130" s="461" t="str">
        <f>Premium!I22</f>
        <v>Supply and installation of Open unit - Inner 1mm with BWP ply frame and Smooth finish laminate</v>
      </c>
      <c r="C130" s="458">
        <v>1.5</v>
      </c>
      <c r="D130" s="458">
        <v>5.0</v>
      </c>
      <c r="E130" s="469">
        <f t="shared" si="43"/>
        <v>7.5</v>
      </c>
      <c r="F130" s="470" t="s">
        <v>683</v>
      </c>
      <c r="G130" s="458">
        <v>450.0</v>
      </c>
      <c r="H130" s="458">
        <v>1500.0</v>
      </c>
      <c r="I130" s="471" t="s">
        <v>684</v>
      </c>
      <c r="J130" s="472">
        <f>Premium!O22</f>
        <v>2143.75</v>
      </c>
      <c r="K130" s="466">
        <v>1.0</v>
      </c>
      <c r="L130" s="467">
        <f t="shared" si="44"/>
        <v>16078.125</v>
      </c>
      <c r="M130" s="452"/>
      <c r="N130" s="368"/>
      <c r="O130" s="368"/>
      <c r="P130" s="368"/>
      <c r="Q130" s="369"/>
      <c r="R130" s="369"/>
      <c r="S130" s="452"/>
      <c r="T130" s="452"/>
      <c r="U130" s="452"/>
      <c r="V130" s="369"/>
      <c r="W130" s="369"/>
      <c r="X130" s="369"/>
      <c r="Y130" s="369"/>
      <c r="Z130" s="369"/>
      <c r="AA130" s="369"/>
      <c r="AB130" s="369"/>
      <c r="AC130" s="369"/>
      <c r="AD130" s="369"/>
      <c r="AE130" s="369"/>
      <c r="AF130" s="369"/>
      <c r="AG130" s="369"/>
      <c r="AH130" s="369"/>
      <c r="AI130" s="369"/>
      <c r="AJ130" s="369"/>
      <c r="AK130" s="369"/>
      <c r="AL130" s="369"/>
      <c r="AM130" s="369"/>
      <c r="AN130" s="369"/>
      <c r="AO130" s="369"/>
    </row>
    <row r="131" ht="13.5" customHeight="1">
      <c r="A131" s="458"/>
      <c r="B131" s="461" t="str">
        <f>Premium!I37</f>
        <v>Supply and installation of Base storage unit  with BWP Carcass, HDHMR Boilo Shutter, Glossy finish laminate and soft close hinges  </v>
      </c>
      <c r="C131" s="458">
        <v>3.5</v>
      </c>
      <c r="D131" s="458">
        <v>2.0</v>
      </c>
      <c r="E131" s="469">
        <f t="shared" si="43"/>
        <v>7</v>
      </c>
      <c r="F131" s="470" t="s">
        <v>683</v>
      </c>
      <c r="G131" s="458">
        <v>1050.0</v>
      </c>
      <c r="H131" s="458">
        <v>600.0</v>
      </c>
      <c r="I131" s="471" t="s">
        <v>684</v>
      </c>
      <c r="J131" s="472">
        <f>Premium!O37</f>
        <v>2206.25</v>
      </c>
      <c r="K131" s="466">
        <v>1.0</v>
      </c>
      <c r="L131" s="467">
        <f t="shared" si="44"/>
        <v>15443.75</v>
      </c>
      <c r="M131" s="452"/>
      <c r="N131" s="368"/>
      <c r="O131" s="368"/>
      <c r="P131" s="368"/>
      <c r="Q131" s="369"/>
      <c r="R131" s="369"/>
      <c r="S131" s="452"/>
      <c r="T131" s="452"/>
      <c r="U131" s="452"/>
      <c r="V131" s="369"/>
      <c r="W131" s="369"/>
      <c r="X131" s="369"/>
      <c r="Y131" s="369"/>
      <c r="Z131" s="369"/>
      <c r="AA131" s="369"/>
      <c r="AB131" s="369"/>
      <c r="AC131" s="369"/>
      <c r="AD131" s="369"/>
      <c r="AE131" s="369"/>
      <c r="AF131" s="369"/>
      <c r="AG131" s="369"/>
      <c r="AH131" s="369"/>
      <c r="AI131" s="369"/>
      <c r="AJ131" s="369"/>
      <c r="AK131" s="369"/>
      <c r="AL131" s="369"/>
      <c r="AM131" s="369"/>
      <c r="AN131" s="369"/>
      <c r="AO131" s="369"/>
    </row>
    <row r="132" ht="13.5" customHeight="1">
      <c r="A132" s="458"/>
      <c r="B132" s="480" t="s">
        <v>926</v>
      </c>
      <c r="C132" s="460"/>
      <c r="D132" s="460"/>
      <c r="E132" s="460"/>
      <c r="F132" s="460"/>
      <c r="G132" s="460"/>
      <c r="H132" s="460"/>
      <c r="I132" s="460"/>
      <c r="J132" s="460"/>
      <c r="K132" s="460"/>
      <c r="L132" s="460"/>
      <c r="M132" s="452"/>
      <c r="N132" s="368"/>
      <c r="O132" s="368"/>
      <c r="P132" s="368"/>
      <c r="Q132" s="369"/>
      <c r="R132" s="369"/>
      <c r="S132" s="452"/>
      <c r="T132" s="452"/>
      <c r="U132" s="452"/>
      <c r="V132" s="369"/>
      <c r="W132" s="369"/>
      <c r="X132" s="369"/>
      <c r="Y132" s="369"/>
      <c r="Z132" s="369"/>
      <c r="AA132" s="369"/>
      <c r="AB132" s="369"/>
      <c r="AC132" s="369"/>
      <c r="AD132" s="369"/>
      <c r="AE132" s="369"/>
      <c r="AF132" s="369"/>
      <c r="AG132" s="369"/>
      <c r="AH132" s="369"/>
      <c r="AI132" s="369"/>
      <c r="AJ132" s="369"/>
      <c r="AK132" s="369"/>
      <c r="AL132" s="369"/>
      <c r="AM132" s="369"/>
      <c r="AN132" s="369"/>
      <c r="AO132" s="369"/>
    </row>
    <row r="133" ht="13.5" customHeight="1">
      <c r="A133" s="458"/>
      <c r="B133" s="461" t="str">
        <f>Premium!I40</f>
        <v>Supply and installation of Wardrobe  with BWP Carcass, HDHMR Boilo Shutter, Glossy finish laminate and soft close hinges  </v>
      </c>
      <c r="C133" s="458">
        <v>8.5</v>
      </c>
      <c r="D133" s="458">
        <v>7.0</v>
      </c>
      <c r="E133" s="469">
        <f t="shared" ref="E133:E138" si="45">C133*D133</f>
        <v>59.5</v>
      </c>
      <c r="F133" s="470" t="s">
        <v>683</v>
      </c>
      <c r="G133" s="458">
        <v>2550.0</v>
      </c>
      <c r="H133" s="458">
        <v>2100.0</v>
      </c>
      <c r="I133" s="471" t="s">
        <v>684</v>
      </c>
      <c r="J133" s="472">
        <f>Premium!O37</f>
        <v>2206.25</v>
      </c>
      <c r="K133" s="466">
        <v>1.0</v>
      </c>
      <c r="L133" s="467">
        <f t="shared" ref="L133:L138" si="46">K133*J133*E133</f>
        <v>131271.875</v>
      </c>
      <c r="M133" s="452"/>
      <c r="N133" s="368"/>
      <c r="O133" s="368"/>
      <c r="P133" s="368"/>
      <c r="Q133" s="369"/>
      <c r="R133" s="369"/>
      <c r="S133" s="452"/>
      <c r="T133" s="452"/>
      <c r="U133" s="452"/>
      <c r="V133" s="369"/>
      <c r="W133" s="369"/>
      <c r="X133" s="369"/>
      <c r="Y133" s="369"/>
      <c r="Z133" s="369"/>
      <c r="AA133" s="369"/>
      <c r="AB133" s="369"/>
      <c r="AC133" s="369"/>
      <c r="AD133" s="369"/>
      <c r="AE133" s="369"/>
      <c r="AF133" s="369"/>
      <c r="AG133" s="369"/>
      <c r="AH133" s="369"/>
      <c r="AI133" s="369"/>
      <c r="AJ133" s="369"/>
      <c r="AK133" s="369"/>
      <c r="AL133" s="369"/>
      <c r="AM133" s="369"/>
      <c r="AN133" s="369"/>
      <c r="AO133" s="369"/>
    </row>
    <row r="134" ht="13.5" customHeight="1">
      <c r="A134" s="458"/>
      <c r="B134" s="461" t="str">
        <f>Premium!I39</f>
        <v>Supply and installation of Tall storage unit  with BWP Carcass, HDHMR Boilo Shutter, Glossy finish laminate and soft close hinges  </v>
      </c>
      <c r="C134" s="458">
        <v>1.5</v>
      </c>
      <c r="D134" s="458">
        <v>7.0</v>
      </c>
      <c r="E134" s="469">
        <f t="shared" si="45"/>
        <v>10.5</v>
      </c>
      <c r="F134" s="470" t="s">
        <v>683</v>
      </c>
      <c r="G134" s="458">
        <v>450.0</v>
      </c>
      <c r="H134" s="458">
        <v>2100.0</v>
      </c>
      <c r="I134" s="471" t="s">
        <v>684</v>
      </c>
      <c r="J134" s="472">
        <f>Premium!O37</f>
        <v>2206.25</v>
      </c>
      <c r="K134" s="466">
        <v>1.0</v>
      </c>
      <c r="L134" s="467">
        <f t="shared" si="46"/>
        <v>23165.625</v>
      </c>
      <c r="M134" s="452"/>
      <c r="N134" s="368"/>
      <c r="O134" s="368"/>
      <c r="P134" s="368"/>
      <c r="Q134" s="369"/>
      <c r="R134" s="369"/>
      <c r="S134" s="452"/>
      <c r="T134" s="452"/>
      <c r="U134" s="452"/>
      <c r="V134" s="369"/>
      <c r="W134" s="369"/>
      <c r="X134" s="369"/>
      <c r="Y134" s="369"/>
      <c r="Z134" s="369"/>
      <c r="AA134" s="369"/>
      <c r="AB134" s="369"/>
      <c r="AC134" s="369"/>
      <c r="AD134" s="369"/>
      <c r="AE134" s="369"/>
      <c r="AF134" s="369"/>
      <c r="AG134" s="369"/>
      <c r="AH134" s="369"/>
      <c r="AI134" s="369"/>
      <c r="AJ134" s="369"/>
      <c r="AK134" s="369"/>
      <c r="AL134" s="369"/>
      <c r="AM134" s="369"/>
      <c r="AN134" s="369"/>
      <c r="AO134" s="369"/>
    </row>
    <row r="135" ht="13.5" customHeight="1">
      <c r="A135" s="458"/>
      <c r="B135" s="461" t="str">
        <f>Premium!I62</f>
        <v>Supply and installation of Curved Base storage unit  with BWP Carcass, HDHMR Boilo Shutter, Glossy finish laminate and soft close hinges  </v>
      </c>
      <c r="C135" s="458">
        <v>3.0</v>
      </c>
      <c r="D135" s="458">
        <v>1.0</v>
      </c>
      <c r="E135" s="469">
        <f t="shared" si="45"/>
        <v>3</v>
      </c>
      <c r="F135" s="470" t="s">
        <v>683</v>
      </c>
      <c r="G135" s="458">
        <v>900.0</v>
      </c>
      <c r="H135" s="458">
        <v>300.0</v>
      </c>
      <c r="I135" s="471" t="s">
        <v>684</v>
      </c>
      <c r="J135" s="472">
        <f>Premium!O62</f>
        <v>2643.75</v>
      </c>
      <c r="K135" s="466">
        <v>1.0</v>
      </c>
      <c r="L135" s="467">
        <f t="shared" si="46"/>
        <v>7931.25</v>
      </c>
      <c r="M135" s="452"/>
      <c r="N135" s="368"/>
      <c r="O135" s="368"/>
      <c r="P135" s="368"/>
      <c r="Q135" s="369"/>
      <c r="R135" s="369"/>
      <c r="S135" s="474"/>
      <c r="T135" s="452">
        <v>4730.0</v>
      </c>
      <c r="U135" s="452"/>
      <c r="V135" s="369"/>
      <c r="W135" s="369"/>
      <c r="X135" s="369"/>
      <c r="Y135" s="369"/>
      <c r="Z135" s="369"/>
      <c r="AA135" s="369"/>
      <c r="AB135" s="369"/>
      <c r="AC135" s="369"/>
      <c r="AD135" s="369"/>
      <c r="AE135" s="369"/>
      <c r="AF135" s="369"/>
      <c r="AG135" s="369"/>
      <c r="AH135" s="369"/>
      <c r="AI135" s="369"/>
      <c r="AJ135" s="369"/>
      <c r="AK135" s="369"/>
      <c r="AL135" s="369"/>
      <c r="AM135" s="369"/>
      <c r="AN135" s="369"/>
      <c r="AO135" s="369"/>
    </row>
    <row r="136" ht="13.5" customHeight="1">
      <c r="A136" s="458"/>
      <c r="B136" s="461" t="str">
        <f>Premium!I73</f>
        <v>Supply and installation of Wall Panel with BWP Ply Frame, Glossy Finish laminate </v>
      </c>
      <c r="C136" s="458">
        <v>2.0</v>
      </c>
      <c r="D136" s="458">
        <v>5.0</v>
      </c>
      <c r="E136" s="469">
        <f t="shared" si="45"/>
        <v>10</v>
      </c>
      <c r="F136" s="470" t="s">
        <v>683</v>
      </c>
      <c r="G136" s="458">
        <v>600.0</v>
      </c>
      <c r="H136" s="458">
        <v>1500.0</v>
      </c>
      <c r="I136" s="471" t="s">
        <v>684</v>
      </c>
      <c r="J136" s="472">
        <f>Premium!O73</f>
        <v>1375</v>
      </c>
      <c r="K136" s="466">
        <v>1.0</v>
      </c>
      <c r="L136" s="467">
        <f t="shared" si="46"/>
        <v>13750</v>
      </c>
      <c r="M136" s="452"/>
      <c r="N136" s="368"/>
      <c r="O136" s="368"/>
      <c r="P136" s="368"/>
      <c r="Q136" s="369"/>
      <c r="R136" s="369"/>
      <c r="S136" s="452"/>
      <c r="T136" s="452"/>
      <c r="U136" s="452"/>
      <c r="V136" s="369"/>
      <c r="W136" s="369"/>
      <c r="X136" s="369"/>
      <c r="Y136" s="369"/>
      <c r="Z136" s="369"/>
      <c r="AA136" s="369"/>
      <c r="AB136" s="369"/>
      <c r="AC136" s="369"/>
      <c r="AD136" s="369"/>
      <c r="AE136" s="369"/>
      <c r="AF136" s="369"/>
      <c r="AG136" s="369"/>
      <c r="AH136" s="369"/>
      <c r="AI136" s="369"/>
      <c r="AJ136" s="369"/>
      <c r="AK136" s="369"/>
      <c r="AL136" s="369"/>
      <c r="AM136" s="369"/>
      <c r="AN136" s="369"/>
      <c r="AO136" s="369"/>
    </row>
    <row r="137" ht="13.5" customHeight="1">
      <c r="A137" s="458"/>
      <c r="B137" s="461" t="str">
        <f>Premium!I67</f>
        <v>Supply and installation of Loft Frame and Shutter unit with BWP Frame, HDHMR Boilo Shutter, Glossy  finish laminate and Soft Close hinges  </v>
      </c>
      <c r="C137" s="458">
        <v>10.0</v>
      </c>
      <c r="D137" s="458">
        <v>2.5</v>
      </c>
      <c r="E137" s="469">
        <f t="shared" si="45"/>
        <v>25</v>
      </c>
      <c r="F137" s="470" t="s">
        <v>683</v>
      </c>
      <c r="G137" s="458">
        <v>3000.0</v>
      </c>
      <c r="H137" s="458">
        <v>750.0</v>
      </c>
      <c r="I137" s="471" t="s">
        <v>684</v>
      </c>
      <c r="J137" s="472">
        <f>Premium!O67</f>
        <v>1260</v>
      </c>
      <c r="K137" s="466">
        <v>1.0</v>
      </c>
      <c r="L137" s="467">
        <f t="shared" si="46"/>
        <v>31500</v>
      </c>
      <c r="M137" s="452"/>
      <c r="N137" s="368"/>
      <c r="O137" s="368"/>
      <c r="P137" s="368"/>
      <c r="Q137" s="369"/>
      <c r="R137" s="369"/>
      <c r="S137" s="452"/>
      <c r="T137" s="452"/>
      <c r="U137" s="452"/>
      <c r="V137" s="369"/>
      <c r="W137" s="369"/>
      <c r="X137" s="369"/>
      <c r="Y137" s="369"/>
      <c r="Z137" s="369"/>
      <c r="AA137" s="369"/>
      <c r="AB137" s="369"/>
      <c r="AC137" s="369"/>
      <c r="AD137" s="369"/>
      <c r="AE137" s="369"/>
      <c r="AF137" s="369"/>
      <c r="AG137" s="369"/>
      <c r="AH137" s="369"/>
      <c r="AI137" s="369"/>
      <c r="AJ137" s="369"/>
      <c r="AK137" s="369"/>
      <c r="AL137" s="369"/>
      <c r="AM137" s="369"/>
      <c r="AN137" s="369"/>
      <c r="AO137" s="369"/>
    </row>
    <row r="138" ht="13.5" customHeight="1">
      <c r="A138" s="458"/>
      <c r="B138" s="461" t="str">
        <f>Premium!I77</f>
        <v>Supply and installation of Base Panel with BWP Ply Frame, Glossy Finish laminate </v>
      </c>
      <c r="C138" s="458">
        <v>2.0</v>
      </c>
      <c r="D138" s="458">
        <v>3.0</v>
      </c>
      <c r="E138" s="469">
        <f t="shared" si="45"/>
        <v>6</v>
      </c>
      <c r="F138" s="470" t="s">
        <v>683</v>
      </c>
      <c r="G138" s="458">
        <v>600.0</v>
      </c>
      <c r="H138" s="458">
        <v>900.0</v>
      </c>
      <c r="I138" s="471" t="s">
        <v>684</v>
      </c>
      <c r="J138" s="472">
        <f>Premium!O73</f>
        <v>1375</v>
      </c>
      <c r="K138" s="466">
        <v>1.0</v>
      </c>
      <c r="L138" s="467">
        <f t="shared" si="46"/>
        <v>8250</v>
      </c>
      <c r="M138" s="452"/>
      <c r="N138" s="368"/>
      <c r="O138" s="368"/>
      <c r="P138" s="368"/>
      <c r="Q138" s="369"/>
      <c r="R138" s="369"/>
      <c r="S138" s="452"/>
      <c r="T138" s="452"/>
      <c r="U138" s="452"/>
      <c r="V138" s="369"/>
      <c r="W138" s="369"/>
      <c r="X138" s="369"/>
      <c r="Y138" s="369"/>
      <c r="Z138" s="369"/>
      <c r="AA138" s="369"/>
      <c r="AB138" s="369"/>
      <c r="AC138" s="369"/>
      <c r="AD138" s="369"/>
      <c r="AE138" s="369"/>
      <c r="AF138" s="369"/>
      <c r="AG138" s="369"/>
      <c r="AH138" s="369"/>
      <c r="AI138" s="369"/>
      <c r="AJ138" s="369"/>
      <c r="AK138" s="369"/>
      <c r="AL138" s="369"/>
      <c r="AM138" s="369"/>
      <c r="AN138" s="369"/>
      <c r="AO138" s="369"/>
    </row>
    <row r="139" ht="13.5" customHeight="1">
      <c r="A139" s="458"/>
      <c r="B139" s="473" t="s">
        <v>931</v>
      </c>
      <c r="C139" s="460"/>
      <c r="D139" s="460"/>
      <c r="E139" s="460"/>
      <c r="F139" s="460"/>
      <c r="G139" s="460"/>
      <c r="H139" s="460"/>
      <c r="I139" s="460"/>
      <c r="J139" s="460"/>
      <c r="K139" s="460"/>
      <c r="L139" s="460"/>
      <c r="M139" s="452"/>
      <c r="N139" s="368"/>
      <c r="O139" s="368"/>
      <c r="P139" s="368"/>
      <c r="Q139" s="369"/>
      <c r="R139" s="369"/>
      <c r="S139" s="452"/>
      <c r="T139" s="452"/>
      <c r="U139" s="452"/>
      <c r="V139" s="369"/>
      <c r="W139" s="369"/>
      <c r="X139" s="369"/>
      <c r="Y139" s="369"/>
      <c r="Z139" s="369"/>
      <c r="AA139" s="369"/>
      <c r="AB139" s="369"/>
      <c r="AC139" s="369"/>
      <c r="AD139" s="369"/>
      <c r="AE139" s="369"/>
      <c r="AF139" s="369"/>
      <c r="AG139" s="369"/>
      <c r="AH139" s="369"/>
      <c r="AI139" s="369"/>
      <c r="AJ139" s="369"/>
      <c r="AK139" s="369"/>
      <c r="AL139" s="369"/>
      <c r="AM139" s="369"/>
      <c r="AN139" s="369"/>
      <c r="AO139" s="369"/>
    </row>
    <row r="140" ht="13.5" customHeight="1">
      <c r="A140" s="458"/>
      <c r="B140" s="461" t="str">
        <f>Premium!I73</f>
        <v>Supply and installation of Wall Panel with BWP Ply Frame, Glossy Finish laminate </v>
      </c>
      <c r="C140" s="458">
        <v>6.0</v>
      </c>
      <c r="D140" s="458">
        <v>4.0</v>
      </c>
      <c r="E140" s="469">
        <f t="shared" ref="E140:E143" si="47">C140*D140</f>
        <v>24</v>
      </c>
      <c r="F140" s="470" t="s">
        <v>683</v>
      </c>
      <c r="G140" s="458">
        <v>1800.0</v>
      </c>
      <c r="H140" s="458">
        <v>1200.0</v>
      </c>
      <c r="I140" s="471" t="s">
        <v>684</v>
      </c>
      <c r="J140" s="472">
        <f>Premium!O73</f>
        <v>1375</v>
      </c>
      <c r="K140" s="466">
        <v>1.0</v>
      </c>
      <c r="L140" s="467">
        <f t="shared" ref="L140:L143" si="48">K140*J140*E140</f>
        <v>33000</v>
      </c>
      <c r="M140" s="452"/>
      <c r="N140" s="368"/>
      <c r="O140" s="368"/>
      <c r="P140" s="368"/>
      <c r="Q140" s="369"/>
      <c r="R140" s="369"/>
      <c r="S140" s="452"/>
      <c r="T140" s="452"/>
      <c r="U140" s="452"/>
      <c r="V140" s="369"/>
      <c r="W140" s="369"/>
      <c r="X140" s="369"/>
      <c r="Y140" s="369"/>
      <c r="Z140" s="369"/>
      <c r="AA140" s="369"/>
      <c r="AB140" s="369"/>
      <c r="AC140" s="369"/>
      <c r="AD140" s="369"/>
      <c r="AE140" s="369"/>
      <c r="AF140" s="369"/>
      <c r="AG140" s="369"/>
      <c r="AH140" s="369"/>
      <c r="AI140" s="369"/>
      <c r="AJ140" s="369"/>
      <c r="AK140" s="369"/>
      <c r="AL140" s="369"/>
      <c r="AM140" s="369"/>
      <c r="AN140" s="369"/>
      <c r="AO140" s="369"/>
    </row>
    <row r="141" ht="13.5" customHeight="1">
      <c r="A141" s="458"/>
      <c r="B141" s="461" t="str">
        <f>Premium!I40</f>
        <v>Supply and installation of Wardrobe  with BWP Carcass, HDHMR Boilo Shutter, Glossy finish laminate and soft close hinges  </v>
      </c>
      <c r="C141" s="458">
        <v>6.0</v>
      </c>
      <c r="D141" s="458">
        <v>7.0</v>
      </c>
      <c r="E141" s="469">
        <f t="shared" si="47"/>
        <v>42</v>
      </c>
      <c r="F141" s="470" t="s">
        <v>683</v>
      </c>
      <c r="G141" s="458">
        <v>1800.0</v>
      </c>
      <c r="H141" s="458">
        <v>2100.0</v>
      </c>
      <c r="I141" s="471" t="s">
        <v>684</v>
      </c>
      <c r="J141" s="472">
        <f>Premium!O37</f>
        <v>2206.25</v>
      </c>
      <c r="K141" s="466">
        <v>1.0</v>
      </c>
      <c r="L141" s="467">
        <f t="shared" si="48"/>
        <v>92662.5</v>
      </c>
      <c r="M141" s="452"/>
      <c r="N141" s="368"/>
      <c r="O141" s="368"/>
      <c r="P141" s="368"/>
      <c r="Q141" s="369"/>
      <c r="R141" s="369"/>
      <c r="S141" s="452"/>
      <c r="T141" s="452"/>
      <c r="U141" s="452"/>
      <c r="V141" s="369"/>
      <c r="W141" s="369"/>
      <c r="X141" s="369"/>
      <c r="Y141" s="369"/>
      <c r="Z141" s="369"/>
      <c r="AA141" s="369"/>
      <c r="AB141" s="369"/>
      <c r="AC141" s="369"/>
      <c r="AD141" s="369"/>
      <c r="AE141" s="369"/>
      <c r="AF141" s="369"/>
      <c r="AG141" s="369"/>
      <c r="AH141" s="369"/>
      <c r="AI141" s="369"/>
      <c r="AJ141" s="369"/>
      <c r="AK141" s="369"/>
      <c r="AL141" s="369"/>
      <c r="AM141" s="369"/>
      <c r="AN141" s="369"/>
      <c r="AO141" s="369"/>
    </row>
    <row r="142" ht="13.5" customHeight="1">
      <c r="A142" s="458"/>
      <c r="B142" s="461" t="str">
        <f>Premium!I67</f>
        <v>Supply and installation of Loft Frame and Shutter unit with BWP Frame, HDHMR Boilo Shutter, Glossy  finish laminate and Soft Close hinges  </v>
      </c>
      <c r="C142" s="458">
        <v>7.0</v>
      </c>
      <c r="D142" s="458">
        <v>3.0</v>
      </c>
      <c r="E142" s="469">
        <f t="shared" si="47"/>
        <v>21</v>
      </c>
      <c r="F142" s="470" t="s">
        <v>683</v>
      </c>
      <c r="G142" s="458">
        <v>2100.0</v>
      </c>
      <c r="H142" s="458">
        <v>900.0</v>
      </c>
      <c r="I142" s="471" t="s">
        <v>684</v>
      </c>
      <c r="J142" s="472">
        <f>Premium!O67</f>
        <v>1260</v>
      </c>
      <c r="K142" s="466">
        <v>1.0</v>
      </c>
      <c r="L142" s="467">
        <f t="shared" si="48"/>
        <v>26460</v>
      </c>
      <c r="M142" s="452"/>
      <c r="N142" s="368"/>
      <c r="O142" s="368"/>
      <c r="P142" s="368"/>
      <c r="Q142" s="369"/>
      <c r="R142" s="369"/>
      <c r="S142" s="452"/>
      <c r="T142" s="452"/>
      <c r="U142" s="452"/>
      <c r="V142" s="369"/>
      <c r="W142" s="369"/>
      <c r="X142" s="369"/>
      <c r="Y142" s="369"/>
      <c r="Z142" s="369"/>
      <c r="AA142" s="369"/>
      <c r="AB142" s="369"/>
      <c r="AC142" s="369"/>
      <c r="AD142" s="369"/>
      <c r="AE142" s="369"/>
      <c r="AF142" s="369"/>
      <c r="AG142" s="369"/>
      <c r="AH142" s="369"/>
      <c r="AI142" s="369"/>
      <c r="AJ142" s="369"/>
      <c r="AK142" s="369"/>
      <c r="AL142" s="369"/>
      <c r="AM142" s="369"/>
      <c r="AN142" s="369"/>
      <c r="AO142" s="369"/>
    </row>
    <row r="143" ht="13.5" customHeight="1">
      <c r="A143" s="458"/>
      <c r="B143" s="461" t="str">
        <f>Premium!I77</f>
        <v>Supply and installation of Base Panel with BWP Ply Frame, Glossy Finish laminate </v>
      </c>
      <c r="C143" s="458">
        <v>5.0</v>
      </c>
      <c r="D143" s="458">
        <v>3.0</v>
      </c>
      <c r="E143" s="469">
        <f t="shared" si="47"/>
        <v>15</v>
      </c>
      <c r="F143" s="470" t="s">
        <v>683</v>
      </c>
      <c r="G143" s="458">
        <v>1500.0</v>
      </c>
      <c r="H143" s="458">
        <v>900.0</v>
      </c>
      <c r="I143" s="471" t="s">
        <v>684</v>
      </c>
      <c r="J143" s="472">
        <f>Premium!O73</f>
        <v>1375</v>
      </c>
      <c r="K143" s="466">
        <v>1.0</v>
      </c>
      <c r="L143" s="467">
        <f t="shared" si="48"/>
        <v>20625</v>
      </c>
      <c r="M143" s="452"/>
      <c r="N143" s="368"/>
      <c r="O143" s="368"/>
      <c r="P143" s="368"/>
      <c r="Q143" s="369"/>
      <c r="R143" s="369"/>
      <c r="S143" s="452"/>
      <c r="T143" s="452"/>
      <c r="U143" s="452"/>
      <c r="V143" s="369"/>
      <c r="W143" s="369"/>
      <c r="X143" s="369"/>
      <c r="Y143" s="369"/>
      <c r="Z143" s="369"/>
      <c r="AA143" s="369"/>
      <c r="AB143" s="369"/>
      <c r="AC143" s="369"/>
      <c r="AD143" s="369"/>
      <c r="AE143" s="369"/>
      <c r="AF143" s="369"/>
      <c r="AG143" s="369"/>
      <c r="AH143" s="369"/>
      <c r="AI143" s="369"/>
      <c r="AJ143" s="369"/>
      <c r="AK143" s="369"/>
      <c r="AL143" s="369"/>
      <c r="AM143" s="369"/>
      <c r="AN143" s="369"/>
      <c r="AO143" s="369"/>
    </row>
    <row r="144" ht="13.5" customHeight="1">
      <c r="A144" s="458"/>
      <c r="B144" s="480" t="s">
        <v>925</v>
      </c>
      <c r="C144" s="460"/>
      <c r="D144" s="460"/>
      <c r="E144" s="460"/>
      <c r="F144" s="460"/>
      <c r="G144" s="460"/>
      <c r="H144" s="460"/>
      <c r="I144" s="460"/>
      <c r="J144" s="460"/>
      <c r="K144" s="460"/>
      <c r="L144" s="460"/>
      <c r="M144" s="452"/>
      <c r="N144" s="368"/>
      <c r="O144" s="368"/>
      <c r="P144" s="368"/>
      <c r="Q144" s="369"/>
      <c r="R144" s="369"/>
      <c r="S144" s="452"/>
      <c r="T144" s="452"/>
      <c r="U144" s="452"/>
      <c r="V144" s="369"/>
      <c r="W144" s="369"/>
      <c r="X144" s="369"/>
      <c r="Y144" s="369"/>
      <c r="Z144" s="369"/>
      <c r="AA144" s="369"/>
      <c r="AB144" s="369"/>
      <c r="AC144" s="369"/>
      <c r="AD144" s="369"/>
      <c r="AE144" s="369"/>
      <c r="AF144" s="369"/>
      <c r="AG144" s="369"/>
      <c r="AH144" s="369"/>
      <c r="AI144" s="369"/>
      <c r="AJ144" s="369"/>
      <c r="AK144" s="369"/>
      <c r="AL144" s="369"/>
      <c r="AM144" s="369"/>
      <c r="AN144" s="369"/>
      <c r="AO144" s="369"/>
    </row>
    <row r="145" ht="13.5" customHeight="1">
      <c r="A145" s="458"/>
      <c r="B145" s="461" t="str">
        <f>Premium!I37</f>
        <v>Supply and installation of Base storage unit  with BWP Carcass, HDHMR Boilo Shutter, Glossy finish laminate and soft close hinges  </v>
      </c>
      <c r="C145" s="458">
        <v>7.0</v>
      </c>
      <c r="D145" s="458">
        <v>1.0</v>
      </c>
      <c r="E145" s="469">
        <f>C145*D145</f>
        <v>7</v>
      </c>
      <c r="F145" s="470" t="s">
        <v>683</v>
      </c>
      <c r="G145" s="458">
        <v>2100.0</v>
      </c>
      <c r="H145" s="458">
        <v>300.0</v>
      </c>
      <c r="I145" s="471" t="s">
        <v>684</v>
      </c>
      <c r="J145" s="472">
        <f>Premium!O37</f>
        <v>2206.25</v>
      </c>
      <c r="K145" s="466">
        <v>1.0</v>
      </c>
      <c r="L145" s="467">
        <f>K145*J145*E145</f>
        <v>15443.75</v>
      </c>
      <c r="M145" s="452"/>
      <c r="N145" s="368"/>
      <c r="O145" s="368"/>
      <c r="P145" s="368"/>
      <c r="Q145" s="369"/>
      <c r="R145" s="369"/>
      <c r="S145" s="452"/>
      <c r="T145" s="452"/>
      <c r="U145" s="452"/>
      <c r="V145" s="369"/>
      <c r="W145" s="369"/>
      <c r="X145" s="369"/>
      <c r="Y145" s="369"/>
      <c r="Z145" s="369"/>
      <c r="AA145" s="369"/>
      <c r="AB145" s="369"/>
      <c r="AC145" s="369"/>
      <c r="AD145" s="369"/>
      <c r="AE145" s="369"/>
      <c r="AF145" s="369"/>
      <c r="AG145" s="369"/>
      <c r="AH145" s="369"/>
      <c r="AI145" s="369"/>
      <c r="AJ145" s="369"/>
      <c r="AK145" s="369"/>
      <c r="AL145" s="369"/>
      <c r="AM145" s="369"/>
      <c r="AN145" s="369"/>
      <c r="AO145" s="369"/>
    </row>
    <row r="146" ht="13.5" customHeight="1">
      <c r="A146" s="458"/>
      <c r="B146" s="480" t="s">
        <v>913</v>
      </c>
      <c r="C146" s="460"/>
      <c r="D146" s="460"/>
      <c r="E146" s="460"/>
      <c r="F146" s="460"/>
      <c r="G146" s="460"/>
      <c r="H146" s="460"/>
      <c r="I146" s="460"/>
      <c r="J146" s="460"/>
      <c r="K146" s="460"/>
      <c r="L146" s="460"/>
      <c r="M146" s="452"/>
      <c r="N146" s="368"/>
      <c r="O146" s="368"/>
      <c r="P146" s="368"/>
      <c r="Q146" s="369"/>
      <c r="R146" s="369"/>
      <c r="S146" s="452"/>
      <c r="T146" s="452"/>
      <c r="U146" s="452"/>
      <c r="V146" s="369"/>
      <c r="W146" s="369"/>
      <c r="X146" s="369"/>
      <c r="Y146" s="369"/>
      <c r="Z146" s="369"/>
      <c r="AA146" s="369"/>
      <c r="AB146" s="369"/>
      <c r="AC146" s="369"/>
      <c r="AD146" s="369"/>
      <c r="AE146" s="369"/>
      <c r="AF146" s="369"/>
      <c r="AG146" s="369"/>
      <c r="AH146" s="369"/>
      <c r="AI146" s="369"/>
      <c r="AJ146" s="369"/>
      <c r="AK146" s="369"/>
      <c r="AL146" s="369"/>
      <c r="AM146" s="369"/>
      <c r="AN146" s="369"/>
      <c r="AO146" s="369"/>
    </row>
    <row r="147" ht="13.5" customHeight="1">
      <c r="A147" s="458"/>
      <c r="B147" s="461" t="str">
        <f>Premium!I37</f>
        <v>Supply and installation of Base storage unit  with BWP Carcass, HDHMR Boilo Shutter, Glossy finish laminate and soft close hinges  </v>
      </c>
      <c r="C147" s="458">
        <v>4.5</v>
      </c>
      <c r="D147" s="458">
        <v>1.5</v>
      </c>
      <c r="E147" s="469">
        <f t="shared" ref="E147:E148" si="49">C147*D147</f>
        <v>6.75</v>
      </c>
      <c r="F147" s="470" t="s">
        <v>683</v>
      </c>
      <c r="G147" s="458">
        <v>1350.0</v>
      </c>
      <c r="H147" s="458">
        <v>450.0</v>
      </c>
      <c r="I147" s="471" t="s">
        <v>684</v>
      </c>
      <c r="J147" s="472">
        <f>Premium!O37</f>
        <v>2206.25</v>
      </c>
      <c r="K147" s="466">
        <v>1.0</v>
      </c>
      <c r="L147" s="467">
        <f t="shared" ref="L147:L148" si="50">K147*J147*E147</f>
        <v>14892.1875</v>
      </c>
      <c r="M147" s="452"/>
      <c r="N147" s="368"/>
      <c r="O147" s="368"/>
      <c r="P147" s="368"/>
      <c r="Q147" s="369"/>
      <c r="R147" s="369"/>
      <c r="S147" s="452"/>
      <c r="T147" s="452"/>
      <c r="U147" s="452"/>
      <c r="V147" s="369"/>
      <c r="W147" s="369"/>
      <c r="X147" s="369"/>
      <c r="Y147" s="369"/>
      <c r="Z147" s="369"/>
      <c r="AA147" s="369"/>
      <c r="AB147" s="369"/>
      <c r="AC147" s="369"/>
      <c r="AD147" s="369"/>
      <c r="AE147" s="369"/>
      <c r="AF147" s="369"/>
      <c r="AG147" s="369"/>
      <c r="AH147" s="369"/>
      <c r="AI147" s="369"/>
      <c r="AJ147" s="369"/>
      <c r="AK147" s="369"/>
      <c r="AL147" s="369"/>
      <c r="AM147" s="369"/>
      <c r="AN147" s="369"/>
      <c r="AO147" s="369"/>
    </row>
    <row r="148" ht="13.5" customHeight="1">
      <c r="A148" s="458"/>
      <c r="B148" s="461" t="str">
        <f>Premium!I24</f>
        <v>Supply and installation of Ledge with 25mm Ledge BWP and Smooth Finish Laminate</v>
      </c>
      <c r="C148" s="458">
        <v>4.5</v>
      </c>
      <c r="D148" s="458">
        <v>1.0</v>
      </c>
      <c r="E148" s="469">
        <f t="shared" si="49"/>
        <v>4.5</v>
      </c>
      <c r="F148" s="470" t="s">
        <v>683</v>
      </c>
      <c r="G148" s="458">
        <v>1350.0</v>
      </c>
      <c r="H148" s="458">
        <v>300.0</v>
      </c>
      <c r="I148" s="471" t="s">
        <v>684</v>
      </c>
      <c r="J148" s="472">
        <f>Premium!O24</f>
        <v>1093.75</v>
      </c>
      <c r="K148" s="466">
        <v>1.0</v>
      </c>
      <c r="L148" s="467">
        <f t="shared" si="50"/>
        <v>4921.875</v>
      </c>
      <c r="M148" s="452"/>
      <c r="N148" s="368"/>
      <c r="O148" s="368"/>
      <c r="P148" s="368"/>
      <c r="Q148" s="369"/>
      <c r="R148" s="369"/>
      <c r="S148" s="452"/>
      <c r="T148" s="452"/>
      <c r="U148" s="452"/>
      <c r="V148" s="369"/>
      <c r="W148" s="369"/>
      <c r="X148" s="369"/>
      <c r="Y148" s="369"/>
      <c r="Z148" s="369"/>
      <c r="AA148" s="369"/>
      <c r="AB148" s="369"/>
      <c r="AC148" s="369"/>
      <c r="AD148" s="369"/>
      <c r="AE148" s="369"/>
      <c r="AF148" s="369"/>
      <c r="AG148" s="369"/>
      <c r="AH148" s="369"/>
      <c r="AI148" s="369"/>
      <c r="AJ148" s="369"/>
      <c r="AK148" s="369"/>
      <c r="AL148" s="369"/>
      <c r="AM148" s="369"/>
      <c r="AN148" s="369"/>
      <c r="AO148" s="369"/>
    </row>
    <row r="149" ht="13.5" customHeight="1">
      <c r="A149" s="458"/>
      <c r="B149" s="480" t="s">
        <v>929</v>
      </c>
      <c r="C149" s="460"/>
      <c r="D149" s="460"/>
      <c r="E149" s="460"/>
      <c r="F149" s="460"/>
      <c r="G149" s="460"/>
      <c r="H149" s="460"/>
      <c r="I149" s="460"/>
      <c r="J149" s="460"/>
      <c r="K149" s="460"/>
      <c r="L149" s="460"/>
      <c r="M149" s="452"/>
      <c r="N149" s="368"/>
      <c r="O149" s="368"/>
      <c r="P149" s="368"/>
      <c r="Q149" s="369"/>
      <c r="R149" s="369"/>
      <c r="S149" s="452"/>
      <c r="T149" s="452"/>
      <c r="U149" s="452"/>
      <c r="V149" s="369"/>
      <c r="W149" s="369"/>
      <c r="X149" s="369"/>
      <c r="Y149" s="369"/>
      <c r="Z149" s="369"/>
      <c r="AA149" s="369"/>
      <c r="AB149" s="369"/>
      <c r="AC149" s="369"/>
      <c r="AD149" s="369"/>
      <c r="AE149" s="369"/>
      <c r="AF149" s="369"/>
      <c r="AG149" s="369"/>
      <c r="AH149" s="369"/>
      <c r="AI149" s="369"/>
      <c r="AJ149" s="369"/>
      <c r="AK149" s="369"/>
      <c r="AL149" s="369"/>
      <c r="AM149" s="369"/>
      <c r="AN149" s="369"/>
      <c r="AO149" s="369"/>
    </row>
    <row r="150" ht="13.5" customHeight="1">
      <c r="A150" s="458"/>
      <c r="B150" s="461" t="str">
        <f>Premium!I37</f>
        <v>Supply and installation of Base storage unit  with BWP Carcass, HDHMR Boilo Shutter, Glossy finish laminate and soft close hinges  </v>
      </c>
      <c r="C150" s="458">
        <v>5.0</v>
      </c>
      <c r="D150" s="458">
        <v>2.0</v>
      </c>
      <c r="E150" s="469">
        <f t="shared" ref="E150:E151" si="51">C150*D150</f>
        <v>10</v>
      </c>
      <c r="F150" s="470" t="s">
        <v>683</v>
      </c>
      <c r="G150" s="458">
        <v>1500.0</v>
      </c>
      <c r="H150" s="458">
        <v>600.0</v>
      </c>
      <c r="I150" s="471" t="s">
        <v>684</v>
      </c>
      <c r="J150" s="472">
        <f>Premium!O37</f>
        <v>2206.25</v>
      </c>
      <c r="K150" s="466">
        <v>1.0</v>
      </c>
      <c r="L150" s="467">
        <f t="shared" ref="L150:L151" si="52">K150*J150*E150</f>
        <v>22062.5</v>
      </c>
      <c r="M150" s="452"/>
      <c r="N150" s="368"/>
      <c r="O150" s="368"/>
      <c r="P150" s="368"/>
      <c r="Q150" s="369"/>
      <c r="R150" s="369"/>
      <c r="S150" s="452"/>
      <c r="T150" s="452"/>
      <c r="U150" s="452"/>
      <c r="V150" s="369"/>
      <c r="W150" s="369"/>
      <c r="X150" s="369"/>
      <c r="Y150" s="369"/>
      <c r="Z150" s="369"/>
      <c r="AA150" s="369"/>
      <c r="AB150" s="369"/>
      <c r="AC150" s="369"/>
      <c r="AD150" s="369"/>
      <c r="AE150" s="369"/>
      <c r="AF150" s="369"/>
      <c r="AG150" s="369"/>
      <c r="AH150" s="369"/>
      <c r="AI150" s="369"/>
      <c r="AJ150" s="369"/>
      <c r="AK150" s="369"/>
      <c r="AL150" s="369"/>
      <c r="AM150" s="369"/>
      <c r="AN150" s="369"/>
      <c r="AO150" s="369"/>
    </row>
    <row r="151" ht="13.5" customHeight="1">
      <c r="A151" s="458"/>
      <c r="B151" s="461" t="str">
        <f>Premium!I73</f>
        <v>Supply and installation of Wall Panel with BWP Ply Frame, Glossy Finish laminate </v>
      </c>
      <c r="C151" s="458">
        <v>20.0</v>
      </c>
      <c r="D151" s="458">
        <v>2.0</v>
      </c>
      <c r="E151" s="469">
        <f t="shared" si="51"/>
        <v>40</v>
      </c>
      <c r="F151" s="470" t="s">
        <v>683</v>
      </c>
      <c r="G151" s="458">
        <v>6000.0</v>
      </c>
      <c r="H151" s="458">
        <v>600.0</v>
      </c>
      <c r="I151" s="471" t="s">
        <v>684</v>
      </c>
      <c r="J151" s="472">
        <f>Premium!O73</f>
        <v>1375</v>
      </c>
      <c r="K151" s="466">
        <v>1.0</v>
      </c>
      <c r="L151" s="467">
        <f t="shared" si="52"/>
        <v>55000</v>
      </c>
      <c r="M151" s="452"/>
      <c r="N151" s="368"/>
      <c r="O151" s="368"/>
      <c r="P151" s="368"/>
      <c r="Q151" s="369"/>
      <c r="R151" s="369"/>
      <c r="S151" s="452"/>
      <c r="T151" s="452"/>
      <c r="U151" s="452"/>
      <c r="V151" s="369"/>
      <c r="W151" s="369"/>
      <c r="X151" s="369"/>
      <c r="Y151" s="369"/>
      <c r="Z151" s="369"/>
      <c r="AA151" s="369"/>
      <c r="AB151" s="369"/>
      <c r="AC151" s="369"/>
      <c r="AD151" s="369"/>
      <c r="AE151" s="369"/>
      <c r="AF151" s="369"/>
      <c r="AG151" s="369"/>
      <c r="AH151" s="369"/>
      <c r="AI151" s="369"/>
      <c r="AJ151" s="369"/>
      <c r="AK151" s="369"/>
      <c r="AL151" s="369"/>
      <c r="AM151" s="369"/>
      <c r="AN151" s="369"/>
      <c r="AO151" s="369"/>
    </row>
    <row r="152" ht="13.5" customHeight="1">
      <c r="A152" s="458"/>
      <c r="B152" s="480" t="s">
        <v>926</v>
      </c>
      <c r="C152" s="460"/>
      <c r="D152" s="460"/>
      <c r="E152" s="460"/>
      <c r="F152" s="460"/>
      <c r="G152" s="460"/>
      <c r="H152" s="460"/>
      <c r="I152" s="460"/>
      <c r="J152" s="460"/>
      <c r="K152" s="460"/>
      <c r="L152" s="460"/>
      <c r="M152" s="452"/>
      <c r="N152" s="368"/>
      <c r="O152" s="368"/>
      <c r="P152" s="368"/>
      <c r="Q152" s="369"/>
      <c r="R152" s="369"/>
      <c r="S152" s="452"/>
      <c r="T152" s="452"/>
      <c r="U152" s="452"/>
      <c r="V152" s="369"/>
      <c r="W152" s="369"/>
      <c r="X152" s="369"/>
      <c r="Y152" s="369"/>
      <c r="Z152" s="369"/>
      <c r="AA152" s="369"/>
      <c r="AB152" s="369"/>
      <c r="AC152" s="369"/>
      <c r="AD152" s="369"/>
      <c r="AE152" s="369"/>
      <c r="AF152" s="369"/>
      <c r="AG152" s="369"/>
      <c r="AH152" s="369"/>
      <c r="AI152" s="369"/>
      <c r="AJ152" s="369"/>
      <c r="AK152" s="369"/>
      <c r="AL152" s="369"/>
      <c r="AM152" s="369"/>
      <c r="AN152" s="369"/>
      <c r="AO152" s="369"/>
    </row>
    <row r="153" ht="13.5" customHeight="1">
      <c r="A153" s="458"/>
      <c r="B153" s="461" t="str">
        <f>Premium!I37</f>
        <v>Supply and installation of Base storage unit  with BWP Carcass, HDHMR Boilo Shutter, Glossy finish laminate and soft close hinges  </v>
      </c>
      <c r="C153" s="458">
        <v>7.0</v>
      </c>
      <c r="D153" s="458">
        <v>2.5</v>
      </c>
      <c r="E153" s="469">
        <f t="shared" ref="E153:E159" si="53">C153*D153</f>
        <v>17.5</v>
      </c>
      <c r="F153" s="470" t="s">
        <v>683</v>
      </c>
      <c r="G153" s="458">
        <v>2100.0</v>
      </c>
      <c r="H153" s="458">
        <v>750.0</v>
      </c>
      <c r="I153" s="471" t="s">
        <v>684</v>
      </c>
      <c r="J153" s="472">
        <f>Premium!O37</f>
        <v>2206.25</v>
      </c>
      <c r="K153" s="466">
        <v>1.0</v>
      </c>
      <c r="L153" s="467">
        <f t="shared" ref="L153:L159" si="54">K153*J153*E153</f>
        <v>38609.375</v>
      </c>
      <c r="M153" s="452"/>
      <c r="N153" s="368"/>
      <c r="O153" s="368"/>
      <c r="P153" s="368"/>
      <c r="Q153" s="369"/>
      <c r="R153" s="369"/>
      <c r="S153" s="452"/>
      <c r="T153" s="452"/>
      <c r="U153" s="452"/>
      <c r="V153" s="369"/>
      <c r="W153" s="369"/>
      <c r="X153" s="369"/>
      <c r="Y153" s="369"/>
      <c r="Z153" s="369"/>
      <c r="AA153" s="369"/>
      <c r="AB153" s="369"/>
      <c r="AC153" s="369"/>
      <c r="AD153" s="369"/>
      <c r="AE153" s="369"/>
      <c r="AF153" s="369"/>
      <c r="AG153" s="369"/>
      <c r="AH153" s="369"/>
      <c r="AI153" s="369"/>
      <c r="AJ153" s="369"/>
      <c r="AK153" s="369"/>
      <c r="AL153" s="369"/>
      <c r="AM153" s="369"/>
      <c r="AN153" s="369"/>
      <c r="AO153" s="369"/>
    </row>
    <row r="154" ht="13.5" customHeight="1">
      <c r="A154" s="458"/>
      <c r="B154" s="461" t="str">
        <f>Premium!I40</f>
        <v>Supply and installation of Wardrobe  with BWP Carcass, HDHMR Boilo Shutter, Glossy finish laminate and soft close hinges  </v>
      </c>
      <c r="C154" s="458">
        <v>7.0</v>
      </c>
      <c r="D154" s="458">
        <v>7.0</v>
      </c>
      <c r="E154" s="469">
        <f t="shared" si="53"/>
        <v>49</v>
      </c>
      <c r="F154" s="470" t="s">
        <v>683</v>
      </c>
      <c r="G154" s="458">
        <v>2100.0</v>
      </c>
      <c r="H154" s="458">
        <v>2100.0</v>
      </c>
      <c r="I154" s="471" t="s">
        <v>684</v>
      </c>
      <c r="J154" s="472">
        <f>Premium!O37</f>
        <v>2206.25</v>
      </c>
      <c r="K154" s="466">
        <v>1.0</v>
      </c>
      <c r="L154" s="467">
        <f t="shared" si="54"/>
        <v>108106.25</v>
      </c>
      <c r="M154" s="452"/>
      <c r="N154" s="368"/>
      <c r="O154" s="368"/>
      <c r="P154" s="368"/>
      <c r="Q154" s="369"/>
      <c r="R154" s="369"/>
      <c r="S154" s="452"/>
      <c r="T154" s="452"/>
      <c r="U154" s="452"/>
      <c r="V154" s="369"/>
      <c r="W154" s="369"/>
      <c r="X154" s="369"/>
      <c r="Y154" s="369"/>
      <c r="Z154" s="369"/>
      <c r="AA154" s="369"/>
      <c r="AB154" s="369"/>
      <c r="AC154" s="369"/>
      <c r="AD154" s="369"/>
      <c r="AE154" s="369"/>
      <c r="AF154" s="369"/>
      <c r="AG154" s="369"/>
      <c r="AH154" s="369"/>
      <c r="AI154" s="369"/>
      <c r="AJ154" s="369"/>
      <c r="AK154" s="369"/>
      <c r="AL154" s="369"/>
      <c r="AM154" s="369"/>
      <c r="AN154" s="369"/>
      <c r="AO154" s="369"/>
    </row>
    <row r="155" ht="13.5" customHeight="1">
      <c r="A155" s="458"/>
      <c r="B155" s="461" t="str">
        <f>Premium!I39</f>
        <v>Supply and installation of Tall storage unit  with BWP Carcass, HDHMR Boilo Shutter, Glossy finish laminate and soft close hinges  </v>
      </c>
      <c r="C155" s="458">
        <v>1.5</v>
      </c>
      <c r="D155" s="458">
        <v>7.0</v>
      </c>
      <c r="E155" s="469">
        <f t="shared" si="53"/>
        <v>10.5</v>
      </c>
      <c r="F155" s="470" t="s">
        <v>683</v>
      </c>
      <c r="G155" s="458">
        <v>450.0</v>
      </c>
      <c r="H155" s="458">
        <v>2100.0</v>
      </c>
      <c r="I155" s="471" t="s">
        <v>684</v>
      </c>
      <c r="J155" s="472">
        <f>Premium!O37</f>
        <v>2206.25</v>
      </c>
      <c r="K155" s="466">
        <v>1.0</v>
      </c>
      <c r="L155" s="467">
        <f t="shared" si="54"/>
        <v>23165.625</v>
      </c>
      <c r="M155" s="452"/>
      <c r="N155" s="368"/>
      <c r="O155" s="368"/>
      <c r="P155" s="368"/>
      <c r="Q155" s="369"/>
      <c r="R155" s="369"/>
      <c r="S155" s="452"/>
      <c r="T155" s="452"/>
      <c r="U155" s="452"/>
      <c r="V155" s="369"/>
      <c r="W155" s="369"/>
      <c r="X155" s="369"/>
      <c r="Y155" s="369"/>
      <c r="Z155" s="369"/>
      <c r="AA155" s="369"/>
      <c r="AB155" s="369"/>
      <c r="AC155" s="369"/>
      <c r="AD155" s="369"/>
      <c r="AE155" s="369"/>
      <c r="AF155" s="369"/>
      <c r="AG155" s="369"/>
      <c r="AH155" s="369"/>
      <c r="AI155" s="369"/>
      <c r="AJ155" s="369"/>
      <c r="AK155" s="369"/>
      <c r="AL155" s="369"/>
      <c r="AM155" s="369"/>
      <c r="AN155" s="369"/>
      <c r="AO155" s="369"/>
    </row>
    <row r="156" ht="13.5" customHeight="1">
      <c r="A156" s="458"/>
      <c r="B156" s="461" t="str">
        <f>Premium!I37</f>
        <v>Supply and installation of Base storage unit  with BWP Carcass, HDHMR Boilo Shutter, Glossy finish laminate and soft close hinges  </v>
      </c>
      <c r="C156" s="458">
        <v>2.5</v>
      </c>
      <c r="D156" s="458">
        <v>1.0</v>
      </c>
      <c r="E156" s="469">
        <f t="shared" si="53"/>
        <v>2.5</v>
      </c>
      <c r="F156" s="470" t="s">
        <v>683</v>
      </c>
      <c r="G156" s="458">
        <v>750.0</v>
      </c>
      <c r="H156" s="458">
        <v>300.0</v>
      </c>
      <c r="I156" s="471" t="s">
        <v>684</v>
      </c>
      <c r="J156" s="472">
        <f>Premium!O37</f>
        <v>2206.25</v>
      </c>
      <c r="K156" s="466">
        <v>1.0</v>
      </c>
      <c r="L156" s="467">
        <f t="shared" si="54"/>
        <v>5515.625</v>
      </c>
      <c r="M156" s="452"/>
      <c r="N156" s="368"/>
      <c r="O156" s="368"/>
      <c r="P156" s="368"/>
      <c r="Q156" s="369"/>
      <c r="R156" s="369"/>
      <c r="S156" s="452"/>
      <c r="T156" s="452"/>
      <c r="U156" s="452"/>
      <c r="V156" s="369"/>
      <c r="W156" s="369"/>
      <c r="X156" s="369"/>
      <c r="Y156" s="369"/>
      <c r="Z156" s="369"/>
      <c r="AA156" s="369"/>
      <c r="AB156" s="369"/>
      <c r="AC156" s="369"/>
      <c r="AD156" s="369"/>
      <c r="AE156" s="369"/>
      <c r="AF156" s="369"/>
      <c r="AG156" s="369"/>
      <c r="AH156" s="369"/>
      <c r="AI156" s="369"/>
      <c r="AJ156" s="369"/>
      <c r="AK156" s="369"/>
      <c r="AL156" s="369"/>
      <c r="AM156" s="369"/>
      <c r="AN156" s="369"/>
      <c r="AO156" s="369"/>
    </row>
    <row r="157" ht="13.5" customHeight="1">
      <c r="A157" s="458"/>
      <c r="B157" s="461" t="str">
        <f>Premium!I73</f>
        <v>Supply and installation of Wall Panel with BWP Ply Frame, Glossy Finish laminate </v>
      </c>
      <c r="C157" s="458">
        <v>2.5</v>
      </c>
      <c r="D157" s="458">
        <v>7.0</v>
      </c>
      <c r="E157" s="469">
        <f t="shared" si="53"/>
        <v>17.5</v>
      </c>
      <c r="F157" s="470" t="s">
        <v>683</v>
      </c>
      <c r="G157" s="458">
        <v>750.0</v>
      </c>
      <c r="H157" s="458">
        <v>2100.0</v>
      </c>
      <c r="I157" s="471" t="s">
        <v>684</v>
      </c>
      <c r="J157" s="472">
        <f>Premium!O73</f>
        <v>1375</v>
      </c>
      <c r="K157" s="466">
        <v>1.0</v>
      </c>
      <c r="L157" s="467">
        <f t="shared" si="54"/>
        <v>24062.5</v>
      </c>
      <c r="M157" s="452"/>
      <c r="N157" s="368"/>
      <c r="O157" s="368"/>
      <c r="P157" s="368"/>
      <c r="Q157" s="369"/>
      <c r="R157" s="369"/>
      <c r="S157" s="452"/>
      <c r="T157" s="452"/>
      <c r="U157" s="452"/>
      <c r="V157" s="369"/>
      <c r="W157" s="369"/>
      <c r="X157" s="369"/>
      <c r="Y157" s="369"/>
      <c r="Z157" s="369"/>
      <c r="AA157" s="369"/>
      <c r="AB157" s="369"/>
      <c r="AC157" s="369"/>
      <c r="AD157" s="369"/>
      <c r="AE157" s="369"/>
      <c r="AF157" s="369"/>
      <c r="AG157" s="369"/>
      <c r="AH157" s="369"/>
      <c r="AI157" s="369"/>
      <c r="AJ157" s="369"/>
      <c r="AK157" s="369"/>
      <c r="AL157" s="369"/>
      <c r="AM157" s="369"/>
      <c r="AN157" s="369"/>
      <c r="AO157" s="369"/>
    </row>
    <row r="158" ht="13.5" customHeight="1">
      <c r="A158" s="458"/>
      <c r="B158" s="461" t="str">
        <f>Premium!I22</f>
        <v>Supply and installation of Open unit - Inner 1mm with BWP ply frame and Smooth finish laminate</v>
      </c>
      <c r="C158" s="458">
        <v>3.0</v>
      </c>
      <c r="D158" s="458">
        <v>6.0</v>
      </c>
      <c r="E158" s="469">
        <f t="shared" si="53"/>
        <v>18</v>
      </c>
      <c r="F158" s="470" t="s">
        <v>683</v>
      </c>
      <c r="G158" s="458">
        <v>900.0</v>
      </c>
      <c r="H158" s="458">
        <v>1800.0</v>
      </c>
      <c r="I158" s="471" t="s">
        <v>684</v>
      </c>
      <c r="J158" s="472">
        <f>Premium!O22</f>
        <v>2143.75</v>
      </c>
      <c r="K158" s="466">
        <v>1.0</v>
      </c>
      <c r="L158" s="467">
        <f t="shared" si="54"/>
        <v>38587.5</v>
      </c>
      <c r="M158" s="452"/>
      <c r="N158" s="368"/>
      <c r="O158" s="368"/>
      <c r="P158" s="368"/>
      <c r="Q158" s="369"/>
      <c r="R158" s="369"/>
      <c r="S158" s="452"/>
      <c r="T158" s="452"/>
      <c r="U158" s="452"/>
      <c r="V158" s="369"/>
      <c r="W158" s="369"/>
      <c r="X158" s="369"/>
      <c r="Y158" s="369"/>
      <c r="Z158" s="369"/>
      <c r="AA158" s="369"/>
      <c r="AB158" s="369"/>
      <c r="AC158" s="369"/>
      <c r="AD158" s="369"/>
      <c r="AE158" s="369"/>
      <c r="AF158" s="369"/>
      <c r="AG158" s="369"/>
      <c r="AH158" s="369"/>
      <c r="AI158" s="369"/>
      <c r="AJ158" s="369"/>
      <c r="AK158" s="369"/>
      <c r="AL158" s="369"/>
      <c r="AM158" s="369"/>
      <c r="AN158" s="369"/>
      <c r="AO158" s="369"/>
    </row>
    <row r="159" ht="13.5" customHeight="1">
      <c r="A159" s="458"/>
      <c r="B159" s="461" t="str">
        <f>Premium!I24</f>
        <v>Supply and installation of Ledge with 25mm Ledge BWP and Smooth Finish Laminate</v>
      </c>
      <c r="C159" s="458">
        <v>45.0</v>
      </c>
      <c r="D159" s="458">
        <v>1.0</v>
      </c>
      <c r="E159" s="469">
        <f t="shared" si="53"/>
        <v>45</v>
      </c>
      <c r="F159" s="470" t="s">
        <v>683</v>
      </c>
      <c r="G159" s="458">
        <v>13500.0</v>
      </c>
      <c r="H159" s="458">
        <v>300.0</v>
      </c>
      <c r="I159" s="471" t="s">
        <v>684</v>
      </c>
      <c r="J159" s="472">
        <f>Premium!O24</f>
        <v>1093.75</v>
      </c>
      <c r="K159" s="466">
        <v>1.0</v>
      </c>
      <c r="L159" s="467">
        <f t="shared" si="54"/>
        <v>49218.75</v>
      </c>
      <c r="M159" s="452"/>
      <c r="N159" s="368"/>
      <c r="O159" s="368"/>
      <c r="P159" s="368"/>
      <c r="Q159" s="369"/>
      <c r="R159" s="369"/>
      <c r="S159" s="452"/>
      <c r="T159" s="452"/>
      <c r="U159" s="452"/>
      <c r="V159" s="369"/>
      <c r="W159" s="369"/>
      <c r="X159" s="369"/>
      <c r="Y159" s="369"/>
      <c r="Z159" s="369"/>
      <c r="AA159" s="369"/>
      <c r="AB159" s="369"/>
      <c r="AC159" s="369"/>
      <c r="AD159" s="369"/>
      <c r="AE159" s="369"/>
      <c r="AF159" s="369"/>
      <c r="AG159" s="369"/>
      <c r="AH159" s="369"/>
      <c r="AI159" s="369"/>
      <c r="AJ159" s="369"/>
      <c r="AK159" s="369"/>
      <c r="AL159" s="369"/>
      <c r="AM159" s="369"/>
      <c r="AN159" s="369"/>
      <c r="AO159" s="369"/>
    </row>
    <row r="160" ht="13.5" customHeight="1">
      <c r="A160" s="454"/>
      <c r="B160" s="455" t="s">
        <v>932</v>
      </c>
      <c r="C160" s="454"/>
      <c r="D160" s="454"/>
      <c r="E160" s="454"/>
      <c r="F160" s="454"/>
      <c r="G160" s="454"/>
      <c r="H160" s="454"/>
      <c r="I160" s="454"/>
      <c r="J160" s="454"/>
      <c r="K160" s="454"/>
      <c r="L160" s="454"/>
      <c r="M160" s="452"/>
      <c r="N160" s="368"/>
      <c r="O160" s="368"/>
      <c r="P160" s="368"/>
      <c r="Q160" s="369"/>
      <c r="R160" s="369"/>
      <c r="S160" s="452"/>
      <c r="T160" s="452"/>
      <c r="U160" s="452"/>
      <c r="V160" s="369"/>
      <c r="W160" s="369"/>
      <c r="X160" s="369"/>
      <c r="Y160" s="369"/>
      <c r="Z160" s="369"/>
      <c r="AA160" s="369"/>
      <c r="AB160" s="369"/>
      <c r="AC160" s="369"/>
      <c r="AD160" s="369"/>
      <c r="AE160" s="369"/>
      <c r="AF160" s="369"/>
      <c r="AG160" s="369"/>
      <c r="AH160" s="369"/>
      <c r="AI160" s="369"/>
      <c r="AJ160" s="369"/>
      <c r="AK160" s="369"/>
      <c r="AL160" s="369"/>
      <c r="AM160" s="369"/>
      <c r="AN160" s="369"/>
      <c r="AO160" s="369"/>
    </row>
    <row r="161" ht="13.5" customHeight="1">
      <c r="A161" s="458"/>
      <c r="B161" s="473" t="s">
        <v>933</v>
      </c>
      <c r="C161" s="460"/>
      <c r="D161" s="460"/>
      <c r="E161" s="460"/>
      <c r="F161" s="460"/>
      <c r="G161" s="460"/>
      <c r="H161" s="460"/>
      <c r="I161" s="460"/>
      <c r="J161" s="460"/>
      <c r="K161" s="460"/>
      <c r="L161" s="460"/>
      <c r="M161" s="452"/>
      <c r="N161" s="368"/>
      <c r="O161" s="368"/>
      <c r="P161" s="368"/>
      <c r="Q161" s="369"/>
      <c r="R161" s="369"/>
      <c r="S161" s="452"/>
      <c r="T161" s="452"/>
      <c r="U161" s="452"/>
      <c r="V161" s="369"/>
      <c r="W161" s="369"/>
      <c r="X161" s="369"/>
      <c r="Y161" s="369"/>
      <c r="Z161" s="369"/>
      <c r="AA161" s="369"/>
      <c r="AB161" s="369"/>
      <c r="AC161" s="369"/>
      <c r="AD161" s="369"/>
      <c r="AE161" s="369"/>
      <c r="AF161" s="369"/>
      <c r="AG161" s="369"/>
      <c r="AH161" s="369"/>
      <c r="AI161" s="369"/>
      <c r="AJ161" s="369"/>
      <c r="AK161" s="369"/>
      <c r="AL161" s="369"/>
      <c r="AM161" s="369"/>
      <c r="AN161" s="369"/>
      <c r="AO161" s="369"/>
    </row>
    <row r="162" ht="13.5" customHeight="1">
      <c r="A162" s="458"/>
      <c r="B162" s="461" t="str">
        <f>Premium!I37</f>
        <v>Supply and installation of Base storage unit  with BWP Carcass, HDHMR Boilo Shutter, Glossy finish laminate and soft close hinges  </v>
      </c>
      <c r="C162" s="458">
        <v>10.0</v>
      </c>
      <c r="D162" s="458">
        <v>2.0</v>
      </c>
      <c r="E162" s="469">
        <f>C162*D162</f>
        <v>20</v>
      </c>
      <c r="F162" s="470" t="s">
        <v>683</v>
      </c>
      <c r="G162" s="458">
        <v>3000.0</v>
      </c>
      <c r="H162" s="458">
        <v>600.0</v>
      </c>
      <c r="I162" s="471" t="s">
        <v>684</v>
      </c>
      <c r="J162" s="472">
        <f>Premium!O37</f>
        <v>2206.25</v>
      </c>
      <c r="K162" s="466">
        <v>1.0</v>
      </c>
      <c r="L162" s="467">
        <f>K162*J162*E162</f>
        <v>44125</v>
      </c>
      <c r="M162" s="452"/>
      <c r="N162" s="368"/>
      <c r="O162" s="368"/>
      <c r="P162" s="368"/>
      <c r="Q162" s="369"/>
      <c r="R162" s="369"/>
      <c r="S162" s="452"/>
      <c r="T162" s="452"/>
      <c r="U162" s="452"/>
      <c r="V162" s="369"/>
      <c r="W162" s="369"/>
      <c r="X162" s="369"/>
      <c r="Y162" s="369"/>
      <c r="Z162" s="369"/>
      <c r="AA162" s="369"/>
      <c r="AB162" s="369"/>
      <c r="AC162" s="369"/>
      <c r="AD162" s="369"/>
      <c r="AE162" s="369"/>
      <c r="AF162" s="369"/>
      <c r="AG162" s="369"/>
      <c r="AH162" s="369"/>
      <c r="AI162" s="369"/>
      <c r="AJ162" s="369"/>
      <c r="AK162" s="369"/>
      <c r="AL162" s="369"/>
      <c r="AM162" s="369"/>
      <c r="AN162" s="369"/>
      <c r="AO162" s="369"/>
    </row>
    <row r="163" ht="13.5" customHeight="1">
      <c r="A163" s="458"/>
      <c r="B163" s="473" t="s">
        <v>917</v>
      </c>
      <c r="C163" s="460"/>
      <c r="D163" s="460"/>
      <c r="E163" s="460"/>
      <c r="F163" s="460"/>
      <c r="G163" s="460"/>
      <c r="H163" s="460"/>
      <c r="I163" s="460"/>
      <c r="J163" s="460"/>
      <c r="K163" s="460"/>
      <c r="L163" s="460"/>
      <c r="M163" s="452"/>
      <c r="N163" s="368"/>
      <c r="O163" s="368"/>
      <c r="P163" s="368"/>
      <c r="Q163" s="369"/>
      <c r="R163" s="369"/>
      <c r="S163" s="452"/>
      <c r="T163" s="452"/>
      <c r="U163" s="452"/>
      <c r="V163" s="369"/>
      <c r="W163" s="369"/>
      <c r="X163" s="369"/>
      <c r="Y163" s="369"/>
      <c r="Z163" s="369"/>
      <c r="AA163" s="369"/>
      <c r="AB163" s="369"/>
      <c r="AC163" s="369"/>
      <c r="AD163" s="369"/>
      <c r="AE163" s="369"/>
      <c r="AF163" s="369"/>
      <c r="AG163" s="369"/>
      <c r="AH163" s="369"/>
      <c r="AI163" s="369"/>
      <c r="AJ163" s="369"/>
      <c r="AK163" s="369"/>
      <c r="AL163" s="369"/>
      <c r="AM163" s="369"/>
      <c r="AN163" s="369"/>
      <c r="AO163" s="369"/>
    </row>
    <row r="164" ht="13.5" customHeight="1">
      <c r="A164" s="458"/>
      <c r="B164" s="461" t="str">
        <f>Premium!I37</f>
        <v>Supply and installation of Base storage unit  with BWP Carcass, HDHMR Boilo Shutter, Glossy finish laminate and soft close hinges  </v>
      </c>
      <c r="C164" s="458">
        <v>15.0</v>
      </c>
      <c r="D164" s="458">
        <v>2.75</v>
      </c>
      <c r="E164" s="469">
        <f t="shared" ref="E164:E165" si="55">C164*D164</f>
        <v>41.25</v>
      </c>
      <c r="F164" s="470" t="s">
        <v>683</v>
      </c>
      <c r="G164" s="458">
        <v>4500.0</v>
      </c>
      <c r="H164" s="458">
        <v>825.0</v>
      </c>
      <c r="I164" s="471" t="s">
        <v>684</v>
      </c>
      <c r="J164" s="472">
        <f>Premium!O37</f>
        <v>2206.25</v>
      </c>
      <c r="K164" s="466">
        <v>1.0</v>
      </c>
      <c r="L164" s="467">
        <f t="shared" ref="L164:L165" si="56">K164*J164*E164</f>
        <v>91007.8125</v>
      </c>
      <c r="M164" s="452"/>
      <c r="N164" s="368"/>
      <c r="O164" s="368"/>
      <c r="P164" s="368"/>
      <c r="Q164" s="369"/>
      <c r="R164" s="369"/>
      <c r="S164" s="452"/>
      <c r="T164" s="452"/>
      <c r="U164" s="452"/>
      <c r="V164" s="369"/>
      <c r="W164" s="369"/>
      <c r="X164" s="369"/>
      <c r="Y164" s="369"/>
      <c r="Z164" s="369"/>
      <c r="AA164" s="369"/>
      <c r="AB164" s="369"/>
      <c r="AC164" s="369"/>
      <c r="AD164" s="369"/>
      <c r="AE164" s="369"/>
      <c r="AF164" s="369"/>
      <c r="AG164" s="369"/>
      <c r="AH164" s="369"/>
      <c r="AI164" s="369"/>
      <c r="AJ164" s="369"/>
      <c r="AK164" s="369"/>
      <c r="AL164" s="369"/>
      <c r="AM164" s="369"/>
      <c r="AN164" s="369"/>
      <c r="AO164" s="369"/>
    </row>
    <row r="165" ht="13.5" customHeight="1">
      <c r="A165" s="458"/>
      <c r="B165" s="461" t="str">
        <f>Premium!I38</f>
        <v>Supply and installation of Wall storage unit  with BWP Carcass, HDHMR Boilo Shutter, Glossy finish laminate and soft close hinges  </v>
      </c>
      <c r="C165" s="458">
        <v>5.0</v>
      </c>
      <c r="D165" s="458">
        <v>2.0</v>
      </c>
      <c r="E165" s="469">
        <f t="shared" si="55"/>
        <v>10</v>
      </c>
      <c r="F165" s="470" t="s">
        <v>683</v>
      </c>
      <c r="G165" s="458">
        <v>1500.0</v>
      </c>
      <c r="H165" s="458">
        <v>600.0</v>
      </c>
      <c r="I165" s="471" t="s">
        <v>684</v>
      </c>
      <c r="J165" s="472">
        <f>Premium!O37</f>
        <v>2206.25</v>
      </c>
      <c r="K165" s="466">
        <v>1.0</v>
      </c>
      <c r="L165" s="467">
        <f t="shared" si="56"/>
        <v>22062.5</v>
      </c>
      <c r="M165" s="452"/>
      <c r="N165" s="368"/>
      <c r="O165" s="368"/>
      <c r="P165" s="368"/>
      <c r="Q165" s="369"/>
      <c r="R165" s="369"/>
      <c r="S165" s="452"/>
      <c r="T165" s="452"/>
      <c r="U165" s="452"/>
      <c r="V165" s="369"/>
      <c r="W165" s="369"/>
      <c r="X165" s="369"/>
      <c r="Y165" s="369"/>
      <c r="Z165" s="369"/>
      <c r="AA165" s="369"/>
      <c r="AB165" s="369"/>
      <c r="AC165" s="369"/>
      <c r="AD165" s="369"/>
      <c r="AE165" s="369"/>
      <c r="AF165" s="369"/>
      <c r="AG165" s="369"/>
      <c r="AH165" s="369"/>
      <c r="AI165" s="369"/>
      <c r="AJ165" s="369"/>
      <c r="AK165" s="369"/>
      <c r="AL165" s="369"/>
      <c r="AM165" s="369"/>
      <c r="AN165" s="369"/>
      <c r="AO165" s="369"/>
    </row>
    <row r="166" ht="13.5" customHeight="1">
      <c r="A166" s="458"/>
      <c r="B166" s="481" t="s">
        <v>934</v>
      </c>
      <c r="C166" s="460"/>
      <c r="D166" s="460"/>
      <c r="E166" s="460"/>
      <c r="F166" s="460"/>
      <c r="G166" s="460"/>
      <c r="H166" s="460"/>
      <c r="I166" s="460"/>
      <c r="J166" s="460"/>
      <c r="K166" s="460"/>
      <c r="L166" s="460"/>
      <c r="M166" s="452"/>
      <c r="N166" s="368"/>
      <c r="O166" s="368"/>
      <c r="P166" s="368"/>
      <c r="Q166" s="369"/>
      <c r="R166" s="369"/>
      <c r="S166" s="452"/>
      <c r="T166" s="452"/>
      <c r="U166" s="452"/>
      <c r="V166" s="369"/>
      <c r="W166" s="369"/>
      <c r="X166" s="369"/>
      <c r="Y166" s="369"/>
      <c r="Z166" s="369"/>
      <c r="AA166" s="369"/>
      <c r="AB166" s="369"/>
      <c r="AC166" s="369"/>
      <c r="AD166" s="369"/>
      <c r="AE166" s="369"/>
      <c r="AF166" s="369"/>
      <c r="AG166" s="369"/>
      <c r="AH166" s="369"/>
      <c r="AI166" s="369"/>
      <c r="AJ166" s="369"/>
      <c r="AK166" s="369"/>
      <c r="AL166" s="369"/>
      <c r="AM166" s="369"/>
      <c r="AN166" s="369"/>
      <c r="AO166" s="369"/>
    </row>
    <row r="167" ht="13.5" customHeight="1">
      <c r="A167" s="458"/>
      <c r="B167" s="461" t="str">
        <f>Premium!I37</f>
        <v>Supply and installation of Base storage unit  with BWP Carcass, HDHMR Boilo Shutter, Glossy finish laminate and soft close hinges  </v>
      </c>
      <c r="C167" s="458">
        <v>8.0</v>
      </c>
      <c r="D167" s="458">
        <v>2.0</v>
      </c>
      <c r="E167" s="469">
        <f>C167*D167</f>
        <v>16</v>
      </c>
      <c r="F167" s="470" t="s">
        <v>683</v>
      </c>
      <c r="G167" s="458">
        <v>2400.0</v>
      </c>
      <c r="H167" s="458">
        <v>600.0</v>
      </c>
      <c r="I167" s="471" t="s">
        <v>684</v>
      </c>
      <c r="J167" s="472">
        <f>Premium!O37</f>
        <v>2206.25</v>
      </c>
      <c r="K167" s="466">
        <v>1.0</v>
      </c>
      <c r="L167" s="467">
        <f>K167*J167*E167</f>
        <v>35300</v>
      </c>
      <c r="M167" s="452"/>
      <c r="N167" s="368"/>
      <c r="O167" s="368"/>
      <c r="P167" s="368"/>
      <c r="Q167" s="369"/>
      <c r="R167" s="369"/>
      <c r="S167" s="452"/>
      <c r="T167" s="452"/>
      <c r="U167" s="452"/>
      <c r="V167" s="369"/>
      <c r="W167" s="369"/>
      <c r="X167" s="369"/>
      <c r="Y167" s="369"/>
      <c r="Z167" s="369"/>
      <c r="AA167" s="369"/>
      <c r="AB167" s="369"/>
      <c r="AC167" s="369"/>
      <c r="AD167" s="369"/>
      <c r="AE167" s="369"/>
      <c r="AF167" s="369"/>
      <c r="AG167" s="369"/>
      <c r="AH167" s="369"/>
      <c r="AI167" s="369"/>
      <c r="AJ167" s="369"/>
      <c r="AK167" s="369"/>
      <c r="AL167" s="369"/>
      <c r="AM167" s="369"/>
      <c r="AN167" s="369"/>
      <c r="AO167" s="369"/>
    </row>
    <row r="168" ht="13.5" customHeight="1">
      <c r="A168" s="482"/>
      <c r="B168" s="483" t="s">
        <v>701</v>
      </c>
      <c r="C168" s="484"/>
      <c r="D168" s="484"/>
      <c r="E168" s="485"/>
      <c r="F168" s="486"/>
      <c r="G168" s="484"/>
      <c r="H168" s="484"/>
      <c r="I168" s="484"/>
      <c r="J168" s="487"/>
      <c r="K168" s="487"/>
      <c r="L168" s="488">
        <v>10000.0</v>
      </c>
      <c r="M168" s="368"/>
      <c r="N168" s="368"/>
      <c r="O168" s="368"/>
      <c r="P168" s="368"/>
      <c r="Q168" s="369"/>
      <c r="R168" s="369"/>
      <c r="S168" s="368" t="s">
        <v>680</v>
      </c>
      <c r="T168" s="368"/>
      <c r="U168" s="368"/>
      <c r="V168" s="369"/>
      <c r="W168" s="369"/>
      <c r="X168" s="369"/>
      <c r="Y168" s="369"/>
      <c r="Z168" s="369"/>
      <c r="AA168" s="369"/>
      <c r="AB168" s="369"/>
      <c r="AC168" s="369"/>
      <c r="AD168" s="369"/>
      <c r="AE168" s="369"/>
      <c r="AF168" s="369"/>
      <c r="AG168" s="369"/>
      <c r="AH168" s="369"/>
      <c r="AI168" s="369"/>
      <c r="AJ168" s="369"/>
      <c r="AK168" s="369"/>
      <c r="AL168" s="369"/>
      <c r="AM168" s="369"/>
      <c r="AN168" s="369"/>
      <c r="AO168" s="369"/>
    </row>
    <row r="169" ht="13.5" customHeight="1">
      <c r="A169" s="489"/>
      <c r="B169" s="490" t="s">
        <v>702</v>
      </c>
      <c r="C169" s="94"/>
      <c r="D169" s="94"/>
      <c r="E169" s="94"/>
      <c r="F169" s="94"/>
      <c r="G169" s="94"/>
      <c r="H169" s="94"/>
      <c r="I169" s="94"/>
      <c r="J169" s="94"/>
      <c r="K169" s="95"/>
      <c r="L169" s="491">
        <f>SUM(L4:L167)</f>
        <v>4640386.719</v>
      </c>
      <c r="M169" s="368"/>
      <c r="N169" s="368"/>
      <c r="O169" s="368"/>
      <c r="P169" s="368"/>
      <c r="Q169" s="369"/>
      <c r="R169" s="369"/>
      <c r="S169" s="368"/>
      <c r="T169" s="368"/>
      <c r="U169" s="368"/>
      <c r="V169" s="369"/>
      <c r="W169" s="369"/>
      <c r="X169" s="369"/>
      <c r="Y169" s="369"/>
      <c r="Z169" s="369"/>
      <c r="AA169" s="369"/>
      <c r="AB169" s="369"/>
      <c r="AC169" s="369"/>
      <c r="AD169" s="369"/>
      <c r="AE169" s="369"/>
      <c r="AF169" s="369"/>
      <c r="AG169" s="369"/>
      <c r="AH169" s="369"/>
      <c r="AI169" s="369"/>
      <c r="AJ169" s="369"/>
      <c r="AK169" s="369"/>
      <c r="AL169" s="369"/>
      <c r="AM169" s="369"/>
      <c r="AN169" s="369"/>
      <c r="AO169" s="369"/>
    </row>
    <row r="170" ht="13.5" customHeight="1">
      <c r="A170" s="489"/>
      <c r="B170" s="489" t="s">
        <v>705</v>
      </c>
      <c r="C170" s="489"/>
      <c r="D170" s="489"/>
      <c r="E170" s="489"/>
      <c r="F170" s="489"/>
      <c r="G170" s="489"/>
      <c r="H170" s="489"/>
      <c r="I170" s="489"/>
      <c r="J170" s="489"/>
      <c r="K170" s="489"/>
      <c r="L170" s="491">
        <f>L169*18%</f>
        <v>835269.6094</v>
      </c>
      <c r="M170" s="368"/>
      <c r="N170" s="368"/>
      <c r="O170" s="368"/>
      <c r="P170" s="368"/>
      <c r="Q170" s="369"/>
      <c r="R170" s="369"/>
      <c r="S170" s="368"/>
      <c r="T170" s="492"/>
      <c r="U170" s="368"/>
      <c r="V170" s="369"/>
      <c r="W170" s="369"/>
      <c r="X170" s="369"/>
      <c r="Y170" s="369"/>
      <c r="Z170" s="369"/>
      <c r="AA170" s="369"/>
      <c r="AB170" s="369"/>
      <c r="AC170" s="369"/>
      <c r="AD170" s="369"/>
      <c r="AE170" s="369"/>
      <c r="AF170" s="369"/>
      <c r="AG170" s="369"/>
      <c r="AH170" s="369"/>
      <c r="AI170" s="369"/>
      <c r="AJ170" s="369"/>
      <c r="AK170" s="369"/>
      <c r="AL170" s="369"/>
      <c r="AM170" s="369"/>
      <c r="AN170" s="369"/>
      <c r="AO170" s="369"/>
    </row>
    <row r="171" ht="13.5" customHeight="1">
      <c r="A171" s="489"/>
      <c r="B171" s="489" t="s">
        <v>706</v>
      </c>
      <c r="C171" s="489"/>
      <c r="D171" s="489"/>
      <c r="E171" s="489"/>
      <c r="F171" s="489"/>
      <c r="G171" s="489"/>
      <c r="H171" s="489"/>
      <c r="I171" s="489"/>
      <c r="J171" s="489"/>
      <c r="K171" s="489"/>
      <c r="L171" s="491">
        <f>L169+L170</f>
        <v>5475656.328</v>
      </c>
      <c r="M171" s="492"/>
      <c r="N171" s="368"/>
      <c r="O171" s="368"/>
      <c r="P171" s="368"/>
      <c r="Q171" s="369"/>
      <c r="R171" s="369"/>
      <c r="S171" s="492"/>
      <c r="T171" s="368"/>
      <c r="U171" s="492"/>
      <c r="V171" s="369"/>
      <c r="W171" s="369"/>
      <c r="X171" s="369"/>
      <c r="Y171" s="369"/>
      <c r="Z171" s="369"/>
      <c r="AA171" s="369"/>
      <c r="AB171" s="369"/>
      <c r="AC171" s="369"/>
      <c r="AD171" s="369"/>
      <c r="AE171" s="369"/>
      <c r="AF171" s="369"/>
      <c r="AG171" s="369"/>
      <c r="AH171" s="369"/>
      <c r="AI171" s="369"/>
      <c r="AJ171" s="369"/>
      <c r="AK171" s="369"/>
      <c r="AL171" s="369"/>
      <c r="AM171" s="369"/>
      <c r="AN171" s="369"/>
      <c r="AO171" s="369"/>
    </row>
  </sheetData>
  <mergeCells count="4">
    <mergeCell ref="M18:M26"/>
    <mergeCell ref="M37:M42"/>
    <mergeCell ref="M44:M48"/>
    <mergeCell ref="B169:K169"/>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5"/>
    <col customWidth="1" min="2" max="2" width="41.75"/>
    <col customWidth="1" min="3" max="6" width="5.88"/>
    <col customWidth="1" min="7" max="7" width="8.0"/>
    <col customWidth="1" min="8" max="8" width="7.25"/>
    <col customWidth="1" min="9" max="9" width="7.38"/>
    <col customWidth="1" min="10" max="10" width="5.0"/>
    <col customWidth="1" min="11" max="11" width="7.25"/>
    <col customWidth="1" min="12" max="12" width="11.5"/>
    <col customWidth="1" min="13" max="13" width="9.0"/>
    <col customWidth="1" min="14" max="16" width="7.63"/>
    <col customWidth="1" min="17" max="18" width="12.63"/>
    <col customWidth="1" min="19" max="19" width="7.63"/>
    <col customWidth="1" min="20" max="20" width="9.13"/>
    <col customWidth="1" min="21" max="21" width="7.63"/>
    <col customWidth="1" min="22" max="41" width="12.63"/>
  </cols>
  <sheetData>
    <row r="1" ht="13.5" customHeight="1">
      <c r="A1" s="493" t="s">
        <v>28</v>
      </c>
      <c r="B1" s="493" t="s">
        <v>222</v>
      </c>
      <c r="C1" s="450" t="s">
        <v>737</v>
      </c>
      <c r="D1" s="450" t="s">
        <v>674</v>
      </c>
      <c r="E1" s="450" t="s">
        <v>675</v>
      </c>
      <c r="F1" s="450" t="s">
        <v>676</v>
      </c>
      <c r="G1" s="450" t="s">
        <v>737</v>
      </c>
      <c r="H1" s="450" t="s">
        <v>674</v>
      </c>
      <c r="I1" s="450" t="s">
        <v>676</v>
      </c>
      <c r="J1" s="451"/>
      <c r="K1" s="451"/>
      <c r="L1" s="493" t="s">
        <v>679</v>
      </c>
      <c r="M1" s="452"/>
      <c r="N1" s="368"/>
      <c r="O1" s="368"/>
      <c r="P1" s="368"/>
      <c r="Q1" s="453"/>
      <c r="R1" s="453"/>
      <c r="S1" s="452"/>
      <c r="T1" s="452" t="s">
        <v>680</v>
      </c>
      <c r="U1" s="452"/>
      <c r="V1" s="453"/>
      <c r="W1" s="453"/>
      <c r="X1" s="453"/>
      <c r="Y1" s="453"/>
      <c r="Z1" s="453"/>
      <c r="AA1" s="453"/>
      <c r="AB1" s="453"/>
      <c r="AC1" s="453"/>
      <c r="AD1" s="453"/>
      <c r="AE1" s="453"/>
      <c r="AF1" s="453"/>
      <c r="AG1" s="453"/>
      <c r="AH1" s="453"/>
      <c r="AI1" s="453"/>
      <c r="AJ1" s="453"/>
      <c r="AK1" s="453"/>
      <c r="AL1" s="453"/>
      <c r="AM1" s="453"/>
      <c r="AN1" s="453"/>
      <c r="AO1" s="453"/>
    </row>
    <row r="2" ht="13.5" customHeight="1">
      <c r="A2" s="454"/>
      <c r="B2" s="494" t="s">
        <v>935</v>
      </c>
      <c r="C2" s="454"/>
      <c r="D2" s="454"/>
      <c r="E2" s="454"/>
      <c r="F2" s="454"/>
      <c r="G2" s="454"/>
      <c r="H2" s="454"/>
      <c r="I2" s="454"/>
      <c r="J2" s="456" t="s">
        <v>34</v>
      </c>
      <c r="K2" s="456" t="s">
        <v>678</v>
      </c>
      <c r="L2" s="454"/>
      <c r="M2" s="452"/>
      <c r="N2" s="368"/>
      <c r="O2" s="368"/>
      <c r="P2" s="368"/>
      <c r="Q2" s="453"/>
      <c r="R2" s="453"/>
      <c r="S2" s="452"/>
      <c r="T2" s="452"/>
      <c r="U2" s="293"/>
      <c r="V2" s="453"/>
      <c r="W2" s="453"/>
      <c r="X2" s="453"/>
      <c r="Y2" s="453"/>
      <c r="Z2" s="453"/>
      <c r="AA2" s="453"/>
      <c r="AB2" s="453"/>
      <c r="AC2" s="453"/>
      <c r="AD2" s="453"/>
      <c r="AE2" s="453"/>
      <c r="AF2" s="453"/>
      <c r="AG2" s="453"/>
      <c r="AH2" s="453"/>
      <c r="AI2" s="453"/>
      <c r="AJ2" s="453"/>
      <c r="AK2" s="453"/>
      <c r="AL2" s="453"/>
      <c r="AM2" s="453"/>
      <c r="AN2" s="453"/>
      <c r="AO2" s="453"/>
    </row>
    <row r="3" ht="13.5" customHeight="1">
      <c r="A3" s="454"/>
      <c r="B3" s="494" t="s">
        <v>905</v>
      </c>
      <c r="C3" s="457"/>
      <c r="D3" s="457"/>
      <c r="E3" s="457"/>
      <c r="F3" s="457"/>
      <c r="G3" s="457"/>
      <c r="H3" s="457"/>
      <c r="I3" s="457"/>
      <c r="J3" s="457"/>
      <c r="K3" s="457"/>
      <c r="L3" s="457"/>
      <c r="M3" s="452"/>
      <c r="N3" s="368"/>
      <c r="O3" s="368"/>
      <c r="P3" s="368"/>
      <c r="Q3" s="453"/>
      <c r="R3" s="453"/>
      <c r="S3" s="452"/>
      <c r="T3" s="452"/>
      <c r="U3" s="293"/>
      <c r="V3" s="453"/>
      <c r="W3" s="453"/>
      <c r="X3" s="453"/>
      <c r="Y3" s="453"/>
      <c r="Z3" s="453"/>
      <c r="AA3" s="453"/>
      <c r="AB3" s="453"/>
      <c r="AC3" s="453"/>
      <c r="AD3" s="453"/>
      <c r="AE3" s="453"/>
      <c r="AF3" s="453"/>
      <c r="AG3" s="453"/>
      <c r="AH3" s="453"/>
      <c r="AI3" s="453"/>
      <c r="AJ3" s="453"/>
      <c r="AK3" s="453"/>
      <c r="AL3" s="453"/>
      <c r="AM3" s="453"/>
      <c r="AN3" s="453"/>
      <c r="AO3" s="453"/>
    </row>
    <row r="4" ht="13.5" customHeight="1">
      <c r="A4" s="458"/>
      <c r="B4" s="459" t="s">
        <v>906</v>
      </c>
      <c r="C4" s="460"/>
      <c r="D4" s="460"/>
      <c r="E4" s="460"/>
      <c r="F4" s="460"/>
      <c r="G4" s="460"/>
      <c r="H4" s="460"/>
      <c r="I4" s="460"/>
      <c r="J4" s="460"/>
      <c r="K4" s="460"/>
      <c r="L4" s="460"/>
      <c r="M4" s="452"/>
      <c r="N4" s="368"/>
      <c r="O4" s="368"/>
      <c r="P4" s="368"/>
      <c r="Q4" s="453"/>
      <c r="R4" s="453"/>
      <c r="S4" s="452"/>
      <c r="T4" s="452"/>
      <c r="U4" s="293"/>
      <c r="V4" s="453"/>
      <c r="W4" s="453"/>
      <c r="X4" s="453"/>
      <c r="Y4" s="453"/>
      <c r="Z4" s="453"/>
      <c r="AA4" s="453"/>
      <c r="AB4" s="453"/>
      <c r="AC4" s="453"/>
      <c r="AD4" s="453"/>
      <c r="AE4" s="453"/>
      <c r="AF4" s="453"/>
      <c r="AG4" s="453"/>
      <c r="AH4" s="453"/>
      <c r="AI4" s="453"/>
      <c r="AJ4" s="453"/>
      <c r="AK4" s="453"/>
      <c r="AL4" s="453"/>
      <c r="AM4" s="453"/>
      <c r="AN4" s="453"/>
      <c r="AO4" s="453"/>
    </row>
    <row r="5" ht="13.5" customHeight="1">
      <c r="A5" s="458"/>
      <c r="B5" s="461" t="str">
        <f>Premium!I24</f>
        <v>Supply and installation of Ledge with 25mm Ledge BWP and Smooth Finish Laminate</v>
      </c>
      <c r="C5" s="462">
        <v>6.0</v>
      </c>
      <c r="D5" s="462">
        <v>1.0</v>
      </c>
      <c r="E5" s="463">
        <f t="shared" ref="E5:E6" si="1">C5*D5</f>
        <v>6</v>
      </c>
      <c r="F5" s="464" t="s">
        <v>683</v>
      </c>
      <c r="G5" s="462">
        <v>1800.0</v>
      </c>
      <c r="H5" s="462">
        <v>300.0</v>
      </c>
      <c r="I5" s="465" t="s">
        <v>684</v>
      </c>
      <c r="J5" s="466">
        <f>Premium!L24</f>
        <v>875</v>
      </c>
      <c r="K5" s="466">
        <v>1.0</v>
      </c>
      <c r="L5" s="467">
        <f t="shared" ref="L5:L6" si="2">K5*J5*E5</f>
        <v>5250</v>
      </c>
      <c r="M5" s="452"/>
      <c r="N5" s="437"/>
      <c r="O5" s="437"/>
      <c r="P5" s="437"/>
      <c r="Q5" s="468"/>
      <c r="R5" s="468"/>
      <c r="S5" s="452"/>
      <c r="T5" s="452"/>
      <c r="U5" s="452"/>
      <c r="V5" s="468"/>
      <c r="W5" s="468"/>
      <c r="X5" s="468"/>
      <c r="Y5" s="468"/>
      <c r="Z5" s="468"/>
      <c r="AA5" s="468"/>
      <c r="AB5" s="468"/>
      <c r="AC5" s="468"/>
      <c r="AD5" s="468"/>
      <c r="AE5" s="468"/>
      <c r="AF5" s="468"/>
      <c r="AG5" s="468"/>
      <c r="AH5" s="468"/>
      <c r="AI5" s="468"/>
      <c r="AJ5" s="468"/>
      <c r="AK5" s="468"/>
      <c r="AL5" s="468"/>
      <c r="AM5" s="468"/>
      <c r="AN5" s="468"/>
      <c r="AO5" s="468"/>
    </row>
    <row r="6" ht="13.5" customHeight="1">
      <c r="A6" s="458"/>
      <c r="B6" s="461" t="str">
        <f>Premium!I3</f>
        <v>Supply and installation of Base storage unit  with BWP Carcass, HDHMR Boilo Shutter, Smooth finish laminate and soft close hinges  </v>
      </c>
      <c r="C6" s="458">
        <v>3.7</v>
      </c>
      <c r="D6" s="458">
        <v>2.0</v>
      </c>
      <c r="E6" s="469">
        <f t="shared" si="1"/>
        <v>7.4</v>
      </c>
      <c r="F6" s="470" t="s">
        <v>683</v>
      </c>
      <c r="G6" s="458">
        <v>1110.0</v>
      </c>
      <c r="H6" s="458">
        <v>825.0</v>
      </c>
      <c r="I6" s="471" t="s">
        <v>684</v>
      </c>
      <c r="J6" s="472">
        <f>Premium!L3</f>
        <v>1715</v>
      </c>
      <c r="K6" s="466">
        <v>1.0</v>
      </c>
      <c r="L6" s="467">
        <f t="shared" si="2"/>
        <v>12691</v>
      </c>
      <c r="M6" s="452"/>
      <c r="N6" s="368"/>
      <c r="O6" s="368"/>
      <c r="P6" s="368"/>
      <c r="Q6" s="369"/>
      <c r="R6" s="369"/>
      <c r="S6" s="452"/>
      <c r="T6" s="452"/>
      <c r="U6" s="452"/>
      <c r="V6" s="369"/>
      <c r="W6" s="369"/>
      <c r="X6" s="369"/>
      <c r="Y6" s="369"/>
      <c r="Z6" s="369"/>
      <c r="AA6" s="369"/>
      <c r="AB6" s="369"/>
      <c r="AC6" s="369"/>
      <c r="AD6" s="369"/>
      <c r="AE6" s="369"/>
      <c r="AF6" s="369"/>
      <c r="AG6" s="369"/>
      <c r="AH6" s="369"/>
      <c r="AI6" s="369"/>
      <c r="AJ6" s="369"/>
      <c r="AK6" s="369"/>
      <c r="AL6" s="369"/>
      <c r="AM6" s="369"/>
      <c r="AN6" s="369"/>
      <c r="AO6" s="369"/>
    </row>
    <row r="7" ht="13.5" customHeight="1">
      <c r="A7" s="458"/>
      <c r="B7" s="495" t="s">
        <v>907</v>
      </c>
      <c r="C7" s="460"/>
      <c r="D7" s="460"/>
      <c r="E7" s="460"/>
      <c r="F7" s="460"/>
      <c r="G7" s="460"/>
      <c r="H7" s="460"/>
      <c r="I7" s="460"/>
      <c r="J7" s="460"/>
      <c r="K7" s="460"/>
      <c r="L7" s="460"/>
      <c r="M7" s="452"/>
      <c r="N7" s="368"/>
      <c r="O7" s="368"/>
      <c r="P7" s="368"/>
      <c r="Q7" s="369"/>
      <c r="R7" s="369"/>
      <c r="S7" s="452"/>
      <c r="T7" s="452"/>
      <c r="U7" s="452"/>
      <c r="V7" s="369"/>
      <c r="W7" s="369"/>
      <c r="X7" s="369"/>
      <c r="Y7" s="369"/>
      <c r="Z7" s="369"/>
      <c r="AA7" s="369"/>
      <c r="AB7" s="369"/>
      <c r="AC7" s="369"/>
      <c r="AD7" s="369"/>
      <c r="AE7" s="369"/>
      <c r="AF7" s="369"/>
      <c r="AG7" s="369"/>
      <c r="AH7" s="369"/>
      <c r="AI7" s="369"/>
      <c r="AJ7" s="369"/>
      <c r="AK7" s="369"/>
      <c r="AL7" s="369"/>
      <c r="AM7" s="369"/>
      <c r="AN7" s="369"/>
      <c r="AO7" s="369"/>
    </row>
    <row r="8" ht="13.5" customHeight="1">
      <c r="A8" s="458"/>
      <c r="B8" s="461" t="str">
        <f>Premium!I3</f>
        <v>Supply and installation of Base storage unit  with BWP Carcass, HDHMR Boilo Shutter, Smooth finish laminate and soft close hinges  </v>
      </c>
      <c r="C8" s="458">
        <v>3.0</v>
      </c>
      <c r="D8" s="458">
        <v>5.0</v>
      </c>
      <c r="E8" s="469">
        <f t="shared" ref="E8:E11" si="3">C8*D8</f>
        <v>15</v>
      </c>
      <c r="F8" s="470" t="s">
        <v>683</v>
      </c>
      <c r="G8" s="458">
        <v>900.0</v>
      </c>
      <c r="H8" s="458">
        <v>1500.0</v>
      </c>
      <c r="I8" s="471" t="s">
        <v>684</v>
      </c>
      <c r="J8" s="472">
        <f>Premium!L3</f>
        <v>1715</v>
      </c>
      <c r="K8" s="466">
        <v>1.0</v>
      </c>
      <c r="L8" s="467">
        <f t="shared" ref="L8:L11" si="4">K8*J8*E8</f>
        <v>25725</v>
      </c>
      <c r="M8" s="452"/>
      <c r="N8" s="368"/>
      <c r="O8" s="368"/>
      <c r="P8" s="368"/>
      <c r="Q8" s="369"/>
      <c r="R8" s="369"/>
      <c r="S8" s="452"/>
      <c r="T8" s="452"/>
      <c r="U8" s="452"/>
      <c r="V8" s="369"/>
      <c r="W8" s="369"/>
      <c r="X8" s="369"/>
      <c r="Y8" s="369"/>
      <c r="Z8" s="369"/>
      <c r="AA8" s="369"/>
      <c r="AB8" s="369"/>
      <c r="AC8" s="369"/>
      <c r="AD8" s="369"/>
      <c r="AE8" s="369"/>
      <c r="AF8" s="369"/>
      <c r="AG8" s="369"/>
      <c r="AH8" s="369"/>
      <c r="AI8" s="369"/>
      <c r="AJ8" s="369"/>
      <c r="AK8" s="369"/>
      <c r="AL8" s="369"/>
      <c r="AM8" s="369"/>
      <c r="AN8" s="369"/>
      <c r="AO8" s="369"/>
    </row>
    <row r="9" ht="13.5" customHeight="1">
      <c r="A9" s="458"/>
      <c r="B9" s="461" t="str">
        <f>Premium!I19</f>
        <v>Supply and installation of Curved Base storage unit  with BWP Carcass, HDHMR Boilo Shutter, Smooth finish laminate and soft close hinges  </v>
      </c>
      <c r="C9" s="458">
        <v>3.5</v>
      </c>
      <c r="D9" s="458">
        <v>2.75</v>
      </c>
      <c r="E9" s="469">
        <f t="shared" si="3"/>
        <v>9.625</v>
      </c>
      <c r="F9" s="470" t="s">
        <v>683</v>
      </c>
      <c r="G9" s="458">
        <v>1050.0</v>
      </c>
      <c r="H9" s="458">
        <v>825.0</v>
      </c>
      <c r="I9" s="471" t="s">
        <v>684</v>
      </c>
      <c r="J9" s="472">
        <f>Premium!L19</f>
        <v>2065</v>
      </c>
      <c r="K9" s="466">
        <v>1.0</v>
      </c>
      <c r="L9" s="467">
        <f t="shared" si="4"/>
        <v>19875.625</v>
      </c>
      <c r="M9" s="452"/>
      <c r="N9" s="368"/>
      <c r="O9" s="368"/>
      <c r="P9" s="368"/>
      <c r="Q9" s="369"/>
      <c r="R9" s="369"/>
      <c r="S9" s="452"/>
      <c r="T9" s="452"/>
      <c r="U9" s="452"/>
      <c r="V9" s="369"/>
      <c r="W9" s="369"/>
      <c r="X9" s="369"/>
      <c r="Y9" s="369"/>
      <c r="Z9" s="369"/>
      <c r="AA9" s="369"/>
      <c r="AB9" s="369"/>
      <c r="AC9" s="369"/>
      <c r="AD9" s="369"/>
      <c r="AE9" s="369"/>
      <c r="AF9" s="369"/>
      <c r="AG9" s="369"/>
      <c r="AH9" s="369"/>
      <c r="AI9" s="369"/>
      <c r="AJ9" s="369"/>
      <c r="AK9" s="369"/>
      <c r="AL9" s="369"/>
      <c r="AM9" s="369"/>
      <c r="AN9" s="369"/>
      <c r="AO9" s="369"/>
    </row>
    <row r="10" ht="13.5" customHeight="1">
      <c r="A10" s="458"/>
      <c r="B10" s="461" t="str">
        <f>Premium!I29</f>
        <v>Supply and installation of Wall Panel with BWP Ply Frame, Smooth Finish laminate </v>
      </c>
      <c r="C10" s="458">
        <v>4.5</v>
      </c>
      <c r="D10" s="458">
        <v>7.0</v>
      </c>
      <c r="E10" s="469">
        <f t="shared" si="3"/>
        <v>31.5</v>
      </c>
      <c r="F10" s="470" t="s">
        <v>683</v>
      </c>
      <c r="G10" s="458">
        <v>1350.0</v>
      </c>
      <c r="H10" s="458">
        <v>2100.0</v>
      </c>
      <c r="I10" s="471" t="s">
        <v>684</v>
      </c>
      <c r="J10" s="472">
        <f>Premium!L29</f>
        <v>1050</v>
      </c>
      <c r="K10" s="466">
        <v>1.0</v>
      </c>
      <c r="L10" s="467">
        <f t="shared" si="4"/>
        <v>33075</v>
      </c>
      <c r="M10" s="452"/>
      <c r="N10" s="368"/>
      <c r="O10" s="368"/>
      <c r="P10" s="368"/>
      <c r="Q10" s="369"/>
      <c r="R10" s="369"/>
      <c r="S10" s="452"/>
      <c r="T10" s="452"/>
      <c r="U10" s="452"/>
      <c r="V10" s="369"/>
      <c r="W10" s="369"/>
      <c r="X10" s="369"/>
      <c r="Y10" s="369"/>
      <c r="Z10" s="369"/>
      <c r="AA10" s="369"/>
      <c r="AB10" s="369"/>
      <c r="AC10" s="369"/>
      <c r="AD10" s="369"/>
      <c r="AE10" s="369"/>
      <c r="AF10" s="369"/>
      <c r="AG10" s="369"/>
      <c r="AH10" s="369"/>
      <c r="AI10" s="369"/>
      <c r="AJ10" s="369"/>
      <c r="AK10" s="369"/>
      <c r="AL10" s="369"/>
      <c r="AM10" s="369"/>
      <c r="AN10" s="369"/>
      <c r="AO10" s="369"/>
    </row>
    <row r="11" ht="13.5" customHeight="1">
      <c r="A11" s="458"/>
      <c r="B11" s="461" t="str">
        <f>Premium!I35</f>
        <v/>
      </c>
      <c r="C11" s="458">
        <v>9.0</v>
      </c>
      <c r="D11" s="458">
        <v>9.0</v>
      </c>
      <c r="E11" s="469">
        <f t="shared" si="3"/>
        <v>81</v>
      </c>
      <c r="F11" s="470" t="s">
        <v>683</v>
      </c>
      <c r="G11" s="458">
        <v>2700.0</v>
      </c>
      <c r="H11" s="458">
        <v>2700.0</v>
      </c>
      <c r="I11" s="471" t="s">
        <v>684</v>
      </c>
      <c r="J11" s="472">
        <f>Premium!L29</f>
        <v>1050</v>
      </c>
      <c r="K11" s="466">
        <v>1.0</v>
      </c>
      <c r="L11" s="467">
        <f t="shared" si="4"/>
        <v>85050</v>
      </c>
      <c r="M11" s="452"/>
      <c r="N11" s="368"/>
      <c r="O11" s="368"/>
      <c r="P11" s="368"/>
      <c r="Q11" s="369"/>
      <c r="R11" s="369"/>
      <c r="S11" s="452"/>
      <c r="T11" s="452"/>
      <c r="U11" s="452"/>
      <c r="V11" s="369"/>
      <c r="W11" s="369"/>
      <c r="X11" s="369"/>
      <c r="Y11" s="369"/>
      <c r="Z11" s="369"/>
      <c r="AA11" s="369"/>
      <c r="AB11" s="369"/>
      <c r="AC11" s="369"/>
      <c r="AD11" s="369"/>
      <c r="AE11" s="369"/>
      <c r="AF11" s="369"/>
      <c r="AG11" s="369"/>
      <c r="AH11" s="369"/>
      <c r="AI11" s="369"/>
      <c r="AJ11" s="369"/>
      <c r="AK11" s="369"/>
      <c r="AL11" s="369"/>
      <c r="AM11" s="369"/>
      <c r="AN11" s="369"/>
      <c r="AO11" s="369"/>
    </row>
    <row r="12" ht="13.5" customHeight="1">
      <c r="A12" s="458"/>
      <c r="B12" s="473" t="s">
        <v>833</v>
      </c>
      <c r="C12" s="460"/>
      <c r="D12" s="460"/>
      <c r="E12" s="460"/>
      <c r="F12" s="460"/>
      <c r="G12" s="460"/>
      <c r="H12" s="460"/>
      <c r="I12" s="460"/>
      <c r="J12" s="460"/>
      <c r="K12" s="460"/>
      <c r="L12" s="460"/>
      <c r="M12" s="452"/>
      <c r="N12" s="368"/>
      <c r="O12" s="368"/>
      <c r="P12" s="368"/>
      <c r="Q12" s="369"/>
      <c r="R12" s="369"/>
      <c r="S12" s="452"/>
      <c r="T12" s="452"/>
      <c r="U12" s="452"/>
      <c r="V12" s="369"/>
      <c r="W12" s="369"/>
      <c r="X12" s="369"/>
      <c r="Y12" s="369"/>
      <c r="Z12" s="369"/>
      <c r="AA12" s="369"/>
      <c r="AB12" s="369"/>
      <c r="AC12" s="369"/>
      <c r="AD12" s="369"/>
      <c r="AE12" s="369"/>
      <c r="AF12" s="369"/>
      <c r="AG12" s="369"/>
      <c r="AH12" s="369"/>
      <c r="AI12" s="369"/>
      <c r="AJ12" s="369"/>
      <c r="AK12" s="369"/>
      <c r="AL12" s="369"/>
      <c r="AM12" s="369"/>
      <c r="AN12" s="369"/>
      <c r="AO12" s="369"/>
    </row>
    <row r="13" ht="13.5" customHeight="1">
      <c r="A13" s="458"/>
      <c r="B13" s="461" t="str">
        <f>Premium!I3</f>
        <v>Supply and installation of Base storage unit  with BWP Carcass, HDHMR Boilo Shutter, Smooth finish laminate and soft close hinges  </v>
      </c>
      <c r="C13" s="458">
        <v>3.0</v>
      </c>
      <c r="D13" s="458">
        <v>5.0</v>
      </c>
      <c r="E13" s="469">
        <f t="shared" ref="E13:E16" si="5">C13*D13</f>
        <v>15</v>
      </c>
      <c r="F13" s="470" t="s">
        <v>683</v>
      </c>
      <c r="G13" s="458">
        <v>900.0</v>
      </c>
      <c r="H13" s="458">
        <v>1500.0</v>
      </c>
      <c r="I13" s="471" t="s">
        <v>684</v>
      </c>
      <c r="J13" s="472">
        <f>Premium!L3</f>
        <v>1715</v>
      </c>
      <c r="K13" s="466">
        <v>1.0</v>
      </c>
      <c r="L13" s="467">
        <f t="shared" ref="L13:L16" si="6">K13*J13*E13</f>
        <v>25725</v>
      </c>
      <c r="M13" s="452"/>
      <c r="N13" s="368"/>
      <c r="O13" s="368"/>
      <c r="P13" s="368"/>
      <c r="Q13" s="369"/>
      <c r="R13" s="369"/>
      <c r="S13" s="452"/>
      <c r="T13" s="452"/>
      <c r="U13" s="452"/>
      <c r="V13" s="369"/>
      <c r="W13" s="369"/>
      <c r="X13" s="369"/>
      <c r="Y13" s="369"/>
      <c r="Z13" s="369"/>
      <c r="AA13" s="369"/>
      <c r="AB13" s="369"/>
      <c r="AC13" s="369"/>
      <c r="AD13" s="369"/>
      <c r="AE13" s="369"/>
      <c r="AF13" s="369"/>
      <c r="AG13" s="369"/>
      <c r="AH13" s="369"/>
      <c r="AI13" s="369"/>
      <c r="AJ13" s="369"/>
      <c r="AK13" s="369"/>
      <c r="AL13" s="369"/>
      <c r="AM13" s="369"/>
      <c r="AN13" s="369"/>
      <c r="AO13" s="369"/>
    </row>
    <row r="14" ht="13.5" customHeight="1">
      <c r="A14" s="458"/>
      <c r="B14" s="461" t="str">
        <f>Premium!I3</f>
        <v>Supply and installation of Base storage unit  with BWP Carcass, HDHMR Boilo Shutter, Smooth finish laminate and soft close hinges  </v>
      </c>
      <c r="C14" s="458">
        <v>4.5</v>
      </c>
      <c r="D14" s="458">
        <v>3.0</v>
      </c>
      <c r="E14" s="469">
        <f t="shared" si="5"/>
        <v>13.5</v>
      </c>
      <c r="F14" s="470" t="s">
        <v>683</v>
      </c>
      <c r="G14" s="458">
        <v>1350.0</v>
      </c>
      <c r="H14" s="458">
        <v>900.0</v>
      </c>
      <c r="I14" s="471" t="s">
        <v>684</v>
      </c>
      <c r="J14" s="472">
        <f>Premium!L3</f>
        <v>1715</v>
      </c>
      <c r="K14" s="466">
        <v>1.0</v>
      </c>
      <c r="L14" s="467">
        <f t="shared" si="6"/>
        <v>23152.5</v>
      </c>
      <c r="M14" s="452"/>
      <c r="N14" s="368"/>
      <c r="O14" s="368"/>
      <c r="P14" s="368"/>
      <c r="Q14" s="369"/>
      <c r="R14" s="369"/>
      <c r="S14" s="452"/>
      <c r="T14" s="452"/>
      <c r="U14" s="452"/>
      <c r="V14" s="369"/>
      <c r="W14" s="369"/>
      <c r="X14" s="369"/>
      <c r="Y14" s="369"/>
      <c r="Z14" s="369"/>
      <c r="AA14" s="369"/>
      <c r="AB14" s="369"/>
      <c r="AC14" s="369"/>
      <c r="AD14" s="369"/>
      <c r="AE14" s="369"/>
      <c r="AF14" s="369"/>
      <c r="AG14" s="369"/>
      <c r="AH14" s="369"/>
      <c r="AI14" s="369"/>
      <c r="AJ14" s="369"/>
      <c r="AK14" s="369"/>
      <c r="AL14" s="369"/>
      <c r="AM14" s="369"/>
      <c r="AN14" s="369"/>
      <c r="AO14" s="369"/>
    </row>
    <row r="15" ht="13.5" customHeight="1">
      <c r="A15" s="458"/>
      <c r="B15" s="461" t="str">
        <f>Premium!I3</f>
        <v>Supply and installation of Base storage unit  with BWP Carcass, HDHMR Boilo Shutter, Smooth finish laminate and soft close hinges  </v>
      </c>
      <c r="C15" s="458">
        <v>2.0</v>
      </c>
      <c r="D15" s="458">
        <v>6.0</v>
      </c>
      <c r="E15" s="469">
        <f t="shared" si="5"/>
        <v>12</v>
      </c>
      <c r="F15" s="470" t="s">
        <v>683</v>
      </c>
      <c r="G15" s="458">
        <v>600.0</v>
      </c>
      <c r="H15" s="458">
        <v>1800.0</v>
      </c>
      <c r="I15" s="471" t="s">
        <v>684</v>
      </c>
      <c r="J15" s="472">
        <f>Premium!L3</f>
        <v>1715</v>
      </c>
      <c r="K15" s="466">
        <v>1.0</v>
      </c>
      <c r="L15" s="467">
        <f t="shared" si="6"/>
        <v>20580</v>
      </c>
      <c r="M15" s="452"/>
      <c r="N15" s="368"/>
      <c r="O15" s="368"/>
      <c r="P15" s="368"/>
      <c r="Q15" s="369"/>
      <c r="R15" s="369"/>
      <c r="S15" s="452"/>
      <c r="T15" s="452"/>
      <c r="U15" s="452"/>
      <c r="V15" s="369"/>
      <c r="W15" s="369"/>
      <c r="X15" s="369"/>
      <c r="Y15" s="369"/>
      <c r="Z15" s="369"/>
      <c r="AA15" s="369"/>
      <c r="AB15" s="369"/>
      <c r="AC15" s="369"/>
      <c r="AD15" s="369"/>
      <c r="AE15" s="369"/>
      <c r="AF15" s="369"/>
      <c r="AG15" s="369"/>
      <c r="AH15" s="369"/>
      <c r="AI15" s="369"/>
      <c r="AJ15" s="369"/>
      <c r="AK15" s="369"/>
      <c r="AL15" s="369"/>
      <c r="AM15" s="369"/>
      <c r="AN15" s="369"/>
      <c r="AO15" s="369"/>
    </row>
    <row r="16" ht="13.5" customHeight="1">
      <c r="A16" s="458"/>
      <c r="B16" s="461" t="str">
        <f>Premium!I22</f>
        <v>Supply and installation of Open unit - Inner 1mm with BWP ply frame and Smooth finish laminate</v>
      </c>
      <c r="C16" s="458">
        <v>6.0</v>
      </c>
      <c r="D16" s="458">
        <v>4.0</v>
      </c>
      <c r="E16" s="469">
        <f t="shared" si="5"/>
        <v>24</v>
      </c>
      <c r="F16" s="470" t="s">
        <v>683</v>
      </c>
      <c r="G16" s="458">
        <v>1800.0</v>
      </c>
      <c r="H16" s="458">
        <v>1200.0</v>
      </c>
      <c r="I16" s="471" t="s">
        <v>684</v>
      </c>
      <c r="J16" s="472">
        <f>Premium!L22</f>
        <v>1715</v>
      </c>
      <c r="K16" s="466">
        <v>1.0</v>
      </c>
      <c r="L16" s="467">
        <f t="shared" si="6"/>
        <v>41160</v>
      </c>
      <c r="M16" s="452"/>
      <c r="N16" s="368"/>
      <c r="O16" s="368"/>
      <c r="P16" s="368"/>
      <c r="Q16" s="369"/>
      <c r="R16" s="369"/>
      <c r="S16" s="452"/>
      <c r="T16" s="474"/>
      <c r="U16" s="452"/>
      <c r="V16" s="369"/>
      <c r="W16" s="369"/>
      <c r="X16" s="369"/>
      <c r="Y16" s="369"/>
      <c r="Z16" s="369"/>
      <c r="AA16" s="369"/>
      <c r="AB16" s="369"/>
      <c r="AC16" s="369"/>
      <c r="AD16" s="369"/>
      <c r="AE16" s="369"/>
      <c r="AF16" s="369"/>
      <c r="AG16" s="369"/>
      <c r="AH16" s="369"/>
      <c r="AI16" s="369"/>
      <c r="AJ16" s="369"/>
      <c r="AK16" s="369"/>
      <c r="AL16" s="369"/>
      <c r="AM16" s="369"/>
      <c r="AN16" s="369"/>
      <c r="AO16" s="369"/>
    </row>
    <row r="17" ht="13.5" customHeight="1">
      <c r="A17" s="458"/>
      <c r="B17" s="495" t="s">
        <v>936</v>
      </c>
      <c r="C17" s="460"/>
      <c r="D17" s="460"/>
      <c r="E17" s="460"/>
      <c r="F17" s="460"/>
      <c r="G17" s="460"/>
      <c r="H17" s="460"/>
      <c r="I17" s="460"/>
      <c r="J17" s="460"/>
      <c r="K17" s="460"/>
      <c r="L17" s="460"/>
      <c r="M17" s="452"/>
      <c r="N17" s="368"/>
      <c r="O17" s="368"/>
      <c r="P17" s="368"/>
      <c r="Q17" s="369"/>
      <c r="R17" s="369"/>
      <c r="S17" s="452"/>
      <c r="T17" s="452"/>
      <c r="U17" s="452"/>
      <c r="V17" s="369"/>
      <c r="W17" s="369"/>
      <c r="X17" s="369"/>
      <c r="Y17" s="369"/>
      <c r="Z17" s="369"/>
      <c r="AA17" s="369"/>
      <c r="AB17" s="369"/>
      <c r="AC17" s="369"/>
      <c r="AD17" s="369"/>
      <c r="AE17" s="369"/>
      <c r="AF17" s="369"/>
      <c r="AG17" s="369"/>
      <c r="AH17" s="369"/>
      <c r="AI17" s="369"/>
      <c r="AJ17" s="369"/>
      <c r="AK17" s="369"/>
      <c r="AL17" s="369"/>
      <c r="AM17" s="369"/>
      <c r="AN17" s="369"/>
      <c r="AO17" s="369"/>
    </row>
    <row r="18" ht="13.5" customHeight="1">
      <c r="A18" s="458"/>
      <c r="B18" s="461" t="str">
        <f>Premium!I63</f>
        <v>Supply and installation of Curved Wall storage unit  with BWP Carcass, HDHMR Boilo Shutter, Glossy finish laminate and soft close hinges  </v>
      </c>
      <c r="C18" s="458">
        <v>10.0</v>
      </c>
      <c r="D18" s="458">
        <v>5.0</v>
      </c>
      <c r="E18" s="469">
        <f t="shared" ref="E18:E26" si="7">C18*D18</f>
        <v>50</v>
      </c>
      <c r="F18" s="470" t="s">
        <v>683</v>
      </c>
      <c r="G18" s="458">
        <v>3000.0</v>
      </c>
      <c r="H18" s="458">
        <v>1500.0</v>
      </c>
      <c r="I18" s="471" t="s">
        <v>684</v>
      </c>
      <c r="J18" s="472">
        <f>Premium!L62</f>
        <v>2115</v>
      </c>
      <c r="K18" s="466">
        <v>1.0</v>
      </c>
      <c r="L18" s="467">
        <f t="shared" ref="L18:L26" si="8">K18*J18*E18</f>
        <v>105750</v>
      </c>
      <c r="M18" s="475" t="s">
        <v>909</v>
      </c>
      <c r="N18" s="368"/>
      <c r="O18" s="368"/>
      <c r="P18" s="368"/>
      <c r="Q18" s="369"/>
      <c r="R18" s="369"/>
      <c r="S18" s="452"/>
      <c r="T18" s="452"/>
      <c r="U18" s="452"/>
      <c r="V18" s="369"/>
      <c r="W18" s="369"/>
      <c r="X18" s="369"/>
      <c r="Y18" s="369"/>
      <c r="Z18" s="369"/>
      <c r="AA18" s="369"/>
      <c r="AB18" s="369"/>
      <c r="AC18" s="369"/>
      <c r="AD18" s="369"/>
      <c r="AE18" s="369"/>
      <c r="AF18" s="369"/>
      <c r="AG18" s="369"/>
      <c r="AH18" s="369"/>
      <c r="AI18" s="369"/>
      <c r="AJ18" s="369"/>
      <c r="AK18" s="369"/>
      <c r="AL18" s="369"/>
      <c r="AM18" s="369"/>
      <c r="AN18" s="369"/>
      <c r="AO18" s="369"/>
    </row>
    <row r="19" ht="13.5" customHeight="1">
      <c r="A19" s="458"/>
      <c r="B19" s="461" t="str">
        <f>Premium!I55</f>
        <v>Supply and installation of Base storage - Inner 1mm unit with BWP Carcass, Black/Silver Aluminium Profile with Clear/Tinted Glass Shutter, Glossy laminate and soft close hinges  </v>
      </c>
      <c r="C19" s="458">
        <v>3.0</v>
      </c>
      <c r="D19" s="458">
        <v>5.0</v>
      </c>
      <c r="E19" s="469">
        <f t="shared" si="7"/>
        <v>15</v>
      </c>
      <c r="F19" s="470" t="s">
        <v>683</v>
      </c>
      <c r="G19" s="458">
        <v>900.0</v>
      </c>
      <c r="H19" s="458">
        <v>1500.0</v>
      </c>
      <c r="I19" s="471" t="s">
        <v>684</v>
      </c>
      <c r="J19" s="472">
        <f>Premium!L55</f>
        <v>2550</v>
      </c>
      <c r="K19" s="466">
        <v>1.0</v>
      </c>
      <c r="L19" s="467">
        <f t="shared" si="8"/>
        <v>38250</v>
      </c>
      <c r="N19" s="368"/>
      <c r="O19" s="368"/>
      <c r="P19" s="368"/>
      <c r="Q19" s="369"/>
      <c r="R19" s="369"/>
      <c r="S19" s="452"/>
      <c r="T19" s="452"/>
      <c r="U19" s="452"/>
      <c r="V19" s="369"/>
      <c r="W19" s="369"/>
      <c r="X19" s="369"/>
      <c r="Y19" s="369"/>
      <c r="Z19" s="369"/>
      <c r="AA19" s="369"/>
      <c r="AB19" s="369"/>
      <c r="AC19" s="369"/>
      <c r="AD19" s="369"/>
      <c r="AE19" s="369"/>
      <c r="AF19" s="369"/>
      <c r="AG19" s="369"/>
      <c r="AH19" s="369"/>
      <c r="AI19" s="369"/>
      <c r="AJ19" s="369"/>
      <c r="AK19" s="369"/>
      <c r="AL19" s="369"/>
      <c r="AM19" s="369"/>
      <c r="AN19" s="369"/>
      <c r="AO19" s="369"/>
    </row>
    <row r="20" ht="13.5" customHeight="1">
      <c r="A20" s="458"/>
      <c r="B20" s="461" t="str">
        <f>Premium!I39</f>
        <v>Supply and installation of Tall storage unit  with BWP Carcass, HDHMR Boilo Shutter, Glossy finish laminate and soft close hinges  </v>
      </c>
      <c r="C20" s="458">
        <v>2.0</v>
      </c>
      <c r="D20" s="458">
        <v>7.0</v>
      </c>
      <c r="E20" s="469">
        <f t="shared" si="7"/>
        <v>14</v>
      </c>
      <c r="F20" s="470" t="s">
        <v>683</v>
      </c>
      <c r="G20" s="458">
        <v>600.0</v>
      </c>
      <c r="H20" s="458">
        <v>2100.0</v>
      </c>
      <c r="I20" s="471" t="s">
        <v>684</v>
      </c>
      <c r="J20" s="472">
        <f>Premium!L37</f>
        <v>1765</v>
      </c>
      <c r="K20" s="466">
        <v>1.0</v>
      </c>
      <c r="L20" s="467">
        <f t="shared" si="8"/>
        <v>24710</v>
      </c>
      <c r="N20" s="368"/>
      <c r="O20" s="368"/>
      <c r="P20" s="368"/>
      <c r="Q20" s="369"/>
      <c r="R20" s="369"/>
      <c r="S20" s="452"/>
      <c r="T20" s="452"/>
      <c r="U20" s="452"/>
      <c r="V20" s="369"/>
      <c r="W20" s="369"/>
      <c r="X20" s="369"/>
      <c r="Y20" s="369"/>
      <c r="Z20" s="369"/>
      <c r="AA20" s="369"/>
      <c r="AB20" s="369"/>
      <c r="AC20" s="369"/>
      <c r="AD20" s="369"/>
      <c r="AE20" s="369"/>
      <c r="AF20" s="369"/>
      <c r="AG20" s="369"/>
      <c r="AH20" s="369"/>
      <c r="AI20" s="369"/>
      <c r="AJ20" s="369"/>
      <c r="AK20" s="369"/>
      <c r="AL20" s="369"/>
      <c r="AM20" s="369"/>
      <c r="AN20" s="369"/>
      <c r="AO20" s="369"/>
    </row>
    <row r="21" ht="13.5" customHeight="1">
      <c r="A21" s="458"/>
      <c r="B21" s="461" t="str">
        <f>Premium!I37</f>
        <v>Supply and installation of Base storage unit  with BWP Carcass, HDHMR Boilo Shutter, Glossy finish laminate and soft close hinges  </v>
      </c>
      <c r="C21" s="458">
        <v>11.0</v>
      </c>
      <c r="D21" s="458">
        <v>2.75</v>
      </c>
      <c r="E21" s="469">
        <f t="shared" si="7"/>
        <v>30.25</v>
      </c>
      <c r="F21" s="470" t="s">
        <v>683</v>
      </c>
      <c r="G21" s="458">
        <v>3300.0</v>
      </c>
      <c r="H21" s="458">
        <v>825.0</v>
      </c>
      <c r="I21" s="471" t="s">
        <v>684</v>
      </c>
      <c r="J21" s="472">
        <f>Premium!L37</f>
        <v>1765</v>
      </c>
      <c r="K21" s="466">
        <v>1.0</v>
      </c>
      <c r="L21" s="467">
        <f t="shared" si="8"/>
        <v>53391.25</v>
      </c>
      <c r="N21" s="368"/>
      <c r="O21" s="368"/>
      <c r="P21" s="368"/>
      <c r="Q21" s="369"/>
      <c r="R21" s="369"/>
      <c r="S21" s="452"/>
      <c r="T21" s="452"/>
      <c r="U21" s="452"/>
      <c r="V21" s="369"/>
      <c r="W21" s="369"/>
      <c r="X21" s="369"/>
      <c r="Y21" s="369"/>
      <c r="Z21" s="369"/>
      <c r="AA21" s="369"/>
      <c r="AB21" s="369"/>
      <c r="AC21" s="369"/>
      <c r="AD21" s="369"/>
      <c r="AE21" s="369"/>
      <c r="AF21" s="369"/>
      <c r="AG21" s="369"/>
      <c r="AH21" s="369"/>
      <c r="AI21" s="369"/>
      <c r="AJ21" s="369"/>
      <c r="AK21" s="369"/>
      <c r="AL21" s="369"/>
      <c r="AM21" s="369"/>
      <c r="AN21" s="369"/>
      <c r="AO21" s="369"/>
    </row>
    <row r="22" ht="13.5" customHeight="1">
      <c r="A22" s="458"/>
      <c r="B22" s="461" t="str">
        <f>Premium!I38</f>
        <v>Supply and installation of Wall storage unit  with BWP Carcass, HDHMR Boilo Shutter, Glossy finish laminate and soft close hinges  </v>
      </c>
      <c r="C22" s="458">
        <v>4.0</v>
      </c>
      <c r="D22" s="458">
        <v>2.3</v>
      </c>
      <c r="E22" s="469">
        <f t="shared" si="7"/>
        <v>9.2</v>
      </c>
      <c r="F22" s="470" t="s">
        <v>683</v>
      </c>
      <c r="G22" s="458">
        <v>1200.0</v>
      </c>
      <c r="H22" s="458">
        <v>690.0</v>
      </c>
      <c r="I22" s="471" t="s">
        <v>684</v>
      </c>
      <c r="J22" s="472">
        <f>Premium!L37</f>
        <v>1765</v>
      </c>
      <c r="K22" s="466">
        <v>1.0</v>
      </c>
      <c r="L22" s="467">
        <f t="shared" si="8"/>
        <v>16238</v>
      </c>
      <c r="N22" s="368"/>
      <c r="O22" s="368"/>
      <c r="P22" s="368"/>
      <c r="Q22" s="369"/>
      <c r="R22" s="369"/>
      <c r="S22" s="452"/>
      <c r="T22" s="452"/>
      <c r="U22" s="452"/>
      <c r="V22" s="369"/>
      <c r="W22" s="369"/>
      <c r="X22" s="369"/>
      <c r="Y22" s="369"/>
      <c r="Z22" s="369"/>
      <c r="AA22" s="369"/>
      <c r="AB22" s="369"/>
      <c r="AC22" s="369"/>
      <c r="AD22" s="369"/>
      <c r="AE22" s="369"/>
      <c r="AF22" s="369"/>
      <c r="AG22" s="369"/>
      <c r="AH22" s="369"/>
      <c r="AI22" s="369"/>
      <c r="AJ22" s="369"/>
      <c r="AK22" s="369"/>
      <c r="AL22" s="369"/>
      <c r="AM22" s="369"/>
      <c r="AN22" s="369"/>
      <c r="AO22" s="369"/>
    </row>
    <row r="23" ht="13.5" customHeight="1">
      <c r="A23" s="458"/>
      <c r="B23" s="461" t="str">
        <f>Premium!I67</f>
        <v>Supply and installation of Loft Frame and Shutter unit with BWP Frame, HDHMR Boilo Shutter, Glossy  finish laminate and Soft Close hinges  </v>
      </c>
      <c r="C23" s="458">
        <v>6.0</v>
      </c>
      <c r="D23" s="458">
        <v>3.0</v>
      </c>
      <c r="E23" s="469">
        <f t="shared" si="7"/>
        <v>18</v>
      </c>
      <c r="F23" s="470" t="s">
        <v>683</v>
      </c>
      <c r="G23" s="458">
        <v>1800.0</v>
      </c>
      <c r="H23" s="458">
        <v>900.0</v>
      </c>
      <c r="I23" s="471" t="s">
        <v>684</v>
      </c>
      <c r="J23" s="472">
        <f>Premium!L67</f>
        <v>1008</v>
      </c>
      <c r="K23" s="466">
        <v>1.0</v>
      </c>
      <c r="L23" s="467">
        <f t="shared" si="8"/>
        <v>18144</v>
      </c>
      <c r="N23" s="368"/>
      <c r="O23" s="368"/>
      <c r="P23" s="368"/>
      <c r="Q23" s="369"/>
      <c r="R23" s="369"/>
      <c r="S23" s="452"/>
      <c r="T23" s="452"/>
      <c r="U23" s="452"/>
      <c r="V23" s="369"/>
      <c r="W23" s="369"/>
      <c r="X23" s="369"/>
      <c r="Y23" s="369"/>
      <c r="Z23" s="369"/>
      <c r="AA23" s="369"/>
      <c r="AB23" s="369"/>
      <c r="AC23" s="369"/>
      <c r="AD23" s="369"/>
      <c r="AE23" s="369"/>
      <c r="AF23" s="369"/>
      <c r="AG23" s="369"/>
      <c r="AH23" s="369"/>
      <c r="AI23" s="369"/>
      <c r="AJ23" s="369"/>
      <c r="AK23" s="369"/>
      <c r="AL23" s="369"/>
      <c r="AM23" s="369"/>
      <c r="AN23" s="369"/>
      <c r="AO23" s="369"/>
    </row>
    <row r="24" ht="13.5" customHeight="1">
      <c r="A24" s="458"/>
      <c r="B24" s="461" t="str">
        <f>Premium!I73</f>
        <v>Supply and installation of Wall Panel with BWP Ply Frame, Glossy Finish laminate </v>
      </c>
      <c r="C24" s="458">
        <v>4.0</v>
      </c>
      <c r="D24" s="458">
        <v>3.0</v>
      </c>
      <c r="E24" s="469">
        <f t="shared" si="7"/>
        <v>12</v>
      </c>
      <c r="F24" s="470" t="s">
        <v>683</v>
      </c>
      <c r="G24" s="458">
        <v>1200.0</v>
      </c>
      <c r="H24" s="458">
        <v>900.0</v>
      </c>
      <c r="I24" s="471" t="s">
        <v>684</v>
      </c>
      <c r="J24" s="472">
        <f>Premium!L73</f>
        <v>1100</v>
      </c>
      <c r="K24" s="466">
        <v>1.0</v>
      </c>
      <c r="L24" s="467">
        <f t="shared" si="8"/>
        <v>13200</v>
      </c>
      <c r="N24" s="368"/>
      <c r="O24" s="368"/>
      <c r="P24" s="368"/>
      <c r="Q24" s="369"/>
      <c r="R24" s="369"/>
      <c r="S24" s="452"/>
      <c r="T24" s="452"/>
      <c r="U24" s="452"/>
      <c r="V24" s="369"/>
      <c r="W24" s="369"/>
      <c r="X24" s="369"/>
      <c r="Y24" s="369"/>
      <c r="Z24" s="369"/>
      <c r="AA24" s="369"/>
      <c r="AB24" s="369"/>
      <c r="AC24" s="369"/>
      <c r="AD24" s="369"/>
      <c r="AE24" s="369"/>
      <c r="AF24" s="369"/>
      <c r="AG24" s="369"/>
      <c r="AH24" s="369"/>
      <c r="AI24" s="369"/>
      <c r="AJ24" s="369"/>
      <c r="AK24" s="369"/>
      <c r="AL24" s="369"/>
      <c r="AM24" s="369"/>
      <c r="AN24" s="369"/>
      <c r="AO24" s="369"/>
    </row>
    <row r="25" ht="13.5" customHeight="1">
      <c r="A25" s="458"/>
      <c r="B25" s="461" t="str">
        <f>Premium!I72</f>
        <v>Supply and installation of Curved Wall Panel with BWP Ply Frame, Glossy Finish laminate </v>
      </c>
      <c r="C25" s="458">
        <v>5.0</v>
      </c>
      <c r="D25" s="458">
        <v>6.0</v>
      </c>
      <c r="E25" s="469">
        <f t="shared" si="7"/>
        <v>30</v>
      </c>
      <c r="F25" s="470" t="s">
        <v>683</v>
      </c>
      <c r="G25" s="458">
        <v>1500.0</v>
      </c>
      <c r="H25" s="458">
        <v>1800.0</v>
      </c>
      <c r="I25" s="471" t="s">
        <v>684</v>
      </c>
      <c r="J25" s="472">
        <f>Premium!L72</f>
        <v>1058</v>
      </c>
      <c r="K25" s="466">
        <v>1.0</v>
      </c>
      <c r="L25" s="467">
        <f t="shared" si="8"/>
        <v>31740</v>
      </c>
      <c r="N25" s="368"/>
      <c r="O25" s="368"/>
      <c r="P25" s="368"/>
      <c r="Q25" s="369"/>
      <c r="R25" s="369"/>
      <c r="S25" s="452"/>
      <c r="T25" s="452"/>
      <c r="U25" s="452"/>
      <c r="V25" s="369"/>
      <c r="W25" s="369"/>
      <c r="X25" s="369"/>
      <c r="Y25" s="369"/>
      <c r="Z25" s="369"/>
      <c r="AA25" s="369"/>
      <c r="AB25" s="369"/>
      <c r="AC25" s="369"/>
      <c r="AD25" s="369"/>
      <c r="AE25" s="369"/>
      <c r="AF25" s="369"/>
      <c r="AG25" s="369"/>
      <c r="AH25" s="369"/>
      <c r="AI25" s="369"/>
      <c r="AJ25" s="369"/>
      <c r="AK25" s="369"/>
      <c r="AL25" s="369"/>
      <c r="AM25" s="369"/>
      <c r="AN25" s="369"/>
      <c r="AO25" s="369"/>
    </row>
    <row r="26" ht="13.5" customHeight="1">
      <c r="A26" s="458"/>
      <c r="B26" s="461" t="str">
        <f>Premium!I73</f>
        <v>Supply and installation of Wall Panel with BWP Ply Frame, Glossy Finish laminate </v>
      </c>
      <c r="C26" s="458">
        <v>20.0</v>
      </c>
      <c r="D26" s="458">
        <v>3.0</v>
      </c>
      <c r="E26" s="469">
        <f t="shared" si="7"/>
        <v>60</v>
      </c>
      <c r="F26" s="470" t="s">
        <v>683</v>
      </c>
      <c r="G26" s="458">
        <v>6000.0</v>
      </c>
      <c r="H26" s="458">
        <v>900.0</v>
      </c>
      <c r="I26" s="471" t="s">
        <v>684</v>
      </c>
      <c r="J26" s="472">
        <f>Premium!L73</f>
        <v>1100</v>
      </c>
      <c r="K26" s="466">
        <v>1.0</v>
      </c>
      <c r="L26" s="467">
        <f t="shared" si="8"/>
        <v>66000</v>
      </c>
      <c r="N26" s="368"/>
      <c r="O26" s="368"/>
      <c r="P26" s="368"/>
      <c r="Q26" s="369"/>
      <c r="R26" s="369"/>
      <c r="S26" s="452"/>
      <c r="T26" s="452"/>
      <c r="U26" s="452"/>
      <c r="V26" s="369"/>
      <c r="W26" s="369"/>
      <c r="X26" s="369"/>
      <c r="Y26" s="369"/>
      <c r="Z26" s="369"/>
      <c r="AA26" s="369"/>
      <c r="AB26" s="369"/>
      <c r="AC26" s="369"/>
      <c r="AD26" s="369"/>
      <c r="AE26" s="369"/>
      <c r="AF26" s="369"/>
      <c r="AG26" s="369"/>
      <c r="AH26" s="369"/>
      <c r="AI26" s="369"/>
      <c r="AJ26" s="369"/>
      <c r="AK26" s="369"/>
      <c r="AL26" s="369"/>
      <c r="AM26" s="369"/>
      <c r="AN26" s="369"/>
      <c r="AO26" s="369"/>
    </row>
    <row r="27" ht="13.5" customHeight="1">
      <c r="A27" s="458"/>
      <c r="B27" s="495" t="s">
        <v>910</v>
      </c>
      <c r="C27" s="460"/>
      <c r="D27" s="460"/>
      <c r="E27" s="460"/>
      <c r="F27" s="460"/>
      <c r="G27" s="460"/>
      <c r="H27" s="460"/>
      <c r="I27" s="460"/>
      <c r="J27" s="460"/>
      <c r="K27" s="460"/>
      <c r="L27" s="460"/>
      <c r="M27" s="452"/>
      <c r="N27" s="368"/>
      <c r="O27" s="368"/>
      <c r="P27" s="368"/>
      <c r="Q27" s="369"/>
      <c r="R27" s="369"/>
      <c r="S27" s="452"/>
      <c r="T27" s="452"/>
      <c r="U27" s="452"/>
      <c r="V27" s="369"/>
      <c r="W27" s="369"/>
      <c r="X27" s="369"/>
      <c r="Y27" s="369"/>
      <c r="Z27" s="369"/>
      <c r="AA27" s="369"/>
      <c r="AB27" s="369"/>
      <c r="AC27" s="369"/>
      <c r="AD27" s="369"/>
      <c r="AE27" s="369"/>
      <c r="AF27" s="369"/>
      <c r="AG27" s="369"/>
      <c r="AH27" s="369"/>
      <c r="AI27" s="369"/>
      <c r="AJ27" s="369"/>
      <c r="AK27" s="369"/>
      <c r="AL27" s="369"/>
      <c r="AM27" s="369"/>
      <c r="AN27" s="369"/>
      <c r="AO27" s="369"/>
    </row>
    <row r="28" ht="13.5" customHeight="1">
      <c r="A28" s="458"/>
      <c r="B28" s="461" t="str">
        <f>Premium!I24</f>
        <v>Supply and installation of Ledge with 25mm Ledge BWP and Smooth Finish Laminate</v>
      </c>
      <c r="C28" s="458">
        <v>3.0</v>
      </c>
      <c r="D28" s="458">
        <v>1.0</v>
      </c>
      <c r="E28" s="469">
        <f t="shared" ref="E28:E32" si="9">C28*D28</f>
        <v>3</v>
      </c>
      <c r="F28" s="470" t="s">
        <v>683</v>
      </c>
      <c r="G28" s="458">
        <v>900.0</v>
      </c>
      <c r="H28" s="458">
        <v>300.0</v>
      </c>
      <c r="I28" s="471" t="s">
        <v>684</v>
      </c>
      <c r="J28" s="472">
        <f>Premium!L24</f>
        <v>875</v>
      </c>
      <c r="K28" s="466">
        <v>1.0</v>
      </c>
      <c r="L28" s="467">
        <f t="shared" ref="L28:L32" si="10">K28*J28*E28</f>
        <v>2625</v>
      </c>
      <c r="M28" s="452"/>
      <c r="N28" s="368"/>
      <c r="O28" s="368"/>
      <c r="P28" s="368"/>
      <c r="Q28" s="369"/>
      <c r="R28" s="369"/>
      <c r="S28" s="452"/>
      <c r="T28" s="452"/>
      <c r="U28" s="452"/>
      <c r="V28" s="369"/>
      <c r="W28" s="369"/>
      <c r="X28" s="369"/>
      <c r="Y28" s="369"/>
      <c r="Z28" s="369"/>
      <c r="AA28" s="369"/>
      <c r="AB28" s="369"/>
      <c r="AC28" s="369"/>
      <c r="AD28" s="369"/>
      <c r="AE28" s="369"/>
      <c r="AF28" s="369"/>
      <c r="AG28" s="369"/>
      <c r="AH28" s="369"/>
      <c r="AI28" s="369"/>
      <c r="AJ28" s="369"/>
      <c r="AK28" s="369"/>
      <c r="AL28" s="369"/>
      <c r="AM28" s="369"/>
      <c r="AN28" s="369"/>
      <c r="AO28" s="369"/>
    </row>
    <row r="29" ht="13.5" customHeight="1">
      <c r="A29" s="458"/>
      <c r="B29" s="461" t="str">
        <f>Premium!I22</f>
        <v>Supply and installation of Open unit - Inner 1mm with BWP ply frame and Smooth finish laminate</v>
      </c>
      <c r="C29" s="458">
        <v>3.0</v>
      </c>
      <c r="D29" s="458">
        <v>1.0</v>
      </c>
      <c r="E29" s="469">
        <f t="shared" si="9"/>
        <v>3</v>
      </c>
      <c r="F29" s="470" t="s">
        <v>683</v>
      </c>
      <c r="G29" s="458">
        <v>900.0</v>
      </c>
      <c r="H29" s="458">
        <v>300.0</v>
      </c>
      <c r="I29" s="471" t="s">
        <v>684</v>
      </c>
      <c r="J29" s="472">
        <f>Premium!L22</f>
        <v>1715</v>
      </c>
      <c r="K29" s="466">
        <v>1.0</v>
      </c>
      <c r="L29" s="467">
        <f t="shared" si="10"/>
        <v>5145</v>
      </c>
      <c r="M29" s="452"/>
      <c r="N29" s="368"/>
      <c r="O29" s="368"/>
      <c r="P29" s="368"/>
      <c r="Q29" s="369"/>
      <c r="R29" s="369"/>
      <c r="S29" s="452"/>
      <c r="T29" s="474"/>
      <c r="U29" s="452">
        <v>3451.0</v>
      </c>
      <c r="V29" s="369"/>
      <c r="W29" s="369"/>
      <c r="X29" s="369"/>
      <c r="Y29" s="369"/>
      <c r="Z29" s="369"/>
      <c r="AA29" s="369"/>
      <c r="AB29" s="369"/>
      <c r="AC29" s="369"/>
      <c r="AD29" s="369"/>
      <c r="AE29" s="369"/>
      <c r="AF29" s="369"/>
      <c r="AG29" s="369"/>
      <c r="AH29" s="369"/>
      <c r="AI29" s="369"/>
      <c r="AJ29" s="369"/>
      <c r="AK29" s="369"/>
      <c r="AL29" s="369"/>
      <c r="AM29" s="369"/>
      <c r="AN29" s="369"/>
      <c r="AO29" s="369"/>
    </row>
    <row r="30" ht="13.5" customHeight="1">
      <c r="A30" s="458"/>
      <c r="B30" s="461" t="str">
        <f>Premium!I3</f>
        <v>Supply and installation of Base storage unit  with BWP Carcass, HDHMR Boilo Shutter, Smooth finish laminate and soft close hinges  </v>
      </c>
      <c r="C30" s="458">
        <v>2.0</v>
      </c>
      <c r="D30" s="458">
        <v>2.0</v>
      </c>
      <c r="E30" s="469">
        <f t="shared" si="9"/>
        <v>4</v>
      </c>
      <c r="F30" s="470" t="s">
        <v>683</v>
      </c>
      <c r="G30" s="458">
        <v>600.0</v>
      </c>
      <c r="H30" s="458">
        <v>600.0</v>
      </c>
      <c r="I30" s="471" t="s">
        <v>684</v>
      </c>
      <c r="J30" s="472">
        <f>Premium!L3</f>
        <v>1715</v>
      </c>
      <c r="K30" s="466">
        <v>1.0</v>
      </c>
      <c r="L30" s="467">
        <f t="shared" si="10"/>
        <v>6860</v>
      </c>
      <c r="M30" s="452"/>
      <c r="N30" s="368"/>
      <c r="O30" s="368"/>
      <c r="P30" s="368"/>
      <c r="Q30" s="369"/>
      <c r="R30" s="369"/>
      <c r="S30" s="452"/>
      <c r="T30" s="452"/>
      <c r="U30" s="452"/>
      <c r="V30" s="369"/>
      <c r="W30" s="369"/>
      <c r="X30" s="369"/>
      <c r="Y30" s="369"/>
      <c r="Z30" s="369"/>
      <c r="AA30" s="369"/>
      <c r="AB30" s="369"/>
      <c r="AC30" s="369"/>
      <c r="AD30" s="369"/>
      <c r="AE30" s="369"/>
      <c r="AF30" s="369"/>
      <c r="AG30" s="369"/>
      <c r="AH30" s="369"/>
      <c r="AI30" s="369"/>
      <c r="AJ30" s="369"/>
      <c r="AK30" s="369"/>
      <c r="AL30" s="369"/>
      <c r="AM30" s="369"/>
      <c r="AN30" s="369"/>
      <c r="AO30" s="369"/>
    </row>
    <row r="31" ht="13.5" customHeight="1">
      <c r="A31" s="458"/>
      <c r="B31" s="461" t="str">
        <f>Premium!I3</f>
        <v>Supply and installation of Base storage unit  with BWP Carcass, HDHMR Boilo Shutter, Smooth finish laminate and soft close hinges  </v>
      </c>
      <c r="C31" s="458">
        <v>3.5</v>
      </c>
      <c r="D31" s="458">
        <v>1.0</v>
      </c>
      <c r="E31" s="469">
        <f t="shared" si="9"/>
        <v>3.5</v>
      </c>
      <c r="F31" s="470" t="s">
        <v>683</v>
      </c>
      <c r="G31" s="458">
        <v>1050.0</v>
      </c>
      <c r="H31" s="458">
        <v>300.0</v>
      </c>
      <c r="I31" s="471" t="s">
        <v>684</v>
      </c>
      <c r="J31" s="472">
        <f>Premium!L3</f>
        <v>1715</v>
      </c>
      <c r="K31" s="466">
        <v>1.0</v>
      </c>
      <c r="L31" s="467">
        <f t="shared" si="10"/>
        <v>6002.5</v>
      </c>
      <c r="M31" s="452"/>
      <c r="N31" s="368"/>
      <c r="O31" s="368"/>
      <c r="P31" s="368"/>
      <c r="Q31" s="369"/>
      <c r="R31" s="369"/>
      <c r="S31" s="452"/>
      <c r="T31" s="452"/>
      <c r="U31" s="452"/>
      <c r="V31" s="369"/>
      <c r="W31" s="369"/>
      <c r="X31" s="369"/>
      <c r="Y31" s="369"/>
      <c r="Z31" s="369"/>
      <c r="AA31" s="369"/>
      <c r="AB31" s="369"/>
      <c r="AC31" s="369"/>
      <c r="AD31" s="369"/>
      <c r="AE31" s="369"/>
      <c r="AF31" s="369"/>
      <c r="AG31" s="369"/>
      <c r="AH31" s="369"/>
      <c r="AI31" s="369"/>
      <c r="AJ31" s="369"/>
      <c r="AK31" s="369"/>
      <c r="AL31" s="369"/>
      <c r="AM31" s="369"/>
      <c r="AN31" s="369"/>
      <c r="AO31" s="369"/>
    </row>
    <row r="32" ht="13.5" customHeight="1">
      <c r="A32" s="458"/>
      <c r="B32" s="461" t="str">
        <f>Premium!I29</f>
        <v>Supply and installation of Wall Panel with BWP Ply Frame, Smooth Finish laminate </v>
      </c>
      <c r="C32" s="458">
        <v>16.0</v>
      </c>
      <c r="D32" s="458">
        <v>4.0</v>
      </c>
      <c r="E32" s="469">
        <f t="shared" si="9"/>
        <v>64</v>
      </c>
      <c r="F32" s="470" t="s">
        <v>683</v>
      </c>
      <c r="G32" s="458">
        <v>4800.0</v>
      </c>
      <c r="H32" s="458">
        <v>1200.0</v>
      </c>
      <c r="I32" s="471" t="s">
        <v>684</v>
      </c>
      <c r="J32" s="472">
        <f>Premium!L29</f>
        <v>1050</v>
      </c>
      <c r="K32" s="466">
        <v>1.0</v>
      </c>
      <c r="L32" s="467">
        <f t="shared" si="10"/>
        <v>67200</v>
      </c>
      <c r="M32" s="452"/>
      <c r="N32" s="368"/>
      <c r="O32" s="368"/>
      <c r="P32" s="368"/>
      <c r="Q32" s="369"/>
      <c r="R32" s="369"/>
      <c r="S32" s="452"/>
      <c r="T32" s="452"/>
      <c r="U32" s="452"/>
      <c r="V32" s="369"/>
      <c r="W32" s="369"/>
      <c r="X32" s="369"/>
      <c r="Y32" s="369"/>
      <c r="Z32" s="369"/>
      <c r="AA32" s="369"/>
      <c r="AB32" s="369"/>
      <c r="AC32" s="369"/>
      <c r="AD32" s="369"/>
      <c r="AE32" s="369"/>
      <c r="AF32" s="369"/>
      <c r="AG32" s="369"/>
      <c r="AH32" s="369"/>
      <c r="AI32" s="369"/>
      <c r="AJ32" s="369"/>
      <c r="AK32" s="369"/>
      <c r="AL32" s="369"/>
      <c r="AM32" s="369"/>
      <c r="AN32" s="369"/>
      <c r="AO32" s="369"/>
    </row>
    <row r="33" ht="13.5" customHeight="1">
      <c r="A33" s="458"/>
      <c r="B33" s="495" t="s">
        <v>911</v>
      </c>
      <c r="C33" s="460"/>
      <c r="D33" s="460"/>
      <c r="E33" s="460"/>
      <c r="F33" s="460"/>
      <c r="G33" s="460"/>
      <c r="H33" s="460"/>
      <c r="I33" s="460"/>
      <c r="J33" s="460"/>
      <c r="K33" s="460"/>
      <c r="L33" s="460"/>
      <c r="M33" s="452"/>
      <c r="N33" s="368"/>
      <c r="O33" s="368"/>
      <c r="P33" s="368"/>
      <c r="Q33" s="369"/>
      <c r="R33" s="369"/>
      <c r="S33" s="452"/>
      <c r="T33" s="452"/>
      <c r="U33" s="452"/>
      <c r="V33" s="369"/>
      <c r="W33" s="369"/>
      <c r="X33" s="369"/>
      <c r="Y33" s="369"/>
      <c r="Z33" s="369"/>
      <c r="AA33" s="369"/>
      <c r="AB33" s="369"/>
      <c r="AC33" s="369"/>
      <c r="AD33" s="369"/>
      <c r="AE33" s="369"/>
      <c r="AF33" s="369"/>
      <c r="AG33" s="369"/>
      <c r="AH33" s="369"/>
      <c r="AI33" s="369"/>
      <c r="AJ33" s="369"/>
      <c r="AK33" s="369"/>
      <c r="AL33" s="369"/>
      <c r="AM33" s="369"/>
      <c r="AN33" s="369"/>
      <c r="AO33" s="369"/>
    </row>
    <row r="34" ht="13.5" customHeight="1">
      <c r="A34" s="458"/>
      <c r="B34" s="461" t="str">
        <f>Premium!I3</f>
        <v>Supply and installation of Base storage unit  with BWP Carcass, HDHMR Boilo Shutter, Smooth finish laminate and soft close hinges  </v>
      </c>
      <c r="C34" s="458">
        <v>2.0</v>
      </c>
      <c r="D34" s="458">
        <v>4.0</v>
      </c>
      <c r="E34" s="469">
        <f>C34*D34</f>
        <v>8</v>
      </c>
      <c r="F34" s="470" t="s">
        <v>683</v>
      </c>
      <c r="G34" s="458">
        <v>600.0</v>
      </c>
      <c r="H34" s="458">
        <v>1200.0</v>
      </c>
      <c r="I34" s="471" t="s">
        <v>684</v>
      </c>
      <c r="J34" s="472">
        <f>Premium!L3</f>
        <v>1715</v>
      </c>
      <c r="K34" s="466">
        <v>1.0</v>
      </c>
      <c r="L34" s="467">
        <f>K34*J34*E34</f>
        <v>13720</v>
      </c>
      <c r="M34" s="452"/>
      <c r="N34" s="368"/>
      <c r="O34" s="368"/>
      <c r="P34" s="368"/>
      <c r="Q34" s="369"/>
      <c r="R34" s="369"/>
      <c r="S34" s="452"/>
      <c r="T34" s="452"/>
      <c r="U34" s="452"/>
      <c r="V34" s="369"/>
      <c r="W34" s="369"/>
      <c r="X34" s="369"/>
      <c r="Y34" s="369"/>
      <c r="Z34" s="369"/>
      <c r="AA34" s="369"/>
      <c r="AB34" s="369"/>
      <c r="AC34" s="369"/>
      <c r="AD34" s="369"/>
      <c r="AE34" s="369"/>
      <c r="AF34" s="369"/>
      <c r="AG34" s="369"/>
      <c r="AH34" s="369"/>
      <c r="AI34" s="369"/>
      <c r="AJ34" s="369"/>
      <c r="AK34" s="369"/>
      <c r="AL34" s="369"/>
      <c r="AM34" s="369"/>
      <c r="AN34" s="369"/>
      <c r="AO34" s="369"/>
    </row>
    <row r="35" ht="13.5" customHeight="1">
      <c r="A35" s="454"/>
      <c r="B35" s="494" t="s">
        <v>912</v>
      </c>
      <c r="C35" s="454"/>
      <c r="D35" s="454"/>
      <c r="E35" s="454"/>
      <c r="F35" s="454"/>
      <c r="G35" s="454"/>
      <c r="H35" s="454"/>
      <c r="I35" s="454"/>
      <c r="J35" s="454"/>
      <c r="K35" s="454"/>
      <c r="L35" s="454"/>
      <c r="M35" s="452"/>
      <c r="N35" s="368"/>
      <c r="O35" s="368"/>
      <c r="P35" s="368"/>
      <c r="Q35" s="369"/>
      <c r="R35" s="369"/>
      <c r="S35" s="452"/>
      <c r="T35" s="452"/>
      <c r="U35" s="452"/>
      <c r="V35" s="369"/>
      <c r="W35" s="369"/>
      <c r="X35" s="369"/>
      <c r="Y35" s="369"/>
      <c r="Z35" s="369"/>
      <c r="AA35" s="369"/>
      <c r="AB35" s="369"/>
      <c r="AC35" s="369"/>
      <c r="AD35" s="369"/>
      <c r="AE35" s="369"/>
      <c r="AF35" s="369"/>
      <c r="AG35" s="369"/>
      <c r="AH35" s="369"/>
      <c r="AI35" s="369"/>
      <c r="AJ35" s="369"/>
      <c r="AK35" s="369"/>
      <c r="AL35" s="369"/>
      <c r="AM35" s="369"/>
      <c r="AN35" s="369"/>
      <c r="AO35" s="369"/>
    </row>
    <row r="36" ht="13.5" customHeight="1">
      <c r="A36" s="458"/>
      <c r="B36" s="473" t="s">
        <v>913</v>
      </c>
      <c r="C36" s="460"/>
      <c r="D36" s="460"/>
      <c r="E36" s="460"/>
      <c r="F36" s="460"/>
      <c r="G36" s="460"/>
      <c r="H36" s="460"/>
      <c r="I36" s="460"/>
      <c r="J36" s="460"/>
      <c r="K36" s="460"/>
      <c r="L36" s="460"/>
      <c r="M36" s="452"/>
      <c r="N36" s="368"/>
      <c r="O36" s="368"/>
      <c r="P36" s="368"/>
      <c r="Q36" s="369"/>
      <c r="R36" s="369"/>
      <c r="S36" s="452"/>
      <c r="T36" s="452"/>
      <c r="U36" s="452"/>
      <c r="V36" s="369"/>
      <c r="W36" s="369"/>
      <c r="X36" s="369"/>
      <c r="Y36" s="369"/>
      <c r="Z36" s="369"/>
      <c r="AA36" s="369"/>
      <c r="AB36" s="369"/>
      <c r="AC36" s="369"/>
      <c r="AD36" s="369"/>
      <c r="AE36" s="369"/>
      <c r="AF36" s="369"/>
      <c r="AG36" s="369"/>
      <c r="AH36" s="369"/>
      <c r="AI36" s="369"/>
      <c r="AJ36" s="369"/>
      <c r="AK36" s="369"/>
      <c r="AL36" s="369"/>
      <c r="AM36" s="369"/>
      <c r="AN36" s="369"/>
      <c r="AO36" s="369"/>
    </row>
    <row r="37" ht="13.5" customHeight="1">
      <c r="A37" s="458"/>
      <c r="B37" s="461" t="str">
        <f>Premium!I80</f>
        <v>Supply and installation of Base storage unit  with BWP Carcass, HDHMR Boilo Shutter, MR+ finish laminate and soft close hinges  </v>
      </c>
      <c r="C37" s="458">
        <v>10.0</v>
      </c>
      <c r="D37" s="458">
        <v>1.0</v>
      </c>
      <c r="E37" s="469">
        <f t="shared" ref="E37:E42" si="11">C37*D37</f>
        <v>10</v>
      </c>
      <c r="F37" s="470" t="s">
        <v>683</v>
      </c>
      <c r="G37" s="458">
        <v>3000.0</v>
      </c>
      <c r="H37" s="458">
        <v>300.0</v>
      </c>
      <c r="I37" s="471" t="s">
        <v>684</v>
      </c>
      <c r="J37" s="472">
        <f>Premium!L80</f>
        <v>1815</v>
      </c>
      <c r="K37" s="466">
        <v>1.0</v>
      </c>
      <c r="L37" s="467">
        <f t="shared" ref="L37:L42" si="12">K37*J37*E37</f>
        <v>18150</v>
      </c>
      <c r="M37" s="475" t="s">
        <v>914</v>
      </c>
      <c r="N37" s="368"/>
      <c r="O37" s="368"/>
      <c r="P37" s="368"/>
      <c r="Q37" s="369"/>
      <c r="R37" s="369"/>
      <c r="S37" s="452"/>
      <c r="T37" s="452"/>
      <c r="U37" s="452"/>
      <c r="V37" s="369"/>
      <c r="W37" s="369"/>
      <c r="X37" s="369"/>
      <c r="Y37" s="369"/>
      <c r="Z37" s="369"/>
      <c r="AA37" s="369"/>
      <c r="AB37" s="369"/>
      <c r="AC37" s="369"/>
      <c r="AD37" s="369"/>
      <c r="AE37" s="369"/>
      <c r="AF37" s="369"/>
      <c r="AG37" s="369"/>
      <c r="AH37" s="369"/>
      <c r="AI37" s="369"/>
      <c r="AJ37" s="369"/>
      <c r="AK37" s="369"/>
      <c r="AL37" s="369"/>
      <c r="AM37" s="369"/>
      <c r="AN37" s="369"/>
      <c r="AO37" s="369"/>
    </row>
    <row r="38" ht="13.5" customHeight="1">
      <c r="A38" s="458"/>
      <c r="B38" s="461" t="str">
        <f>Premium!I106</f>
        <v>Supply and installation of Wall Panel with BWP Ply Frame, MR+ laminate </v>
      </c>
      <c r="C38" s="458">
        <v>10.0</v>
      </c>
      <c r="D38" s="458">
        <v>6.0</v>
      </c>
      <c r="E38" s="469">
        <f t="shared" si="11"/>
        <v>60</v>
      </c>
      <c r="F38" s="470" t="s">
        <v>683</v>
      </c>
      <c r="G38" s="458">
        <v>3000.0</v>
      </c>
      <c r="H38" s="458">
        <v>1800.0</v>
      </c>
      <c r="I38" s="471" t="s">
        <v>684</v>
      </c>
      <c r="J38" s="472">
        <f>Premium!L106</f>
        <v>1150</v>
      </c>
      <c r="K38" s="466">
        <v>1.0</v>
      </c>
      <c r="L38" s="467">
        <f t="shared" si="12"/>
        <v>69000</v>
      </c>
      <c r="N38" s="368"/>
      <c r="O38" s="368"/>
      <c r="P38" s="368"/>
      <c r="Q38" s="369"/>
      <c r="R38" s="369"/>
      <c r="S38" s="452"/>
      <c r="T38" s="452"/>
      <c r="U38" s="452"/>
      <c r="V38" s="369"/>
      <c r="W38" s="369"/>
      <c r="X38" s="369"/>
      <c r="Y38" s="369"/>
      <c r="Z38" s="369"/>
      <c r="AA38" s="369"/>
      <c r="AB38" s="369"/>
      <c r="AC38" s="369"/>
      <c r="AD38" s="369"/>
      <c r="AE38" s="369"/>
      <c r="AF38" s="369"/>
      <c r="AG38" s="369"/>
      <c r="AH38" s="369"/>
      <c r="AI38" s="369"/>
      <c r="AJ38" s="369"/>
      <c r="AK38" s="369"/>
      <c r="AL38" s="369"/>
      <c r="AM38" s="369"/>
      <c r="AN38" s="369"/>
      <c r="AO38" s="369"/>
    </row>
    <row r="39" ht="13.5" customHeight="1">
      <c r="A39" s="458"/>
      <c r="B39" s="461" t="str">
        <f>Premium!I100</f>
        <v>Supply and installation of Open Unit - 1mm with BWP Carcass, MR+ laminate </v>
      </c>
      <c r="C39" s="458">
        <v>2.0</v>
      </c>
      <c r="D39" s="458">
        <v>6.0</v>
      </c>
      <c r="E39" s="469">
        <f t="shared" si="11"/>
        <v>12</v>
      </c>
      <c r="F39" s="470" t="s">
        <v>683</v>
      </c>
      <c r="G39" s="458">
        <v>600.0</v>
      </c>
      <c r="H39" s="458">
        <v>1800.0</v>
      </c>
      <c r="I39" s="471" t="s">
        <v>684</v>
      </c>
      <c r="J39" s="472">
        <f>Premium!L100</f>
        <v>1815</v>
      </c>
      <c r="K39" s="466">
        <v>1.0</v>
      </c>
      <c r="L39" s="467">
        <f t="shared" si="12"/>
        <v>21780</v>
      </c>
      <c r="N39" s="368"/>
      <c r="O39" s="368"/>
      <c r="P39" s="368"/>
      <c r="Q39" s="369"/>
      <c r="R39" s="369"/>
      <c r="S39" s="452"/>
      <c r="T39" s="452"/>
      <c r="U39" s="452"/>
      <c r="V39" s="369"/>
      <c r="W39" s="369"/>
      <c r="X39" s="369"/>
      <c r="Y39" s="369"/>
      <c r="Z39" s="369"/>
      <c r="AA39" s="369"/>
      <c r="AB39" s="369"/>
      <c r="AC39" s="369"/>
      <c r="AD39" s="369"/>
      <c r="AE39" s="369"/>
      <c r="AF39" s="369"/>
      <c r="AG39" s="369"/>
      <c r="AH39" s="369"/>
      <c r="AI39" s="369"/>
      <c r="AJ39" s="369"/>
      <c r="AK39" s="369"/>
      <c r="AL39" s="369"/>
      <c r="AM39" s="369"/>
      <c r="AN39" s="369"/>
      <c r="AO39" s="369"/>
    </row>
    <row r="40" ht="13.5" customHeight="1">
      <c r="A40" s="458"/>
      <c r="B40" s="461" t="str">
        <f>Premium!I109</f>
        <v>Supply and installation of Ceiling Panel with BWP Ply Frame, MR+ laminate </v>
      </c>
      <c r="C40" s="458">
        <v>4.0</v>
      </c>
      <c r="D40" s="458">
        <v>8.0</v>
      </c>
      <c r="E40" s="469">
        <f t="shared" si="11"/>
        <v>32</v>
      </c>
      <c r="F40" s="470" t="s">
        <v>683</v>
      </c>
      <c r="G40" s="458">
        <v>1200.0</v>
      </c>
      <c r="H40" s="458">
        <v>2400.0</v>
      </c>
      <c r="I40" s="471" t="s">
        <v>684</v>
      </c>
      <c r="J40" s="472">
        <f>Premium!L106</f>
        <v>1150</v>
      </c>
      <c r="K40" s="466">
        <v>1.0</v>
      </c>
      <c r="L40" s="467">
        <f t="shared" si="12"/>
        <v>36800</v>
      </c>
      <c r="N40" s="368"/>
      <c r="O40" s="368"/>
      <c r="P40" s="368"/>
      <c r="Q40" s="369"/>
      <c r="R40" s="369"/>
      <c r="S40" s="452"/>
      <c r="T40" s="452"/>
      <c r="U40" s="452"/>
      <c r="V40" s="369"/>
      <c r="W40" s="369"/>
      <c r="X40" s="369"/>
      <c r="Y40" s="369"/>
      <c r="Z40" s="369"/>
      <c r="AA40" s="369"/>
      <c r="AB40" s="369"/>
      <c r="AC40" s="369"/>
      <c r="AD40" s="369"/>
      <c r="AE40" s="369"/>
      <c r="AF40" s="369"/>
      <c r="AG40" s="369"/>
      <c r="AH40" s="369"/>
      <c r="AI40" s="369"/>
      <c r="AJ40" s="369"/>
      <c r="AK40" s="369"/>
      <c r="AL40" s="369"/>
      <c r="AM40" s="369"/>
      <c r="AN40" s="369"/>
      <c r="AO40" s="369"/>
    </row>
    <row r="41" ht="13.5" customHeight="1">
      <c r="A41" s="458"/>
      <c r="B41" s="461" t="str">
        <f>Premium!I80</f>
        <v>Supply and installation of Base storage unit  with BWP Carcass, HDHMR Boilo Shutter, MR+ finish laminate and soft close hinges  </v>
      </c>
      <c r="C41" s="458">
        <v>4.0</v>
      </c>
      <c r="D41" s="458">
        <v>2.5</v>
      </c>
      <c r="E41" s="469">
        <f t="shared" si="11"/>
        <v>10</v>
      </c>
      <c r="F41" s="470" t="s">
        <v>683</v>
      </c>
      <c r="G41" s="458">
        <v>1200.0</v>
      </c>
      <c r="H41" s="458">
        <v>750.0</v>
      </c>
      <c r="I41" s="471" t="s">
        <v>684</v>
      </c>
      <c r="J41" s="472">
        <f>Premium!L80</f>
        <v>1815</v>
      </c>
      <c r="K41" s="466">
        <v>1.0</v>
      </c>
      <c r="L41" s="467">
        <f t="shared" si="12"/>
        <v>18150</v>
      </c>
      <c r="N41" s="368"/>
      <c r="O41" s="368"/>
      <c r="P41" s="368"/>
      <c r="Q41" s="369"/>
      <c r="R41" s="369"/>
      <c r="S41" s="452"/>
      <c r="T41" s="452"/>
      <c r="U41" s="452"/>
      <c r="V41" s="369"/>
      <c r="W41" s="369"/>
      <c r="X41" s="369"/>
      <c r="Y41" s="369"/>
      <c r="Z41" s="369"/>
      <c r="AA41" s="369"/>
      <c r="AB41" s="369"/>
      <c r="AC41" s="369"/>
      <c r="AD41" s="369"/>
      <c r="AE41" s="369"/>
      <c r="AF41" s="369"/>
      <c r="AG41" s="369"/>
      <c r="AH41" s="369"/>
      <c r="AI41" s="369"/>
      <c r="AJ41" s="369"/>
      <c r="AK41" s="369"/>
      <c r="AL41" s="369"/>
      <c r="AM41" s="369"/>
      <c r="AN41" s="369"/>
      <c r="AO41" s="369"/>
    </row>
    <row r="42" ht="13.5" customHeight="1">
      <c r="A42" s="458"/>
      <c r="B42" s="461" t="str">
        <f>Premium!I105</f>
        <v>Supply and installation of Partition - 75mm with BWP Ply Frame, MR+ laminate </v>
      </c>
      <c r="C42" s="458">
        <v>4.0</v>
      </c>
      <c r="D42" s="458">
        <v>8.0</v>
      </c>
      <c r="E42" s="469">
        <f t="shared" si="11"/>
        <v>32</v>
      </c>
      <c r="F42" s="470" t="s">
        <v>683</v>
      </c>
      <c r="G42" s="458">
        <v>1200.0</v>
      </c>
      <c r="H42" s="458">
        <v>2400.0</v>
      </c>
      <c r="I42" s="471" t="s">
        <v>684</v>
      </c>
      <c r="J42" s="472">
        <f>Premium!L105</f>
        <v>1775</v>
      </c>
      <c r="K42" s="466">
        <v>1.0</v>
      </c>
      <c r="L42" s="467">
        <f t="shared" si="12"/>
        <v>56800</v>
      </c>
      <c r="N42" s="368"/>
      <c r="O42" s="368"/>
      <c r="P42" s="368"/>
      <c r="Q42" s="369"/>
      <c r="R42" s="369"/>
      <c r="S42" s="452"/>
      <c r="T42" s="452"/>
      <c r="U42" s="452"/>
      <c r="V42" s="369"/>
      <c r="W42" s="369"/>
      <c r="X42" s="369"/>
      <c r="Y42" s="369"/>
      <c r="Z42" s="369"/>
      <c r="AA42" s="369"/>
      <c r="AB42" s="369"/>
      <c r="AC42" s="369"/>
      <c r="AD42" s="369"/>
      <c r="AE42" s="369"/>
      <c r="AF42" s="369"/>
      <c r="AG42" s="369"/>
      <c r="AH42" s="369"/>
      <c r="AI42" s="369"/>
      <c r="AJ42" s="369"/>
      <c r="AK42" s="369"/>
      <c r="AL42" s="369"/>
      <c r="AM42" s="369"/>
      <c r="AN42" s="369"/>
      <c r="AO42" s="369"/>
    </row>
    <row r="43" ht="13.5" customHeight="1">
      <c r="A43" s="458"/>
      <c r="B43" s="495" t="s">
        <v>937</v>
      </c>
      <c r="C43" s="460"/>
      <c r="D43" s="460"/>
      <c r="E43" s="460"/>
      <c r="F43" s="460"/>
      <c r="G43" s="460"/>
      <c r="H43" s="460"/>
      <c r="I43" s="460"/>
      <c r="J43" s="460"/>
      <c r="K43" s="460"/>
      <c r="L43" s="460"/>
      <c r="M43" s="452"/>
      <c r="N43" s="368"/>
      <c r="O43" s="368"/>
      <c r="P43" s="368"/>
      <c r="Q43" s="369"/>
      <c r="R43" s="369"/>
      <c r="S43" s="452"/>
      <c r="T43" s="452"/>
      <c r="U43" s="452"/>
      <c r="V43" s="369"/>
      <c r="W43" s="369"/>
      <c r="X43" s="369"/>
      <c r="Y43" s="369"/>
      <c r="Z43" s="369"/>
      <c r="AA43" s="369"/>
      <c r="AB43" s="369"/>
      <c r="AC43" s="369"/>
      <c r="AD43" s="369"/>
      <c r="AE43" s="369"/>
      <c r="AF43" s="369"/>
      <c r="AG43" s="369"/>
      <c r="AH43" s="369"/>
      <c r="AI43" s="369"/>
      <c r="AJ43" s="369"/>
      <c r="AK43" s="369"/>
      <c r="AL43" s="369"/>
      <c r="AM43" s="369"/>
      <c r="AN43" s="369"/>
      <c r="AO43" s="369"/>
    </row>
    <row r="44" ht="13.5" customHeight="1">
      <c r="A44" s="458"/>
      <c r="B44" s="461" t="str">
        <f>Premium!I37</f>
        <v>Supply and installation of Base storage unit  with BWP Carcass, HDHMR Boilo Shutter, Glossy finish laminate and soft close hinges  </v>
      </c>
      <c r="C44" s="458">
        <v>14.0</v>
      </c>
      <c r="D44" s="458">
        <v>2.0</v>
      </c>
      <c r="E44" s="469">
        <f t="shared" ref="E44:E48" si="13">C44*D44</f>
        <v>28</v>
      </c>
      <c r="F44" s="470" t="s">
        <v>683</v>
      </c>
      <c r="G44" s="458">
        <v>4200.0</v>
      </c>
      <c r="H44" s="458">
        <v>600.0</v>
      </c>
      <c r="I44" s="471" t="s">
        <v>684</v>
      </c>
      <c r="J44" s="472">
        <f>Premium!L37</f>
        <v>1765</v>
      </c>
      <c r="K44" s="466">
        <v>1.0</v>
      </c>
      <c r="L44" s="467">
        <f t="shared" ref="L44:L48" si="14">K44*J44*E44</f>
        <v>49420</v>
      </c>
      <c r="M44" s="475" t="s">
        <v>909</v>
      </c>
      <c r="N44" s="368"/>
      <c r="O44" s="368"/>
      <c r="P44" s="368"/>
      <c r="Q44" s="369"/>
      <c r="R44" s="369"/>
      <c r="S44" s="452"/>
      <c r="T44" s="452"/>
      <c r="U44" s="452"/>
      <c r="V44" s="369"/>
      <c r="W44" s="369"/>
      <c r="X44" s="369"/>
      <c r="Y44" s="369"/>
      <c r="Z44" s="369"/>
      <c r="AA44" s="369"/>
      <c r="AB44" s="369"/>
      <c r="AC44" s="369"/>
      <c r="AD44" s="369"/>
      <c r="AE44" s="369"/>
      <c r="AF44" s="369"/>
      <c r="AG44" s="369"/>
      <c r="AH44" s="369"/>
      <c r="AI44" s="369"/>
      <c r="AJ44" s="369"/>
      <c r="AK44" s="369"/>
      <c r="AL44" s="369"/>
      <c r="AM44" s="369"/>
      <c r="AN44" s="369"/>
      <c r="AO44" s="369"/>
    </row>
    <row r="45" ht="13.5" customHeight="1">
      <c r="A45" s="458"/>
      <c r="B45" s="461" t="str">
        <f>Premium!I39</f>
        <v>Supply and installation of Tall storage unit  with BWP Carcass, HDHMR Boilo Shutter, Glossy finish laminate and soft close hinges  </v>
      </c>
      <c r="C45" s="458">
        <v>3.0</v>
      </c>
      <c r="D45" s="458">
        <v>7.0</v>
      </c>
      <c r="E45" s="469">
        <f t="shared" si="13"/>
        <v>21</v>
      </c>
      <c r="F45" s="470" t="s">
        <v>683</v>
      </c>
      <c r="G45" s="458">
        <v>900.0</v>
      </c>
      <c r="H45" s="458">
        <v>2100.0</v>
      </c>
      <c r="I45" s="471" t="s">
        <v>684</v>
      </c>
      <c r="J45" s="472">
        <f>Premium!L37</f>
        <v>1765</v>
      </c>
      <c r="K45" s="466">
        <v>1.0</v>
      </c>
      <c r="L45" s="467">
        <f t="shared" si="14"/>
        <v>37065</v>
      </c>
      <c r="N45" s="368"/>
      <c r="O45" s="368"/>
      <c r="P45" s="368"/>
      <c r="Q45" s="369"/>
      <c r="R45" s="369"/>
      <c r="S45" s="452"/>
      <c r="T45" s="452"/>
      <c r="U45" s="452"/>
      <c r="V45" s="369"/>
      <c r="W45" s="369"/>
      <c r="X45" s="369"/>
      <c r="Y45" s="369"/>
      <c r="Z45" s="369"/>
      <c r="AA45" s="369"/>
      <c r="AB45" s="369"/>
      <c r="AC45" s="369"/>
      <c r="AD45" s="369"/>
      <c r="AE45" s="369"/>
      <c r="AF45" s="369"/>
      <c r="AG45" s="369"/>
      <c r="AH45" s="369"/>
      <c r="AI45" s="369"/>
      <c r="AJ45" s="369"/>
      <c r="AK45" s="369"/>
      <c r="AL45" s="369"/>
      <c r="AM45" s="369"/>
      <c r="AN45" s="369"/>
      <c r="AO45" s="369"/>
    </row>
    <row r="46" ht="13.5" customHeight="1">
      <c r="A46" s="458"/>
      <c r="B46" s="461" t="str">
        <f>Premium!I73</f>
        <v>Supply and installation of Wall Panel with BWP Ply Frame, Glossy Finish laminate </v>
      </c>
      <c r="C46" s="458">
        <v>10.0</v>
      </c>
      <c r="D46" s="458">
        <v>6.0</v>
      </c>
      <c r="E46" s="469">
        <f t="shared" si="13"/>
        <v>60</v>
      </c>
      <c r="F46" s="470" t="s">
        <v>683</v>
      </c>
      <c r="G46" s="458">
        <v>3000.0</v>
      </c>
      <c r="H46" s="458">
        <v>1800.0</v>
      </c>
      <c r="I46" s="471" t="s">
        <v>684</v>
      </c>
      <c r="J46" s="472">
        <f>Premium!L73</f>
        <v>1100</v>
      </c>
      <c r="K46" s="466">
        <v>1.0</v>
      </c>
      <c r="L46" s="467">
        <f t="shared" si="14"/>
        <v>66000</v>
      </c>
      <c r="N46" s="368"/>
      <c r="O46" s="368"/>
      <c r="P46" s="368"/>
      <c r="Q46" s="369"/>
      <c r="R46" s="369"/>
      <c r="S46" s="452"/>
      <c r="T46" s="452"/>
      <c r="U46" s="452"/>
      <c r="V46" s="369"/>
      <c r="W46" s="369"/>
      <c r="X46" s="369"/>
      <c r="Y46" s="369"/>
      <c r="Z46" s="369"/>
      <c r="AA46" s="369"/>
      <c r="AB46" s="369"/>
      <c r="AC46" s="369"/>
      <c r="AD46" s="369"/>
      <c r="AE46" s="369"/>
      <c r="AF46" s="369"/>
      <c r="AG46" s="369"/>
      <c r="AH46" s="369"/>
      <c r="AI46" s="369"/>
      <c r="AJ46" s="369"/>
      <c r="AK46" s="369"/>
      <c r="AL46" s="369"/>
      <c r="AM46" s="369"/>
      <c r="AN46" s="369"/>
      <c r="AO46" s="369"/>
    </row>
    <row r="47" ht="13.5" customHeight="1">
      <c r="A47" s="458"/>
      <c r="B47" s="461" t="str">
        <f>Premium!I72</f>
        <v>Supply and installation of Curved Wall Panel with BWP Ply Frame, Glossy Finish laminate </v>
      </c>
      <c r="C47" s="458">
        <v>4.0</v>
      </c>
      <c r="D47" s="458">
        <v>5.0</v>
      </c>
      <c r="E47" s="469">
        <f t="shared" si="13"/>
        <v>20</v>
      </c>
      <c r="F47" s="470" t="s">
        <v>683</v>
      </c>
      <c r="G47" s="458">
        <v>1200.0</v>
      </c>
      <c r="H47" s="458">
        <v>1500.0</v>
      </c>
      <c r="I47" s="471" t="s">
        <v>684</v>
      </c>
      <c r="J47" s="472">
        <f>Premium!L72</f>
        <v>1058</v>
      </c>
      <c r="K47" s="466">
        <v>1.0</v>
      </c>
      <c r="L47" s="467">
        <f t="shared" si="14"/>
        <v>21160</v>
      </c>
      <c r="N47" s="368"/>
      <c r="O47" s="368"/>
      <c r="P47" s="368"/>
      <c r="Q47" s="369"/>
      <c r="R47" s="369"/>
      <c r="S47" s="452"/>
      <c r="T47" s="452"/>
      <c r="U47" s="452"/>
      <c r="V47" s="369"/>
      <c r="W47" s="369"/>
      <c r="X47" s="369"/>
      <c r="Y47" s="369"/>
      <c r="Z47" s="369"/>
      <c r="AA47" s="369"/>
      <c r="AB47" s="369"/>
      <c r="AC47" s="369"/>
      <c r="AD47" s="369"/>
      <c r="AE47" s="369"/>
      <c r="AF47" s="369"/>
      <c r="AG47" s="369"/>
      <c r="AH47" s="369"/>
      <c r="AI47" s="369"/>
      <c r="AJ47" s="369"/>
      <c r="AK47" s="369"/>
      <c r="AL47" s="369"/>
      <c r="AM47" s="369"/>
      <c r="AN47" s="369"/>
      <c r="AO47" s="369"/>
    </row>
    <row r="48" ht="13.5" customHeight="1">
      <c r="A48" s="458"/>
      <c r="B48" s="461" t="str">
        <f>Premium!I76</f>
        <v>Supply and installation of Ceiling Panel with BWP Ply Frame, Glossy Finish laminate </v>
      </c>
      <c r="C48" s="458">
        <v>3.0</v>
      </c>
      <c r="D48" s="458">
        <v>7.0</v>
      </c>
      <c r="E48" s="469">
        <f t="shared" si="13"/>
        <v>21</v>
      </c>
      <c r="F48" s="470" t="s">
        <v>683</v>
      </c>
      <c r="G48" s="458">
        <v>900.0</v>
      </c>
      <c r="H48" s="458">
        <v>2100.0</v>
      </c>
      <c r="I48" s="471" t="s">
        <v>684</v>
      </c>
      <c r="J48" s="472">
        <f>Premium!L73</f>
        <v>1100</v>
      </c>
      <c r="K48" s="466">
        <v>1.0</v>
      </c>
      <c r="L48" s="467">
        <f t="shared" si="14"/>
        <v>23100</v>
      </c>
      <c r="N48" s="368"/>
      <c r="O48" s="368"/>
      <c r="P48" s="368"/>
      <c r="Q48" s="369"/>
      <c r="R48" s="369"/>
      <c r="S48" s="452"/>
      <c r="T48" s="452"/>
      <c r="U48" s="452"/>
      <c r="V48" s="369"/>
      <c r="W48" s="369"/>
      <c r="X48" s="369"/>
      <c r="Y48" s="369"/>
      <c r="Z48" s="369"/>
      <c r="AA48" s="369"/>
      <c r="AB48" s="369"/>
      <c r="AC48" s="369"/>
      <c r="AD48" s="369"/>
      <c r="AE48" s="369"/>
      <c r="AF48" s="369"/>
      <c r="AG48" s="369"/>
      <c r="AH48" s="369"/>
      <c r="AI48" s="369"/>
      <c r="AJ48" s="369"/>
      <c r="AK48" s="369"/>
      <c r="AL48" s="369"/>
      <c r="AM48" s="369"/>
      <c r="AN48" s="369"/>
      <c r="AO48" s="369"/>
    </row>
    <row r="49" ht="13.5" customHeight="1">
      <c r="A49" s="458"/>
      <c r="B49" s="495" t="s">
        <v>762</v>
      </c>
      <c r="C49" s="460"/>
      <c r="D49" s="460"/>
      <c r="E49" s="460"/>
      <c r="F49" s="460"/>
      <c r="G49" s="460"/>
      <c r="H49" s="460"/>
      <c r="I49" s="460"/>
      <c r="J49" s="460"/>
      <c r="K49" s="460"/>
      <c r="L49" s="460"/>
      <c r="M49" s="452"/>
      <c r="N49" s="368"/>
      <c r="O49" s="368"/>
      <c r="P49" s="368"/>
      <c r="Q49" s="369"/>
      <c r="R49" s="369"/>
      <c r="S49" s="452"/>
      <c r="T49" s="452"/>
      <c r="U49" s="452"/>
      <c r="V49" s="369"/>
      <c r="W49" s="369"/>
      <c r="X49" s="369"/>
      <c r="Y49" s="369"/>
      <c r="Z49" s="369"/>
      <c r="AA49" s="369"/>
      <c r="AB49" s="369"/>
      <c r="AC49" s="369"/>
      <c r="AD49" s="369"/>
      <c r="AE49" s="369"/>
      <c r="AF49" s="369"/>
      <c r="AG49" s="369"/>
      <c r="AH49" s="369"/>
      <c r="AI49" s="369"/>
      <c r="AJ49" s="369"/>
      <c r="AK49" s="369"/>
      <c r="AL49" s="369"/>
      <c r="AM49" s="369"/>
      <c r="AN49" s="369"/>
      <c r="AO49" s="369"/>
    </row>
    <row r="50" ht="13.5" customHeight="1">
      <c r="A50" s="458"/>
      <c r="B50" s="461" t="str">
        <f>Premium!I87</f>
        <v>Supply and installation of Base storage unit with BWP Carcass, Black/Silver Aluminium Profile with Clear/Tinted Glass Shutter, MR+ laminate and soft close hinges  </v>
      </c>
      <c r="C50" s="458">
        <v>6.0</v>
      </c>
      <c r="D50" s="458">
        <v>2.75</v>
      </c>
      <c r="E50" s="469">
        <f t="shared" ref="E50:E51" si="15">C50*D50</f>
        <v>16.5</v>
      </c>
      <c r="F50" s="470" t="s">
        <v>683</v>
      </c>
      <c r="G50" s="458">
        <v>1800.0</v>
      </c>
      <c r="H50" s="458">
        <v>825.0</v>
      </c>
      <c r="I50" s="471" t="s">
        <v>684</v>
      </c>
      <c r="J50" s="472">
        <f>Premium!L87</f>
        <v>2450</v>
      </c>
      <c r="K50" s="466">
        <v>1.0</v>
      </c>
      <c r="L50" s="467">
        <f t="shared" ref="L50:L51" si="16">K50*J50*E50</f>
        <v>40425</v>
      </c>
      <c r="M50" s="476" t="s">
        <v>916</v>
      </c>
      <c r="N50" s="368"/>
      <c r="O50" s="368"/>
      <c r="P50" s="368"/>
      <c r="Q50" s="369"/>
      <c r="R50" s="369"/>
      <c r="S50" s="452"/>
      <c r="T50" s="452"/>
      <c r="U50" s="452"/>
      <c r="V50" s="369"/>
      <c r="W50" s="369"/>
      <c r="X50" s="369"/>
      <c r="Y50" s="369"/>
      <c r="Z50" s="369"/>
      <c r="AA50" s="369"/>
      <c r="AB50" s="369"/>
      <c r="AC50" s="369"/>
      <c r="AD50" s="369"/>
      <c r="AE50" s="369"/>
      <c r="AF50" s="369"/>
      <c r="AG50" s="369"/>
      <c r="AH50" s="369"/>
      <c r="AI50" s="369"/>
      <c r="AJ50" s="369"/>
      <c r="AK50" s="369"/>
      <c r="AL50" s="369"/>
      <c r="AM50" s="369"/>
      <c r="AN50" s="369"/>
      <c r="AO50" s="369"/>
    </row>
    <row r="51" ht="13.5" customHeight="1">
      <c r="A51" s="458"/>
      <c r="B51" s="461" t="str">
        <f>Premium!I102</f>
        <v>Supply and installation of Ledge with 25mm Ledge BWP and MR+ Laminate</v>
      </c>
      <c r="C51" s="458">
        <v>6.0</v>
      </c>
      <c r="D51" s="458">
        <v>2.0</v>
      </c>
      <c r="E51" s="469">
        <f t="shared" si="15"/>
        <v>12</v>
      </c>
      <c r="F51" s="470" t="s">
        <v>683</v>
      </c>
      <c r="G51" s="458">
        <v>1800.0</v>
      </c>
      <c r="H51" s="458">
        <v>600.0</v>
      </c>
      <c r="I51" s="471" t="s">
        <v>684</v>
      </c>
      <c r="J51" s="472">
        <f>Premium!L102</f>
        <v>975</v>
      </c>
      <c r="K51" s="466">
        <v>1.0</v>
      </c>
      <c r="L51" s="467">
        <f t="shared" si="16"/>
        <v>11700</v>
      </c>
      <c r="M51" s="452"/>
      <c r="N51" s="368"/>
      <c r="O51" s="368"/>
      <c r="P51" s="368"/>
      <c r="Q51" s="369"/>
      <c r="R51" s="369"/>
      <c r="S51" s="452"/>
      <c r="T51" s="452"/>
      <c r="U51" s="452"/>
      <c r="V51" s="369"/>
      <c r="W51" s="369"/>
      <c r="X51" s="369"/>
      <c r="Y51" s="369"/>
      <c r="Z51" s="369"/>
      <c r="AA51" s="369"/>
      <c r="AB51" s="369"/>
      <c r="AC51" s="369"/>
      <c r="AD51" s="369"/>
      <c r="AE51" s="369"/>
      <c r="AF51" s="369"/>
      <c r="AG51" s="369"/>
      <c r="AH51" s="369"/>
      <c r="AI51" s="369"/>
      <c r="AJ51" s="369"/>
      <c r="AK51" s="369"/>
      <c r="AL51" s="369"/>
      <c r="AM51" s="369"/>
      <c r="AN51" s="369"/>
      <c r="AO51" s="369"/>
    </row>
    <row r="52" ht="13.5" customHeight="1">
      <c r="A52" s="458"/>
      <c r="B52" s="473" t="s">
        <v>917</v>
      </c>
      <c r="C52" s="460"/>
      <c r="D52" s="460"/>
      <c r="E52" s="460"/>
      <c r="F52" s="460"/>
      <c r="G52" s="460"/>
      <c r="H52" s="460"/>
      <c r="I52" s="460"/>
      <c r="J52" s="460"/>
      <c r="K52" s="460"/>
      <c r="L52" s="460"/>
      <c r="M52" s="452"/>
      <c r="N52" s="368"/>
      <c r="O52" s="368"/>
      <c r="P52" s="368"/>
      <c r="Q52" s="369"/>
      <c r="R52" s="369"/>
      <c r="S52" s="452"/>
      <c r="T52" s="452"/>
      <c r="U52" s="452"/>
      <c r="V52" s="369"/>
      <c r="W52" s="369"/>
      <c r="X52" s="369"/>
      <c r="Y52" s="369"/>
      <c r="Z52" s="369"/>
      <c r="AA52" s="369"/>
      <c r="AB52" s="369"/>
      <c r="AC52" s="369"/>
      <c r="AD52" s="369"/>
      <c r="AE52" s="369"/>
      <c r="AF52" s="369"/>
      <c r="AG52" s="369"/>
      <c r="AH52" s="369"/>
      <c r="AI52" s="369"/>
      <c r="AJ52" s="369"/>
      <c r="AK52" s="369"/>
      <c r="AL52" s="369"/>
      <c r="AM52" s="369"/>
      <c r="AN52" s="369"/>
      <c r="AO52" s="369"/>
    </row>
    <row r="53" ht="13.5" customHeight="1">
      <c r="A53" s="458"/>
      <c r="B53" s="461" t="str">
        <f>Premium!I28</f>
        <v>Supply and installation of Curved Wall Panel with BWP Ply Frame, Smooth Finish laminate </v>
      </c>
      <c r="C53" s="458">
        <v>10.0</v>
      </c>
      <c r="D53" s="458">
        <v>1.0</v>
      </c>
      <c r="E53" s="469">
        <f t="shared" ref="E53:E61" si="17">C53*D53</f>
        <v>10</v>
      </c>
      <c r="F53" s="470" t="s">
        <v>683</v>
      </c>
      <c r="G53" s="458">
        <v>3000.0</v>
      </c>
      <c r="H53" s="458">
        <v>300.0</v>
      </c>
      <c r="I53" s="471" t="s">
        <v>684</v>
      </c>
      <c r="J53" s="472">
        <f>Premium!L28</f>
        <v>1008</v>
      </c>
      <c r="K53" s="466">
        <v>1.0</v>
      </c>
      <c r="L53" s="467">
        <f t="shared" ref="L53:L61" si="18">K53*J53*E53</f>
        <v>10080</v>
      </c>
      <c r="M53" s="475" t="s">
        <v>918</v>
      </c>
      <c r="N53" s="368"/>
      <c r="O53" s="368"/>
      <c r="P53" s="368"/>
      <c r="Q53" s="369"/>
      <c r="R53" s="369"/>
      <c r="S53" s="452"/>
      <c r="T53" s="452"/>
      <c r="U53" s="452"/>
      <c r="V53" s="369"/>
      <c r="W53" s="369"/>
      <c r="X53" s="369"/>
      <c r="Y53" s="369"/>
      <c r="Z53" s="369"/>
      <c r="AA53" s="369"/>
      <c r="AB53" s="369"/>
      <c r="AC53" s="369"/>
      <c r="AD53" s="369"/>
      <c r="AE53" s="369"/>
      <c r="AF53" s="369"/>
      <c r="AG53" s="369"/>
      <c r="AH53" s="369"/>
      <c r="AI53" s="369"/>
      <c r="AJ53" s="369"/>
      <c r="AK53" s="369"/>
      <c r="AL53" s="369"/>
      <c r="AM53" s="369"/>
      <c r="AN53" s="369"/>
      <c r="AO53" s="369"/>
    </row>
    <row r="54" ht="13.5" customHeight="1">
      <c r="A54" s="458"/>
      <c r="B54" s="461" t="str">
        <f>Premium!I126</f>
        <v>Supply and installation of Base storage unit with BWP Carcass, HDHMR Boilo Shutter, Acrylic laminate and soft close hinges  </v>
      </c>
      <c r="C54" s="458">
        <v>4.0</v>
      </c>
      <c r="D54" s="458">
        <v>2.75</v>
      </c>
      <c r="E54" s="469">
        <f t="shared" si="17"/>
        <v>11</v>
      </c>
      <c r="F54" s="470" t="s">
        <v>683</v>
      </c>
      <c r="G54" s="458">
        <v>1200.0</v>
      </c>
      <c r="H54" s="458">
        <v>825.0</v>
      </c>
      <c r="I54" s="471" t="s">
        <v>684</v>
      </c>
      <c r="J54" s="472">
        <f>Premium!L126</f>
        <v>1940</v>
      </c>
      <c r="K54" s="466">
        <v>1.0</v>
      </c>
      <c r="L54" s="467">
        <f t="shared" si="18"/>
        <v>21340</v>
      </c>
      <c r="M54" s="452"/>
      <c r="N54" s="368"/>
      <c r="O54" s="368"/>
      <c r="P54" s="368"/>
      <c r="Q54" s="369"/>
      <c r="R54" s="369"/>
      <c r="S54" s="474"/>
      <c r="T54" s="452">
        <v>3451.0</v>
      </c>
      <c r="U54" s="452"/>
      <c r="V54" s="369"/>
      <c r="W54" s="369"/>
      <c r="X54" s="369"/>
      <c r="Y54" s="369"/>
      <c r="Z54" s="369"/>
      <c r="AA54" s="369"/>
      <c r="AB54" s="369"/>
      <c r="AC54" s="369"/>
      <c r="AD54" s="369"/>
      <c r="AE54" s="369"/>
      <c r="AF54" s="369"/>
      <c r="AG54" s="369"/>
      <c r="AH54" s="369"/>
      <c r="AI54" s="369"/>
      <c r="AJ54" s="369"/>
      <c r="AK54" s="369"/>
      <c r="AL54" s="369"/>
      <c r="AM54" s="369"/>
      <c r="AN54" s="369"/>
      <c r="AO54" s="369"/>
    </row>
    <row r="55" ht="13.5" customHeight="1">
      <c r="A55" s="458"/>
      <c r="B55" s="461" t="str">
        <f>Premium!I128</f>
        <v>Supply and installation of Tall storage unit with BWP Carcass, HDHMR Boilo Shutter, Acrylic laminate and soft close hinges  </v>
      </c>
      <c r="C55" s="458">
        <v>2.0</v>
      </c>
      <c r="D55" s="458">
        <v>7.0</v>
      </c>
      <c r="E55" s="469">
        <f t="shared" si="17"/>
        <v>14</v>
      </c>
      <c r="F55" s="470" t="s">
        <v>683</v>
      </c>
      <c r="G55" s="458">
        <v>600.0</v>
      </c>
      <c r="H55" s="458">
        <v>2100.0</v>
      </c>
      <c r="I55" s="471" t="s">
        <v>684</v>
      </c>
      <c r="J55" s="472">
        <f>Premium!L126</f>
        <v>1940</v>
      </c>
      <c r="K55" s="466">
        <v>1.0</v>
      </c>
      <c r="L55" s="467">
        <f t="shared" si="18"/>
        <v>27160</v>
      </c>
      <c r="M55" s="476" t="s">
        <v>919</v>
      </c>
      <c r="N55" s="368"/>
      <c r="O55" s="368"/>
      <c r="P55" s="368"/>
      <c r="Q55" s="369"/>
      <c r="R55" s="369"/>
      <c r="S55" s="452"/>
      <c r="T55" s="452"/>
      <c r="U55" s="452"/>
      <c r="V55" s="369"/>
      <c r="W55" s="369"/>
      <c r="X55" s="369"/>
      <c r="Y55" s="369"/>
      <c r="Z55" s="369"/>
      <c r="AA55" s="369"/>
      <c r="AB55" s="369"/>
      <c r="AC55" s="369"/>
      <c r="AD55" s="369"/>
      <c r="AE55" s="369"/>
      <c r="AF55" s="369"/>
      <c r="AG55" s="369"/>
      <c r="AH55" s="369"/>
      <c r="AI55" s="369"/>
      <c r="AJ55" s="369"/>
      <c r="AK55" s="369"/>
      <c r="AL55" s="369"/>
      <c r="AM55" s="369"/>
      <c r="AN55" s="369"/>
      <c r="AO55" s="369"/>
    </row>
    <row r="56" ht="13.5" customHeight="1">
      <c r="A56" s="458"/>
      <c r="B56" s="461" t="str">
        <f>Premium!I126</f>
        <v>Supply and installation of Base storage unit with BWP Carcass, HDHMR Boilo Shutter, Acrylic laminate and soft close hinges  </v>
      </c>
      <c r="C56" s="458">
        <v>22.0</v>
      </c>
      <c r="D56" s="458">
        <v>2.75</v>
      </c>
      <c r="E56" s="469">
        <f t="shared" si="17"/>
        <v>60.5</v>
      </c>
      <c r="F56" s="470" t="s">
        <v>683</v>
      </c>
      <c r="G56" s="458">
        <v>6600.0</v>
      </c>
      <c r="H56" s="458">
        <v>825.0</v>
      </c>
      <c r="I56" s="471" t="s">
        <v>684</v>
      </c>
      <c r="J56" s="472">
        <f>Premium!L126</f>
        <v>1940</v>
      </c>
      <c r="K56" s="466">
        <v>1.0</v>
      </c>
      <c r="L56" s="467">
        <f t="shared" si="18"/>
        <v>117370</v>
      </c>
      <c r="M56" s="452"/>
      <c r="N56" s="368"/>
      <c r="O56" s="368"/>
      <c r="P56" s="368"/>
      <c r="Q56" s="369"/>
      <c r="R56" s="369"/>
      <c r="S56" s="452"/>
      <c r="T56" s="452"/>
      <c r="U56" s="452"/>
      <c r="V56" s="369"/>
      <c r="W56" s="369"/>
      <c r="X56" s="369"/>
      <c r="Y56" s="369"/>
      <c r="Z56" s="369"/>
      <c r="AA56" s="369"/>
      <c r="AB56" s="369"/>
      <c r="AC56" s="369"/>
      <c r="AD56" s="369"/>
      <c r="AE56" s="369"/>
      <c r="AF56" s="369"/>
      <c r="AG56" s="369"/>
      <c r="AH56" s="369"/>
      <c r="AI56" s="369"/>
      <c r="AJ56" s="369"/>
      <c r="AK56" s="369"/>
      <c r="AL56" s="369"/>
      <c r="AM56" s="369"/>
      <c r="AN56" s="369"/>
      <c r="AO56" s="369"/>
    </row>
    <row r="57" ht="13.5" customHeight="1">
      <c r="A57" s="458"/>
      <c r="B57" s="461" t="str">
        <f>Premium!I127</f>
        <v>Supply and installation of Wall storage unit with BWP Carcass, HDHMR Boilo Shutter, Acrylic laminate and soft close hinges  </v>
      </c>
      <c r="C57" s="458">
        <v>8.0</v>
      </c>
      <c r="D57" s="458">
        <v>2.0</v>
      </c>
      <c r="E57" s="469">
        <f t="shared" si="17"/>
        <v>16</v>
      </c>
      <c r="F57" s="470" t="s">
        <v>683</v>
      </c>
      <c r="G57" s="458">
        <v>2400.0</v>
      </c>
      <c r="H57" s="458">
        <v>600.0</v>
      </c>
      <c r="I57" s="471" t="s">
        <v>684</v>
      </c>
      <c r="J57" s="472">
        <f>Premium!L126</f>
        <v>1940</v>
      </c>
      <c r="K57" s="466">
        <v>1.0</v>
      </c>
      <c r="L57" s="467">
        <f t="shared" si="18"/>
        <v>31040</v>
      </c>
      <c r="M57" s="452"/>
      <c r="N57" s="368"/>
      <c r="O57" s="368"/>
      <c r="P57" s="368"/>
      <c r="Q57" s="369"/>
      <c r="R57" s="369"/>
      <c r="S57" s="452"/>
      <c r="T57" s="452"/>
      <c r="U57" s="452"/>
      <c r="V57" s="369"/>
      <c r="W57" s="369"/>
      <c r="X57" s="369"/>
      <c r="Y57" s="369"/>
      <c r="Z57" s="369"/>
      <c r="AA57" s="369"/>
      <c r="AB57" s="369"/>
      <c r="AC57" s="369"/>
      <c r="AD57" s="369"/>
      <c r="AE57" s="369"/>
      <c r="AF57" s="369"/>
      <c r="AG57" s="369"/>
      <c r="AH57" s="369"/>
      <c r="AI57" s="369"/>
      <c r="AJ57" s="369"/>
      <c r="AK57" s="369"/>
      <c r="AL57" s="369"/>
      <c r="AM57" s="369"/>
      <c r="AN57" s="369"/>
      <c r="AO57" s="369"/>
    </row>
    <row r="58" ht="13.5" customHeight="1">
      <c r="A58" s="458"/>
      <c r="B58" s="461" t="str">
        <f>Premium!I138</f>
        <v>Supply and installation of Base storage unit with BWP Carcass, Black/Silver Aluminium Profile with Clear/Tinted Glass Shutter, Acrylic laminate and soft close hinges  </v>
      </c>
      <c r="C58" s="458">
        <v>3.0</v>
      </c>
      <c r="D58" s="458">
        <v>2.0</v>
      </c>
      <c r="E58" s="469">
        <f t="shared" si="17"/>
        <v>6</v>
      </c>
      <c r="F58" s="470" t="s">
        <v>683</v>
      </c>
      <c r="G58" s="458">
        <v>900.0</v>
      </c>
      <c r="H58" s="458">
        <v>600.0</v>
      </c>
      <c r="I58" s="471" t="s">
        <v>684</v>
      </c>
      <c r="J58" s="472">
        <f>Premium!L138</f>
        <v>2705</v>
      </c>
      <c r="K58" s="466">
        <v>1.0</v>
      </c>
      <c r="L58" s="467">
        <f t="shared" si="18"/>
        <v>16230</v>
      </c>
      <c r="M58" s="452"/>
      <c r="N58" s="368"/>
      <c r="O58" s="368"/>
      <c r="P58" s="368"/>
      <c r="Q58" s="369"/>
      <c r="R58" s="369"/>
      <c r="S58" s="452"/>
      <c r="T58" s="452"/>
      <c r="U58" s="452"/>
      <c r="V58" s="369"/>
      <c r="W58" s="369"/>
      <c r="X58" s="369"/>
      <c r="Y58" s="369"/>
      <c r="Z58" s="369"/>
      <c r="AA58" s="369"/>
      <c r="AB58" s="369"/>
      <c r="AC58" s="369"/>
      <c r="AD58" s="369"/>
      <c r="AE58" s="369"/>
      <c r="AF58" s="369"/>
      <c r="AG58" s="369"/>
      <c r="AH58" s="369"/>
      <c r="AI58" s="369"/>
      <c r="AJ58" s="369"/>
      <c r="AK58" s="369"/>
      <c r="AL58" s="369"/>
      <c r="AM58" s="369"/>
      <c r="AN58" s="369"/>
      <c r="AO58" s="369"/>
    </row>
    <row r="59" ht="13.5" customHeight="1">
      <c r="A59" s="458"/>
      <c r="B59" s="461" t="str">
        <f>Premium!I147</f>
        <v>Supply and installation of Loft Frame and Shutter unit with BWP Frame, HDHMR Boilo Shutter, Acrylic laminate and Soft Close hinges  </v>
      </c>
      <c r="C59" s="458">
        <v>16.0</v>
      </c>
      <c r="D59" s="458">
        <v>3.0</v>
      </c>
      <c r="E59" s="469">
        <f t="shared" si="17"/>
        <v>48</v>
      </c>
      <c r="F59" s="470" t="s">
        <v>683</v>
      </c>
      <c r="G59" s="458">
        <v>4800.0</v>
      </c>
      <c r="H59" s="458">
        <v>900.0</v>
      </c>
      <c r="I59" s="471" t="s">
        <v>684</v>
      </c>
      <c r="J59" s="472">
        <f>Premium!L147</f>
        <v>1183</v>
      </c>
      <c r="K59" s="466">
        <v>1.0</v>
      </c>
      <c r="L59" s="467">
        <f t="shared" si="18"/>
        <v>56784</v>
      </c>
      <c r="M59" s="452"/>
      <c r="N59" s="368"/>
      <c r="O59" s="368"/>
      <c r="P59" s="368"/>
      <c r="Q59" s="369"/>
      <c r="R59" s="369"/>
      <c r="S59" s="452"/>
      <c r="T59" s="452"/>
      <c r="U59" s="452"/>
      <c r="V59" s="369"/>
      <c r="W59" s="369"/>
      <c r="X59" s="369"/>
      <c r="Y59" s="369"/>
      <c r="Z59" s="369"/>
      <c r="AA59" s="369"/>
      <c r="AB59" s="369"/>
      <c r="AC59" s="369"/>
      <c r="AD59" s="369"/>
      <c r="AE59" s="369"/>
      <c r="AF59" s="369"/>
      <c r="AG59" s="369"/>
      <c r="AH59" s="369"/>
      <c r="AI59" s="369"/>
      <c r="AJ59" s="369"/>
      <c r="AK59" s="369"/>
      <c r="AL59" s="369"/>
      <c r="AM59" s="369"/>
      <c r="AN59" s="369"/>
      <c r="AO59" s="369"/>
    </row>
    <row r="60" ht="13.5" customHeight="1">
      <c r="A60" s="458"/>
      <c r="B60" s="461" t="str">
        <f>Premium!I152</f>
        <v>Supply and installation of Wall Panel with BWP Ply Frame, Acrylic laminate </v>
      </c>
      <c r="C60" s="458">
        <v>6.0</v>
      </c>
      <c r="D60" s="458">
        <v>3.0</v>
      </c>
      <c r="E60" s="469">
        <f t="shared" si="17"/>
        <v>18</v>
      </c>
      <c r="F60" s="470" t="s">
        <v>683</v>
      </c>
      <c r="G60" s="458">
        <v>1800.0</v>
      </c>
      <c r="H60" s="458">
        <v>900.0</v>
      </c>
      <c r="I60" s="471" t="s">
        <v>684</v>
      </c>
      <c r="J60" s="472">
        <f>Premium!L152</f>
        <v>1275</v>
      </c>
      <c r="K60" s="466">
        <v>1.0</v>
      </c>
      <c r="L60" s="467">
        <f t="shared" si="18"/>
        <v>22950</v>
      </c>
      <c r="M60" s="452"/>
      <c r="N60" s="368"/>
      <c r="O60" s="368"/>
      <c r="P60" s="368"/>
      <c r="Q60" s="369"/>
      <c r="R60" s="369"/>
      <c r="S60" s="452"/>
      <c r="T60" s="452"/>
      <c r="U60" s="452"/>
      <c r="V60" s="369"/>
      <c r="W60" s="369"/>
      <c r="X60" s="369"/>
      <c r="Y60" s="369"/>
      <c r="Z60" s="369"/>
      <c r="AA60" s="369"/>
      <c r="AB60" s="369"/>
      <c r="AC60" s="369"/>
      <c r="AD60" s="369"/>
      <c r="AE60" s="369"/>
      <c r="AF60" s="369"/>
      <c r="AG60" s="369"/>
      <c r="AH60" s="369"/>
      <c r="AI60" s="369"/>
      <c r="AJ60" s="369"/>
      <c r="AK60" s="369"/>
      <c r="AL60" s="369"/>
      <c r="AM60" s="369"/>
      <c r="AN60" s="369"/>
      <c r="AO60" s="369"/>
    </row>
    <row r="61" ht="13.5" customHeight="1">
      <c r="A61" s="458"/>
      <c r="B61" s="461" t="str">
        <f>Premium!I155</f>
        <v>Supply and installation of Ceiling Panel with BWP Ply Frame, Acrylic laminate </v>
      </c>
      <c r="C61" s="458">
        <v>4.0</v>
      </c>
      <c r="D61" s="458">
        <v>9.0</v>
      </c>
      <c r="E61" s="469">
        <f t="shared" si="17"/>
        <v>36</v>
      </c>
      <c r="F61" s="470" t="s">
        <v>683</v>
      </c>
      <c r="G61" s="458">
        <v>1200.0</v>
      </c>
      <c r="H61" s="458">
        <v>2700.0</v>
      </c>
      <c r="I61" s="471" t="s">
        <v>684</v>
      </c>
      <c r="J61" s="472">
        <f>Premium!L152</f>
        <v>1275</v>
      </c>
      <c r="K61" s="466">
        <v>1.0</v>
      </c>
      <c r="L61" s="467">
        <f t="shared" si="18"/>
        <v>45900</v>
      </c>
      <c r="M61" s="452"/>
      <c r="N61" s="368"/>
      <c r="O61" s="368"/>
      <c r="P61" s="368"/>
      <c r="Q61" s="369"/>
      <c r="R61" s="369"/>
      <c r="S61" s="452"/>
      <c r="T61" s="452"/>
      <c r="U61" s="452"/>
      <c r="V61" s="369"/>
      <c r="W61" s="369"/>
      <c r="X61" s="369"/>
      <c r="Y61" s="369"/>
      <c r="Z61" s="369"/>
      <c r="AA61" s="369"/>
      <c r="AB61" s="369"/>
      <c r="AC61" s="369"/>
      <c r="AD61" s="369"/>
      <c r="AE61" s="369"/>
      <c r="AF61" s="369"/>
      <c r="AG61" s="369"/>
      <c r="AH61" s="369"/>
      <c r="AI61" s="369"/>
      <c r="AJ61" s="369"/>
      <c r="AK61" s="369"/>
      <c r="AL61" s="369"/>
      <c r="AM61" s="369"/>
      <c r="AN61" s="369"/>
      <c r="AO61" s="369"/>
    </row>
    <row r="62" ht="13.5" customHeight="1">
      <c r="A62" s="458"/>
      <c r="B62" s="473" t="s">
        <v>920</v>
      </c>
      <c r="C62" s="460"/>
      <c r="D62" s="460"/>
      <c r="E62" s="460"/>
      <c r="F62" s="460"/>
      <c r="G62" s="460"/>
      <c r="H62" s="460"/>
      <c r="I62" s="460"/>
      <c r="J62" s="460"/>
      <c r="K62" s="460"/>
      <c r="L62" s="460"/>
      <c r="M62" s="452"/>
      <c r="N62" s="368"/>
      <c r="O62" s="368"/>
      <c r="P62" s="368"/>
      <c r="Q62" s="369"/>
      <c r="R62" s="369"/>
      <c r="S62" s="452"/>
      <c r="T62" s="452"/>
      <c r="U62" s="452"/>
      <c r="V62" s="369"/>
      <c r="W62" s="369"/>
      <c r="X62" s="369"/>
      <c r="Y62" s="369"/>
      <c r="Z62" s="369"/>
      <c r="AA62" s="369"/>
      <c r="AB62" s="369"/>
      <c r="AC62" s="369"/>
      <c r="AD62" s="369"/>
      <c r="AE62" s="369"/>
      <c r="AF62" s="369"/>
      <c r="AG62" s="369"/>
      <c r="AH62" s="369"/>
      <c r="AI62" s="369"/>
      <c r="AJ62" s="369"/>
      <c r="AK62" s="369"/>
      <c r="AL62" s="369"/>
      <c r="AM62" s="369"/>
      <c r="AN62" s="369"/>
      <c r="AO62" s="369"/>
    </row>
    <row r="63" ht="13.5" customHeight="1">
      <c r="A63" s="458"/>
      <c r="B63" s="461" t="str">
        <f>Premium!I37</f>
        <v>Supply and installation of Base storage unit  with BWP Carcass, HDHMR Boilo Shutter, Glossy finish laminate and soft close hinges  </v>
      </c>
      <c r="C63" s="458">
        <v>4.0</v>
      </c>
      <c r="D63" s="458">
        <v>2.0</v>
      </c>
      <c r="E63" s="469">
        <f t="shared" ref="E63:E64" si="19">C63*D63</f>
        <v>8</v>
      </c>
      <c r="F63" s="470" t="s">
        <v>683</v>
      </c>
      <c r="G63" s="458">
        <v>1200.0</v>
      </c>
      <c r="H63" s="458">
        <v>600.0</v>
      </c>
      <c r="I63" s="471" t="s">
        <v>684</v>
      </c>
      <c r="J63" s="472">
        <f>Premium!L37</f>
        <v>1765</v>
      </c>
      <c r="K63" s="466">
        <v>1.0</v>
      </c>
      <c r="L63" s="467">
        <f t="shared" ref="L63:L64" si="20">K63*J63*E63</f>
        <v>14120</v>
      </c>
      <c r="M63" s="452"/>
      <c r="N63" s="368"/>
      <c r="O63" s="368"/>
      <c r="P63" s="368"/>
      <c r="Q63" s="369"/>
      <c r="R63" s="369"/>
      <c r="S63" s="452"/>
      <c r="T63" s="452"/>
      <c r="U63" s="452"/>
      <c r="V63" s="369"/>
      <c r="W63" s="369"/>
      <c r="X63" s="369"/>
      <c r="Y63" s="369"/>
      <c r="Z63" s="369"/>
      <c r="AA63" s="369"/>
      <c r="AB63" s="369"/>
      <c r="AC63" s="369"/>
      <c r="AD63" s="369"/>
      <c r="AE63" s="369"/>
      <c r="AF63" s="369"/>
      <c r="AG63" s="369"/>
      <c r="AH63" s="369"/>
      <c r="AI63" s="369"/>
      <c r="AJ63" s="369"/>
      <c r="AK63" s="369"/>
      <c r="AL63" s="369"/>
      <c r="AM63" s="369"/>
      <c r="AN63" s="369"/>
      <c r="AO63" s="369"/>
    </row>
    <row r="64" ht="13.5" customHeight="1">
      <c r="A64" s="458"/>
      <c r="B64" s="461" t="str">
        <f>Premium!I38</f>
        <v>Supply and installation of Wall storage unit  with BWP Carcass, HDHMR Boilo Shutter, Glossy finish laminate and soft close hinges  </v>
      </c>
      <c r="C64" s="458">
        <v>2.0</v>
      </c>
      <c r="D64" s="458">
        <v>4.0</v>
      </c>
      <c r="E64" s="469">
        <f t="shared" si="19"/>
        <v>8</v>
      </c>
      <c r="F64" s="470" t="s">
        <v>683</v>
      </c>
      <c r="G64" s="458">
        <v>600.0</v>
      </c>
      <c r="H64" s="458">
        <v>1200.0</v>
      </c>
      <c r="I64" s="471" t="s">
        <v>684</v>
      </c>
      <c r="J64" s="472">
        <f>Premium!L37</f>
        <v>1765</v>
      </c>
      <c r="K64" s="466">
        <v>1.0</v>
      </c>
      <c r="L64" s="467">
        <f t="shared" si="20"/>
        <v>14120</v>
      </c>
      <c r="M64" s="452"/>
      <c r="N64" s="368"/>
      <c r="O64" s="368"/>
      <c r="P64" s="368"/>
      <c r="Q64" s="369"/>
      <c r="R64" s="369"/>
      <c r="S64" s="452"/>
      <c r="T64" s="452"/>
      <c r="U64" s="452"/>
      <c r="V64" s="369"/>
      <c r="W64" s="369"/>
      <c r="X64" s="369"/>
      <c r="Y64" s="369"/>
      <c r="Z64" s="369"/>
      <c r="AA64" s="369"/>
      <c r="AB64" s="369"/>
      <c r="AC64" s="369"/>
      <c r="AD64" s="369"/>
      <c r="AE64" s="369"/>
      <c r="AF64" s="369"/>
      <c r="AG64" s="369"/>
      <c r="AH64" s="369"/>
      <c r="AI64" s="369"/>
      <c r="AJ64" s="369"/>
      <c r="AK64" s="369"/>
      <c r="AL64" s="369"/>
      <c r="AM64" s="369"/>
      <c r="AN64" s="369"/>
      <c r="AO64" s="369"/>
    </row>
    <row r="65" ht="13.5" customHeight="1">
      <c r="A65" s="458"/>
      <c r="B65" s="495" t="s">
        <v>921</v>
      </c>
      <c r="C65" s="460"/>
      <c r="D65" s="460"/>
      <c r="E65" s="460"/>
      <c r="F65" s="460"/>
      <c r="G65" s="460"/>
      <c r="H65" s="460"/>
      <c r="I65" s="460"/>
      <c r="J65" s="460"/>
      <c r="K65" s="460"/>
      <c r="L65" s="460"/>
      <c r="M65" s="452"/>
      <c r="N65" s="368"/>
      <c r="O65" s="368"/>
      <c r="P65" s="368"/>
      <c r="Q65" s="369"/>
      <c r="R65" s="369"/>
      <c r="S65" s="452"/>
      <c r="T65" s="452"/>
      <c r="U65" s="452"/>
      <c r="V65" s="369"/>
      <c r="W65" s="369"/>
      <c r="X65" s="369"/>
      <c r="Y65" s="369"/>
      <c r="Z65" s="369"/>
      <c r="AA65" s="369"/>
      <c r="AB65" s="369"/>
      <c r="AC65" s="369"/>
      <c r="AD65" s="369"/>
      <c r="AE65" s="369"/>
      <c r="AF65" s="369"/>
      <c r="AG65" s="369"/>
      <c r="AH65" s="369"/>
      <c r="AI65" s="369"/>
      <c r="AJ65" s="369"/>
      <c r="AK65" s="369"/>
      <c r="AL65" s="369"/>
      <c r="AM65" s="369"/>
      <c r="AN65" s="369"/>
      <c r="AO65" s="369"/>
    </row>
    <row r="66" ht="13.5" customHeight="1">
      <c r="A66" s="458"/>
      <c r="B66" s="461" t="str">
        <f>Premium!I39</f>
        <v>Supply and installation of Tall storage unit  with BWP Carcass, HDHMR Boilo Shutter, Glossy finish laminate and soft close hinges  </v>
      </c>
      <c r="C66" s="458">
        <v>4.0</v>
      </c>
      <c r="D66" s="458">
        <v>7.0</v>
      </c>
      <c r="E66" s="469">
        <f t="shared" ref="E66:E69" si="21">C66*D66</f>
        <v>28</v>
      </c>
      <c r="F66" s="470" t="s">
        <v>683</v>
      </c>
      <c r="G66" s="458">
        <v>1200.0</v>
      </c>
      <c r="H66" s="458">
        <v>2100.0</v>
      </c>
      <c r="I66" s="471" t="s">
        <v>684</v>
      </c>
      <c r="J66" s="472">
        <f>Premium!L37</f>
        <v>1765</v>
      </c>
      <c r="K66" s="466">
        <v>1.0</v>
      </c>
      <c r="L66" s="467">
        <f t="shared" ref="L66:L69" si="22">K66*J66*E66</f>
        <v>49420</v>
      </c>
      <c r="M66" s="452"/>
      <c r="N66" s="368"/>
      <c r="O66" s="368"/>
      <c r="P66" s="368"/>
      <c r="Q66" s="369"/>
      <c r="R66" s="369"/>
      <c r="S66" s="474"/>
      <c r="T66" s="452">
        <v>3939.0</v>
      </c>
      <c r="U66" s="452"/>
      <c r="V66" s="369"/>
      <c r="W66" s="369"/>
      <c r="X66" s="369"/>
      <c r="Y66" s="369"/>
      <c r="Z66" s="369"/>
      <c r="AA66" s="369"/>
      <c r="AB66" s="369"/>
      <c r="AC66" s="369"/>
      <c r="AD66" s="369"/>
      <c r="AE66" s="369"/>
      <c r="AF66" s="369"/>
      <c r="AG66" s="369"/>
      <c r="AH66" s="369"/>
      <c r="AI66" s="369"/>
      <c r="AJ66" s="369"/>
      <c r="AK66" s="369"/>
      <c r="AL66" s="369"/>
      <c r="AM66" s="369"/>
      <c r="AN66" s="369"/>
      <c r="AO66" s="369"/>
    </row>
    <row r="67" ht="13.5" customHeight="1">
      <c r="A67" s="458"/>
      <c r="B67" s="461" t="str">
        <f>Premium!I67</f>
        <v>Supply and installation of Loft Frame and Shutter unit with BWP Frame, HDHMR Boilo Shutter, Glossy  finish laminate and Soft Close hinges  </v>
      </c>
      <c r="C67" s="458">
        <v>10.0</v>
      </c>
      <c r="D67" s="458">
        <v>3.0</v>
      </c>
      <c r="E67" s="469">
        <f t="shared" si="21"/>
        <v>30</v>
      </c>
      <c r="F67" s="470" t="s">
        <v>683</v>
      </c>
      <c r="G67" s="458">
        <v>3000.0</v>
      </c>
      <c r="H67" s="458">
        <v>900.0</v>
      </c>
      <c r="I67" s="471" t="s">
        <v>684</v>
      </c>
      <c r="J67" s="472">
        <f>Premium!L67</f>
        <v>1008</v>
      </c>
      <c r="K67" s="466">
        <v>1.0</v>
      </c>
      <c r="L67" s="467">
        <f t="shared" si="22"/>
        <v>30240</v>
      </c>
      <c r="M67" s="452"/>
      <c r="N67" s="368"/>
      <c r="O67" s="368"/>
      <c r="P67" s="368"/>
      <c r="Q67" s="369"/>
      <c r="R67" s="369"/>
      <c r="S67" s="474"/>
      <c r="T67" s="452">
        <v>2284.0</v>
      </c>
      <c r="U67" s="452"/>
      <c r="V67" s="369"/>
      <c r="W67" s="369"/>
      <c r="X67" s="369"/>
      <c r="Y67" s="369"/>
      <c r="Z67" s="369"/>
      <c r="AA67" s="369"/>
      <c r="AB67" s="369"/>
      <c r="AC67" s="369"/>
      <c r="AD67" s="369"/>
      <c r="AE67" s="369"/>
      <c r="AF67" s="369"/>
      <c r="AG67" s="369"/>
      <c r="AH67" s="369"/>
      <c r="AI67" s="369"/>
      <c r="AJ67" s="369"/>
      <c r="AK67" s="369"/>
      <c r="AL67" s="369"/>
      <c r="AM67" s="369"/>
      <c r="AN67" s="369"/>
      <c r="AO67" s="369"/>
    </row>
    <row r="68" ht="13.5" customHeight="1">
      <c r="A68" s="458"/>
      <c r="B68" s="461" t="str">
        <f>Premium!I77</f>
        <v>Supply and installation of Base Panel with BWP Ply Frame, Glossy Finish laminate </v>
      </c>
      <c r="C68" s="458">
        <v>6.0</v>
      </c>
      <c r="D68" s="458">
        <v>2.0</v>
      </c>
      <c r="E68" s="469">
        <f t="shared" si="21"/>
        <v>12</v>
      </c>
      <c r="F68" s="470" t="s">
        <v>683</v>
      </c>
      <c r="G68" s="458">
        <v>1800.0</v>
      </c>
      <c r="H68" s="458">
        <v>600.0</v>
      </c>
      <c r="I68" s="471" t="s">
        <v>684</v>
      </c>
      <c r="J68" s="472">
        <f>Premium!L73</f>
        <v>1100</v>
      </c>
      <c r="K68" s="466">
        <v>1.0</v>
      </c>
      <c r="L68" s="467">
        <f t="shared" si="22"/>
        <v>13200</v>
      </c>
      <c r="M68" s="452"/>
      <c r="N68" s="368"/>
      <c r="O68" s="368"/>
      <c r="P68" s="368"/>
      <c r="Q68" s="369"/>
      <c r="R68" s="369"/>
      <c r="S68" s="452"/>
      <c r="T68" s="452"/>
      <c r="U68" s="452"/>
      <c r="V68" s="369"/>
      <c r="W68" s="369"/>
      <c r="X68" s="369"/>
      <c r="Y68" s="369"/>
      <c r="Z68" s="369"/>
      <c r="AA68" s="369"/>
      <c r="AB68" s="369"/>
      <c r="AC68" s="369"/>
      <c r="AD68" s="369"/>
      <c r="AE68" s="369"/>
      <c r="AF68" s="369"/>
      <c r="AG68" s="369"/>
      <c r="AH68" s="369"/>
      <c r="AI68" s="369"/>
      <c r="AJ68" s="369"/>
      <c r="AK68" s="369"/>
      <c r="AL68" s="369"/>
      <c r="AM68" s="369"/>
      <c r="AN68" s="369"/>
      <c r="AO68" s="369"/>
    </row>
    <row r="69" ht="13.5" customHeight="1">
      <c r="A69" s="458"/>
      <c r="B69" s="461" t="str">
        <f>Premium!I24</f>
        <v>Supply and installation of Ledge with 25mm Ledge BWP and Smooth Finish Laminate</v>
      </c>
      <c r="C69" s="458">
        <v>3.0</v>
      </c>
      <c r="D69" s="458">
        <v>1.0</v>
      </c>
      <c r="E69" s="469">
        <f t="shared" si="21"/>
        <v>3</v>
      </c>
      <c r="F69" s="470" t="s">
        <v>683</v>
      </c>
      <c r="G69" s="458">
        <v>900.0</v>
      </c>
      <c r="H69" s="458">
        <v>300.0</v>
      </c>
      <c r="I69" s="471" t="s">
        <v>684</v>
      </c>
      <c r="J69" s="472">
        <f>Premium!L24</f>
        <v>875</v>
      </c>
      <c r="K69" s="466">
        <v>1.0</v>
      </c>
      <c r="L69" s="467">
        <f t="shared" si="22"/>
        <v>2625</v>
      </c>
      <c r="M69" s="452"/>
      <c r="N69" s="368"/>
      <c r="O69" s="368"/>
      <c r="P69" s="368"/>
      <c r="Q69" s="369"/>
      <c r="R69" s="369"/>
      <c r="S69" s="452"/>
      <c r="T69" s="452"/>
      <c r="U69" s="452"/>
      <c r="V69" s="369"/>
      <c r="W69" s="369"/>
      <c r="X69" s="369"/>
      <c r="Y69" s="369"/>
      <c r="Z69" s="369"/>
      <c r="AA69" s="369"/>
      <c r="AB69" s="369"/>
      <c r="AC69" s="369"/>
      <c r="AD69" s="369"/>
      <c r="AE69" s="369"/>
      <c r="AF69" s="369"/>
      <c r="AG69" s="369"/>
      <c r="AH69" s="369"/>
      <c r="AI69" s="369"/>
      <c r="AJ69" s="369"/>
      <c r="AK69" s="369"/>
      <c r="AL69" s="369"/>
      <c r="AM69" s="369"/>
      <c r="AN69" s="369"/>
      <c r="AO69" s="369"/>
    </row>
    <row r="70" ht="13.5" customHeight="1">
      <c r="A70" s="458"/>
      <c r="B70" s="495" t="s">
        <v>922</v>
      </c>
      <c r="C70" s="460"/>
      <c r="D70" s="460"/>
      <c r="E70" s="460"/>
      <c r="F70" s="460"/>
      <c r="G70" s="460"/>
      <c r="H70" s="460"/>
      <c r="I70" s="460"/>
      <c r="J70" s="460"/>
      <c r="K70" s="460"/>
      <c r="L70" s="460"/>
      <c r="M70" s="452"/>
      <c r="N70" s="368"/>
      <c r="O70" s="368"/>
      <c r="P70" s="368"/>
      <c r="Q70" s="369"/>
      <c r="R70" s="369"/>
      <c r="S70" s="452"/>
      <c r="T70" s="452"/>
      <c r="U70" s="452"/>
      <c r="V70" s="369"/>
      <c r="W70" s="369"/>
      <c r="X70" s="369"/>
      <c r="Y70" s="369"/>
      <c r="Z70" s="369"/>
      <c r="AA70" s="369"/>
      <c r="AB70" s="369"/>
      <c r="AC70" s="369"/>
      <c r="AD70" s="369"/>
      <c r="AE70" s="369"/>
      <c r="AF70" s="369"/>
      <c r="AG70" s="369"/>
      <c r="AH70" s="369"/>
      <c r="AI70" s="369"/>
      <c r="AJ70" s="369"/>
      <c r="AK70" s="369"/>
      <c r="AL70" s="369"/>
      <c r="AM70" s="369"/>
      <c r="AN70" s="369"/>
      <c r="AO70" s="369"/>
    </row>
    <row r="71" ht="13.5" customHeight="1">
      <c r="A71" s="458"/>
      <c r="B71" s="461" t="str">
        <f>Premium!I3</f>
        <v>Supply and installation of Base storage unit  with BWP Carcass, HDHMR Boilo Shutter, Smooth finish laminate and soft close hinges  </v>
      </c>
      <c r="C71" s="458">
        <v>4.0</v>
      </c>
      <c r="D71" s="458">
        <v>1.0</v>
      </c>
      <c r="E71" s="469">
        <f>C71*D71</f>
        <v>4</v>
      </c>
      <c r="F71" s="470" t="s">
        <v>683</v>
      </c>
      <c r="G71" s="458">
        <v>1200.0</v>
      </c>
      <c r="H71" s="458">
        <v>300.0</v>
      </c>
      <c r="I71" s="471" t="s">
        <v>684</v>
      </c>
      <c r="J71" s="472">
        <f>Premium!L3</f>
        <v>1715</v>
      </c>
      <c r="K71" s="466">
        <v>1.0</v>
      </c>
      <c r="L71" s="467">
        <f>K71*J71*E71</f>
        <v>6860</v>
      </c>
      <c r="M71" s="452"/>
      <c r="N71" s="368"/>
      <c r="O71" s="368"/>
      <c r="P71" s="368"/>
      <c r="Q71" s="369"/>
      <c r="R71" s="369"/>
      <c r="S71" s="452"/>
      <c r="T71" s="452"/>
      <c r="U71" s="452"/>
      <c r="V71" s="369"/>
      <c r="W71" s="369"/>
      <c r="X71" s="369"/>
      <c r="Y71" s="369"/>
      <c r="Z71" s="369"/>
      <c r="AA71" s="369"/>
      <c r="AB71" s="369"/>
      <c r="AC71" s="369"/>
      <c r="AD71" s="369"/>
      <c r="AE71" s="369"/>
      <c r="AF71" s="369"/>
      <c r="AG71" s="369"/>
      <c r="AH71" s="369"/>
      <c r="AI71" s="369"/>
      <c r="AJ71" s="369"/>
      <c r="AK71" s="369"/>
      <c r="AL71" s="369"/>
      <c r="AM71" s="369"/>
      <c r="AN71" s="369"/>
      <c r="AO71" s="369"/>
    </row>
    <row r="72" ht="13.5" customHeight="1">
      <c r="A72" s="454"/>
      <c r="B72" s="494" t="s">
        <v>923</v>
      </c>
      <c r="C72" s="454"/>
      <c r="D72" s="454"/>
      <c r="E72" s="454"/>
      <c r="F72" s="454"/>
      <c r="G72" s="454"/>
      <c r="H72" s="454"/>
      <c r="I72" s="477"/>
      <c r="J72" s="477"/>
      <c r="K72" s="478"/>
      <c r="L72" s="454"/>
      <c r="M72" s="452"/>
      <c r="N72" s="368"/>
      <c r="O72" s="368"/>
      <c r="P72" s="368"/>
      <c r="Q72" s="369"/>
      <c r="R72" s="369"/>
      <c r="S72" s="452"/>
      <c r="T72" s="452"/>
      <c r="U72" s="452"/>
      <c r="V72" s="369"/>
      <c r="W72" s="369"/>
      <c r="X72" s="369"/>
      <c r="Y72" s="369"/>
      <c r="Z72" s="369"/>
      <c r="AA72" s="369"/>
      <c r="AB72" s="369"/>
      <c r="AC72" s="369"/>
      <c r="AD72" s="369"/>
      <c r="AE72" s="369"/>
      <c r="AF72" s="369"/>
      <c r="AG72" s="369"/>
      <c r="AH72" s="369"/>
      <c r="AI72" s="369"/>
      <c r="AJ72" s="369"/>
      <c r="AK72" s="369"/>
      <c r="AL72" s="369"/>
      <c r="AM72" s="369"/>
      <c r="AN72" s="369"/>
      <c r="AO72" s="369"/>
    </row>
    <row r="73" ht="13.5" customHeight="1">
      <c r="A73" s="458"/>
      <c r="B73" s="495" t="s">
        <v>924</v>
      </c>
      <c r="C73" s="460"/>
      <c r="D73" s="460"/>
      <c r="E73" s="460"/>
      <c r="F73" s="460"/>
      <c r="G73" s="460"/>
      <c r="H73" s="460"/>
      <c r="I73" s="460"/>
      <c r="J73" s="479"/>
      <c r="K73" s="479"/>
      <c r="L73" s="460"/>
      <c r="M73" s="452"/>
      <c r="N73" s="368"/>
      <c r="O73" s="368"/>
      <c r="P73" s="368"/>
      <c r="Q73" s="369"/>
      <c r="R73" s="369"/>
      <c r="S73" s="452"/>
      <c r="T73" s="452"/>
      <c r="U73" s="452"/>
      <c r="V73" s="369"/>
      <c r="W73" s="369"/>
      <c r="X73" s="369"/>
      <c r="Y73" s="369"/>
      <c r="Z73" s="369"/>
      <c r="AA73" s="369"/>
      <c r="AB73" s="369"/>
      <c r="AC73" s="369"/>
      <c r="AD73" s="369"/>
      <c r="AE73" s="369"/>
      <c r="AF73" s="369"/>
      <c r="AG73" s="369"/>
      <c r="AH73" s="369"/>
      <c r="AI73" s="369"/>
      <c r="AJ73" s="369"/>
      <c r="AK73" s="369"/>
      <c r="AL73" s="369"/>
      <c r="AM73" s="369"/>
      <c r="AN73" s="369"/>
      <c r="AO73" s="369"/>
    </row>
    <row r="74" ht="13.5" customHeight="1">
      <c r="A74" s="458"/>
      <c r="B74" s="461" t="str">
        <f>Premium!I73</f>
        <v>Supply and installation of Wall Panel with BWP Ply Frame, Glossy Finish laminate </v>
      </c>
      <c r="C74" s="458">
        <v>8.0</v>
      </c>
      <c r="D74" s="458">
        <v>3.0</v>
      </c>
      <c r="E74" s="469">
        <f t="shared" ref="E74:E78" si="23">C74*D74</f>
        <v>24</v>
      </c>
      <c r="F74" s="470" t="s">
        <v>683</v>
      </c>
      <c r="G74" s="458">
        <v>2400.0</v>
      </c>
      <c r="H74" s="458">
        <v>900.0</v>
      </c>
      <c r="I74" s="471" t="s">
        <v>684</v>
      </c>
      <c r="J74" s="472">
        <f>Premium!L73</f>
        <v>1100</v>
      </c>
      <c r="K74" s="466">
        <v>1.0</v>
      </c>
      <c r="L74" s="467">
        <f t="shared" ref="L74:L78" si="24">K74*J74*E74</f>
        <v>26400</v>
      </c>
      <c r="M74" s="452"/>
      <c r="N74" s="368"/>
      <c r="O74" s="368"/>
      <c r="P74" s="368"/>
      <c r="Q74" s="369"/>
      <c r="R74" s="369"/>
      <c r="S74" s="474"/>
      <c r="T74" s="452">
        <v>1428.0</v>
      </c>
      <c r="U74" s="452"/>
      <c r="V74" s="369"/>
      <c r="W74" s="369"/>
      <c r="X74" s="369"/>
      <c r="Y74" s="369"/>
      <c r="Z74" s="369"/>
      <c r="AA74" s="369"/>
      <c r="AB74" s="369"/>
      <c r="AC74" s="369"/>
      <c r="AD74" s="369"/>
      <c r="AE74" s="369"/>
      <c r="AF74" s="369"/>
      <c r="AG74" s="369"/>
      <c r="AH74" s="369"/>
      <c r="AI74" s="369"/>
      <c r="AJ74" s="369"/>
      <c r="AK74" s="369"/>
      <c r="AL74" s="369"/>
      <c r="AM74" s="369"/>
      <c r="AN74" s="369"/>
      <c r="AO74" s="369"/>
    </row>
    <row r="75" ht="13.5" customHeight="1">
      <c r="A75" s="458"/>
      <c r="B75" s="461" t="str">
        <f>Premium!I37</f>
        <v>Supply and installation of Base storage unit  with BWP Carcass, HDHMR Boilo Shutter, Glossy finish laminate and soft close hinges  </v>
      </c>
      <c r="C75" s="458">
        <v>4.5</v>
      </c>
      <c r="D75" s="458">
        <v>7.0</v>
      </c>
      <c r="E75" s="469">
        <f t="shared" si="23"/>
        <v>31.5</v>
      </c>
      <c r="F75" s="470" t="s">
        <v>683</v>
      </c>
      <c r="G75" s="458">
        <v>1350.0</v>
      </c>
      <c r="H75" s="458">
        <v>2100.0</v>
      </c>
      <c r="I75" s="471" t="s">
        <v>684</v>
      </c>
      <c r="J75" s="472">
        <f>Premium!L37</f>
        <v>1765</v>
      </c>
      <c r="K75" s="466">
        <v>1.0</v>
      </c>
      <c r="L75" s="467">
        <f t="shared" si="24"/>
        <v>55597.5</v>
      </c>
      <c r="M75" s="452"/>
      <c r="N75" s="368"/>
      <c r="O75" s="368"/>
      <c r="P75" s="368"/>
      <c r="Q75" s="369"/>
      <c r="R75" s="369"/>
      <c r="S75" s="452"/>
      <c r="T75" s="452"/>
      <c r="U75" s="452"/>
      <c r="V75" s="369"/>
      <c r="W75" s="369"/>
      <c r="X75" s="369"/>
      <c r="Y75" s="369"/>
      <c r="Z75" s="369"/>
      <c r="AA75" s="369"/>
      <c r="AB75" s="369"/>
      <c r="AC75" s="369"/>
      <c r="AD75" s="369"/>
      <c r="AE75" s="369"/>
      <c r="AF75" s="369"/>
      <c r="AG75" s="369"/>
      <c r="AH75" s="369"/>
      <c r="AI75" s="369"/>
      <c r="AJ75" s="369"/>
      <c r="AK75" s="369"/>
      <c r="AL75" s="369"/>
      <c r="AM75" s="369"/>
      <c r="AN75" s="369"/>
      <c r="AO75" s="369"/>
    </row>
    <row r="76" ht="13.5" customHeight="1">
      <c r="A76" s="458"/>
      <c r="B76" s="461" t="str">
        <f>Premium!I37</f>
        <v>Supply and installation of Base storage unit  with BWP Carcass, HDHMR Boilo Shutter, Glossy finish laminate and soft close hinges  </v>
      </c>
      <c r="C76" s="458">
        <v>6.0</v>
      </c>
      <c r="D76" s="458">
        <v>2.0</v>
      </c>
      <c r="E76" s="469">
        <f t="shared" si="23"/>
        <v>12</v>
      </c>
      <c r="F76" s="470" t="s">
        <v>683</v>
      </c>
      <c r="G76" s="458">
        <v>1800.0</v>
      </c>
      <c r="H76" s="458">
        <v>600.0</v>
      </c>
      <c r="I76" s="471" t="s">
        <v>684</v>
      </c>
      <c r="J76" s="472">
        <f>Premium!L37</f>
        <v>1765</v>
      </c>
      <c r="K76" s="466">
        <v>1.0</v>
      </c>
      <c r="L76" s="467">
        <f t="shared" si="24"/>
        <v>21180</v>
      </c>
      <c r="M76" s="452"/>
      <c r="N76" s="368"/>
      <c r="O76" s="368"/>
      <c r="P76" s="368"/>
      <c r="Q76" s="369"/>
      <c r="R76" s="369"/>
      <c r="S76" s="452"/>
      <c r="T76" s="452"/>
      <c r="U76" s="452"/>
      <c r="V76" s="369"/>
      <c r="W76" s="369"/>
      <c r="X76" s="369"/>
      <c r="Y76" s="369"/>
      <c r="Z76" s="369"/>
      <c r="AA76" s="369"/>
      <c r="AB76" s="369"/>
      <c r="AC76" s="369"/>
      <c r="AD76" s="369"/>
      <c r="AE76" s="369"/>
      <c r="AF76" s="369"/>
      <c r="AG76" s="369"/>
      <c r="AH76" s="369"/>
      <c r="AI76" s="369"/>
      <c r="AJ76" s="369"/>
      <c r="AK76" s="369"/>
      <c r="AL76" s="369"/>
      <c r="AM76" s="369"/>
      <c r="AN76" s="369"/>
      <c r="AO76" s="369"/>
    </row>
    <row r="77" ht="13.5" customHeight="1">
      <c r="A77" s="458"/>
      <c r="B77" s="461" t="str">
        <f>Premium!I67</f>
        <v>Supply and installation of Loft Frame and Shutter unit with BWP Frame, HDHMR Boilo Shutter, Glossy  finish laminate and Soft Close hinges  </v>
      </c>
      <c r="C77" s="458">
        <v>10.0</v>
      </c>
      <c r="D77" s="458">
        <v>2.5</v>
      </c>
      <c r="E77" s="469">
        <f t="shared" si="23"/>
        <v>25</v>
      </c>
      <c r="F77" s="470" t="s">
        <v>683</v>
      </c>
      <c r="G77" s="458">
        <v>3000.0</v>
      </c>
      <c r="H77" s="458">
        <v>750.0</v>
      </c>
      <c r="I77" s="471" t="s">
        <v>684</v>
      </c>
      <c r="J77" s="472">
        <f>Premium!L67</f>
        <v>1008</v>
      </c>
      <c r="K77" s="466">
        <v>1.0</v>
      </c>
      <c r="L77" s="467">
        <f t="shared" si="24"/>
        <v>25200</v>
      </c>
      <c r="M77" s="452"/>
      <c r="N77" s="368"/>
      <c r="O77" s="368"/>
      <c r="P77" s="368"/>
      <c r="Q77" s="369"/>
      <c r="R77" s="369"/>
      <c r="S77" s="474"/>
      <c r="T77" s="452">
        <v>2029.0</v>
      </c>
      <c r="U77" s="452"/>
      <c r="V77" s="369"/>
      <c r="W77" s="369"/>
      <c r="X77" s="369"/>
      <c r="Y77" s="369"/>
      <c r="Z77" s="369"/>
      <c r="AA77" s="369"/>
      <c r="AB77" s="369"/>
      <c r="AC77" s="369"/>
      <c r="AD77" s="369"/>
      <c r="AE77" s="369"/>
      <c r="AF77" s="369"/>
      <c r="AG77" s="369"/>
      <c r="AH77" s="369"/>
      <c r="AI77" s="369"/>
      <c r="AJ77" s="369"/>
      <c r="AK77" s="369"/>
      <c r="AL77" s="369"/>
      <c r="AM77" s="369"/>
      <c r="AN77" s="369"/>
      <c r="AO77" s="369"/>
    </row>
    <row r="78" ht="13.5" customHeight="1">
      <c r="A78" s="458"/>
      <c r="B78" s="461" t="str">
        <f>Premium!I77</f>
        <v>Supply and installation of Base Panel with BWP Ply Frame, Glossy Finish laminate </v>
      </c>
      <c r="C78" s="458">
        <v>6.0</v>
      </c>
      <c r="D78" s="458">
        <v>2.5</v>
      </c>
      <c r="E78" s="469">
        <f t="shared" si="23"/>
        <v>15</v>
      </c>
      <c r="F78" s="470" t="s">
        <v>683</v>
      </c>
      <c r="G78" s="458">
        <v>1800.0</v>
      </c>
      <c r="H78" s="458">
        <v>750.0</v>
      </c>
      <c r="I78" s="471" t="s">
        <v>684</v>
      </c>
      <c r="J78" s="472">
        <f>Premium!L73</f>
        <v>1100</v>
      </c>
      <c r="K78" s="466">
        <v>1.0</v>
      </c>
      <c r="L78" s="467">
        <f t="shared" si="24"/>
        <v>16500</v>
      </c>
      <c r="M78" s="452"/>
      <c r="N78" s="368"/>
      <c r="O78" s="368"/>
      <c r="P78" s="368"/>
      <c r="Q78" s="369"/>
      <c r="R78" s="369"/>
      <c r="S78" s="452"/>
      <c r="T78" s="452"/>
      <c r="U78" s="452"/>
      <c r="V78" s="369"/>
      <c r="W78" s="369"/>
      <c r="X78" s="369"/>
      <c r="Y78" s="369"/>
      <c r="Z78" s="369"/>
      <c r="AA78" s="369"/>
      <c r="AB78" s="369"/>
      <c r="AC78" s="369"/>
      <c r="AD78" s="369"/>
      <c r="AE78" s="369"/>
      <c r="AF78" s="369"/>
      <c r="AG78" s="369"/>
      <c r="AH78" s="369"/>
      <c r="AI78" s="369"/>
      <c r="AJ78" s="369"/>
      <c r="AK78" s="369"/>
      <c r="AL78" s="369"/>
      <c r="AM78" s="369"/>
      <c r="AN78" s="369"/>
      <c r="AO78" s="369"/>
    </row>
    <row r="79" ht="13.5" customHeight="1">
      <c r="A79" s="458"/>
      <c r="B79" s="480" t="s">
        <v>913</v>
      </c>
      <c r="C79" s="460"/>
      <c r="D79" s="460"/>
      <c r="E79" s="460"/>
      <c r="F79" s="460"/>
      <c r="G79" s="460"/>
      <c r="H79" s="460"/>
      <c r="I79" s="460"/>
      <c r="J79" s="479"/>
      <c r="K79" s="479"/>
      <c r="L79" s="460"/>
      <c r="M79" s="452"/>
      <c r="N79" s="368"/>
      <c r="O79" s="368"/>
      <c r="P79" s="368"/>
      <c r="Q79" s="369"/>
      <c r="R79" s="369"/>
      <c r="S79" s="452"/>
      <c r="T79" s="452"/>
      <c r="U79" s="452"/>
      <c r="V79" s="369"/>
      <c r="W79" s="369"/>
      <c r="X79" s="369"/>
      <c r="Y79" s="369"/>
      <c r="Z79" s="369"/>
      <c r="AA79" s="369"/>
      <c r="AB79" s="369"/>
      <c r="AC79" s="369"/>
      <c r="AD79" s="369"/>
      <c r="AE79" s="369"/>
      <c r="AF79" s="369"/>
      <c r="AG79" s="369"/>
      <c r="AH79" s="369"/>
      <c r="AI79" s="369"/>
      <c r="AJ79" s="369"/>
      <c r="AK79" s="369"/>
      <c r="AL79" s="369"/>
      <c r="AM79" s="369"/>
      <c r="AN79" s="369"/>
      <c r="AO79" s="369"/>
    </row>
    <row r="80" ht="13.5" customHeight="1">
      <c r="A80" s="458"/>
      <c r="B80" s="461" t="str">
        <f>Premium!I37</f>
        <v>Supply and installation of Base storage unit  with BWP Carcass, HDHMR Boilo Shutter, Glossy finish laminate and soft close hinges  </v>
      </c>
      <c r="C80" s="458">
        <v>5.0</v>
      </c>
      <c r="D80" s="458">
        <v>2.0</v>
      </c>
      <c r="E80" s="469">
        <f t="shared" ref="E80:E81" si="25">C80*D80</f>
        <v>10</v>
      </c>
      <c r="F80" s="470" t="s">
        <v>683</v>
      </c>
      <c r="G80" s="458">
        <v>1500.0</v>
      </c>
      <c r="H80" s="458">
        <v>600.0</v>
      </c>
      <c r="I80" s="471" t="s">
        <v>684</v>
      </c>
      <c r="J80" s="472">
        <f>Premium!L37</f>
        <v>1765</v>
      </c>
      <c r="K80" s="466">
        <v>1.0</v>
      </c>
      <c r="L80" s="467">
        <f t="shared" ref="L80:L81" si="26">K80*J80*E80</f>
        <v>17650</v>
      </c>
      <c r="M80" s="452"/>
      <c r="N80" s="368"/>
      <c r="O80" s="368"/>
      <c r="P80" s="368"/>
      <c r="Q80" s="369"/>
      <c r="R80" s="369"/>
      <c r="S80" s="452"/>
      <c r="T80" s="452"/>
      <c r="U80" s="452"/>
      <c r="V80" s="369"/>
      <c r="W80" s="369"/>
      <c r="X80" s="369"/>
      <c r="Y80" s="369"/>
      <c r="Z80" s="369"/>
      <c r="AA80" s="369"/>
      <c r="AB80" s="369"/>
      <c r="AC80" s="369"/>
      <c r="AD80" s="369"/>
      <c r="AE80" s="369"/>
      <c r="AF80" s="369"/>
      <c r="AG80" s="369"/>
      <c r="AH80" s="369"/>
      <c r="AI80" s="369"/>
      <c r="AJ80" s="369"/>
      <c r="AK80" s="369"/>
      <c r="AL80" s="369"/>
      <c r="AM80" s="369"/>
      <c r="AN80" s="369"/>
      <c r="AO80" s="369"/>
    </row>
    <row r="81" ht="13.5" customHeight="1">
      <c r="A81" s="458"/>
      <c r="B81" s="461" t="str">
        <f>Premium!I68</f>
        <v>Supply and installation of Ledge with 25mm Ledge BWP and Glossy Finish Laminate</v>
      </c>
      <c r="C81" s="458">
        <v>5.0</v>
      </c>
      <c r="D81" s="458">
        <v>1.0</v>
      </c>
      <c r="E81" s="469">
        <f t="shared" si="25"/>
        <v>5</v>
      </c>
      <c r="F81" s="470" t="s">
        <v>683</v>
      </c>
      <c r="G81" s="458">
        <v>1500.0</v>
      </c>
      <c r="H81" s="458">
        <v>300.0</v>
      </c>
      <c r="I81" s="471" t="s">
        <v>684</v>
      </c>
      <c r="J81" s="472">
        <f>Premium!L68</f>
        <v>925</v>
      </c>
      <c r="K81" s="466">
        <v>1.0</v>
      </c>
      <c r="L81" s="467">
        <f t="shared" si="26"/>
        <v>4625</v>
      </c>
      <c r="M81" s="452"/>
      <c r="N81" s="368"/>
      <c r="O81" s="368"/>
      <c r="P81" s="368"/>
      <c r="Q81" s="369"/>
      <c r="R81" s="369"/>
      <c r="S81" s="452"/>
      <c r="T81" s="452"/>
      <c r="U81" s="452"/>
      <c r="V81" s="369"/>
      <c r="W81" s="369"/>
      <c r="X81" s="369"/>
      <c r="Y81" s="369"/>
      <c r="Z81" s="369"/>
      <c r="AA81" s="369"/>
      <c r="AB81" s="369"/>
      <c r="AC81" s="369"/>
      <c r="AD81" s="369"/>
      <c r="AE81" s="369"/>
      <c r="AF81" s="369"/>
      <c r="AG81" s="369"/>
      <c r="AH81" s="369"/>
      <c r="AI81" s="369"/>
      <c r="AJ81" s="369"/>
      <c r="AK81" s="369"/>
      <c r="AL81" s="369"/>
      <c r="AM81" s="369"/>
      <c r="AN81" s="369"/>
      <c r="AO81" s="369"/>
    </row>
    <row r="82" ht="13.5" customHeight="1">
      <c r="A82" s="458"/>
      <c r="B82" s="480" t="s">
        <v>925</v>
      </c>
      <c r="C82" s="460"/>
      <c r="D82" s="460"/>
      <c r="E82" s="460"/>
      <c r="F82" s="460"/>
      <c r="G82" s="460"/>
      <c r="H82" s="460"/>
      <c r="I82" s="460"/>
      <c r="J82" s="479"/>
      <c r="K82" s="479"/>
      <c r="L82" s="460"/>
      <c r="M82" s="452"/>
      <c r="N82" s="368"/>
      <c r="O82" s="368"/>
      <c r="P82" s="368"/>
      <c r="Q82" s="369"/>
      <c r="R82" s="369"/>
      <c r="S82" s="452"/>
      <c r="T82" s="452"/>
      <c r="U82" s="452"/>
      <c r="V82" s="369"/>
      <c r="W82" s="369"/>
      <c r="X82" s="369"/>
      <c r="Y82" s="369"/>
      <c r="Z82" s="369"/>
      <c r="AA82" s="369"/>
      <c r="AB82" s="369"/>
      <c r="AC82" s="369"/>
      <c r="AD82" s="369"/>
      <c r="AE82" s="369"/>
      <c r="AF82" s="369"/>
      <c r="AG82" s="369"/>
      <c r="AH82" s="369"/>
      <c r="AI82" s="369"/>
      <c r="AJ82" s="369"/>
      <c r="AK82" s="369"/>
      <c r="AL82" s="369"/>
      <c r="AM82" s="369"/>
      <c r="AN82" s="369"/>
      <c r="AO82" s="369"/>
    </row>
    <row r="83" ht="13.5" customHeight="1">
      <c r="A83" s="458"/>
      <c r="B83" s="461" t="str">
        <f>Premium!I62</f>
        <v>Supply and installation of Curved Base storage unit  with BWP Carcass, HDHMR Boilo Shutter, Glossy finish laminate and soft close hinges  </v>
      </c>
      <c r="C83" s="458">
        <v>4.0</v>
      </c>
      <c r="D83" s="458">
        <v>2.75</v>
      </c>
      <c r="E83" s="469">
        <f t="shared" ref="E83:E84" si="27">C83*D83</f>
        <v>11</v>
      </c>
      <c r="F83" s="470" t="s">
        <v>683</v>
      </c>
      <c r="G83" s="458">
        <v>1200.0</v>
      </c>
      <c r="H83" s="458">
        <v>825.0</v>
      </c>
      <c r="I83" s="471" t="s">
        <v>684</v>
      </c>
      <c r="J83" s="472">
        <f>Premium!L62</f>
        <v>2115</v>
      </c>
      <c r="K83" s="466">
        <v>1.0</v>
      </c>
      <c r="L83" s="467">
        <f t="shared" ref="L83:L84" si="28">K83*J83*E83</f>
        <v>23265</v>
      </c>
      <c r="M83" s="452"/>
      <c r="N83" s="368"/>
      <c r="O83" s="368"/>
      <c r="P83" s="368"/>
      <c r="Q83" s="369"/>
      <c r="R83" s="369"/>
      <c r="S83" s="452"/>
      <c r="T83" s="452"/>
      <c r="U83" s="452"/>
      <c r="V83" s="369"/>
      <c r="W83" s="369"/>
      <c r="X83" s="369"/>
      <c r="Y83" s="369"/>
      <c r="Z83" s="369"/>
      <c r="AA83" s="369"/>
      <c r="AB83" s="369"/>
      <c r="AC83" s="369"/>
      <c r="AD83" s="369"/>
      <c r="AE83" s="369"/>
      <c r="AF83" s="369"/>
      <c r="AG83" s="369"/>
      <c r="AH83" s="369"/>
      <c r="AI83" s="369"/>
      <c r="AJ83" s="369"/>
      <c r="AK83" s="369"/>
      <c r="AL83" s="369"/>
      <c r="AM83" s="369"/>
      <c r="AN83" s="369"/>
      <c r="AO83" s="369"/>
    </row>
    <row r="84" ht="13.5" customHeight="1">
      <c r="A84" s="458"/>
      <c r="B84" s="461" t="str">
        <f>Premium!I37</f>
        <v>Supply and installation of Base storage unit  with BWP Carcass, HDHMR Boilo Shutter, Glossy finish laminate and soft close hinges  </v>
      </c>
      <c r="C84" s="458">
        <v>4.0</v>
      </c>
      <c r="D84" s="458">
        <v>2.0</v>
      </c>
      <c r="E84" s="469">
        <f t="shared" si="27"/>
        <v>8</v>
      </c>
      <c r="F84" s="470" t="s">
        <v>683</v>
      </c>
      <c r="G84" s="458">
        <v>900.0</v>
      </c>
      <c r="H84" s="458">
        <v>600.0</v>
      </c>
      <c r="I84" s="471" t="s">
        <v>684</v>
      </c>
      <c r="J84" s="472">
        <f>Premium!L37</f>
        <v>1765</v>
      </c>
      <c r="K84" s="466">
        <v>1.0</v>
      </c>
      <c r="L84" s="467">
        <f t="shared" si="28"/>
        <v>14120</v>
      </c>
      <c r="M84" s="452"/>
      <c r="N84" s="368"/>
      <c r="O84" s="368"/>
      <c r="P84" s="368"/>
      <c r="Q84" s="369"/>
      <c r="R84" s="369"/>
      <c r="S84" s="452"/>
      <c r="T84" s="452"/>
      <c r="U84" s="452"/>
      <c r="V84" s="369"/>
      <c r="W84" s="369"/>
      <c r="X84" s="369"/>
      <c r="Y84" s="369"/>
      <c r="Z84" s="369"/>
      <c r="AA84" s="369"/>
      <c r="AB84" s="369"/>
      <c r="AC84" s="369"/>
      <c r="AD84" s="369"/>
      <c r="AE84" s="369"/>
      <c r="AF84" s="369"/>
      <c r="AG84" s="369"/>
      <c r="AH84" s="369"/>
      <c r="AI84" s="369"/>
      <c r="AJ84" s="369"/>
      <c r="AK84" s="369"/>
      <c r="AL84" s="369"/>
      <c r="AM84" s="369"/>
      <c r="AN84" s="369"/>
      <c r="AO84" s="369"/>
    </row>
    <row r="85" ht="13.5" customHeight="1">
      <c r="A85" s="458"/>
      <c r="B85" s="496" t="s">
        <v>926</v>
      </c>
      <c r="C85" s="460"/>
      <c r="D85" s="460"/>
      <c r="E85" s="460"/>
      <c r="F85" s="460"/>
      <c r="G85" s="460"/>
      <c r="H85" s="460"/>
      <c r="I85" s="460"/>
      <c r="J85" s="479"/>
      <c r="K85" s="479"/>
      <c r="L85" s="460"/>
      <c r="M85" s="452"/>
      <c r="N85" s="368"/>
      <c r="O85" s="368"/>
      <c r="P85" s="368"/>
      <c r="Q85" s="369"/>
      <c r="R85" s="369"/>
      <c r="S85" s="452"/>
      <c r="T85" s="452"/>
      <c r="U85" s="452"/>
      <c r="V85" s="369"/>
      <c r="W85" s="369"/>
      <c r="X85" s="369"/>
      <c r="Y85" s="369"/>
      <c r="Z85" s="369"/>
      <c r="AA85" s="369"/>
      <c r="AB85" s="369"/>
      <c r="AC85" s="369"/>
      <c r="AD85" s="369"/>
      <c r="AE85" s="369"/>
      <c r="AF85" s="369"/>
      <c r="AG85" s="369"/>
      <c r="AH85" s="369"/>
      <c r="AI85" s="369"/>
      <c r="AJ85" s="369"/>
      <c r="AK85" s="369"/>
      <c r="AL85" s="369"/>
      <c r="AM85" s="369"/>
      <c r="AN85" s="369"/>
      <c r="AO85" s="369"/>
    </row>
    <row r="86" ht="13.5" customHeight="1">
      <c r="A86" s="458"/>
      <c r="B86" s="461" t="str">
        <f>Premium!I40</f>
        <v>Supply and installation of Wardrobe  with BWP Carcass, HDHMR Boilo Shutter, Glossy finish laminate and soft close hinges  </v>
      </c>
      <c r="C86" s="458">
        <v>8.5</v>
      </c>
      <c r="D86" s="458">
        <v>7.0</v>
      </c>
      <c r="E86" s="469">
        <f t="shared" ref="E86:E91" si="29">C86*D86</f>
        <v>59.5</v>
      </c>
      <c r="F86" s="470" t="s">
        <v>683</v>
      </c>
      <c r="G86" s="458">
        <v>2550.0</v>
      </c>
      <c r="H86" s="458">
        <v>2100.0</v>
      </c>
      <c r="I86" s="471" t="s">
        <v>684</v>
      </c>
      <c r="J86" s="472">
        <f>Premium!L37</f>
        <v>1765</v>
      </c>
      <c r="K86" s="466">
        <v>1.0</v>
      </c>
      <c r="L86" s="467">
        <f t="shared" ref="L86:L91" si="30">K86*J86*E86</f>
        <v>105017.5</v>
      </c>
      <c r="M86" s="452"/>
      <c r="N86" s="368"/>
      <c r="O86" s="368"/>
      <c r="P86" s="368"/>
      <c r="Q86" s="369"/>
      <c r="R86" s="369"/>
      <c r="S86" s="452"/>
      <c r="T86" s="452"/>
      <c r="U86" s="452"/>
      <c r="V86" s="369"/>
      <c r="W86" s="369"/>
      <c r="X86" s="369"/>
      <c r="Y86" s="369"/>
      <c r="Z86" s="369"/>
      <c r="AA86" s="369"/>
      <c r="AB86" s="369"/>
      <c r="AC86" s="369"/>
      <c r="AD86" s="369"/>
      <c r="AE86" s="369"/>
      <c r="AF86" s="369"/>
      <c r="AG86" s="369"/>
      <c r="AH86" s="369"/>
      <c r="AI86" s="369"/>
      <c r="AJ86" s="369"/>
      <c r="AK86" s="369"/>
      <c r="AL86" s="369"/>
      <c r="AM86" s="369"/>
      <c r="AN86" s="369"/>
      <c r="AO86" s="369"/>
    </row>
    <row r="87" ht="13.5" customHeight="1">
      <c r="A87" s="458"/>
      <c r="B87" s="461" t="str">
        <f>Premium!I39</f>
        <v>Supply and installation of Tall storage unit  with BWP Carcass, HDHMR Boilo Shutter, Glossy finish laminate and soft close hinges  </v>
      </c>
      <c r="C87" s="458">
        <v>1.5</v>
      </c>
      <c r="D87" s="458">
        <v>7.0</v>
      </c>
      <c r="E87" s="469">
        <f t="shared" si="29"/>
        <v>10.5</v>
      </c>
      <c r="F87" s="470" t="s">
        <v>683</v>
      </c>
      <c r="G87" s="458">
        <v>450.0</v>
      </c>
      <c r="H87" s="458">
        <v>2100.0</v>
      </c>
      <c r="I87" s="471" t="s">
        <v>684</v>
      </c>
      <c r="J87" s="472">
        <f>Premium!L37</f>
        <v>1765</v>
      </c>
      <c r="K87" s="466">
        <v>1.0</v>
      </c>
      <c r="L87" s="467">
        <f t="shared" si="30"/>
        <v>18532.5</v>
      </c>
      <c r="M87" s="452"/>
      <c r="N87" s="368"/>
      <c r="O87" s="368"/>
      <c r="P87" s="368"/>
      <c r="Q87" s="369"/>
      <c r="R87" s="369"/>
      <c r="S87" s="452"/>
      <c r="T87" s="452"/>
      <c r="U87" s="452"/>
      <c r="V87" s="369"/>
      <c r="W87" s="369"/>
      <c r="X87" s="369"/>
      <c r="Y87" s="369"/>
      <c r="Z87" s="369"/>
      <c r="AA87" s="369"/>
      <c r="AB87" s="369"/>
      <c r="AC87" s="369"/>
      <c r="AD87" s="369"/>
      <c r="AE87" s="369"/>
      <c r="AF87" s="369"/>
      <c r="AG87" s="369"/>
      <c r="AH87" s="369"/>
      <c r="AI87" s="369"/>
      <c r="AJ87" s="369"/>
      <c r="AK87" s="369"/>
      <c r="AL87" s="369"/>
      <c r="AM87" s="369"/>
      <c r="AN87" s="369"/>
      <c r="AO87" s="369"/>
    </row>
    <row r="88" ht="13.5" customHeight="1">
      <c r="A88" s="458"/>
      <c r="B88" s="461" t="str">
        <f>Premium!I62</f>
        <v>Supply and installation of Curved Base storage unit  with BWP Carcass, HDHMR Boilo Shutter, Glossy finish laminate and soft close hinges  </v>
      </c>
      <c r="C88" s="458">
        <v>3.0</v>
      </c>
      <c r="D88" s="458">
        <v>1.0</v>
      </c>
      <c r="E88" s="469">
        <f t="shared" si="29"/>
        <v>3</v>
      </c>
      <c r="F88" s="470" t="s">
        <v>683</v>
      </c>
      <c r="G88" s="458">
        <v>900.0</v>
      </c>
      <c r="H88" s="458">
        <v>300.0</v>
      </c>
      <c r="I88" s="471" t="s">
        <v>684</v>
      </c>
      <c r="J88" s="472">
        <f>Premium!L62</f>
        <v>2115</v>
      </c>
      <c r="K88" s="466">
        <v>1.0</v>
      </c>
      <c r="L88" s="467">
        <f t="shared" si="30"/>
        <v>6345</v>
      </c>
      <c r="M88" s="452"/>
      <c r="N88" s="368"/>
      <c r="O88" s="368"/>
      <c r="P88" s="368"/>
      <c r="Q88" s="369"/>
      <c r="R88" s="369"/>
      <c r="S88" s="474"/>
      <c r="T88" s="452">
        <v>4730.0</v>
      </c>
      <c r="U88" s="452"/>
      <c r="V88" s="369"/>
      <c r="W88" s="369"/>
      <c r="X88" s="369"/>
      <c r="Y88" s="369"/>
      <c r="Z88" s="369"/>
      <c r="AA88" s="369"/>
      <c r="AB88" s="369"/>
      <c r="AC88" s="369"/>
      <c r="AD88" s="369"/>
      <c r="AE88" s="369"/>
      <c r="AF88" s="369"/>
      <c r="AG88" s="369"/>
      <c r="AH88" s="369"/>
      <c r="AI88" s="369"/>
      <c r="AJ88" s="369"/>
      <c r="AK88" s="369"/>
      <c r="AL88" s="369"/>
      <c r="AM88" s="369"/>
      <c r="AN88" s="369"/>
      <c r="AO88" s="369"/>
    </row>
    <row r="89" ht="13.5" customHeight="1">
      <c r="A89" s="458"/>
      <c r="B89" s="461" t="str">
        <f>Premium!I73</f>
        <v>Supply and installation of Wall Panel with BWP Ply Frame, Glossy Finish laminate </v>
      </c>
      <c r="C89" s="458">
        <v>2.0</v>
      </c>
      <c r="D89" s="458">
        <v>5.0</v>
      </c>
      <c r="E89" s="469">
        <f t="shared" si="29"/>
        <v>10</v>
      </c>
      <c r="F89" s="470" t="s">
        <v>683</v>
      </c>
      <c r="G89" s="458">
        <v>600.0</v>
      </c>
      <c r="H89" s="458">
        <v>1500.0</v>
      </c>
      <c r="I89" s="471" t="s">
        <v>684</v>
      </c>
      <c r="J89" s="472">
        <f>Premium!L73</f>
        <v>1100</v>
      </c>
      <c r="K89" s="466">
        <v>1.0</v>
      </c>
      <c r="L89" s="467">
        <f t="shared" si="30"/>
        <v>11000</v>
      </c>
      <c r="M89" s="452"/>
      <c r="N89" s="368"/>
      <c r="O89" s="368"/>
      <c r="P89" s="368"/>
      <c r="Q89" s="369"/>
      <c r="R89" s="369"/>
      <c r="S89" s="474"/>
      <c r="T89" s="452"/>
      <c r="U89" s="452"/>
      <c r="V89" s="369"/>
      <c r="W89" s="369"/>
      <c r="X89" s="369"/>
      <c r="Y89" s="369"/>
      <c r="Z89" s="369"/>
      <c r="AA89" s="369"/>
      <c r="AB89" s="369"/>
      <c r="AC89" s="369"/>
      <c r="AD89" s="369"/>
      <c r="AE89" s="369"/>
      <c r="AF89" s="369"/>
      <c r="AG89" s="369"/>
      <c r="AH89" s="369"/>
      <c r="AI89" s="369"/>
      <c r="AJ89" s="369"/>
      <c r="AK89" s="369"/>
      <c r="AL89" s="369"/>
      <c r="AM89" s="369"/>
      <c r="AN89" s="369"/>
      <c r="AO89" s="369"/>
    </row>
    <row r="90" ht="13.5" customHeight="1">
      <c r="A90" s="458"/>
      <c r="B90" s="461" t="str">
        <f>Premium!I67</f>
        <v>Supply and installation of Loft Frame and Shutter unit with BWP Frame, HDHMR Boilo Shutter, Glossy  finish laminate and Soft Close hinges  </v>
      </c>
      <c r="C90" s="458">
        <v>10.0</v>
      </c>
      <c r="D90" s="458">
        <v>2.5</v>
      </c>
      <c r="E90" s="469">
        <f t="shared" si="29"/>
        <v>25</v>
      </c>
      <c r="F90" s="470" t="s">
        <v>683</v>
      </c>
      <c r="G90" s="458">
        <v>3000.0</v>
      </c>
      <c r="H90" s="458">
        <v>750.0</v>
      </c>
      <c r="I90" s="471" t="s">
        <v>684</v>
      </c>
      <c r="J90" s="472">
        <f>Premium!L67</f>
        <v>1008</v>
      </c>
      <c r="K90" s="466">
        <v>1.0</v>
      </c>
      <c r="L90" s="467">
        <f t="shared" si="30"/>
        <v>25200</v>
      </c>
      <c r="M90" s="452"/>
      <c r="N90" s="368"/>
      <c r="O90" s="368"/>
      <c r="P90" s="368"/>
      <c r="Q90" s="369"/>
      <c r="R90" s="369"/>
      <c r="S90" s="474"/>
      <c r="T90" s="452">
        <v>2029.0</v>
      </c>
      <c r="U90" s="452"/>
      <c r="V90" s="369"/>
      <c r="W90" s="369"/>
      <c r="X90" s="369"/>
      <c r="Y90" s="369"/>
      <c r="Z90" s="369"/>
      <c r="AA90" s="369"/>
      <c r="AB90" s="369"/>
      <c r="AC90" s="369"/>
      <c r="AD90" s="369"/>
      <c r="AE90" s="369"/>
      <c r="AF90" s="369"/>
      <c r="AG90" s="369"/>
      <c r="AH90" s="369"/>
      <c r="AI90" s="369"/>
      <c r="AJ90" s="369"/>
      <c r="AK90" s="369"/>
      <c r="AL90" s="369"/>
      <c r="AM90" s="369"/>
      <c r="AN90" s="369"/>
      <c r="AO90" s="369"/>
    </row>
    <row r="91" ht="13.5" customHeight="1">
      <c r="A91" s="458"/>
      <c r="B91" s="461" t="str">
        <f>Premium!I77</f>
        <v>Supply and installation of Base Panel with BWP Ply Frame, Glossy Finish laminate </v>
      </c>
      <c r="C91" s="458">
        <v>2.0</v>
      </c>
      <c r="D91" s="458">
        <v>3.0</v>
      </c>
      <c r="E91" s="469">
        <f t="shared" si="29"/>
        <v>6</v>
      </c>
      <c r="F91" s="470" t="s">
        <v>683</v>
      </c>
      <c r="G91" s="458">
        <v>600.0</v>
      </c>
      <c r="H91" s="458">
        <v>900.0</v>
      </c>
      <c r="I91" s="471" t="s">
        <v>684</v>
      </c>
      <c r="J91" s="472">
        <f>Premium!L73</f>
        <v>1100</v>
      </c>
      <c r="K91" s="466">
        <v>1.0</v>
      </c>
      <c r="L91" s="467">
        <f t="shared" si="30"/>
        <v>6600</v>
      </c>
      <c r="M91" s="452"/>
      <c r="N91" s="368"/>
      <c r="O91" s="368"/>
      <c r="P91" s="368"/>
      <c r="Q91" s="369"/>
      <c r="R91" s="369"/>
      <c r="S91" s="452"/>
      <c r="T91" s="452"/>
      <c r="U91" s="452"/>
      <c r="V91" s="369"/>
      <c r="W91" s="369"/>
      <c r="X91" s="369"/>
      <c r="Y91" s="369"/>
      <c r="Z91" s="369"/>
      <c r="AA91" s="369"/>
      <c r="AB91" s="369"/>
      <c r="AC91" s="369"/>
      <c r="AD91" s="369"/>
      <c r="AE91" s="369"/>
      <c r="AF91" s="369"/>
      <c r="AG91" s="369"/>
      <c r="AH91" s="369"/>
      <c r="AI91" s="369"/>
      <c r="AJ91" s="369"/>
      <c r="AK91" s="369"/>
      <c r="AL91" s="369"/>
      <c r="AM91" s="369"/>
      <c r="AN91" s="369"/>
      <c r="AO91" s="369"/>
    </row>
    <row r="92" ht="13.5" customHeight="1">
      <c r="A92" s="458"/>
      <c r="B92" s="480" t="s">
        <v>927</v>
      </c>
      <c r="C92" s="460"/>
      <c r="D92" s="460"/>
      <c r="E92" s="460"/>
      <c r="F92" s="460"/>
      <c r="G92" s="460"/>
      <c r="H92" s="460"/>
      <c r="I92" s="460"/>
      <c r="J92" s="479"/>
      <c r="K92" s="479"/>
      <c r="L92" s="460"/>
      <c r="M92" s="452"/>
      <c r="N92" s="368"/>
      <c r="O92" s="368"/>
      <c r="P92" s="368"/>
      <c r="Q92" s="369"/>
      <c r="R92" s="369"/>
      <c r="S92" s="452"/>
      <c r="T92" s="452"/>
      <c r="U92" s="452"/>
      <c r="V92" s="369"/>
      <c r="W92" s="369"/>
      <c r="X92" s="369"/>
      <c r="Y92" s="369"/>
      <c r="Z92" s="369"/>
      <c r="AA92" s="369"/>
      <c r="AB92" s="369"/>
      <c r="AC92" s="369"/>
      <c r="AD92" s="369"/>
      <c r="AE92" s="369"/>
      <c r="AF92" s="369"/>
      <c r="AG92" s="369"/>
      <c r="AH92" s="369"/>
      <c r="AI92" s="369"/>
      <c r="AJ92" s="369"/>
      <c r="AK92" s="369"/>
      <c r="AL92" s="369"/>
      <c r="AM92" s="369"/>
      <c r="AN92" s="369"/>
      <c r="AO92" s="369"/>
    </row>
    <row r="93" ht="13.5" customHeight="1">
      <c r="A93" s="458"/>
      <c r="B93" s="461" t="str">
        <f>Premium!I3</f>
        <v>Supply and installation of Base storage unit  with BWP Carcass, HDHMR Boilo Shutter, Smooth finish laminate and soft close hinges  </v>
      </c>
      <c r="C93" s="458">
        <v>6.0</v>
      </c>
      <c r="D93" s="458">
        <v>6.0</v>
      </c>
      <c r="E93" s="469">
        <f>C93*D93</f>
        <v>36</v>
      </c>
      <c r="F93" s="470" t="s">
        <v>683</v>
      </c>
      <c r="G93" s="458">
        <v>1800.0</v>
      </c>
      <c r="H93" s="458">
        <v>1800.0</v>
      </c>
      <c r="I93" s="471" t="s">
        <v>684</v>
      </c>
      <c r="J93" s="472">
        <f>Premium!L3</f>
        <v>1715</v>
      </c>
      <c r="K93" s="466">
        <v>1.0</v>
      </c>
      <c r="L93" s="467">
        <f>K93*J93*E93</f>
        <v>61740</v>
      </c>
      <c r="M93" s="452"/>
      <c r="N93" s="368"/>
      <c r="O93" s="368"/>
      <c r="P93" s="368"/>
      <c r="Q93" s="369"/>
      <c r="R93" s="369"/>
      <c r="S93" s="452"/>
      <c r="T93" s="452"/>
      <c r="U93" s="452"/>
      <c r="V93" s="369"/>
      <c r="W93" s="369"/>
      <c r="X93" s="369"/>
      <c r="Y93" s="369"/>
      <c r="Z93" s="369"/>
      <c r="AA93" s="369"/>
      <c r="AB93" s="369"/>
      <c r="AC93" s="369"/>
      <c r="AD93" s="369"/>
      <c r="AE93" s="369"/>
      <c r="AF93" s="369"/>
      <c r="AG93" s="369"/>
      <c r="AH93" s="369"/>
      <c r="AI93" s="369"/>
      <c r="AJ93" s="369"/>
      <c r="AK93" s="369"/>
      <c r="AL93" s="369"/>
      <c r="AM93" s="369"/>
      <c r="AN93" s="369"/>
      <c r="AO93" s="369"/>
    </row>
    <row r="94" ht="13.5" customHeight="1">
      <c r="A94" s="458"/>
      <c r="B94" s="495" t="s">
        <v>928</v>
      </c>
      <c r="C94" s="460"/>
      <c r="D94" s="460"/>
      <c r="E94" s="460"/>
      <c r="F94" s="460"/>
      <c r="G94" s="460"/>
      <c r="H94" s="460"/>
      <c r="I94" s="460"/>
      <c r="J94" s="479"/>
      <c r="K94" s="479"/>
      <c r="L94" s="460"/>
      <c r="M94" s="452"/>
      <c r="N94" s="368"/>
      <c r="O94" s="368"/>
      <c r="P94" s="368"/>
      <c r="Q94" s="369"/>
      <c r="R94" s="369"/>
      <c r="S94" s="452"/>
      <c r="T94" s="452"/>
      <c r="U94" s="452"/>
      <c r="V94" s="369"/>
      <c r="W94" s="369"/>
      <c r="X94" s="369"/>
      <c r="Y94" s="369"/>
      <c r="Z94" s="369"/>
      <c r="AA94" s="369"/>
      <c r="AB94" s="369"/>
      <c r="AC94" s="369"/>
      <c r="AD94" s="369"/>
      <c r="AE94" s="369"/>
      <c r="AF94" s="369"/>
      <c r="AG94" s="369"/>
      <c r="AH94" s="369"/>
      <c r="AI94" s="369"/>
      <c r="AJ94" s="369"/>
      <c r="AK94" s="369"/>
      <c r="AL94" s="369"/>
      <c r="AM94" s="369"/>
      <c r="AN94" s="369"/>
      <c r="AO94" s="369"/>
    </row>
    <row r="95" ht="13.5" customHeight="1">
      <c r="A95" s="458"/>
      <c r="B95" s="461" t="str">
        <f>Premium!I73</f>
        <v>Supply and installation of Wall Panel with BWP Ply Frame, Glossy Finish laminate </v>
      </c>
      <c r="C95" s="458">
        <v>8.0</v>
      </c>
      <c r="D95" s="458">
        <v>10.0</v>
      </c>
      <c r="E95" s="469">
        <f t="shared" ref="E95:E98" si="31">C95*D95</f>
        <v>80</v>
      </c>
      <c r="F95" s="470" t="s">
        <v>683</v>
      </c>
      <c r="G95" s="458">
        <v>2400.0</v>
      </c>
      <c r="H95" s="458">
        <v>3000.0</v>
      </c>
      <c r="I95" s="471" t="s">
        <v>684</v>
      </c>
      <c r="J95" s="472">
        <f>Premium!L73</f>
        <v>1100</v>
      </c>
      <c r="K95" s="466">
        <v>1.0</v>
      </c>
      <c r="L95" s="467">
        <f t="shared" ref="L95:L98" si="32">K95*J95*E95</f>
        <v>88000</v>
      </c>
      <c r="M95" s="452"/>
      <c r="N95" s="368"/>
      <c r="O95" s="368"/>
      <c r="P95" s="368"/>
      <c r="Q95" s="369"/>
      <c r="R95" s="369"/>
      <c r="S95" s="452"/>
      <c r="T95" s="452"/>
      <c r="U95" s="452"/>
      <c r="V95" s="369"/>
      <c r="W95" s="369"/>
      <c r="X95" s="369"/>
      <c r="Y95" s="369"/>
      <c r="Z95" s="369"/>
      <c r="AA95" s="369"/>
      <c r="AB95" s="369"/>
      <c r="AC95" s="369"/>
      <c r="AD95" s="369"/>
      <c r="AE95" s="369"/>
      <c r="AF95" s="369"/>
      <c r="AG95" s="369"/>
      <c r="AH95" s="369"/>
      <c r="AI95" s="369"/>
      <c r="AJ95" s="369"/>
      <c r="AK95" s="369"/>
      <c r="AL95" s="369"/>
      <c r="AM95" s="369"/>
      <c r="AN95" s="369"/>
      <c r="AO95" s="369"/>
    </row>
    <row r="96" ht="13.5" customHeight="1">
      <c r="A96" s="458"/>
      <c r="B96" s="461" t="str">
        <f>Premium!I37</f>
        <v>Supply and installation of Base storage unit  with BWP Carcass, HDHMR Boilo Shutter, Glossy finish laminate and soft close hinges  </v>
      </c>
      <c r="C96" s="458">
        <v>6.0</v>
      </c>
      <c r="D96" s="458">
        <v>7.0</v>
      </c>
      <c r="E96" s="469">
        <f t="shared" si="31"/>
        <v>42</v>
      </c>
      <c r="F96" s="470" t="s">
        <v>683</v>
      </c>
      <c r="G96" s="458">
        <v>1800.0</v>
      </c>
      <c r="H96" s="458">
        <v>2100.0</v>
      </c>
      <c r="I96" s="471" t="s">
        <v>684</v>
      </c>
      <c r="J96" s="472">
        <f>Premium!L37</f>
        <v>1765</v>
      </c>
      <c r="K96" s="466">
        <v>1.0</v>
      </c>
      <c r="L96" s="467">
        <f t="shared" si="32"/>
        <v>74130</v>
      </c>
      <c r="M96" s="452"/>
      <c r="N96" s="368"/>
      <c r="O96" s="368"/>
      <c r="P96" s="368"/>
      <c r="Q96" s="369"/>
      <c r="R96" s="369"/>
      <c r="S96" s="452"/>
      <c r="T96" s="452"/>
      <c r="U96" s="452"/>
      <c r="V96" s="369"/>
      <c r="W96" s="369"/>
      <c r="X96" s="369"/>
      <c r="Y96" s="369"/>
      <c r="Z96" s="369"/>
      <c r="AA96" s="369"/>
      <c r="AB96" s="369"/>
      <c r="AC96" s="369"/>
      <c r="AD96" s="369"/>
      <c r="AE96" s="369"/>
      <c r="AF96" s="369"/>
      <c r="AG96" s="369"/>
      <c r="AH96" s="369"/>
      <c r="AI96" s="369"/>
      <c r="AJ96" s="369"/>
      <c r="AK96" s="369"/>
      <c r="AL96" s="369"/>
      <c r="AM96" s="369"/>
      <c r="AN96" s="369"/>
      <c r="AO96" s="369"/>
    </row>
    <row r="97" ht="13.5" customHeight="1">
      <c r="A97" s="458"/>
      <c r="B97" s="461" t="str">
        <f>Premium!I67</f>
        <v>Supply and installation of Loft Frame and Shutter unit with BWP Frame, HDHMR Boilo Shutter, Glossy  finish laminate and Soft Close hinges  </v>
      </c>
      <c r="C97" s="458">
        <v>10.0</v>
      </c>
      <c r="D97" s="458">
        <v>2.5</v>
      </c>
      <c r="E97" s="469">
        <f t="shared" si="31"/>
        <v>25</v>
      </c>
      <c r="F97" s="470" t="s">
        <v>683</v>
      </c>
      <c r="G97" s="458">
        <v>1800.0</v>
      </c>
      <c r="H97" s="458">
        <v>750.0</v>
      </c>
      <c r="I97" s="471" t="s">
        <v>684</v>
      </c>
      <c r="J97" s="472">
        <f>Premium!L67</f>
        <v>1008</v>
      </c>
      <c r="K97" s="466">
        <v>1.0</v>
      </c>
      <c r="L97" s="467">
        <f t="shared" si="32"/>
        <v>25200</v>
      </c>
      <c r="M97" s="452"/>
      <c r="N97" s="368"/>
      <c r="O97" s="368"/>
      <c r="P97" s="368"/>
      <c r="Q97" s="369"/>
      <c r="R97" s="369"/>
      <c r="S97" s="452"/>
      <c r="T97" s="452"/>
      <c r="U97" s="452"/>
      <c r="V97" s="369"/>
      <c r="W97" s="369"/>
      <c r="X97" s="369"/>
      <c r="Y97" s="369"/>
      <c r="Z97" s="369"/>
      <c r="AA97" s="369"/>
      <c r="AB97" s="369"/>
      <c r="AC97" s="369"/>
      <c r="AD97" s="369"/>
      <c r="AE97" s="369"/>
      <c r="AF97" s="369"/>
      <c r="AG97" s="369"/>
      <c r="AH97" s="369"/>
      <c r="AI97" s="369"/>
      <c r="AJ97" s="369"/>
      <c r="AK97" s="369"/>
      <c r="AL97" s="369"/>
      <c r="AM97" s="369"/>
      <c r="AN97" s="369"/>
      <c r="AO97" s="369"/>
    </row>
    <row r="98" ht="13.5" customHeight="1">
      <c r="A98" s="458"/>
      <c r="B98" s="461" t="str">
        <f>Premium!I77</f>
        <v>Supply and installation of Base Panel with BWP Ply Frame, Glossy Finish laminate </v>
      </c>
      <c r="C98" s="458">
        <v>6.0</v>
      </c>
      <c r="D98" s="458">
        <v>2.5</v>
      </c>
      <c r="E98" s="469">
        <f t="shared" si="31"/>
        <v>15</v>
      </c>
      <c r="F98" s="470" t="s">
        <v>683</v>
      </c>
      <c r="G98" s="458">
        <v>1800.0</v>
      </c>
      <c r="H98" s="458">
        <v>750.0</v>
      </c>
      <c r="I98" s="471" t="s">
        <v>684</v>
      </c>
      <c r="J98" s="472">
        <f>Premium!L73</f>
        <v>1100</v>
      </c>
      <c r="K98" s="466">
        <v>1.0</v>
      </c>
      <c r="L98" s="467">
        <f t="shared" si="32"/>
        <v>16500</v>
      </c>
      <c r="M98" s="452"/>
      <c r="N98" s="368"/>
      <c r="O98" s="368"/>
      <c r="P98" s="368"/>
      <c r="Q98" s="369"/>
      <c r="R98" s="369"/>
      <c r="S98" s="452"/>
      <c r="T98" s="452"/>
      <c r="U98" s="452"/>
      <c r="V98" s="369"/>
      <c r="W98" s="369"/>
      <c r="X98" s="369"/>
      <c r="Y98" s="369"/>
      <c r="Z98" s="369"/>
      <c r="AA98" s="369"/>
      <c r="AB98" s="369"/>
      <c r="AC98" s="369"/>
      <c r="AD98" s="369"/>
      <c r="AE98" s="369"/>
      <c r="AF98" s="369"/>
      <c r="AG98" s="369"/>
      <c r="AH98" s="369"/>
      <c r="AI98" s="369"/>
      <c r="AJ98" s="369"/>
      <c r="AK98" s="369"/>
      <c r="AL98" s="369"/>
      <c r="AM98" s="369"/>
      <c r="AN98" s="369"/>
      <c r="AO98" s="369"/>
    </row>
    <row r="99" ht="13.5" customHeight="1">
      <c r="A99" s="458"/>
      <c r="B99" s="480" t="s">
        <v>925</v>
      </c>
      <c r="C99" s="460"/>
      <c r="D99" s="460"/>
      <c r="E99" s="460"/>
      <c r="F99" s="460"/>
      <c r="G99" s="460"/>
      <c r="H99" s="460"/>
      <c r="I99" s="460"/>
      <c r="J99" s="479"/>
      <c r="K99" s="479"/>
      <c r="L99" s="460"/>
      <c r="M99" s="452"/>
      <c r="N99" s="368"/>
      <c r="O99" s="368"/>
      <c r="P99" s="368"/>
      <c r="Q99" s="369"/>
      <c r="R99" s="369"/>
      <c r="S99" s="452"/>
      <c r="T99" s="452"/>
      <c r="U99" s="452"/>
      <c r="V99" s="369"/>
      <c r="W99" s="369"/>
      <c r="X99" s="369"/>
      <c r="Y99" s="369"/>
      <c r="Z99" s="369"/>
      <c r="AA99" s="369"/>
      <c r="AB99" s="369"/>
      <c r="AC99" s="369"/>
      <c r="AD99" s="369"/>
      <c r="AE99" s="369"/>
      <c r="AF99" s="369"/>
      <c r="AG99" s="369"/>
      <c r="AH99" s="369"/>
      <c r="AI99" s="369"/>
      <c r="AJ99" s="369"/>
      <c r="AK99" s="369"/>
      <c r="AL99" s="369"/>
      <c r="AM99" s="369"/>
      <c r="AN99" s="369"/>
      <c r="AO99" s="369"/>
    </row>
    <row r="100" ht="13.5" customHeight="1">
      <c r="A100" s="458"/>
      <c r="B100" s="461" t="str">
        <f>Premium!I37</f>
        <v>Supply and installation of Base storage unit  with BWP Carcass, HDHMR Boilo Shutter, Glossy finish laminate and soft close hinges  </v>
      </c>
      <c r="C100" s="458">
        <v>7.0</v>
      </c>
      <c r="D100" s="458">
        <v>1.0</v>
      </c>
      <c r="E100" s="469">
        <f>C100*D100</f>
        <v>7</v>
      </c>
      <c r="F100" s="470" t="s">
        <v>683</v>
      </c>
      <c r="G100" s="458">
        <v>2100.0</v>
      </c>
      <c r="H100" s="458">
        <v>300.0</v>
      </c>
      <c r="I100" s="471" t="s">
        <v>684</v>
      </c>
      <c r="J100" s="472">
        <f>Premium!L37</f>
        <v>1765</v>
      </c>
      <c r="K100" s="466">
        <v>1.0</v>
      </c>
      <c r="L100" s="467">
        <f>K100*J100*E100</f>
        <v>12355</v>
      </c>
      <c r="M100" s="452"/>
      <c r="N100" s="368"/>
      <c r="O100" s="368"/>
      <c r="P100" s="368"/>
      <c r="Q100" s="369"/>
      <c r="R100" s="369"/>
      <c r="S100" s="452"/>
      <c r="T100" s="452"/>
      <c r="U100" s="452"/>
      <c r="V100" s="369"/>
      <c r="W100" s="369"/>
      <c r="X100" s="369"/>
      <c r="Y100" s="369"/>
      <c r="Z100" s="369"/>
      <c r="AA100" s="369"/>
      <c r="AB100" s="369"/>
      <c r="AC100" s="369"/>
      <c r="AD100" s="369"/>
      <c r="AE100" s="369"/>
      <c r="AF100" s="369"/>
      <c r="AG100" s="369"/>
      <c r="AH100" s="369"/>
      <c r="AI100" s="369"/>
      <c r="AJ100" s="369"/>
      <c r="AK100" s="369"/>
      <c r="AL100" s="369"/>
      <c r="AM100" s="369"/>
      <c r="AN100" s="369"/>
      <c r="AO100" s="369"/>
    </row>
    <row r="101" ht="13.5" customHeight="1">
      <c r="A101" s="458"/>
      <c r="B101" s="480" t="s">
        <v>913</v>
      </c>
      <c r="C101" s="460"/>
      <c r="D101" s="460"/>
      <c r="E101" s="460"/>
      <c r="F101" s="460"/>
      <c r="G101" s="460"/>
      <c r="H101" s="460"/>
      <c r="I101" s="460"/>
      <c r="J101" s="479"/>
      <c r="K101" s="479"/>
      <c r="L101" s="460"/>
      <c r="M101" s="452"/>
      <c r="N101" s="368"/>
      <c r="O101" s="368"/>
      <c r="P101" s="368"/>
      <c r="Q101" s="369"/>
      <c r="R101" s="369"/>
      <c r="S101" s="452"/>
      <c r="T101" s="452"/>
      <c r="U101" s="452"/>
      <c r="V101" s="369"/>
      <c r="W101" s="369"/>
      <c r="X101" s="369"/>
      <c r="Y101" s="369"/>
      <c r="Z101" s="369"/>
      <c r="AA101" s="369"/>
      <c r="AB101" s="369"/>
      <c r="AC101" s="369"/>
      <c r="AD101" s="369"/>
      <c r="AE101" s="369"/>
      <c r="AF101" s="369"/>
      <c r="AG101" s="369"/>
      <c r="AH101" s="369"/>
      <c r="AI101" s="369"/>
      <c r="AJ101" s="369"/>
      <c r="AK101" s="369"/>
      <c r="AL101" s="369"/>
      <c r="AM101" s="369"/>
      <c r="AN101" s="369"/>
      <c r="AO101" s="369"/>
    </row>
    <row r="102" ht="13.5" customHeight="1">
      <c r="A102" s="458"/>
      <c r="B102" s="461" t="str">
        <f>Premium!I62</f>
        <v>Supply and installation of Curved Base storage unit  with BWP Carcass, HDHMR Boilo Shutter, Glossy finish laminate and soft close hinges  </v>
      </c>
      <c r="C102" s="458">
        <v>5.0</v>
      </c>
      <c r="D102" s="458">
        <v>1.0</v>
      </c>
      <c r="E102" s="469">
        <f t="shared" ref="E102:E103" si="33">C102*D102</f>
        <v>5</v>
      </c>
      <c r="F102" s="470" t="s">
        <v>683</v>
      </c>
      <c r="G102" s="458">
        <v>1500.0</v>
      </c>
      <c r="H102" s="458">
        <v>300.0</v>
      </c>
      <c r="I102" s="471" t="s">
        <v>684</v>
      </c>
      <c r="J102" s="472">
        <f>Premium!L62</f>
        <v>2115</v>
      </c>
      <c r="K102" s="466">
        <v>1.0</v>
      </c>
      <c r="L102" s="467">
        <f t="shared" ref="L102:L103" si="34">K102*J102*E102</f>
        <v>10575</v>
      </c>
      <c r="M102" s="452"/>
      <c r="N102" s="368"/>
      <c r="O102" s="368"/>
      <c r="P102" s="368"/>
      <c r="Q102" s="369"/>
      <c r="R102" s="369"/>
      <c r="S102" s="452"/>
      <c r="T102" s="474"/>
      <c r="U102" s="452">
        <v>4730.0</v>
      </c>
      <c r="V102" s="369"/>
      <c r="W102" s="369"/>
      <c r="X102" s="369"/>
      <c r="Y102" s="369"/>
      <c r="Z102" s="369"/>
      <c r="AA102" s="369"/>
      <c r="AB102" s="369"/>
      <c r="AC102" s="369"/>
      <c r="AD102" s="369"/>
      <c r="AE102" s="369"/>
      <c r="AF102" s="369"/>
      <c r="AG102" s="369"/>
      <c r="AH102" s="369"/>
      <c r="AI102" s="369"/>
      <c r="AJ102" s="369"/>
      <c r="AK102" s="369"/>
      <c r="AL102" s="369"/>
      <c r="AM102" s="369"/>
      <c r="AN102" s="369"/>
      <c r="AO102" s="369"/>
    </row>
    <row r="103" ht="13.5" customHeight="1">
      <c r="A103" s="458"/>
      <c r="B103" s="461" t="str">
        <f>Premium!I68</f>
        <v>Supply and installation of Ledge with 25mm Ledge BWP and Glossy Finish Laminate</v>
      </c>
      <c r="C103" s="458">
        <v>5.0</v>
      </c>
      <c r="D103" s="458">
        <v>1.0</v>
      </c>
      <c r="E103" s="469">
        <f t="shared" si="33"/>
        <v>5</v>
      </c>
      <c r="F103" s="470" t="s">
        <v>683</v>
      </c>
      <c r="G103" s="458">
        <v>1500.0</v>
      </c>
      <c r="H103" s="458">
        <v>300.0</v>
      </c>
      <c r="I103" s="471" t="s">
        <v>684</v>
      </c>
      <c r="J103" s="472">
        <f>Premium!L68</f>
        <v>925</v>
      </c>
      <c r="K103" s="466">
        <v>1.0</v>
      </c>
      <c r="L103" s="467">
        <f t="shared" si="34"/>
        <v>4625</v>
      </c>
      <c r="M103" s="452"/>
      <c r="N103" s="368"/>
      <c r="O103" s="368"/>
      <c r="P103" s="368"/>
      <c r="Q103" s="369"/>
      <c r="R103" s="369"/>
      <c r="S103" s="452"/>
      <c r="T103" s="474"/>
      <c r="U103" s="452"/>
      <c r="V103" s="369"/>
      <c r="W103" s="369"/>
      <c r="X103" s="369"/>
      <c r="Y103" s="369"/>
      <c r="Z103" s="369"/>
      <c r="AA103" s="369"/>
      <c r="AB103" s="369"/>
      <c r="AC103" s="369"/>
      <c r="AD103" s="369"/>
      <c r="AE103" s="369"/>
      <c r="AF103" s="369"/>
      <c r="AG103" s="369"/>
      <c r="AH103" s="369"/>
      <c r="AI103" s="369"/>
      <c r="AJ103" s="369"/>
      <c r="AK103" s="369"/>
      <c r="AL103" s="369"/>
      <c r="AM103" s="369"/>
      <c r="AN103" s="369"/>
      <c r="AO103" s="369"/>
    </row>
    <row r="104" ht="13.5" customHeight="1">
      <c r="A104" s="458"/>
      <c r="B104" s="496" t="s">
        <v>929</v>
      </c>
      <c r="C104" s="460"/>
      <c r="D104" s="460"/>
      <c r="E104" s="460"/>
      <c r="F104" s="460"/>
      <c r="G104" s="460"/>
      <c r="H104" s="460"/>
      <c r="I104" s="460"/>
      <c r="J104" s="479"/>
      <c r="K104" s="479"/>
      <c r="L104" s="460"/>
      <c r="M104" s="452"/>
      <c r="N104" s="368"/>
      <c r="O104" s="368"/>
      <c r="P104" s="368"/>
      <c r="Q104" s="369"/>
      <c r="R104" s="369"/>
      <c r="S104" s="452"/>
      <c r="T104" s="452"/>
      <c r="U104" s="452"/>
      <c r="V104" s="369"/>
      <c r="W104" s="369"/>
      <c r="X104" s="369"/>
      <c r="Y104" s="369"/>
      <c r="Z104" s="369"/>
      <c r="AA104" s="369"/>
      <c r="AB104" s="369"/>
      <c r="AC104" s="369"/>
      <c r="AD104" s="369"/>
      <c r="AE104" s="369"/>
      <c r="AF104" s="369"/>
      <c r="AG104" s="369"/>
      <c r="AH104" s="369"/>
      <c r="AI104" s="369"/>
      <c r="AJ104" s="369"/>
      <c r="AK104" s="369"/>
      <c r="AL104" s="369"/>
      <c r="AM104" s="369"/>
      <c r="AN104" s="369"/>
      <c r="AO104" s="369"/>
    </row>
    <row r="105" ht="13.5" customHeight="1">
      <c r="A105" s="458"/>
      <c r="B105" s="461" t="str">
        <f>Premium!I37</f>
        <v>Supply and installation of Base storage unit  with BWP Carcass, HDHMR Boilo Shutter, Glossy finish laminate and soft close hinges  </v>
      </c>
      <c r="C105" s="458">
        <v>6.0</v>
      </c>
      <c r="D105" s="458">
        <v>2.0</v>
      </c>
      <c r="E105" s="469">
        <f t="shared" ref="E105:E106" si="35">C105*D105</f>
        <v>12</v>
      </c>
      <c r="F105" s="470" t="s">
        <v>683</v>
      </c>
      <c r="G105" s="458">
        <v>1800.0</v>
      </c>
      <c r="H105" s="458">
        <v>600.0</v>
      </c>
      <c r="I105" s="471" t="s">
        <v>684</v>
      </c>
      <c r="J105" s="472">
        <f>Premium!L37</f>
        <v>1765</v>
      </c>
      <c r="K105" s="466">
        <v>1.0</v>
      </c>
      <c r="L105" s="467">
        <f t="shared" ref="L105:L106" si="36">K105*J105*E105</f>
        <v>21180</v>
      </c>
      <c r="M105" s="452"/>
      <c r="N105" s="368"/>
      <c r="O105" s="368"/>
      <c r="P105" s="368"/>
      <c r="Q105" s="369"/>
      <c r="R105" s="369"/>
      <c r="S105" s="452"/>
      <c r="T105" s="452"/>
      <c r="U105" s="452"/>
      <c r="V105" s="369"/>
      <c r="W105" s="369"/>
      <c r="X105" s="369"/>
      <c r="Y105" s="369"/>
      <c r="Z105" s="369"/>
      <c r="AA105" s="369"/>
      <c r="AB105" s="369"/>
      <c r="AC105" s="369"/>
      <c r="AD105" s="369"/>
      <c r="AE105" s="369"/>
      <c r="AF105" s="369"/>
      <c r="AG105" s="369"/>
      <c r="AH105" s="369"/>
      <c r="AI105" s="369"/>
      <c r="AJ105" s="369"/>
      <c r="AK105" s="369"/>
      <c r="AL105" s="369"/>
      <c r="AM105" s="369"/>
      <c r="AN105" s="369"/>
      <c r="AO105" s="369"/>
    </row>
    <row r="106" ht="13.5" customHeight="1">
      <c r="A106" s="458"/>
      <c r="B106" s="461" t="str">
        <f>Premium!I73</f>
        <v>Supply and installation of Wall Panel with BWP Ply Frame, Glossy Finish laminate </v>
      </c>
      <c r="C106" s="458">
        <v>20.0</v>
      </c>
      <c r="D106" s="458">
        <v>2.0</v>
      </c>
      <c r="E106" s="469">
        <f t="shared" si="35"/>
        <v>40</v>
      </c>
      <c r="F106" s="470" t="s">
        <v>683</v>
      </c>
      <c r="G106" s="458">
        <v>6000.0</v>
      </c>
      <c r="H106" s="458">
        <v>600.0</v>
      </c>
      <c r="I106" s="471" t="s">
        <v>684</v>
      </c>
      <c r="J106" s="472">
        <f>Premium!L73</f>
        <v>1100</v>
      </c>
      <c r="K106" s="466">
        <v>1.0</v>
      </c>
      <c r="L106" s="467">
        <f t="shared" si="36"/>
        <v>44000</v>
      </c>
      <c r="M106" s="452"/>
      <c r="N106" s="368"/>
      <c r="O106" s="368"/>
      <c r="P106" s="368"/>
      <c r="Q106" s="369"/>
      <c r="R106" s="369"/>
      <c r="S106" s="452"/>
      <c r="T106" s="452"/>
      <c r="U106" s="452"/>
      <c r="V106" s="369"/>
      <c r="W106" s="369"/>
      <c r="X106" s="369"/>
      <c r="Y106" s="369"/>
      <c r="Z106" s="369"/>
      <c r="AA106" s="369"/>
      <c r="AB106" s="369"/>
      <c r="AC106" s="369"/>
      <c r="AD106" s="369"/>
      <c r="AE106" s="369"/>
      <c r="AF106" s="369"/>
      <c r="AG106" s="369"/>
      <c r="AH106" s="369"/>
      <c r="AI106" s="369"/>
      <c r="AJ106" s="369"/>
      <c r="AK106" s="369"/>
      <c r="AL106" s="369"/>
      <c r="AM106" s="369"/>
      <c r="AN106" s="369"/>
      <c r="AO106" s="369"/>
    </row>
    <row r="107" ht="13.5" customHeight="1">
      <c r="A107" s="458"/>
      <c r="B107" s="496" t="s">
        <v>926</v>
      </c>
      <c r="C107" s="460"/>
      <c r="D107" s="460"/>
      <c r="E107" s="460"/>
      <c r="F107" s="460"/>
      <c r="G107" s="460"/>
      <c r="H107" s="460"/>
      <c r="I107" s="460"/>
      <c r="J107" s="479"/>
      <c r="K107" s="479"/>
      <c r="L107" s="460"/>
      <c r="M107" s="452"/>
      <c r="N107" s="368"/>
      <c r="O107" s="368"/>
      <c r="P107" s="368"/>
      <c r="Q107" s="369"/>
      <c r="R107" s="369"/>
      <c r="S107" s="452"/>
      <c r="T107" s="452"/>
      <c r="U107" s="452"/>
      <c r="V107" s="369"/>
      <c r="W107" s="369"/>
      <c r="X107" s="369"/>
      <c r="Y107" s="369"/>
      <c r="Z107" s="369"/>
      <c r="AA107" s="369"/>
      <c r="AB107" s="369"/>
      <c r="AC107" s="369"/>
      <c r="AD107" s="369"/>
      <c r="AE107" s="369"/>
      <c r="AF107" s="369"/>
      <c r="AG107" s="369"/>
      <c r="AH107" s="369"/>
      <c r="AI107" s="369"/>
      <c r="AJ107" s="369"/>
      <c r="AK107" s="369"/>
      <c r="AL107" s="369"/>
      <c r="AM107" s="369"/>
      <c r="AN107" s="369"/>
      <c r="AO107" s="369"/>
    </row>
    <row r="108" ht="13.5" customHeight="1">
      <c r="A108" s="458"/>
      <c r="B108" s="461" t="str">
        <f>Premium!I37</f>
        <v>Supply and installation of Base storage unit  with BWP Carcass, HDHMR Boilo Shutter, Glossy finish laminate and soft close hinges  </v>
      </c>
      <c r="C108" s="458">
        <v>7.0</v>
      </c>
      <c r="D108" s="458">
        <v>2.5</v>
      </c>
      <c r="E108" s="469">
        <f t="shared" ref="E108:E115" si="37">C108*D108</f>
        <v>17.5</v>
      </c>
      <c r="F108" s="470" t="s">
        <v>683</v>
      </c>
      <c r="G108" s="458">
        <v>2100.0</v>
      </c>
      <c r="H108" s="458">
        <v>750.0</v>
      </c>
      <c r="I108" s="471" t="s">
        <v>684</v>
      </c>
      <c r="J108" s="472">
        <f>Premium!L37</f>
        <v>1765</v>
      </c>
      <c r="K108" s="466">
        <v>1.0</v>
      </c>
      <c r="L108" s="467">
        <f t="shared" ref="L108:L115" si="38">K108*J108*E108</f>
        <v>30887.5</v>
      </c>
      <c r="M108" s="452"/>
      <c r="N108" s="368"/>
      <c r="O108" s="368"/>
      <c r="P108" s="368"/>
      <c r="Q108" s="369"/>
      <c r="R108" s="369"/>
      <c r="S108" s="452"/>
      <c r="T108" s="474"/>
      <c r="U108" s="452"/>
      <c r="V108" s="369"/>
      <c r="W108" s="369"/>
      <c r="X108" s="369"/>
      <c r="Y108" s="369"/>
      <c r="Z108" s="369"/>
      <c r="AA108" s="369"/>
      <c r="AB108" s="369"/>
      <c r="AC108" s="369"/>
      <c r="AD108" s="369"/>
      <c r="AE108" s="369"/>
      <c r="AF108" s="369"/>
      <c r="AG108" s="369"/>
      <c r="AH108" s="369"/>
      <c r="AI108" s="369"/>
      <c r="AJ108" s="369"/>
      <c r="AK108" s="369"/>
      <c r="AL108" s="369"/>
      <c r="AM108" s="369"/>
      <c r="AN108" s="369"/>
      <c r="AO108" s="369"/>
    </row>
    <row r="109" ht="13.5" customHeight="1">
      <c r="A109" s="458"/>
      <c r="B109" s="461" t="str">
        <f>Premium!I40</f>
        <v>Supply and installation of Wardrobe  with BWP Carcass, HDHMR Boilo Shutter, Glossy finish laminate and soft close hinges  </v>
      </c>
      <c r="C109" s="458">
        <v>7.0</v>
      </c>
      <c r="D109" s="458">
        <v>7.0</v>
      </c>
      <c r="E109" s="469">
        <f t="shared" si="37"/>
        <v>49</v>
      </c>
      <c r="F109" s="470" t="s">
        <v>683</v>
      </c>
      <c r="G109" s="458">
        <v>2100.0</v>
      </c>
      <c r="H109" s="458">
        <v>2100.0</v>
      </c>
      <c r="I109" s="471" t="s">
        <v>684</v>
      </c>
      <c r="J109" s="472">
        <f>Premium!L37</f>
        <v>1765</v>
      </c>
      <c r="K109" s="466">
        <v>1.0</v>
      </c>
      <c r="L109" s="467">
        <f t="shared" si="38"/>
        <v>86485</v>
      </c>
      <c r="M109" s="452"/>
      <c r="N109" s="368"/>
      <c r="O109" s="368"/>
      <c r="P109" s="368"/>
      <c r="Q109" s="369"/>
      <c r="R109" s="369"/>
      <c r="S109" s="452"/>
      <c r="T109" s="452"/>
      <c r="U109" s="452"/>
      <c r="V109" s="369"/>
      <c r="W109" s="369"/>
      <c r="X109" s="369"/>
      <c r="Y109" s="369"/>
      <c r="Z109" s="369"/>
      <c r="AA109" s="369"/>
      <c r="AB109" s="369"/>
      <c r="AC109" s="369"/>
      <c r="AD109" s="369"/>
      <c r="AE109" s="369"/>
      <c r="AF109" s="369"/>
      <c r="AG109" s="369"/>
      <c r="AH109" s="369"/>
      <c r="AI109" s="369"/>
      <c r="AJ109" s="369"/>
      <c r="AK109" s="369"/>
      <c r="AL109" s="369"/>
      <c r="AM109" s="369"/>
      <c r="AN109" s="369"/>
      <c r="AO109" s="369"/>
    </row>
    <row r="110" ht="13.5" customHeight="1">
      <c r="A110" s="458"/>
      <c r="B110" s="461" t="str">
        <f>Premium!I39</f>
        <v>Supply and installation of Tall storage unit  with BWP Carcass, HDHMR Boilo Shutter, Glossy finish laminate and soft close hinges  </v>
      </c>
      <c r="C110" s="458">
        <v>1.5</v>
      </c>
      <c r="D110" s="458">
        <v>7.0</v>
      </c>
      <c r="E110" s="469">
        <f t="shared" si="37"/>
        <v>10.5</v>
      </c>
      <c r="F110" s="470" t="s">
        <v>683</v>
      </c>
      <c r="G110" s="458">
        <v>450.0</v>
      </c>
      <c r="H110" s="458">
        <v>2100.0</v>
      </c>
      <c r="I110" s="471" t="s">
        <v>684</v>
      </c>
      <c r="J110" s="472">
        <f>Premium!L37</f>
        <v>1765</v>
      </c>
      <c r="K110" s="466">
        <v>1.0</v>
      </c>
      <c r="L110" s="467">
        <f t="shared" si="38"/>
        <v>18532.5</v>
      </c>
      <c r="M110" s="452"/>
      <c r="N110" s="368"/>
      <c r="O110" s="368"/>
      <c r="P110" s="368"/>
      <c r="Q110" s="369"/>
      <c r="R110" s="369"/>
      <c r="S110" s="452"/>
      <c r="T110" s="452"/>
      <c r="U110" s="452"/>
      <c r="V110" s="369"/>
      <c r="W110" s="369"/>
      <c r="X110" s="369"/>
      <c r="Y110" s="369"/>
      <c r="Z110" s="369"/>
      <c r="AA110" s="369"/>
      <c r="AB110" s="369"/>
      <c r="AC110" s="369"/>
      <c r="AD110" s="369"/>
      <c r="AE110" s="369"/>
      <c r="AF110" s="369"/>
      <c r="AG110" s="369"/>
      <c r="AH110" s="369"/>
      <c r="AI110" s="369"/>
      <c r="AJ110" s="369"/>
      <c r="AK110" s="369"/>
      <c r="AL110" s="369"/>
      <c r="AM110" s="369"/>
      <c r="AN110" s="369"/>
      <c r="AO110" s="369"/>
    </row>
    <row r="111" ht="13.5" customHeight="1">
      <c r="A111" s="458"/>
      <c r="B111" s="461" t="str">
        <f>Premium!I37</f>
        <v>Supply and installation of Base storage unit  with BWP Carcass, HDHMR Boilo Shutter, Glossy finish laminate and soft close hinges  </v>
      </c>
      <c r="C111" s="458">
        <v>2.5</v>
      </c>
      <c r="D111" s="458">
        <v>1.0</v>
      </c>
      <c r="E111" s="469">
        <f t="shared" si="37"/>
        <v>2.5</v>
      </c>
      <c r="F111" s="470" t="s">
        <v>683</v>
      </c>
      <c r="G111" s="458">
        <v>750.0</v>
      </c>
      <c r="H111" s="458">
        <v>300.0</v>
      </c>
      <c r="I111" s="471" t="s">
        <v>684</v>
      </c>
      <c r="J111" s="472">
        <f>Premium!L37</f>
        <v>1765</v>
      </c>
      <c r="K111" s="466">
        <v>1.0</v>
      </c>
      <c r="L111" s="467">
        <f t="shared" si="38"/>
        <v>4412.5</v>
      </c>
      <c r="M111" s="452"/>
      <c r="N111" s="368"/>
      <c r="O111" s="368"/>
      <c r="P111" s="368"/>
      <c r="Q111" s="369"/>
      <c r="R111" s="369"/>
      <c r="S111" s="452"/>
      <c r="T111" s="452"/>
      <c r="U111" s="452"/>
      <c r="V111" s="369"/>
      <c r="W111" s="369"/>
      <c r="X111" s="369"/>
      <c r="Y111" s="369"/>
      <c r="Z111" s="369"/>
      <c r="AA111" s="369"/>
      <c r="AB111" s="369"/>
      <c r="AC111" s="369"/>
      <c r="AD111" s="369"/>
      <c r="AE111" s="369"/>
      <c r="AF111" s="369"/>
      <c r="AG111" s="369"/>
      <c r="AH111" s="369"/>
      <c r="AI111" s="369"/>
      <c r="AJ111" s="369"/>
      <c r="AK111" s="369"/>
      <c r="AL111" s="369"/>
      <c r="AM111" s="369"/>
      <c r="AN111" s="369"/>
      <c r="AO111" s="369"/>
    </row>
    <row r="112" ht="13.5" customHeight="1">
      <c r="A112" s="458"/>
      <c r="B112" s="461" t="str">
        <f>Premium!I73</f>
        <v>Supply and installation of Wall Panel with BWP Ply Frame, Glossy Finish laminate </v>
      </c>
      <c r="C112" s="458">
        <v>2.5</v>
      </c>
      <c r="D112" s="458">
        <v>7.0</v>
      </c>
      <c r="E112" s="469">
        <f t="shared" si="37"/>
        <v>17.5</v>
      </c>
      <c r="F112" s="470" t="s">
        <v>683</v>
      </c>
      <c r="G112" s="458">
        <v>750.0</v>
      </c>
      <c r="H112" s="458">
        <v>2100.0</v>
      </c>
      <c r="I112" s="471" t="s">
        <v>684</v>
      </c>
      <c r="J112" s="472">
        <f>Premium!L73</f>
        <v>1100</v>
      </c>
      <c r="K112" s="466">
        <v>1.0</v>
      </c>
      <c r="L112" s="467">
        <f t="shared" si="38"/>
        <v>19250</v>
      </c>
      <c r="M112" s="452"/>
      <c r="N112" s="368"/>
      <c r="O112" s="368"/>
      <c r="P112" s="368"/>
      <c r="Q112" s="369"/>
      <c r="R112" s="369"/>
      <c r="S112" s="452"/>
      <c r="T112" s="452"/>
      <c r="U112" s="452"/>
      <c r="V112" s="369"/>
      <c r="W112" s="369"/>
      <c r="X112" s="369"/>
      <c r="Y112" s="369"/>
      <c r="Z112" s="369"/>
      <c r="AA112" s="369"/>
      <c r="AB112" s="369"/>
      <c r="AC112" s="369"/>
      <c r="AD112" s="369"/>
      <c r="AE112" s="369"/>
      <c r="AF112" s="369"/>
      <c r="AG112" s="369"/>
      <c r="AH112" s="369"/>
      <c r="AI112" s="369"/>
      <c r="AJ112" s="369"/>
      <c r="AK112" s="369"/>
      <c r="AL112" s="369"/>
      <c r="AM112" s="369"/>
      <c r="AN112" s="369"/>
      <c r="AO112" s="369"/>
    </row>
    <row r="113" ht="13.5" customHeight="1">
      <c r="A113" s="458"/>
      <c r="B113" s="461" t="str">
        <f>Premium!I67</f>
        <v>Supply and installation of Loft Frame and Shutter unit with BWP Frame, HDHMR Boilo Shutter, Glossy  finish laminate and Soft Close hinges  </v>
      </c>
      <c r="C113" s="458">
        <v>1.5</v>
      </c>
      <c r="D113" s="458">
        <v>2.5</v>
      </c>
      <c r="E113" s="469">
        <f t="shared" si="37"/>
        <v>3.75</v>
      </c>
      <c r="F113" s="470" t="s">
        <v>683</v>
      </c>
      <c r="G113" s="458">
        <v>450.0</v>
      </c>
      <c r="H113" s="458">
        <v>750.0</v>
      </c>
      <c r="I113" s="471" t="s">
        <v>684</v>
      </c>
      <c r="J113" s="472">
        <f>Premium!L67</f>
        <v>1008</v>
      </c>
      <c r="K113" s="466">
        <v>1.0</v>
      </c>
      <c r="L113" s="467">
        <f t="shared" si="38"/>
        <v>3780</v>
      </c>
      <c r="M113" s="452"/>
      <c r="N113" s="368"/>
      <c r="O113" s="368"/>
      <c r="P113" s="368"/>
      <c r="Q113" s="369"/>
      <c r="R113" s="369"/>
      <c r="S113" s="452"/>
      <c r="T113" s="452"/>
      <c r="U113" s="452"/>
      <c r="V113" s="369"/>
      <c r="W113" s="369"/>
      <c r="X113" s="369"/>
      <c r="Y113" s="369"/>
      <c r="Z113" s="369"/>
      <c r="AA113" s="369"/>
      <c r="AB113" s="369"/>
      <c r="AC113" s="369"/>
      <c r="AD113" s="369"/>
      <c r="AE113" s="369"/>
      <c r="AF113" s="369"/>
      <c r="AG113" s="369"/>
      <c r="AH113" s="369"/>
      <c r="AI113" s="369"/>
      <c r="AJ113" s="369"/>
      <c r="AK113" s="369"/>
      <c r="AL113" s="369"/>
      <c r="AM113" s="369"/>
      <c r="AN113" s="369"/>
      <c r="AO113" s="369"/>
    </row>
    <row r="114" ht="13.5" customHeight="1">
      <c r="A114" s="458"/>
      <c r="B114" s="461" t="str">
        <f>Premium!I22</f>
        <v>Supply and installation of Open unit - Inner 1mm with BWP ply frame and Smooth finish laminate</v>
      </c>
      <c r="C114" s="458">
        <v>1.5</v>
      </c>
      <c r="D114" s="458">
        <v>6.0</v>
      </c>
      <c r="E114" s="469">
        <f t="shared" si="37"/>
        <v>9</v>
      </c>
      <c r="F114" s="470" t="s">
        <v>683</v>
      </c>
      <c r="G114" s="458">
        <v>450.0</v>
      </c>
      <c r="H114" s="458">
        <v>1800.0</v>
      </c>
      <c r="I114" s="471" t="s">
        <v>684</v>
      </c>
      <c r="J114" s="472">
        <f>Premium!L22</f>
        <v>1715</v>
      </c>
      <c r="K114" s="466">
        <v>1.0</v>
      </c>
      <c r="L114" s="467">
        <f t="shared" si="38"/>
        <v>15435</v>
      </c>
      <c r="M114" s="452"/>
      <c r="N114" s="368"/>
      <c r="O114" s="368"/>
      <c r="P114" s="368"/>
      <c r="Q114" s="369"/>
      <c r="R114" s="369"/>
      <c r="S114" s="452"/>
      <c r="T114" s="452"/>
      <c r="U114" s="452"/>
      <c r="V114" s="369"/>
      <c r="W114" s="369"/>
      <c r="X114" s="369"/>
      <c r="Y114" s="369"/>
      <c r="Z114" s="369"/>
      <c r="AA114" s="369"/>
      <c r="AB114" s="369"/>
      <c r="AC114" s="369"/>
      <c r="AD114" s="369"/>
      <c r="AE114" s="369"/>
      <c r="AF114" s="369"/>
      <c r="AG114" s="369"/>
      <c r="AH114" s="369"/>
      <c r="AI114" s="369"/>
      <c r="AJ114" s="369"/>
      <c r="AK114" s="369"/>
      <c r="AL114" s="369"/>
      <c r="AM114" s="369"/>
      <c r="AN114" s="369"/>
      <c r="AO114" s="369"/>
    </row>
    <row r="115" ht="13.5" customHeight="1">
      <c r="A115" s="458"/>
      <c r="B115" s="461" t="str">
        <f>Premium!I24</f>
        <v>Supply and installation of Ledge with 25mm Ledge BWP and Smooth Finish Laminate</v>
      </c>
      <c r="C115" s="458">
        <v>45.0</v>
      </c>
      <c r="D115" s="458">
        <v>1.0</v>
      </c>
      <c r="E115" s="469">
        <f t="shared" si="37"/>
        <v>45</v>
      </c>
      <c r="F115" s="470" t="s">
        <v>683</v>
      </c>
      <c r="G115" s="458">
        <v>13500.0</v>
      </c>
      <c r="H115" s="458">
        <v>300.0</v>
      </c>
      <c r="I115" s="471" t="s">
        <v>684</v>
      </c>
      <c r="J115" s="472">
        <f>Premium!L24</f>
        <v>875</v>
      </c>
      <c r="K115" s="466">
        <v>1.0</v>
      </c>
      <c r="L115" s="467">
        <f t="shared" si="38"/>
        <v>39375</v>
      </c>
      <c r="M115" s="452"/>
      <c r="N115" s="368"/>
      <c r="O115" s="368"/>
      <c r="P115" s="368"/>
      <c r="Q115" s="369"/>
      <c r="R115" s="369"/>
      <c r="S115" s="452"/>
      <c r="T115" s="452"/>
      <c r="U115" s="452"/>
      <c r="V115" s="369"/>
      <c r="W115" s="369"/>
      <c r="X115" s="369"/>
      <c r="Y115" s="369"/>
      <c r="Z115" s="369"/>
      <c r="AA115" s="369"/>
      <c r="AB115" s="369"/>
      <c r="AC115" s="369"/>
      <c r="AD115" s="369"/>
      <c r="AE115" s="369"/>
      <c r="AF115" s="369"/>
      <c r="AG115" s="369"/>
      <c r="AH115" s="369"/>
      <c r="AI115" s="369"/>
      <c r="AJ115" s="369"/>
      <c r="AK115" s="369"/>
      <c r="AL115" s="369"/>
      <c r="AM115" s="369"/>
      <c r="AN115" s="369"/>
      <c r="AO115" s="369"/>
    </row>
    <row r="116" ht="13.5" customHeight="1">
      <c r="A116" s="454"/>
      <c r="B116" s="494" t="s">
        <v>923</v>
      </c>
      <c r="C116" s="454"/>
      <c r="D116" s="454"/>
      <c r="E116" s="454"/>
      <c r="F116" s="454"/>
      <c r="G116" s="454"/>
      <c r="H116" s="454"/>
      <c r="I116" s="454"/>
      <c r="J116" s="454"/>
      <c r="K116" s="454"/>
      <c r="L116" s="454"/>
      <c r="M116" s="452"/>
      <c r="N116" s="368"/>
      <c r="O116" s="368"/>
      <c r="P116" s="368"/>
      <c r="Q116" s="369"/>
      <c r="R116" s="369"/>
      <c r="S116" s="452"/>
      <c r="T116" s="452"/>
      <c r="U116" s="452"/>
      <c r="V116" s="369"/>
      <c r="W116" s="369"/>
      <c r="X116" s="369"/>
      <c r="Y116" s="369"/>
      <c r="Z116" s="369"/>
      <c r="AA116" s="369"/>
      <c r="AB116" s="369"/>
      <c r="AC116" s="369"/>
      <c r="AD116" s="369"/>
      <c r="AE116" s="369"/>
      <c r="AF116" s="369"/>
      <c r="AG116" s="369"/>
      <c r="AH116" s="369"/>
      <c r="AI116" s="369"/>
      <c r="AJ116" s="369"/>
      <c r="AK116" s="369"/>
      <c r="AL116" s="369"/>
      <c r="AM116" s="369"/>
      <c r="AN116" s="369"/>
      <c r="AO116" s="369"/>
    </row>
    <row r="117" ht="13.5" customHeight="1">
      <c r="A117" s="458"/>
      <c r="B117" s="495" t="s">
        <v>930</v>
      </c>
      <c r="C117" s="460"/>
      <c r="D117" s="460"/>
      <c r="E117" s="460"/>
      <c r="F117" s="460"/>
      <c r="G117" s="460"/>
      <c r="H117" s="460"/>
      <c r="I117" s="460"/>
      <c r="J117" s="460"/>
      <c r="K117" s="460"/>
      <c r="L117" s="460"/>
      <c r="M117" s="452"/>
      <c r="N117" s="368"/>
      <c r="O117" s="368"/>
      <c r="P117" s="368"/>
      <c r="Q117" s="369"/>
      <c r="R117" s="369"/>
      <c r="S117" s="452"/>
      <c r="T117" s="452"/>
      <c r="U117" s="452"/>
      <c r="V117" s="369"/>
      <c r="W117" s="369"/>
      <c r="X117" s="369"/>
      <c r="Y117" s="369"/>
      <c r="Z117" s="369"/>
      <c r="AA117" s="369"/>
      <c r="AB117" s="369"/>
      <c r="AC117" s="369"/>
      <c r="AD117" s="369"/>
      <c r="AE117" s="369"/>
      <c r="AF117" s="369"/>
      <c r="AG117" s="369"/>
      <c r="AH117" s="369"/>
      <c r="AI117" s="369"/>
      <c r="AJ117" s="369"/>
      <c r="AK117" s="369"/>
      <c r="AL117" s="369"/>
      <c r="AM117" s="369"/>
      <c r="AN117" s="369"/>
      <c r="AO117" s="369"/>
    </row>
    <row r="118" ht="13.5" customHeight="1">
      <c r="A118" s="458"/>
      <c r="B118" s="461" t="str">
        <f>Premium!I73</f>
        <v>Supply and installation of Wall Panel with BWP Ply Frame, Glossy Finish laminate </v>
      </c>
      <c r="C118" s="458">
        <v>8.0</v>
      </c>
      <c r="D118" s="458">
        <v>4.0</v>
      </c>
      <c r="E118" s="469">
        <f t="shared" ref="E118:E123" si="39">C118*D118</f>
        <v>32</v>
      </c>
      <c r="F118" s="470" t="s">
        <v>683</v>
      </c>
      <c r="G118" s="458">
        <v>2400.0</v>
      </c>
      <c r="H118" s="458">
        <v>1200.0</v>
      </c>
      <c r="I118" s="471" t="s">
        <v>684</v>
      </c>
      <c r="J118" s="472">
        <f>Premium!L73</f>
        <v>1100</v>
      </c>
      <c r="K118" s="466">
        <v>1.0</v>
      </c>
      <c r="L118" s="467">
        <f t="shared" ref="L118:L123" si="40">K118*J118*E118</f>
        <v>35200</v>
      </c>
      <c r="M118" s="452"/>
      <c r="N118" s="368"/>
      <c r="O118" s="368"/>
      <c r="P118" s="368"/>
      <c r="Q118" s="369"/>
      <c r="R118" s="369"/>
      <c r="S118" s="452"/>
      <c r="T118" s="452"/>
      <c r="U118" s="452"/>
      <c r="V118" s="369"/>
      <c r="W118" s="369"/>
      <c r="X118" s="369"/>
      <c r="Y118" s="369"/>
      <c r="Z118" s="369"/>
      <c r="AA118" s="369"/>
      <c r="AB118" s="369"/>
      <c r="AC118" s="369"/>
      <c r="AD118" s="369"/>
      <c r="AE118" s="369"/>
      <c r="AF118" s="369"/>
      <c r="AG118" s="369"/>
      <c r="AH118" s="369"/>
      <c r="AI118" s="369"/>
      <c r="AJ118" s="369"/>
      <c r="AK118" s="369"/>
      <c r="AL118" s="369"/>
      <c r="AM118" s="369"/>
      <c r="AN118" s="369"/>
      <c r="AO118" s="369"/>
    </row>
    <row r="119" ht="13.5" customHeight="1">
      <c r="A119" s="458"/>
      <c r="B119" s="461" t="str">
        <f>Premium!I22</f>
        <v>Supply and installation of Open unit - Inner 1mm with BWP ply frame and Smooth finish laminate</v>
      </c>
      <c r="C119" s="458">
        <v>1.5</v>
      </c>
      <c r="D119" s="458">
        <v>6.0</v>
      </c>
      <c r="E119" s="469">
        <f t="shared" si="39"/>
        <v>9</v>
      </c>
      <c r="F119" s="470" t="s">
        <v>683</v>
      </c>
      <c r="G119" s="458">
        <v>300.0</v>
      </c>
      <c r="H119" s="458">
        <v>1800.0</v>
      </c>
      <c r="I119" s="471" t="s">
        <v>684</v>
      </c>
      <c r="J119" s="472">
        <f>Premium!L22</f>
        <v>1715</v>
      </c>
      <c r="K119" s="466">
        <v>1.0</v>
      </c>
      <c r="L119" s="467">
        <f t="shared" si="40"/>
        <v>15435</v>
      </c>
      <c r="M119" s="452"/>
      <c r="N119" s="368"/>
      <c r="O119" s="368"/>
      <c r="P119" s="368"/>
      <c r="Q119" s="369"/>
      <c r="R119" s="369"/>
      <c r="S119" s="452"/>
      <c r="T119" s="452"/>
      <c r="U119" s="452"/>
      <c r="V119" s="369"/>
      <c r="W119" s="369"/>
      <c r="X119" s="369"/>
      <c r="Y119" s="369"/>
      <c r="Z119" s="369"/>
      <c r="AA119" s="369"/>
      <c r="AB119" s="369"/>
      <c r="AC119" s="369"/>
      <c r="AD119" s="369"/>
      <c r="AE119" s="369"/>
      <c r="AF119" s="369"/>
      <c r="AG119" s="369"/>
      <c r="AH119" s="369"/>
      <c r="AI119" s="369"/>
      <c r="AJ119" s="369"/>
      <c r="AK119" s="369"/>
      <c r="AL119" s="369"/>
      <c r="AM119" s="369"/>
      <c r="AN119" s="369"/>
      <c r="AO119" s="369"/>
    </row>
    <row r="120" ht="13.5" customHeight="1">
      <c r="A120" s="458"/>
      <c r="B120" s="461" t="str">
        <f>Premium!I40</f>
        <v>Supply and installation of Wardrobe  with BWP Carcass, HDHMR Boilo Shutter, Glossy finish laminate and soft close hinges  </v>
      </c>
      <c r="C120" s="458">
        <v>4.0</v>
      </c>
      <c r="D120" s="458">
        <v>7.0</v>
      </c>
      <c r="E120" s="469">
        <f t="shared" si="39"/>
        <v>28</v>
      </c>
      <c r="F120" s="470" t="s">
        <v>683</v>
      </c>
      <c r="G120" s="458">
        <v>1200.0</v>
      </c>
      <c r="H120" s="458">
        <v>2100.0</v>
      </c>
      <c r="I120" s="471" t="s">
        <v>684</v>
      </c>
      <c r="J120" s="472">
        <f>Premium!L37</f>
        <v>1765</v>
      </c>
      <c r="K120" s="466">
        <v>1.0</v>
      </c>
      <c r="L120" s="467">
        <f t="shared" si="40"/>
        <v>49420</v>
      </c>
      <c r="M120" s="452"/>
      <c r="N120" s="368"/>
      <c r="O120" s="368"/>
      <c r="P120" s="368"/>
      <c r="Q120" s="369"/>
      <c r="R120" s="369"/>
      <c r="S120" s="452"/>
      <c r="T120" s="474"/>
      <c r="U120" s="452">
        <v>6367.0</v>
      </c>
      <c r="V120" s="369"/>
      <c r="W120" s="369"/>
      <c r="X120" s="369"/>
      <c r="Y120" s="369"/>
      <c r="Z120" s="369"/>
      <c r="AA120" s="369"/>
      <c r="AB120" s="369"/>
      <c r="AC120" s="369"/>
      <c r="AD120" s="369"/>
      <c r="AE120" s="369"/>
      <c r="AF120" s="369"/>
      <c r="AG120" s="369"/>
      <c r="AH120" s="369"/>
      <c r="AI120" s="369"/>
      <c r="AJ120" s="369"/>
      <c r="AK120" s="369"/>
      <c r="AL120" s="369"/>
      <c r="AM120" s="369"/>
      <c r="AN120" s="369"/>
      <c r="AO120" s="369"/>
    </row>
    <row r="121" ht="13.5" customHeight="1">
      <c r="A121" s="458"/>
      <c r="B121" s="461" t="str">
        <f>Premium!I37</f>
        <v>Supply and installation of Base storage unit  with BWP Carcass, HDHMR Boilo Shutter, Glossy finish laminate and soft close hinges  </v>
      </c>
      <c r="C121" s="458">
        <v>6.0</v>
      </c>
      <c r="D121" s="458">
        <v>2.5</v>
      </c>
      <c r="E121" s="469">
        <f t="shared" si="39"/>
        <v>15</v>
      </c>
      <c r="F121" s="470" t="s">
        <v>683</v>
      </c>
      <c r="G121" s="458">
        <v>1650.0</v>
      </c>
      <c r="H121" s="458">
        <v>750.0</v>
      </c>
      <c r="I121" s="471" t="s">
        <v>684</v>
      </c>
      <c r="J121" s="472">
        <f>Premium!L37</f>
        <v>1765</v>
      </c>
      <c r="K121" s="466">
        <v>1.0</v>
      </c>
      <c r="L121" s="467">
        <f t="shared" si="40"/>
        <v>26475</v>
      </c>
      <c r="M121" s="452"/>
      <c r="N121" s="368"/>
      <c r="O121" s="368"/>
      <c r="P121" s="368"/>
      <c r="Q121" s="369"/>
      <c r="R121" s="369"/>
      <c r="S121" s="452"/>
      <c r="T121" s="452"/>
      <c r="U121" s="452"/>
      <c r="V121" s="369"/>
      <c r="W121" s="369"/>
      <c r="X121" s="369"/>
      <c r="Y121" s="369"/>
      <c r="Z121" s="369"/>
      <c r="AA121" s="369"/>
      <c r="AB121" s="369"/>
      <c r="AC121" s="369"/>
      <c r="AD121" s="369"/>
      <c r="AE121" s="369"/>
      <c r="AF121" s="369"/>
      <c r="AG121" s="369"/>
      <c r="AH121" s="369"/>
      <c r="AI121" s="369"/>
      <c r="AJ121" s="369"/>
      <c r="AK121" s="369"/>
      <c r="AL121" s="369"/>
      <c r="AM121" s="369"/>
      <c r="AN121" s="369"/>
      <c r="AO121" s="369"/>
    </row>
    <row r="122" ht="13.5" customHeight="1">
      <c r="A122" s="458"/>
      <c r="B122" s="461" t="str">
        <f>Premium!I67</f>
        <v>Supply and installation of Loft Frame and Shutter unit with BWP Frame, HDHMR Boilo Shutter, Glossy  finish laminate and Soft Close hinges  </v>
      </c>
      <c r="C122" s="458">
        <v>10.5</v>
      </c>
      <c r="D122" s="458">
        <v>2.5</v>
      </c>
      <c r="E122" s="469">
        <f t="shared" si="39"/>
        <v>26.25</v>
      </c>
      <c r="F122" s="470" t="s">
        <v>683</v>
      </c>
      <c r="G122" s="458">
        <v>3150.0</v>
      </c>
      <c r="H122" s="458">
        <v>750.0</v>
      </c>
      <c r="I122" s="471" t="s">
        <v>684</v>
      </c>
      <c r="J122" s="472">
        <f>Premium!L67</f>
        <v>1008</v>
      </c>
      <c r="K122" s="466">
        <v>1.0</v>
      </c>
      <c r="L122" s="467">
        <f t="shared" si="40"/>
        <v>26460</v>
      </c>
      <c r="M122" s="452"/>
      <c r="N122" s="368"/>
      <c r="O122" s="368"/>
      <c r="P122" s="368"/>
      <c r="Q122" s="369"/>
      <c r="R122" s="369"/>
      <c r="S122" s="452"/>
      <c r="T122" s="452"/>
      <c r="U122" s="452"/>
      <c r="V122" s="369"/>
      <c r="W122" s="369"/>
      <c r="X122" s="369"/>
      <c r="Y122" s="369"/>
      <c r="Z122" s="369"/>
      <c r="AA122" s="369"/>
      <c r="AB122" s="369"/>
      <c r="AC122" s="369"/>
      <c r="AD122" s="369"/>
      <c r="AE122" s="369"/>
      <c r="AF122" s="369"/>
      <c r="AG122" s="369"/>
      <c r="AH122" s="369"/>
      <c r="AI122" s="369"/>
      <c r="AJ122" s="369"/>
      <c r="AK122" s="369"/>
      <c r="AL122" s="369"/>
      <c r="AM122" s="369"/>
      <c r="AN122" s="369"/>
      <c r="AO122" s="369"/>
    </row>
    <row r="123" ht="13.5" customHeight="1">
      <c r="A123" s="458"/>
      <c r="B123" s="461" t="str">
        <f>Premium!I73</f>
        <v>Supply and installation of Wall Panel with BWP Ply Frame, Glossy Finish laminate </v>
      </c>
      <c r="C123" s="458">
        <v>6.0</v>
      </c>
      <c r="D123" s="458">
        <v>2.5</v>
      </c>
      <c r="E123" s="469">
        <f t="shared" si="39"/>
        <v>15</v>
      </c>
      <c r="F123" s="470" t="s">
        <v>683</v>
      </c>
      <c r="G123" s="458">
        <v>1650.0</v>
      </c>
      <c r="H123" s="458">
        <v>750.0</v>
      </c>
      <c r="I123" s="471" t="s">
        <v>684</v>
      </c>
      <c r="J123" s="472">
        <f>Premium!L73</f>
        <v>1100</v>
      </c>
      <c r="K123" s="466">
        <v>1.0</v>
      </c>
      <c r="L123" s="467">
        <f t="shared" si="40"/>
        <v>16500</v>
      </c>
      <c r="M123" s="452"/>
      <c r="N123" s="368"/>
      <c r="O123" s="368"/>
      <c r="P123" s="368"/>
      <c r="Q123" s="369"/>
      <c r="R123" s="369"/>
      <c r="S123" s="452"/>
      <c r="T123" s="452"/>
      <c r="U123" s="452"/>
      <c r="V123" s="369"/>
      <c r="W123" s="369"/>
      <c r="X123" s="369"/>
      <c r="Y123" s="369"/>
      <c r="Z123" s="369"/>
      <c r="AA123" s="369"/>
      <c r="AB123" s="369"/>
      <c r="AC123" s="369"/>
      <c r="AD123" s="369"/>
      <c r="AE123" s="369"/>
      <c r="AF123" s="369"/>
      <c r="AG123" s="369"/>
      <c r="AH123" s="369"/>
      <c r="AI123" s="369"/>
      <c r="AJ123" s="369"/>
      <c r="AK123" s="369"/>
      <c r="AL123" s="369"/>
      <c r="AM123" s="369"/>
      <c r="AN123" s="369"/>
      <c r="AO123" s="369"/>
    </row>
    <row r="124" ht="13.5" customHeight="1">
      <c r="A124" s="458"/>
      <c r="B124" s="480" t="s">
        <v>913</v>
      </c>
      <c r="C124" s="460"/>
      <c r="D124" s="460"/>
      <c r="E124" s="460"/>
      <c r="F124" s="460"/>
      <c r="G124" s="460"/>
      <c r="H124" s="460"/>
      <c r="I124" s="460"/>
      <c r="J124" s="460"/>
      <c r="K124" s="460"/>
      <c r="L124" s="460"/>
      <c r="M124" s="452"/>
      <c r="N124" s="368"/>
      <c r="O124" s="368"/>
      <c r="P124" s="368"/>
      <c r="Q124" s="369"/>
      <c r="R124" s="369"/>
      <c r="S124" s="452"/>
      <c r="T124" s="452"/>
      <c r="U124" s="452"/>
      <c r="V124" s="369"/>
      <c r="W124" s="369"/>
      <c r="X124" s="369"/>
      <c r="Y124" s="369"/>
      <c r="Z124" s="369"/>
      <c r="AA124" s="369"/>
      <c r="AB124" s="369"/>
      <c r="AC124" s="369"/>
      <c r="AD124" s="369"/>
      <c r="AE124" s="369"/>
      <c r="AF124" s="369"/>
      <c r="AG124" s="369"/>
      <c r="AH124" s="369"/>
      <c r="AI124" s="369"/>
      <c r="AJ124" s="369"/>
      <c r="AK124" s="369"/>
      <c r="AL124" s="369"/>
      <c r="AM124" s="369"/>
      <c r="AN124" s="369"/>
      <c r="AO124" s="369"/>
    </row>
    <row r="125" ht="13.5" customHeight="1">
      <c r="A125" s="458"/>
      <c r="B125" s="461" t="str">
        <f>Premium!I62</f>
        <v>Supply and installation of Curved Base storage unit  with BWP Carcass, HDHMR Boilo Shutter, Glossy finish laminate and soft close hinges  </v>
      </c>
      <c r="C125" s="458">
        <v>5.0</v>
      </c>
      <c r="D125" s="458">
        <v>1.0</v>
      </c>
      <c r="E125" s="469">
        <f t="shared" ref="E125:E127" si="41">C125*D125</f>
        <v>5</v>
      </c>
      <c r="F125" s="470" t="s">
        <v>683</v>
      </c>
      <c r="G125" s="458">
        <v>1350.0</v>
      </c>
      <c r="H125" s="458">
        <v>300.0</v>
      </c>
      <c r="I125" s="471" t="s">
        <v>684</v>
      </c>
      <c r="J125" s="472">
        <f>Premium!L62</f>
        <v>2115</v>
      </c>
      <c r="K125" s="466">
        <v>1.0</v>
      </c>
      <c r="L125" s="467">
        <f t="shared" ref="L125:L127" si="42">K125*J125*E125</f>
        <v>10575</v>
      </c>
      <c r="M125" s="452"/>
      <c r="N125" s="368"/>
      <c r="O125" s="368"/>
      <c r="P125" s="368"/>
      <c r="Q125" s="369"/>
      <c r="R125" s="369"/>
      <c r="S125" s="452"/>
      <c r="T125" s="452"/>
      <c r="U125" s="452"/>
      <c r="V125" s="369"/>
      <c r="W125" s="369"/>
      <c r="X125" s="369"/>
      <c r="Y125" s="369"/>
      <c r="Z125" s="369"/>
      <c r="AA125" s="369"/>
      <c r="AB125" s="369"/>
      <c r="AC125" s="369"/>
      <c r="AD125" s="369"/>
      <c r="AE125" s="369"/>
      <c r="AF125" s="369"/>
      <c r="AG125" s="369"/>
      <c r="AH125" s="369"/>
      <c r="AI125" s="369"/>
      <c r="AJ125" s="369"/>
      <c r="AK125" s="369"/>
      <c r="AL125" s="369"/>
      <c r="AM125" s="369"/>
      <c r="AN125" s="369"/>
      <c r="AO125" s="369"/>
    </row>
    <row r="126" ht="13.5" customHeight="1">
      <c r="A126" s="458"/>
      <c r="B126" s="461" t="str">
        <f>Premium!I24</f>
        <v>Supply and installation of Ledge with 25mm Ledge BWP and Smooth Finish Laminate</v>
      </c>
      <c r="C126" s="458">
        <v>5.0</v>
      </c>
      <c r="D126" s="458">
        <v>1.0</v>
      </c>
      <c r="E126" s="469">
        <f t="shared" si="41"/>
        <v>5</v>
      </c>
      <c r="F126" s="470" t="s">
        <v>683</v>
      </c>
      <c r="G126" s="458">
        <v>1350.0</v>
      </c>
      <c r="H126" s="458">
        <v>300.0</v>
      </c>
      <c r="I126" s="471" t="s">
        <v>684</v>
      </c>
      <c r="J126" s="472">
        <f>Premium!L24</f>
        <v>875</v>
      </c>
      <c r="K126" s="466">
        <v>1.0</v>
      </c>
      <c r="L126" s="467">
        <f t="shared" si="42"/>
        <v>4375</v>
      </c>
      <c r="M126" s="452"/>
      <c r="N126" s="368"/>
      <c r="O126" s="368"/>
      <c r="P126" s="368"/>
      <c r="Q126" s="369"/>
      <c r="R126" s="369"/>
      <c r="S126" s="452"/>
      <c r="T126" s="452"/>
      <c r="U126" s="452"/>
      <c r="V126" s="369"/>
      <c r="W126" s="369"/>
      <c r="X126" s="369"/>
      <c r="Y126" s="369"/>
      <c r="Z126" s="369"/>
      <c r="AA126" s="369"/>
      <c r="AB126" s="369"/>
      <c r="AC126" s="369"/>
      <c r="AD126" s="369"/>
      <c r="AE126" s="369"/>
      <c r="AF126" s="369"/>
      <c r="AG126" s="369"/>
      <c r="AH126" s="369"/>
      <c r="AI126" s="369"/>
      <c r="AJ126" s="369"/>
      <c r="AK126" s="369"/>
      <c r="AL126" s="369"/>
      <c r="AM126" s="369"/>
      <c r="AN126" s="369"/>
      <c r="AO126" s="369"/>
    </row>
    <row r="127" ht="13.5" customHeight="1">
      <c r="A127" s="458"/>
      <c r="B127" s="461" t="str">
        <f>Premium!I73</f>
        <v>Supply and installation of Wall Panel with BWP Ply Frame, Glossy Finish laminate </v>
      </c>
      <c r="C127" s="458">
        <v>5.0</v>
      </c>
      <c r="D127" s="458">
        <v>6.0</v>
      </c>
      <c r="E127" s="469">
        <f t="shared" si="41"/>
        <v>30</v>
      </c>
      <c r="F127" s="470" t="s">
        <v>683</v>
      </c>
      <c r="G127" s="458">
        <v>1350.0</v>
      </c>
      <c r="H127" s="458">
        <v>1800.0</v>
      </c>
      <c r="I127" s="471" t="s">
        <v>684</v>
      </c>
      <c r="J127" s="472">
        <f>Premium!L73</f>
        <v>1100</v>
      </c>
      <c r="K127" s="466">
        <v>1.0</v>
      </c>
      <c r="L127" s="467">
        <f t="shared" si="42"/>
        <v>33000</v>
      </c>
      <c r="M127" s="452"/>
      <c r="N127" s="368"/>
      <c r="O127" s="368"/>
      <c r="P127" s="368"/>
      <c r="Q127" s="369"/>
      <c r="R127" s="369"/>
      <c r="S127" s="452"/>
      <c r="T127" s="452"/>
      <c r="U127" s="452"/>
      <c r="V127" s="369"/>
      <c r="W127" s="369"/>
      <c r="X127" s="369"/>
      <c r="Y127" s="369"/>
      <c r="Z127" s="369"/>
      <c r="AA127" s="369"/>
      <c r="AB127" s="369"/>
      <c r="AC127" s="369"/>
      <c r="AD127" s="369"/>
      <c r="AE127" s="369"/>
      <c r="AF127" s="369"/>
      <c r="AG127" s="369"/>
      <c r="AH127" s="369"/>
      <c r="AI127" s="369"/>
      <c r="AJ127" s="369"/>
      <c r="AK127" s="369"/>
      <c r="AL127" s="369"/>
      <c r="AM127" s="369"/>
      <c r="AN127" s="369"/>
      <c r="AO127" s="369"/>
    </row>
    <row r="128" ht="13.5" customHeight="1">
      <c r="A128" s="458"/>
      <c r="B128" s="480" t="s">
        <v>925</v>
      </c>
      <c r="C128" s="460"/>
      <c r="D128" s="460"/>
      <c r="E128" s="460"/>
      <c r="F128" s="460"/>
      <c r="G128" s="460"/>
      <c r="H128" s="460"/>
      <c r="I128" s="460"/>
      <c r="J128" s="460"/>
      <c r="K128" s="460"/>
      <c r="L128" s="460"/>
      <c r="M128" s="452"/>
      <c r="N128" s="368"/>
      <c r="O128" s="368"/>
      <c r="P128" s="368"/>
      <c r="Q128" s="369"/>
      <c r="R128" s="369"/>
      <c r="S128" s="452"/>
      <c r="T128" s="452"/>
      <c r="U128" s="452"/>
      <c r="V128" s="369"/>
      <c r="W128" s="369"/>
      <c r="X128" s="369"/>
      <c r="Y128" s="369"/>
      <c r="Z128" s="369"/>
      <c r="AA128" s="369"/>
      <c r="AB128" s="369"/>
      <c r="AC128" s="369"/>
      <c r="AD128" s="369"/>
      <c r="AE128" s="369"/>
      <c r="AF128" s="369"/>
      <c r="AG128" s="369"/>
      <c r="AH128" s="369"/>
      <c r="AI128" s="369"/>
      <c r="AJ128" s="369"/>
      <c r="AK128" s="369"/>
      <c r="AL128" s="369"/>
      <c r="AM128" s="369"/>
      <c r="AN128" s="369"/>
      <c r="AO128" s="369"/>
    </row>
    <row r="129" ht="13.5" customHeight="1">
      <c r="A129" s="458"/>
      <c r="B129" s="461" t="str">
        <f>Premium!I62</f>
        <v>Supply and installation of Curved Base storage unit  with BWP Carcass, HDHMR Boilo Shutter, Glossy finish laminate and soft close hinges  </v>
      </c>
      <c r="C129" s="458">
        <v>4.0</v>
      </c>
      <c r="D129" s="458">
        <v>2.5</v>
      </c>
      <c r="E129" s="469">
        <f t="shared" ref="E129:E131" si="43">C129*D129</f>
        <v>10</v>
      </c>
      <c r="F129" s="470" t="s">
        <v>683</v>
      </c>
      <c r="G129" s="458">
        <v>1200.0</v>
      </c>
      <c r="H129" s="458">
        <v>750.0</v>
      </c>
      <c r="I129" s="471" t="s">
        <v>684</v>
      </c>
      <c r="J129" s="472">
        <f>Premium!L62</f>
        <v>2115</v>
      </c>
      <c r="K129" s="466">
        <v>1.0</v>
      </c>
      <c r="L129" s="467">
        <f t="shared" ref="L129:L131" si="44">K129*J129*E129</f>
        <v>21150</v>
      </c>
      <c r="M129" s="452"/>
      <c r="N129" s="368"/>
      <c r="O129" s="368"/>
      <c r="P129" s="368"/>
      <c r="Q129" s="369"/>
      <c r="R129" s="369"/>
      <c r="S129" s="452"/>
      <c r="T129" s="452"/>
      <c r="U129" s="452"/>
      <c r="V129" s="369"/>
      <c r="W129" s="369"/>
      <c r="X129" s="369"/>
      <c r="Y129" s="369"/>
      <c r="Z129" s="369"/>
      <c r="AA129" s="369"/>
      <c r="AB129" s="369"/>
      <c r="AC129" s="369"/>
      <c r="AD129" s="369"/>
      <c r="AE129" s="369"/>
      <c r="AF129" s="369"/>
      <c r="AG129" s="369"/>
      <c r="AH129" s="369"/>
      <c r="AI129" s="369"/>
      <c r="AJ129" s="369"/>
      <c r="AK129" s="369"/>
      <c r="AL129" s="369"/>
      <c r="AM129" s="369"/>
      <c r="AN129" s="369"/>
      <c r="AO129" s="369"/>
    </row>
    <row r="130" ht="13.5" customHeight="1">
      <c r="A130" s="458"/>
      <c r="B130" s="461" t="str">
        <f>Premium!I22</f>
        <v>Supply and installation of Open unit - Inner 1mm with BWP ply frame and Smooth finish laminate</v>
      </c>
      <c r="C130" s="458">
        <v>1.5</v>
      </c>
      <c r="D130" s="458">
        <v>5.0</v>
      </c>
      <c r="E130" s="469">
        <f t="shared" si="43"/>
        <v>7.5</v>
      </c>
      <c r="F130" s="470" t="s">
        <v>683</v>
      </c>
      <c r="G130" s="458">
        <v>450.0</v>
      </c>
      <c r="H130" s="458">
        <v>1500.0</v>
      </c>
      <c r="I130" s="471" t="s">
        <v>684</v>
      </c>
      <c r="J130" s="472">
        <f>Premium!L22</f>
        <v>1715</v>
      </c>
      <c r="K130" s="466">
        <v>1.0</v>
      </c>
      <c r="L130" s="467">
        <f t="shared" si="44"/>
        <v>12862.5</v>
      </c>
      <c r="M130" s="452"/>
      <c r="N130" s="368"/>
      <c r="O130" s="368"/>
      <c r="P130" s="368"/>
      <c r="Q130" s="369"/>
      <c r="R130" s="369"/>
      <c r="S130" s="452"/>
      <c r="T130" s="452"/>
      <c r="U130" s="452"/>
      <c r="V130" s="369"/>
      <c r="W130" s="369"/>
      <c r="X130" s="369"/>
      <c r="Y130" s="369"/>
      <c r="Z130" s="369"/>
      <c r="AA130" s="369"/>
      <c r="AB130" s="369"/>
      <c r="AC130" s="369"/>
      <c r="AD130" s="369"/>
      <c r="AE130" s="369"/>
      <c r="AF130" s="369"/>
      <c r="AG130" s="369"/>
      <c r="AH130" s="369"/>
      <c r="AI130" s="369"/>
      <c r="AJ130" s="369"/>
      <c r="AK130" s="369"/>
      <c r="AL130" s="369"/>
      <c r="AM130" s="369"/>
      <c r="AN130" s="369"/>
      <c r="AO130" s="369"/>
    </row>
    <row r="131" ht="13.5" customHeight="1">
      <c r="A131" s="458"/>
      <c r="B131" s="461" t="str">
        <f>Premium!I37</f>
        <v>Supply and installation of Base storage unit  with BWP Carcass, HDHMR Boilo Shutter, Glossy finish laminate and soft close hinges  </v>
      </c>
      <c r="C131" s="458">
        <v>3.5</v>
      </c>
      <c r="D131" s="458">
        <v>2.0</v>
      </c>
      <c r="E131" s="469">
        <f t="shared" si="43"/>
        <v>7</v>
      </c>
      <c r="F131" s="470" t="s">
        <v>683</v>
      </c>
      <c r="G131" s="458">
        <v>1050.0</v>
      </c>
      <c r="H131" s="458">
        <v>600.0</v>
      </c>
      <c r="I131" s="471" t="s">
        <v>684</v>
      </c>
      <c r="J131" s="472">
        <f>Premium!L37</f>
        <v>1765</v>
      </c>
      <c r="K131" s="466">
        <v>1.0</v>
      </c>
      <c r="L131" s="467">
        <f t="shared" si="44"/>
        <v>12355</v>
      </c>
      <c r="M131" s="452"/>
      <c r="N131" s="368"/>
      <c r="O131" s="368"/>
      <c r="P131" s="368"/>
      <c r="Q131" s="369"/>
      <c r="R131" s="369"/>
      <c r="S131" s="452"/>
      <c r="T131" s="452"/>
      <c r="U131" s="452"/>
      <c r="V131" s="369"/>
      <c r="W131" s="369"/>
      <c r="X131" s="369"/>
      <c r="Y131" s="369"/>
      <c r="Z131" s="369"/>
      <c r="AA131" s="369"/>
      <c r="AB131" s="369"/>
      <c r="AC131" s="369"/>
      <c r="AD131" s="369"/>
      <c r="AE131" s="369"/>
      <c r="AF131" s="369"/>
      <c r="AG131" s="369"/>
      <c r="AH131" s="369"/>
      <c r="AI131" s="369"/>
      <c r="AJ131" s="369"/>
      <c r="AK131" s="369"/>
      <c r="AL131" s="369"/>
      <c r="AM131" s="369"/>
      <c r="AN131" s="369"/>
      <c r="AO131" s="369"/>
    </row>
    <row r="132" ht="13.5" customHeight="1">
      <c r="A132" s="458"/>
      <c r="B132" s="496" t="s">
        <v>926</v>
      </c>
      <c r="C132" s="460"/>
      <c r="D132" s="460"/>
      <c r="E132" s="460"/>
      <c r="F132" s="460"/>
      <c r="G132" s="460"/>
      <c r="H132" s="460"/>
      <c r="I132" s="460"/>
      <c r="J132" s="460"/>
      <c r="K132" s="460"/>
      <c r="L132" s="460"/>
      <c r="M132" s="452"/>
      <c r="N132" s="368"/>
      <c r="O132" s="368"/>
      <c r="P132" s="368"/>
      <c r="Q132" s="369"/>
      <c r="R132" s="369"/>
      <c r="S132" s="452"/>
      <c r="T132" s="452"/>
      <c r="U132" s="452"/>
      <c r="V132" s="369"/>
      <c r="W132" s="369"/>
      <c r="X132" s="369"/>
      <c r="Y132" s="369"/>
      <c r="Z132" s="369"/>
      <c r="AA132" s="369"/>
      <c r="AB132" s="369"/>
      <c r="AC132" s="369"/>
      <c r="AD132" s="369"/>
      <c r="AE132" s="369"/>
      <c r="AF132" s="369"/>
      <c r="AG132" s="369"/>
      <c r="AH132" s="369"/>
      <c r="AI132" s="369"/>
      <c r="AJ132" s="369"/>
      <c r="AK132" s="369"/>
      <c r="AL132" s="369"/>
      <c r="AM132" s="369"/>
      <c r="AN132" s="369"/>
      <c r="AO132" s="369"/>
    </row>
    <row r="133" ht="13.5" customHeight="1">
      <c r="A133" s="458"/>
      <c r="B133" s="461" t="str">
        <f>Premium!I40</f>
        <v>Supply and installation of Wardrobe  with BWP Carcass, HDHMR Boilo Shutter, Glossy finish laminate and soft close hinges  </v>
      </c>
      <c r="C133" s="458">
        <v>8.5</v>
      </c>
      <c r="D133" s="458">
        <v>7.0</v>
      </c>
      <c r="E133" s="469">
        <f t="shared" ref="E133:E138" si="45">C133*D133</f>
        <v>59.5</v>
      </c>
      <c r="F133" s="470" t="s">
        <v>683</v>
      </c>
      <c r="G133" s="458">
        <v>2550.0</v>
      </c>
      <c r="H133" s="458">
        <v>2100.0</v>
      </c>
      <c r="I133" s="471" t="s">
        <v>684</v>
      </c>
      <c r="J133" s="472">
        <f>Premium!L37</f>
        <v>1765</v>
      </c>
      <c r="K133" s="466">
        <v>1.0</v>
      </c>
      <c r="L133" s="467">
        <f t="shared" ref="L133:L138" si="46">K133*J133*E133</f>
        <v>105017.5</v>
      </c>
      <c r="M133" s="452"/>
      <c r="N133" s="368"/>
      <c r="O133" s="368"/>
      <c r="P133" s="368"/>
      <c r="Q133" s="369"/>
      <c r="R133" s="369"/>
      <c r="S133" s="452"/>
      <c r="T133" s="452"/>
      <c r="U133" s="452"/>
      <c r="V133" s="369"/>
      <c r="W133" s="369"/>
      <c r="X133" s="369"/>
      <c r="Y133" s="369"/>
      <c r="Z133" s="369"/>
      <c r="AA133" s="369"/>
      <c r="AB133" s="369"/>
      <c r="AC133" s="369"/>
      <c r="AD133" s="369"/>
      <c r="AE133" s="369"/>
      <c r="AF133" s="369"/>
      <c r="AG133" s="369"/>
      <c r="AH133" s="369"/>
      <c r="AI133" s="369"/>
      <c r="AJ133" s="369"/>
      <c r="AK133" s="369"/>
      <c r="AL133" s="369"/>
      <c r="AM133" s="369"/>
      <c r="AN133" s="369"/>
      <c r="AO133" s="369"/>
    </row>
    <row r="134" ht="13.5" customHeight="1">
      <c r="A134" s="458"/>
      <c r="B134" s="461" t="str">
        <f>Premium!I39</f>
        <v>Supply and installation of Tall storage unit  with BWP Carcass, HDHMR Boilo Shutter, Glossy finish laminate and soft close hinges  </v>
      </c>
      <c r="C134" s="458">
        <v>1.5</v>
      </c>
      <c r="D134" s="458">
        <v>7.0</v>
      </c>
      <c r="E134" s="469">
        <f t="shared" si="45"/>
        <v>10.5</v>
      </c>
      <c r="F134" s="470" t="s">
        <v>683</v>
      </c>
      <c r="G134" s="458">
        <v>450.0</v>
      </c>
      <c r="H134" s="458">
        <v>2100.0</v>
      </c>
      <c r="I134" s="471" t="s">
        <v>684</v>
      </c>
      <c r="J134" s="472">
        <f>Premium!L37</f>
        <v>1765</v>
      </c>
      <c r="K134" s="466">
        <v>1.0</v>
      </c>
      <c r="L134" s="467">
        <f t="shared" si="46"/>
        <v>18532.5</v>
      </c>
      <c r="M134" s="452"/>
      <c r="N134" s="368"/>
      <c r="O134" s="368"/>
      <c r="P134" s="368"/>
      <c r="Q134" s="369"/>
      <c r="R134" s="369"/>
      <c r="S134" s="452"/>
      <c r="T134" s="452"/>
      <c r="U134" s="452"/>
      <c r="V134" s="369"/>
      <c r="W134" s="369"/>
      <c r="X134" s="369"/>
      <c r="Y134" s="369"/>
      <c r="Z134" s="369"/>
      <c r="AA134" s="369"/>
      <c r="AB134" s="369"/>
      <c r="AC134" s="369"/>
      <c r="AD134" s="369"/>
      <c r="AE134" s="369"/>
      <c r="AF134" s="369"/>
      <c r="AG134" s="369"/>
      <c r="AH134" s="369"/>
      <c r="AI134" s="369"/>
      <c r="AJ134" s="369"/>
      <c r="AK134" s="369"/>
      <c r="AL134" s="369"/>
      <c r="AM134" s="369"/>
      <c r="AN134" s="369"/>
      <c r="AO134" s="369"/>
    </row>
    <row r="135" ht="13.5" customHeight="1">
      <c r="A135" s="458"/>
      <c r="B135" s="461" t="str">
        <f>Premium!I62</f>
        <v>Supply and installation of Curved Base storage unit  with BWP Carcass, HDHMR Boilo Shutter, Glossy finish laminate and soft close hinges  </v>
      </c>
      <c r="C135" s="458">
        <v>3.0</v>
      </c>
      <c r="D135" s="458">
        <v>1.0</v>
      </c>
      <c r="E135" s="469">
        <f t="shared" si="45"/>
        <v>3</v>
      </c>
      <c r="F135" s="470" t="s">
        <v>683</v>
      </c>
      <c r="G135" s="458">
        <v>900.0</v>
      </c>
      <c r="H135" s="458">
        <v>300.0</v>
      </c>
      <c r="I135" s="471" t="s">
        <v>684</v>
      </c>
      <c r="J135" s="472">
        <f>Premium!L62</f>
        <v>2115</v>
      </c>
      <c r="K135" s="466">
        <v>1.0</v>
      </c>
      <c r="L135" s="467">
        <f t="shared" si="46"/>
        <v>6345</v>
      </c>
      <c r="M135" s="452"/>
      <c r="N135" s="368"/>
      <c r="O135" s="368"/>
      <c r="P135" s="368"/>
      <c r="Q135" s="369"/>
      <c r="R135" s="369"/>
      <c r="S135" s="474"/>
      <c r="T135" s="452">
        <v>4730.0</v>
      </c>
      <c r="U135" s="452"/>
      <c r="V135" s="369"/>
      <c r="W135" s="369"/>
      <c r="X135" s="369"/>
      <c r="Y135" s="369"/>
      <c r="Z135" s="369"/>
      <c r="AA135" s="369"/>
      <c r="AB135" s="369"/>
      <c r="AC135" s="369"/>
      <c r="AD135" s="369"/>
      <c r="AE135" s="369"/>
      <c r="AF135" s="369"/>
      <c r="AG135" s="369"/>
      <c r="AH135" s="369"/>
      <c r="AI135" s="369"/>
      <c r="AJ135" s="369"/>
      <c r="AK135" s="369"/>
      <c r="AL135" s="369"/>
      <c r="AM135" s="369"/>
      <c r="AN135" s="369"/>
      <c r="AO135" s="369"/>
    </row>
    <row r="136" ht="13.5" customHeight="1">
      <c r="A136" s="458"/>
      <c r="B136" s="461" t="str">
        <f>Premium!I73</f>
        <v>Supply and installation of Wall Panel with BWP Ply Frame, Glossy Finish laminate </v>
      </c>
      <c r="C136" s="458">
        <v>2.0</v>
      </c>
      <c r="D136" s="458">
        <v>5.0</v>
      </c>
      <c r="E136" s="469">
        <f t="shared" si="45"/>
        <v>10</v>
      </c>
      <c r="F136" s="470" t="s">
        <v>683</v>
      </c>
      <c r="G136" s="458">
        <v>600.0</v>
      </c>
      <c r="H136" s="458">
        <v>1500.0</v>
      </c>
      <c r="I136" s="471" t="s">
        <v>684</v>
      </c>
      <c r="J136" s="472">
        <f>Premium!L73</f>
        <v>1100</v>
      </c>
      <c r="K136" s="466">
        <v>1.0</v>
      </c>
      <c r="L136" s="467">
        <f t="shared" si="46"/>
        <v>11000</v>
      </c>
      <c r="M136" s="452"/>
      <c r="N136" s="368"/>
      <c r="O136" s="368"/>
      <c r="P136" s="368"/>
      <c r="Q136" s="369"/>
      <c r="R136" s="369"/>
      <c r="S136" s="452"/>
      <c r="T136" s="452"/>
      <c r="U136" s="452"/>
      <c r="V136" s="369"/>
      <c r="W136" s="369"/>
      <c r="X136" s="369"/>
      <c r="Y136" s="369"/>
      <c r="Z136" s="369"/>
      <c r="AA136" s="369"/>
      <c r="AB136" s="369"/>
      <c r="AC136" s="369"/>
      <c r="AD136" s="369"/>
      <c r="AE136" s="369"/>
      <c r="AF136" s="369"/>
      <c r="AG136" s="369"/>
      <c r="AH136" s="369"/>
      <c r="AI136" s="369"/>
      <c r="AJ136" s="369"/>
      <c r="AK136" s="369"/>
      <c r="AL136" s="369"/>
      <c r="AM136" s="369"/>
      <c r="AN136" s="369"/>
      <c r="AO136" s="369"/>
    </row>
    <row r="137" ht="13.5" customHeight="1">
      <c r="A137" s="458"/>
      <c r="B137" s="461" t="str">
        <f>Premium!I67</f>
        <v>Supply and installation of Loft Frame and Shutter unit with BWP Frame, HDHMR Boilo Shutter, Glossy  finish laminate and Soft Close hinges  </v>
      </c>
      <c r="C137" s="458">
        <v>10.0</v>
      </c>
      <c r="D137" s="458">
        <v>2.5</v>
      </c>
      <c r="E137" s="469">
        <f t="shared" si="45"/>
        <v>25</v>
      </c>
      <c r="F137" s="470" t="s">
        <v>683</v>
      </c>
      <c r="G137" s="458">
        <v>3000.0</v>
      </c>
      <c r="H137" s="458">
        <v>750.0</v>
      </c>
      <c r="I137" s="471" t="s">
        <v>684</v>
      </c>
      <c r="J137" s="472">
        <f>Premium!L67</f>
        <v>1008</v>
      </c>
      <c r="K137" s="466">
        <v>1.0</v>
      </c>
      <c r="L137" s="467">
        <f t="shared" si="46"/>
        <v>25200</v>
      </c>
      <c r="M137" s="452"/>
      <c r="N137" s="368"/>
      <c r="O137" s="368"/>
      <c r="P137" s="368"/>
      <c r="Q137" s="369"/>
      <c r="R137" s="369"/>
      <c r="S137" s="452"/>
      <c r="T137" s="452"/>
      <c r="U137" s="452"/>
      <c r="V137" s="369"/>
      <c r="W137" s="369"/>
      <c r="X137" s="369"/>
      <c r="Y137" s="369"/>
      <c r="Z137" s="369"/>
      <c r="AA137" s="369"/>
      <c r="AB137" s="369"/>
      <c r="AC137" s="369"/>
      <c r="AD137" s="369"/>
      <c r="AE137" s="369"/>
      <c r="AF137" s="369"/>
      <c r="AG137" s="369"/>
      <c r="AH137" s="369"/>
      <c r="AI137" s="369"/>
      <c r="AJ137" s="369"/>
      <c r="AK137" s="369"/>
      <c r="AL137" s="369"/>
      <c r="AM137" s="369"/>
      <c r="AN137" s="369"/>
      <c r="AO137" s="369"/>
    </row>
    <row r="138" ht="13.5" customHeight="1">
      <c r="A138" s="458"/>
      <c r="B138" s="461" t="str">
        <f>Premium!I77</f>
        <v>Supply and installation of Base Panel with BWP Ply Frame, Glossy Finish laminate </v>
      </c>
      <c r="C138" s="458">
        <v>2.0</v>
      </c>
      <c r="D138" s="458">
        <v>3.0</v>
      </c>
      <c r="E138" s="469">
        <f t="shared" si="45"/>
        <v>6</v>
      </c>
      <c r="F138" s="470" t="s">
        <v>683</v>
      </c>
      <c r="G138" s="458">
        <v>600.0</v>
      </c>
      <c r="H138" s="458">
        <v>900.0</v>
      </c>
      <c r="I138" s="471" t="s">
        <v>684</v>
      </c>
      <c r="J138" s="472">
        <f>Premium!L73</f>
        <v>1100</v>
      </c>
      <c r="K138" s="466">
        <v>1.0</v>
      </c>
      <c r="L138" s="467">
        <f t="shared" si="46"/>
        <v>6600</v>
      </c>
      <c r="M138" s="452"/>
      <c r="N138" s="368"/>
      <c r="O138" s="368"/>
      <c r="P138" s="368"/>
      <c r="Q138" s="369"/>
      <c r="R138" s="369"/>
      <c r="S138" s="452"/>
      <c r="T138" s="452"/>
      <c r="U138" s="452"/>
      <c r="V138" s="369"/>
      <c r="W138" s="369"/>
      <c r="X138" s="369"/>
      <c r="Y138" s="369"/>
      <c r="Z138" s="369"/>
      <c r="AA138" s="369"/>
      <c r="AB138" s="369"/>
      <c r="AC138" s="369"/>
      <c r="AD138" s="369"/>
      <c r="AE138" s="369"/>
      <c r="AF138" s="369"/>
      <c r="AG138" s="369"/>
      <c r="AH138" s="369"/>
      <c r="AI138" s="369"/>
      <c r="AJ138" s="369"/>
      <c r="AK138" s="369"/>
      <c r="AL138" s="369"/>
      <c r="AM138" s="369"/>
      <c r="AN138" s="369"/>
      <c r="AO138" s="369"/>
    </row>
    <row r="139" ht="13.5" customHeight="1">
      <c r="A139" s="458"/>
      <c r="B139" s="495" t="s">
        <v>931</v>
      </c>
      <c r="C139" s="460"/>
      <c r="D139" s="460"/>
      <c r="E139" s="460"/>
      <c r="F139" s="460"/>
      <c r="G139" s="460"/>
      <c r="H139" s="460"/>
      <c r="I139" s="460"/>
      <c r="J139" s="460"/>
      <c r="K139" s="460"/>
      <c r="L139" s="460"/>
      <c r="M139" s="452"/>
      <c r="N139" s="368"/>
      <c r="O139" s="368"/>
      <c r="P139" s="368"/>
      <c r="Q139" s="369"/>
      <c r="R139" s="369"/>
      <c r="S139" s="452"/>
      <c r="T139" s="452"/>
      <c r="U139" s="452"/>
      <c r="V139" s="369"/>
      <c r="W139" s="369"/>
      <c r="X139" s="369"/>
      <c r="Y139" s="369"/>
      <c r="Z139" s="369"/>
      <c r="AA139" s="369"/>
      <c r="AB139" s="369"/>
      <c r="AC139" s="369"/>
      <c r="AD139" s="369"/>
      <c r="AE139" s="369"/>
      <c r="AF139" s="369"/>
      <c r="AG139" s="369"/>
      <c r="AH139" s="369"/>
      <c r="AI139" s="369"/>
      <c r="AJ139" s="369"/>
      <c r="AK139" s="369"/>
      <c r="AL139" s="369"/>
      <c r="AM139" s="369"/>
      <c r="AN139" s="369"/>
      <c r="AO139" s="369"/>
    </row>
    <row r="140" ht="13.5" customHeight="1">
      <c r="A140" s="458"/>
      <c r="B140" s="461" t="str">
        <f>Premium!I73</f>
        <v>Supply and installation of Wall Panel with BWP Ply Frame, Glossy Finish laminate </v>
      </c>
      <c r="C140" s="458">
        <v>6.0</v>
      </c>
      <c r="D140" s="458">
        <v>4.0</v>
      </c>
      <c r="E140" s="469">
        <f t="shared" ref="E140:E143" si="47">C140*D140</f>
        <v>24</v>
      </c>
      <c r="F140" s="470" t="s">
        <v>683</v>
      </c>
      <c r="G140" s="458">
        <v>1800.0</v>
      </c>
      <c r="H140" s="458">
        <v>1200.0</v>
      </c>
      <c r="I140" s="471" t="s">
        <v>684</v>
      </c>
      <c r="J140" s="472">
        <f>Premium!L73</f>
        <v>1100</v>
      </c>
      <c r="K140" s="466">
        <v>1.0</v>
      </c>
      <c r="L140" s="467">
        <f t="shared" ref="L140:L143" si="48">K140*J140*E140</f>
        <v>26400</v>
      </c>
      <c r="M140" s="452"/>
      <c r="N140" s="368"/>
      <c r="O140" s="368"/>
      <c r="P140" s="368"/>
      <c r="Q140" s="369"/>
      <c r="R140" s="369"/>
      <c r="S140" s="452"/>
      <c r="T140" s="452"/>
      <c r="U140" s="452"/>
      <c r="V140" s="369"/>
      <c r="W140" s="369"/>
      <c r="X140" s="369"/>
      <c r="Y140" s="369"/>
      <c r="Z140" s="369"/>
      <c r="AA140" s="369"/>
      <c r="AB140" s="369"/>
      <c r="AC140" s="369"/>
      <c r="AD140" s="369"/>
      <c r="AE140" s="369"/>
      <c r="AF140" s="369"/>
      <c r="AG140" s="369"/>
      <c r="AH140" s="369"/>
      <c r="AI140" s="369"/>
      <c r="AJ140" s="369"/>
      <c r="AK140" s="369"/>
      <c r="AL140" s="369"/>
      <c r="AM140" s="369"/>
      <c r="AN140" s="369"/>
      <c r="AO140" s="369"/>
    </row>
    <row r="141" ht="13.5" customHeight="1">
      <c r="A141" s="458"/>
      <c r="B141" s="461" t="str">
        <f>Premium!I40</f>
        <v>Supply and installation of Wardrobe  with BWP Carcass, HDHMR Boilo Shutter, Glossy finish laminate and soft close hinges  </v>
      </c>
      <c r="C141" s="458">
        <v>6.0</v>
      </c>
      <c r="D141" s="458">
        <v>7.0</v>
      </c>
      <c r="E141" s="469">
        <f t="shared" si="47"/>
        <v>42</v>
      </c>
      <c r="F141" s="470" t="s">
        <v>683</v>
      </c>
      <c r="G141" s="458">
        <v>1800.0</v>
      </c>
      <c r="H141" s="458">
        <v>2100.0</v>
      </c>
      <c r="I141" s="471" t="s">
        <v>684</v>
      </c>
      <c r="J141" s="472">
        <f>Premium!L37</f>
        <v>1765</v>
      </c>
      <c r="K141" s="466">
        <v>1.0</v>
      </c>
      <c r="L141" s="467">
        <f t="shared" si="48"/>
        <v>74130</v>
      </c>
      <c r="M141" s="452"/>
      <c r="N141" s="368"/>
      <c r="O141" s="368"/>
      <c r="P141" s="368"/>
      <c r="Q141" s="369"/>
      <c r="R141" s="369"/>
      <c r="S141" s="452"/>
      <c r="T141" s="452"/>
      <c r="U141" s="452"/>
      <c r="V141" s="369"/>
      <c r="W141" s="369"/>
      <c r="X141" s="369"/>
      <c r="Y141" s="369"/>
      <c r="Z141" s="369"/>
      <c r="AA141" s="369"/>
      <c r="AB141" s="369"/>
      <c r="AC141" s="369"/>
      <c r="AD141" s="369"/>
      <c r="AE141" s="369"/>
      <c r="AF141" s="369"/>
      <c r="AG141" s="369"/>
      <c r="AH141" s="369"/>
      <c r="AI141" s="369"/>
      <c r="AJ141" s="369"/>
      <c r="AK141" s="369"/>
      <c r="AL141" s="369"/>
      <c r="AM141" s="369"/>
      <c r="AN141" s="369"/>
      <c r="AO141" s="369"/>
    </row>
    <row r="142" ht="13.5" customHeight="1">
      <c r="A142" s="458"/>
      <c r="B142" s="461" t="str">
        <f>Premium!I67</f>
        <v>Supply and installation of Loft Frame and Shutter unit with BWP Frame, HDHMR Boilo Shutter, Glossy  finish laminate and Soft Close hinges  </v>
      </c>
      <c r="C142" s="458">
        <v>7.0</v>
      </c>
      <c r="D142" s="458">
        <v>3.0</v>
      </c>
      <c r="E142" s="469">
        <f t="shared" si="47"/>
        <v>21</v>
      </c>
      <c r="F142" s="470" t="s">
        <v>683</v>
      </c>
      <c r="G142" s="458">
        <v>2100.0</v>
      </c>
      <c r="H142" s="458">
        <v>900.0</v>
      </c>
      <c r="I142" s="471" t="s">
        <v>684</v>
      </c>
      <c r="J142" s="472">
        <f>Premium!L67</f>
        <v>1008</v>
      </c>
      <c r="K142" s="466">
        <v>1.0</v>
      </c>
      <c r="L142" s="467">
        <f t="shared" si="48"/>
        <v>21168</v>
      </c>
      <c r="M142" s="452"/>
      <c r="N142" s="368"/>
      <c r="O142" s="368"/>
      <c r="P142" s="368"/>
      <c r="Q142" s="369"/>
      <c r="R142" s="369"/>
      <c r="S142" s="452"/>
      <c r="T142" s="452"/>
      <c r="U142" s="452"/>
      <c r="V142" s="369"/>
      <c r="W142" s="369"/>
      <c r="X142" s="369"/>
      <c r="Y142" s="369"/>
      <c r="Z142" s="369"/>
      <c r="AA142" s="369"/>
      <c r="AB142" s="369"/>
      <c r="AC142" s="369"/>
      <c r="AD142" s="369"/>
      <c r="AE142" s="369"/>
      <c r="AF142" s="369"/>
      <c r="AG142" s="369"/>
      <c r="AH142" s="369"/>
      <c r="AI142" s="369"/>
      <c r="AJ142" s="369"/>
      <c r="AK142" s="369"/>
      <c r="AL142" s="369"/>
      <c r="AM142" s="369"/>
      <c r="AN142" s="369"/>
      <c r="AO142" s="369"/>
    </row>
    <row r="143" ht="13.5" customHeight="1">
      <c r="A143" s="458"/>
      <c r="B143" s="461" t="str">
        <f>Premium!I77</f>
        <v>Supply and installation of Base Panel with BWP Ply Frame, Glossy Finish laminate </v>
      </c>
      <c r="C143" s="458">
        <v>5.0</v>
      </c>
      <c r="D143" s="458">
        <v>3.0</v>
      </c>
      <c r="E143" s="469">
        <f t="shared" si="47"/>
        <v>15</v>
      </c>
      <c r="F143" s="470" t="s">
        <v>683</v>
      </c>
      <c r="G143" s="458">
        <v>1500.0</v>
      </c>
      <c r="H143" s="458">
        <v>900.0</v>
      </c>
      <c r="I143" s="471" t="s">
        <v>684</v>
      </c>
      <c r="J143" s="472">
        <f>Premium!L73</f>
        <v>1100</v>
      </c>
      <c r="K143" s="466">
        <v>1.0</v>
      </c>
      <c r="L143" s="467">
        <f t="shared" si="48"/>
        <v>16500</v>
      </c>
      <c r="M143" s="452"/>
      <c r="N143" s="368"/>
      <c r="O143" s="368"/>
      <c r="P143" s="368"/>
      <c r="Q143" s="369"/>
      <c r="R143" s="369"/>
      <c r="S143" s="452"/>
      <c r="T143" s="452"/>
      <c r="U143" s="452"/>
      <c r="V143" s="369"/>
      <c r="W143" s="369"/>
      <c r="X143" s="369"/>
      <c r="Y143" s="369"/>
      <c r="Z143" s="369"/>
      <c r="AA143" s="369"/>
      <c r="AB143" s="369"/>
      <c r="AC143" s="369"/>
      <c r="AD143" s="369"/>
      <c r="AE143" s="369"/>
      <c r="AF143" s="369"/>
      <c r="AG143" s="369"/>
      <c r="AH143" s="369"/>
      <c r="AI143" s="369"/>
      <c r="AJ143" s="369"/>
      <c r="AK143" s="369"/>
      <c r="AL143" s="369"/>
      <c r="AM143" s="369"/>
      <c r="AN143" s="369"/>
      <c r="AO143" s="369"/>
    </row>
    <row r="144" ht="13.5" customHeight="1">
      <c r="A144" s="458"/>
      <c r="B144" s="480" t="s">
        <v>925</v>
      </c>
      <c r="C144" s="460"/>
      <c r="D144" s="460"/>
      <c r="E144" s="460"/>
      <c r="F144" s="460"/>
      <c r="G144" s="460"/>
      <c r="H144" s="460"/>
      <c r="I144" s="460"/>
      <c r="J144" s="460"/>
      <c r="K144" s="460"/>
      <c r="L144" s="460"/>
      <c r="M144" s="452"/>
      <c r="N144" s="368"/>
      <c r="O144" s="368"/>
      <c r="P144" s="368"/>
      <c r="Q144" s="369"/>
      <c r="R144" s="369"/>
      <c r="S144" s="452"/>
      <c r="T144" s="452"/>
      <c r="U144" s="452"/>
      <c r="V144" s="369"/>
      <c r="W144" s="369"/>
      <c r="X144" s="369"/>
      <c r="Y144" s="369"/>
      <c r="Z144" s="369"/>
      <c r="AA144" s="369"/>
      <c r="AB144" s="369"/>
      <c r="AC144" s="369"/>
      <c r="AD144" s="369"/>
      <c r="AE144" s="369"/>
      <c r="AF144" s="369"/>
      <c r="AG144" s="369"/>
      <c r="AH144" s="369"/>
      <c r="AI144" s="369"/>
      <c r="AJ144" s="369"/>
      <c r="AK144" s="369"/>
      <c r="AL144" s="369"/>
      <c r="AM144" s="369"/>
      <c r="AN144" s="369"/>
      <c r="AO144" s="369"/>
    </row>
    <row r="145" ht="13.5" customHeight="1">
      <c r="A145" s="458"/>
      <c r="B145" s="461" t="str">
        <f>Premium!I37</f>
        <v>Supply and installation of Base storage unit  with BWP Carcass, HDHMR Boilo Shutter, Glossy finish laminate and soft close hinges  </v>
      </c>
      <c r="C145" s="458">
        <v>7.0</v>
      </c>
      <c r="D145" s="458">
        <v>1.0</v>
      </c>
      <c r="E145" s="469">
        <f>C145*D145</f>
        <v>7</v>
      </c>
      <c r="F145" s="470" t="s">
        <v>683</v>
      </c>
      <c r="G145" s="458">
        <v>2100.0</v>
      </c>
      <c r="H145" s="458">
        <v>300.0</v>
      </c>
      <c r="I145" s="471" t="s">
        <v>684</v>
      </c>
      <c r="J145" s="472">
        <f>Premium!L37</f>
        <v>1765</v>
      </c>
      <c r="K145" s="466">
        <v>1.0</v>
      </c>
      <c r="L145" s="467">
        <f>K145*J145*E145</f>
        <v>12355</v>
      </c>
      <c r="M145" s="452"/>
      <c r="N145" s="368"/>
      <c r="O145" s="368"/>
      <c r="P145" s="368"/>
      <c r="Q145" s="369"/>
      <c r="R145" s="369"/>
      <c r="S145" s="452"/>
      <c r="T145" s="452"/>
      <c r="U145" s="452"/>
      <c r="V145" s="369"/>
      <c r="W145" s="369"/>
      <c r="X145" s="369"/>
      <c r="Y145" s="369"/>
      <c r="Z145" s="369"/>
      <c r="AA145" s="369"/>
      <c r="AB145" s="369"/>
      <c r="AC145" s="369"/>
      <c r="AD145" s="369"/>
      <c r="AE145" s="369"/>
      <c r="AF145" s="369"/>
      <c r="AG145" s="369"/>
      <c r="AH145" s="369"/>
      <c r="AI145" s="369"/>
      <c r="AJ145" s="369"/>
      <c r="AK145" s="369"/>
      <c r="AL145" s="369"/>
      <c r="AM145" s="369"/>
      <c r="AN145" s="369"/>
      <c r="AO145" s="369"/>
    </row>
    <row r="146" ht="13.5" customHeight="1">
      <c r="A146" s="458"/>
      <c r="B146" s="480" t="s">
        <v>913</v>
      </c>
      <c r="C146" s="460"/>
      <c r="D146" s="460"/>
      <c r="E146" s="460"/>
      <c r="F146" s="460"/>
      <c r="G146" s="460"/>
      <c r="H146" s="460"/>
      <c r="I146" s="460"/>
      <c r="J146" s="460"/>
      <c r="K146" s="460"/>
      <c r="L146" s="460"/>
      <c r="M146" s="452"/>
      <c r="N146" s="368"/>
      <c r="O146" s="368"/>
      <c r="P146" s="368"/>
      <c r="Q146" s="369"/>
      <c r="R146" s="369"/>
      <c r="S146" s="452"/>
      <c r="T146" s="452"/>
      <c r="U146" s="452"/>
      <c r="V146" s="369"/>
      <c r="W146" s="369"/>
      <c r="X146" s="369"/>
      <c r="Y146" s="369"/>
      <c r="Z146" s="369"/>
      <c r="AA146" s="369"/>
      <c r="AB146" s="369"/>
      <c r="AC146" s="369"/>
      <c r="AD146" s="369"/>
      <c r="AE146" s="369"/>
      <c r="AF146" s="369"/>
      <c r="AG146" s="369"/>
      <c r="AH146" s="369"/>
      <c r="AI146" s="369"/>
      <c r="AJ146" s="369"/>
      <c r="AK146" s="369"/>
      <c r="AL146" s="369"/>
      <c r="AM146" s="369"/>
      <c r="AN146" s="369"/>
      <c r="AO146" s="369"/>
    </row>
    <row r="147" ht="13.5" customHeight="1">
      <c r="A147" s="458"/>
      <c r="B147" s="461" t="str">
        <f>Premium!I37</f>
        <v>Supply and installation of Base storage unit  with BWP Carcass, HDHMR Boilo Shutter, Glossy finish laminate and soft close hinges  </v>
      </c>
      <c r="C147" s="458">
        <v>4.5</v>
      </c>
      <c r="D147" s="458">
        <v>1.5</v>
      </c>
      <c r="E147" s="469">
        <f t="shared" ref="E147:E148" si="49">C147*D147</f>
        <v>6.75</v>
      </c>
      <c r="F147" s="470" t="s">
        <v>683</v>
      </c>
      <c r="G147" s="458">
        <v>1350.0</v>
      </c>
      <c r="H147" s="458">
        <v>450.0</v>
      </c>
      <c r="I147" s="471" t="s">
        <v>684</v>
      </c>
      <c r="J147" s="472">
        <f>Premium!L37</f>
        <v>1765</v>
      </c>
      <c r="K147" s="466">
        <v>1.0</v>
      </c>
      <c r="L147" s="467">
        <f t="shared" ref="L147:L148" si="50">K147*J147*E147</f>
        <v>11913.75</v>
      </c>
      <c r="M147" s="452"/>
      <c r="N147" s="368"/>
      <c r="O147" s="368"/>
      <c r="P147" s="368"/>
      <c r="Q147" s="369"/>
      <c r="R147" s="369"/>
      <c r="S147" s="452"/>
      <c r="T147" s="452"/>
      <c r="U147" s="452"/>
      <c r="V147" s="369"/>
      <c r="W147" s="369"/>
      <c r="X147" s="369"/>
      <c r="Y147" s="369"/>
      <c r="Z147" s="369"/>
      <c r="AA147" s="369"/>
      <c r="AB147" s="369"/>
      <c r="AC147" s="369"/>
      <c r="AD147" s="369"/>
      <c r="AE147" s="369"/>
      <c r="AF147" s="369"/>
      <c r="AG147" s="369"/>
      <c r="AH147" s="369"/>
      <c r="AI147" s="369"/>
      <c r="AJ147" s="369"/>
      <c r="AK147" s="369"/>
      <c r="AL147" s="369"/>
      <c r="AM147" s="369"/>
      <c r="AN147" s="369"/>
      <c r="AO147" s="369"/>
    </row>
    <row r="148" ht="13.5" customHeight="1">
      <c r="A148" s="458"/>
      <c r="B148" s="461" t="str">
        <f>Premium!I24</f>
        <v>Supply and installation of Ledge with 25mm Ledge BWP and Smooth Finish Laminate</v>
      </c>
      <c r="C148" s="458">
        <v>4.5</v>
      </c>
      <c r="D148" s="458">
        <v>1.0</v>
      </c>
      <c r="E148" s="469">
        <f t="shared" si="49"/>
        <v>4.5</v>
      </c>
      <c r="F148" s="470" t="s">
        <v>683</v>
      </c>
      <c r="G148" s="458">
        <v>1350.0</v>
      </c>
      <c r="H148" s="458">
        <v>300.0</v>
      </c>
      <c r="I148" s="471" t="s">
        <v>684</v>
      </c>
      <c r="J148" s="472">
        <f>Premium!L24</f>
        <v>875</v>
      </c>
      <c r="K148" s="466">
        <v>1.0</v>
      </c>
      <c r="L148" s="467">
        <f t="shared" si="50"/>
        <v>3937.5</v>
      </c>
      <c r="M148" s="452"/>
      <c r="N148" s="368"/>
      <c r="O148" s="368"/>
      <c r="P148" s="368"/>
      <c r="Q148" s="369"/>
      <c r="R148" s="369"/>
      <c r="S148" s="452"/>
      <c r="T148" s="452"/>
      <c r="U148" s="452"/>
      <c r="V148" s="369"/>
      <c r="W148" s="369"/>
      <c r="X148" s="369"/>
      <c r="Y148" s="369"/>
      <c r="Z148" s="369"/>
      <c r="AA148" s="369"/>
      <c r="AB148" s="369"/>
      <c r="AC148" s="369"/>
      <c r="AD148" s="369"/>
      <c r="AE148" s="369"/>
      <c r="AF148" s="369"/>
      <c r="AG148" s="369"/>
      <c r="AH148" s="369"/>
      <c r="AI148" s="369"/>
      <c r="AJ148" s="369"/>
      <c r="AK148" s="369"/>
      <c r="AL148" s="369"/>
      <c r="AM148" s="369"/>
      <c r="AN148" s="369"/>
      <c r="AO148" s="369"/>
    </row>
    <row r="149" ht="13.5" customHeight="1">
      <c r="A149" s="458"/>
      <c r="B149" s="496" t="s">
        <v>929</v>
      </c>
      <c r="C149" s="460"/>
      <c r="D149" s="460"/>
      <c r="E149" s="460"/>
      <c r="F149" s="460"/>
      <c r="G149" s="460"/>
      <c r="H149" s="460"/>
      <c r="I149" s="460"/>
      <c r="J149" s="460"/>
      <c r="K149" s="460"/>
      <c r="L149" s="460"/>
      <c r="M149" s="452"/>
      <c r="N149" s="368"/>
      <c r="O149" s="368"/>
      <c r="P149" s="368"/>
      <c r="Q149" s="369"/>
      <c r="R149" s="369"/>
      <c r="S149" s="452"/>
      <c r="T149" s="452"/>
      <c r="U149" s="452"/>
      <c r="V149" s="369"/>
      <c r="W149" s="369"/>
      <c r="X149" s="369"/>
      <c r="Y149" s="369"/>
      <c r="Z149" s="369"/>
      <c r="AA149" s="369"/>
      <c r="AB149" s="369"/>
      <c r="AC149" s="369"/>
      <c r="AD149" s="369"/>
      <c r="AE149" s="369"/>
      <c r="AF149" s="369"/>
      <c r="AG149" s="369"/>
      <c r="AH149" s="369"/>
      <c r="AI149" s="369"/>
      <c r="AJ149" s="369"/>
      <c r="AK149" s="369"/>
      <c r="AL149" s="369"/>
      <c r="AM149" s="369"/>
      <c r="AN149" s="369"/>
      <c r="AO149" s="369"/>
    </row>
    <row r="150" ht="13.5" customHeight="1">
      <c r="A150" s="458"/>
      <c r="B150" s="461" t="str">
        <f>Premium!I37</f>
        <v>Supply and installation of Base storage unit  with BWP Carcass, HDHMR Boilo Shutter, Glossy finish laminate and soft close hinges  </v>
      </c>
      <c r="C150" s="458">
        <v>5.0</v>
      </c>
      <c r="D150" s="458">
        <v>2.0</v>
      </c>
      <c r="E150" s="469">
        <f t="shared" ref="E150:E151" si="51">C150*D150</f>
        <v>10</v>
      </c>
      <c r="F150" s="470" t="s">
        <v>683</v>
      </c>
      <c r="G150" s="458">
        <v>1500.0</v>
      </c>
      <c r="H150" s="458">
        <v>600.0</v>
      </c>
      <c r="I150" s="471" t="s">
        <v>684</v>
      </c>
      <c r="J150" s="472">
        <f>Premium!L37</f>
        <v>1765</v>
      </c>
      <c r="K150" s="466">
        <v>1.0</v>
      </c>
      <c r="L150" s="467">
        <f t="shared" ref="L150:L151" si="52">K150*J150*E150</f>
        <v>17650</v>
      </c>
      <c r="M150" s="452"/>
      <c r="N150" s="368"/>
      <c r="O150" s="368"/>
      <c r="P150" s="368"/>
      <c r="Q150" s="369"/>
      <c r="R150" s="369"/>
      <c r="S150" s="452"/>
      <c r="T150" s="452"/>
      <c r="U150" s="452"/>
      <c r="V150" s="369"/>
      <c r="W150" s="369"/>
      <c r="X150" s="369"/>
      <c r="Y150" s="369"/>
      <c r="Z150" s="369"/>
      <c r="AA150" s="369"/>
      <c r="AB150" s="369"/>
      <c r="AC150" s="369"/>
      <c r="AD150" s="369"/>
      <c r="AE150" s="369"/>
      <c r="AF150" s="369"/>
      <c r="AG150" s="369"/>
      <c r="AH150" s="369"/>
      <c r="AI150" s="369"/>
      <c r="AJ150" s="369"/>
      <c r="AK150" s="369"/>
      <c r="AL150" s="369"/>
      <c r="AM150" s="369"/>
      <c r="AN150" s="369"/>
      <c r="AO150" s="369"/>
    </row>
    <row r="151" ht="13.5" customHeight="1">
      <c r="A151" s="458"/>
      <c r="B151" s="461" t="str">
        <f>Premium!I73</f>
        <v>Supply and installation of Wall Panel with BWP Ply Frame, Glossy Finish laminate </v>
      </c>
      <c r="C151" s="458">
        <v>20.0</v>
      </c>
      <c r="D151" s="458">
        <v>2.0</v>
      </c>
      <c r="E151" s="469">
        <f t="shared" si="51"/>
        <v>40</v>
      </c>
      <c r="F151" s="470" t="s">
        <v>683</v>
      </c>
      <c r="G151" s="458">
        <v>6000.0</v>
      </c>
      <c r="H151" s="458">
        <v>600.0</v>
      </c>
      <c r="I151" s="471" t="s">
        <v>684</v>
      </c>
      <c r="J151" s="472">
        <f>Premium!L73</f>
        <v>1100</v>
      </c>
      <c r="K151" s="466">
        <v>1.0</v>
      </c>
      <c r="L151" s="467">
        <f t="shared" si="52"/>
        <v>44000</v>
      </c>
      <c r="M151" s="452"/>
      <c r="N151" s="368"/>
      <c r="O151" s="368"/>
      <c r="P151" s="368"/>
      <c r="Q151" s="369"/>
      <c r="R151" s="369"/>
      <c r="S151" s="452"/>
      <c r="T151" s="452"/>
      <c r="U151" s="452"/>
      <c r="V151" s="369"/>
      <c r="W151" s="369"/>
      <c r="X151" s="369"/>
      <c r="Y151" s="369"/>
      <c r="Z151" s="369"/>
      <c r="AA151" s="369"/>
      <c r="AB151" s="369"/>
      <c r="AC151" s="369"/>
      <c r="AD151" s="369"/>
      <c r="AE151" s="369"/>
      <c r="AF151" s="369"/>
      <c r="AG151" s="369"/>
      <c r="AH151" s="369"/>
      <c r="AI151" s="369"/>
      <c r="AJ151" s="369"/>
      <c r="AK151" s="369"/>
      <c r="AL151" s="369"/>
      <c r="AM151" s="369"/>
      <c r="AN151" s="369"/>
      <c r="AO151" s="369"/>
    </row>
    <row r="152" ht="13.5" customHeight="1">
      <c r="A152" s="458"/>
      <c r="B152" s="496" t="s">
        <v>926</v>
      </c>
      <c r="C152" s="460"/>
      <c r="D152" s="460"/>
      <c r="E152" s="460"/>
      <c r="F152" s="460"/>
      <c r="G152" s="460"/>
      <c r="H152" s="460"/>
      <c r="I152" s="460"/>
      <c r="J152" s="460"/>
      <c r="K152" s="460"/>
      <c r="L152" s="460"/>
      <c r="M152" s="452"/>
      <c r="N152" s="368"/>
      <c r="O152" s="368"/>
      <c r="P152" s="368"/>
      <c r="Q152" s="369"/>
      <c r="R152" s="369"/>
      <c r="S152" s="452"/>
      <c r="T152" s="452"/>
      <c r="U152" s="452"/>
      <c r="V152" s="369"/>
      <c r="W152" s="369"/>
      <c r="X152" s="369"/>
      <c r="Y152" s="369"/>
      <c r="Z152" s="369"/>
      <c r="AA152" s="369"/>
      <c r="AB152" s="369"/>
      <c r="AC152" s="369"/>
      <c r="AD152" s="369"/>
      <c r="AE152" s="369"/>
      <c r="AF152" s="369"/>
      <c r="AG152" s="369"/>
      <c r="AH152" s="369"/>
      <c r="AI152" s="369"/>
      <c r="AJ152" s="369"/>
      <c r="AK152" s="369"/>
      <c r="AL152" s="369"/>
      <c r="AM152" s="369"/>
      <c r="AN152" s="369"/>
      <c r="AO152" s="369"/>
    </row>
    <row r="153" ht="13.5" customHeight="1">
      <c r="A153" s="458"/>
      <c r="B153" s="461" t="str">
        <f>Premium!I37</f>
        <v>Supply and installation of Base storage unit  with BWP Carcass, HDHMR Boilo Shutter, Glossy finish laminate and soft close hinges  </v>
      </c>
      <c r="C153" s="458">
        <v>7.0</v>
      </c>
      <c r="D153" s="458">
        <v>2.5</v>
      </c>
      <c r="E153" s="469">
        <f t="shared" ref="E153:E159" si="53">C153*D153</f>
        <v>17.5</v>
      </c>
      <c r="F153" s="470" t="s">
        <v>683</v>
      </c>
      <c r="G153" s="458">
        <v>2100.0</v>
      </c>
      <c r="H153" s="458">
        <v>750.0</v>
      </c>
      <c r="I153" s="471" t="s">
        <v>684</v>
      </c>
      <c r="J153" s="472">
        <f>Premium!L37</f>
        <v>1765</v>
      </c>
      <c r="K153" s="466">
        <v>1.0</v>
      </c>
      <c r="L153" s="467">
        <f t="shared" ref="L153:L159" si="54">K153*J153*E153</f>
        <v>30887.5</v>
      </c>
      <c r="M153" s="452"/>
      <c r="N153" s="368"/>
      <c r="O153" s="368"/>
      <c r="P153" s="368"/>
      <c r="Q153" s="369"/>
      <c r="R153" s="369"/>
      <c r="S153" s="452"/>
      <c r="T153" s="452"/>
      <c r="U153" s="452"/>
      <c r="V153" s="369"/>
      <c r="W153" s="369"/>
      <c r="X153" s="369"/>
      <c r="Y153" s="369"/>
      <c r="Z153" s="369"/>
      <c r="AA153" s="369"/>
      <c r="AB153" s="369"/>
      <c r="AC153" s="369"/>
      <c r="AD153" s="369"/>
      <c r="AE153" s="369"/>
      <c r="AF153" s="369"/>
      <c r="AG153" s="369"/>
      <c r="AH153" s="369"/>
      <c r="AI153" s="369"/>
      <c r="AJ153" s="369"/>
      <c r="AK153" s="369"/>
      <c r="AL153" s="369"/>
      <c r="AM153" s="369"/>
      <c r="AN153" s="369"/>
      <c r="AO153" s="369"/>
    </row>
    <row r="154" ht="13.5" customHeight="1">
      <c r="A154" s="458"/>
      <c r="B154" s="461" t="str">
        <f>Premium!I40</f>
        <v>Supply and installation of Wardrobe  with BWP Carcass, HDHMR Boilo Shutter, Glossy finish laminate and soft close hinges  </v>
      </c>
      <c r="C154" s="458">
        <v>7.0</v>
      </c>
      <c r="D154" s="458">
        <v>7.0</v>
      </c>
      <c r="E154" s="469">
        <f t="shared" si="53"/>
        <v>49</v>
      </c>
      <c r="F154" s="470" t="s">
        <v>683</v>
      </c>
      <c r="G154" s="458">
        <v>2100.0</v>
      </c>
      <c r="H154" s="458">
        <v>2100.0</v>
      </c>
      <c r="I154" s="471" t="s">
        <v>684</v>
      </c>
      <c r="J154" s="472">
        <f>Premium!L37</f>
        <v>1765</v>
      </c>
      <c r="K154" s="466">
        <v>1.0</v>
      </c>
      <c r="L154" s="467">
        <f t="shared" si="54"/>
        <v>86485</v>
      </c>
      <c r="M154" s="452"/>
      <c r="N154" s="368"/>
      <c r="O154" s="368"/>
      <c r="P154" s="368"/>
      <c r="Q154" s="369"/>
      <c r="R154" s="369"/>
      <c r="S154" s="452"/>
      <c r="T154" s="452"/>
      <c r="U154" s="452"/>
      <c r="V154" s="369"/>
      <c r="W154" s="369"/>
      <c r="X154" s="369"/>
      <c r="Y154" s="369"/>
      <c r="Z154" s="369"/>
      <c r="AA154" s="369"/>
      <c r="AB154" s="369"/>
      <c r="AC154" s="369"/>
      <c r="AD154" s="369"/>
      <c r="AE154" s="369"/>
      <c r="AF154" s="369"/>
      <c r="AG154" s="369"/>
      <c r="AH154" s="369"/>
      <c r="AI154" s="369"/>
      <c r="AJ154" s="369"/>
      <c r="AK154" s="369"/>
      <c r="AL154" s="369"/>
      <c r="AM154" s="369"/>
      <c r="AN154" s="369"/>
      <c r="AO154" s="369"/>
    </row>
    <row r="155" ht="13.5" customHeight="1">
      <c r="A155" s="458"/>
      <c r="B155" s="461" t="str">
        <f>Premium!I39</f>
        <v>Supply and installation of Tall storage unit  with BWP Carcass, HDHMR Boilo Shutter, Glossy finish laminate and soft close hinges  </v>
      </c>
      <c r="C155" s="458">
        <v>1.5</v>
      </c>
      <c r="D155" s="458">
        <v>7.0</v>
      </c>
      <c r="E155" s="469">
        <f t="shared" si="53"/>
        <v>10.5</v>
      </c>
      <c r="F155" s="470" t="s">
        <v>683</v>
      </c>
      <c r="G155" s="458">
        <v>450.0</v>
      </c>
      <c r="H155" s="458">
        <v>2100.0</v>
      </c>
      <c r="I155" s="471" t="s">
        <v>684</v>
      </c>
      <c r="J155" s="472">
        <f>Premium!L37</f>
        <v>1765</v>
      </c>
      <c r="K155" s="466">
        <v>1.0</v>
      </c>
      <c r="L155" s="467">
        <f t="shared" si="54"/>
        <v>18532.5</v>
      </c>
      <c r="M155" s="452"/>
      <c r="N155" s="368"/>
      <c r="O155" s="368"/>
      <c r="P155" s="368"/>
      <c r="Q155" s="369"/>
      <c r="R155" s="369"/>
      <c r="S155" s="452"/>
      <c r="T155" s="452"/>
      <c r="U155" s="452"/>
      <c r="V155" s="369"/>
      <c r="W155" s="369"/>
      <c r="X155" s="369"/>
      <c r="Y155" s="369"/>
      <c r="Z155" s="369"/>
      <c r="AA155" s="369"/>
      <c r="AB155" s="369"/>
      <c r="AC155" s="369"/>
      <c r="AD155" s="369"/>
      <c r="AE155" s="369"/>
      <c r="AF155" s="369"/>
      <c r="AG155" s="369"/>
      <c r="AH155" s="369"/>
      <c r="AI155" s="369"/>
      <c r="AJ155" s="369"/>
      <c r="AK155" s="369"/>
      <c r="AL155" s="369"/>
      <c r="AM155" s="369"/>
      <c r="AN155" s="369"/>
      <c r="AO155" s="369"/>
    </row>
    <row r="156" ht="13.5" customHeight="1">
      <c r="A156" s="458"/>
      <c r="B156" s="461" t="str">
        <f>Premium!I37</f>
        <v>Supply and installation of Base storage unit  with BWP Carcass, HDHMR Boilo Shutter, Glossy finish laminate and soft close hinges  </v>
      </c>
      <c r="C156" s="458">
        <v>2.5</v>
      </c>
      <c r="D156" s="458">
        <v>1.0</v>
      </c>
      <c r="E156" s="469">
        <f t="shared" si="53"/>
        <v>2.5</v>
      </c>
      <c r="F156" s="470" t="s">
        <v>683</v>
      </c>
      <c r="G156" s="458">
        <v>750.0</v>
      </c>
      <c r="H156" s="458">
        <v>300.0</v>
      </c>
      <c r="I156" s="471" t="s">
        <v>684</v>
      </c>
      <c r="J156" s="472">
        <f>Premium!L37</f>
        <v>1765</v>
      </c>
      <c r="K156" s="466">
        <v>1.0</v>
      </c>
      <c r="L156" s="467">
        <f t="shared" si="54"/>
        <v>4412.5</v>
      </c>
      <c r="M156" s="452"/>
      <c r="N156" s="368"/>
      <c r="O156" s="368"/>
      <c r="P156" s="368"/>
      <c r="Q156" s="369"/>
      <c r="R156" s="369"/>
      <c r="S156" s="452"/>
      <c r="T156" s="452"/>
      <c r="U156" s="452"/>
      <c r="V156" s="369"/>
      <c r="W156" s="369"/>
      <c r="X156" s="369"/>
      <c r="Y156" s="369"/>
      <c r="Z156" s="369"/>
      <c r="AA156" s="369"/>
      <c r="AB156" s="369"/>
      <c r="AC156" s="369"/>
      <c r="AD156" s="369"/>
      <c r="AE156" s="369"/>
      <c r="AF156" s="369"/>
      <c r="AG156" s="369"/>
      <c r="AH156" s="369"/>
      <c r="AI156" s="369"/>
      <c r="AJ156" s="369"/>
      <c r="AK156" s="369"/>
      <c r="AL156" s="369"/>
      <c r="AM156" s="369"/>
      <c r="AN156" s="369"/>
      <c r="AO156" s="369"/>
    </row>
    <row r="157" ht="13.5" customHeight="1">
      <c r="A157" s="458"/>
      <c r="B157" s="461" t="str">
        <f>Premium!I73</f>
        <v>Supply and installation of Wall Panel with BWP Ply Frame, Glossy Finish laminate </v>
      </c>
      <c r="C157" s="458">
        <v>2.5</v>
      </c>
      <c r="D157" s="458">
        <v>7.0</v>
      </c>
      <c r="E157" s="469">
        <f t="shared" si="53"/>
        <v>17.5</v>
      </c>
      <c r="F157" s="470" t="s">
        <v>683</v>
      </c>
      <c r="G157" s="458">
        <v>750.0</v>
      </c>
      <c r="H157" s="458">
        <v>2100.0</v>
      </c>
      <c r="I157" s="471" t="s">
        <v>684</v>
      </c>
      <c r="J157" s="472">
        <f>Premium!L73</f>
        <v>1100</v>
      </c>
      <c r="K157" s="466">
        <v>1.0</v>
      </c>
      <c r="L157" s="467">
        <f t="shared" si="54"/>
        <v>19250</v>
      </c>
      <c r="M157" s="452"/>
      <c r="N157" s="368"/>
      <c r="O157" s="368"/>
      <c r="P157" s="368"/>
      <c r="Q157" s="369"/>
      <c r="R157" s="369"/>
      <c r="S157" s="452"/>
      <c r="T157" s="452"/>
      <c r="U157" s="452"/>
      <c r="V157" s="369"/>
      <c r="W157" s="369"/>
      <c r="X157" s="369"/>
      <c r="Y157" s="369"/>
      <c r="Z157" s="369"/>
      <c r="AA157" s="369"/>
      <c r="AB157" s="369"/>
      <c r="AC157" s="369"/>
      <c r="AD157" s="369"/>
      <c r="AE157" s="369"/>
      <c r="AF157" s="369"/>
      <c r="AG157" s="369"/>
      <c r="AH157" s="369"/>
      <c r="AI157" s="369"/>
      <c r="AJ157" s="369"/>
      <c r="AK157" s="369"/>
      <c r="AL157" s="369"/>
      <c r="AM157" s="369"/>
      <c r="AN157" s="369"/>
      <c r="AO157" s="369"/>
    </row>
    <row r="158" ht="13.5" customHeight="1">
      <c r="A158" s="458"/>
      <c r="B158" s="461" t="str">
        <f>Premium!I22</f>
        <v>Supply and installation of Open unit - Inner 1mm with BWP ply frame and Smooth finish laminate</v>
      </c>
      <c r="C158" s="458">
        <v>3.0</v>
      </c>
      <c r="D158" s="458">
        <v>6.0</v>
      </c>
      <c r="E158" s="469">
        <f t="shared" si="53"/>
        <v>18</v>
      </c>
      <c r="F158" s="470" t="s">
        <v>683</v>
      </c>
      <c r="G158" s="458">
        <v>900.0</v>
      </c>
      <c r="H158" s="458">
        <v>1800.0</v>
      </c>
      <c r="I158" s="471" t="s">
        <v>684</v>
      </c>
      <c r="J158" s="472">
        <f>Premium!L22</f>
        <v>1715</v>
      </c>
      <c r="K158" s="466">
        <v>1.0</v>
      </c>
      <c r="L158" s="467">
        <f t="shared" si="54"/>
        <v>30870</v>
      </c>
      <c r="M158" s="452"/>
      <c r="N158" s="368"/>
      <c r="O158" s="368"/>
      <c r="P158" s="368"/>
      <c r="Q158" s="369"/>
      <c r="R158" s="369"/>
      <c r="S158" s="452"/>
      <c r="T158" s="452"/>
      <c r="U158" s="452"/>
      <c r="V158" s="369"/>
      <c r="W158" s="369"/>
      <c r="X158" s="369"/>
      <c r="Y158" s="369"/>
      <c r="Z158" s="369"/>
      <c r="AA158" s="369"/>
      <c r="AB158" s="369"/>
      <c r="AC158" s="369"/>
      <c r="AD158" s="369"/>
      <c r="AE158" s="369"/>
      <c r="AF158" s="369"/>
      <c r="AG158" s="369"/>
      <c r="AH158" s="369"/>
      <c r="AI158" s="369"/>
      <c r="AJ158" s="369"/>
      <c r="AK158" s="369"/>
      <c r="AL158" s="369"/>
      <c r="AM158" s="369"/>
      <c r="AN158" s="369"/>
      <c r="AO158" s="369"/>
    </row>
    <row r="159" ht="13.5" customHeight="1">
      <c r="A159" s="458"/>
      <c r="B159" s="461" t="str">
        <f>Premium!I24</f>
        <v>Supply and installation of Ledge with 25mm Ledge BWP and Smooth Finish Laminate</v>
      </c>
      <c r="C159" s="458">
        <v>45.0</v>
      </c>
      <c r="D159" s="458">
        <v>1.0</v>
      </c>
      <c r="E159" s="469">
        <f t="shared" si="53"/>
        <v>45</v>
      </c>
      <c r="F159" s="470" t="s">
        <v>683</v>
      </c>
      <c r="G159" s="458">
        <v>13500.0</v>
      </c>
      <c r="H159" s="458">
        <v>300.0</v>
      </c>
      <c r="I159" s="471" t="s">
        <v>684</v>
      </c>
      <c r="J159" s="472">
        <f>Premium!L24</f>
        <v>875</v>
      </c>
      <c r="K159" s="466">
        <v>1.0</v>
      </c>
      <c r="L159" s="467">
        <f t="shared" si="54"/>
        <v>39375</v>
      </c>
      <c r="M159" s="452"/>
      <c r="N159" s="368"/>
      <c r="O159" s="368"/>
      <c r="P159" s="368"/>
      <c r="Q159" s="369"/>
      <c r="R159" s="369"/>
      <c r="S159" s="452"/>
      <c r="T159" s="452"/>
      <c r="U159" s="452"/>
      <c r="V159" s="369"/>
      <c r="W159" s="369"/>
      <c r="X159" s="369"/>
      <c r="Y159" s="369"/>
      <c r="Z159" s="369"/>
      <c r="AA159" s="369"/>
      <c r="AB159" s="369"/>
      <c r="AC159" s="369"/>
      <c r="AD159" s="369"/>
      <c r="AE159" s="369"/>
      <c r="AF159" s="369"/>
      <c r="AG159" s="369"/>
      <c r="AH159" s="369"/>
      <c r="AI159" s="369"/>
      <c r="AJ159" s="369"/>
      <c r="AK159" s="369"/>
      <c r="AL159" s="369"/>
      <c r="AM159" s="369"/>
      <c r="AN159" s="369"/>
      <c r="AO159" s="369"/>
    </row>
    <row r="160" ht="13.5" customHeight="1">
      <c r="A160" s="454"/>
      <c r="B160" s="494" t="s">
        <v>932</v>
      </c>
      <c r="C160" s="454"/>
      <c r="D160" s="454"/>
      <c r="E160" s="454"/>
      <c r="F160" s="454"/>
      <c r="G160" s="454"/>
      <c r="H160" s="454"/>
      <c r="I160" s="454"/>
      <c r="J160" s="454"/>
      <c r="K160" s="454"/>
      <c r="L160" s="454"/>
      <c r="M160" s="452"/>
      <c r="N160" s="368"/>
      <c r="O160" s="368"/>
      <c r="P160" s="368"/>
      <c r="Q160" s="369"/>
      <c r="R160" s="369"/>
      <c r="S160" s="452"/>
      <c r="T160" s="452"/>
      <c r="U160" s="452"/>
      <c r="V160" s="369"/>
      <c r="W160" s="369"/>
      <c r="X160" s="369"/>
      <c r="Y160" s="369"/>
      <c r="Z160" s="369"/>
      <c r="AA160" s="369"/>
      <c r="AB160" s="369"/>
      <c r="AC160" s="369"/>
      <c r="AD160" s="369"/>
      <c r="AE160" s="369"/>
      <c r="AF160" s="369"/>
      <c r="AG160" s="369"/>
      <c r="AH160" s="369"/>
      <c r="AI160" s="369"/>
      <c r="AJ160" s="369"/>
      <c r="AK160" s="369"/>
      <c r="AL160" s="369"/>
      <c r="AM160" s="369"/>
      <c r="AN160" s="369"/>
      <c r="AO160" s="369"/>
    </row>
    <row r="161" ht="13.5" customHeight="1">
      <c r="A161" s="458"/>
      <c r="B161" s="495" t="s">
        <v>933</v>
      </c>
      <c r="C161" s="460"/>
      <c r="D161" s="460"/>
      <c r="E161" s="460"/>
      <c r="F161" s="460"/>
      <c r="G161" s="460"/>
      <c r="H161" s="460"/>
      <c r="I161" s="460"/>
      <c r="J161" s="460"/>
      <c r="K161" s="460"/>
      <c r="L161" s="460"/>
      <c r="M161" s="452"/>
      <c r="N161" s="368"/>
      <c r="O161" s="368"/>
      <c r="P161" s="368"/>
      <c r="Q161" s="369"/>
      <c r="R161" s="369"/>
      <c r="S161" s="452"/>
      <c r="T161" s="452"/>
      <c r="U161" s="452"/>
      <c r="V161" s="369"/>
      <c r="W161" s="369"/>
      <c r="X161" s="369"/>
      <c r="Y161" s="369"/>
      <c r="Z161" s="369"/>
      <c r="AA161" s="369"/>
      <c r="AB161" s="369"/>
      <c r="AC161" s="369"/>
      <c r="AD161" s="369"/>
      <c r="AE161" s="369"/>
      <c r="AF161" s="369"/>
      <c r="AG161" s="369"/>
      <c r="AH161" s="369"/>
      <c r="AI161" s="369"/>
      <c r="AJ161" s="369"/>
      <c r="AK161" s="369"/>
      <c r="AL161" s="369"/>
      <c r="AM161" s="369"/>
      <c r="AN161" s="369"/>
      <c r="AO161" s="369"/>
    </row>
    <row r="162" ht="13.5" customHeight="1">
      <c r="A162" s="458"/>
      <c r="B162" s="461" t="str">
        <f>Premium!I37</f>
        <v>Supply and installation of Base storage unit  with BWP Carcass, HDHMR Boilo Shutter, Glossy finish laminate and soft close hinges  </v>
      </c>
      <c r="C162" s="458">
        <v>10.0</v>
      </c>
      <c r="D162" s="458">
        <v>2.0</v>
      </c>
      <c r="E162" s="469">
        <f>C162*D162</f>
        <v>20</v>
      </c>
      <c r="F162" s="470" t="s">
        <v>683</v>
      </c>
      <c r="G162" s="458">
        <v>3000.0</v>
      </c>
      <c r="H162" s="458">
        <v>600.0</v>
      </c>
      <c r="I162" s="471" t="s">
        <v>684</v>
      </c>
      <c r="J162" s="472">
        <f>Premium!L37</f>
        <v>1765</v>
      </c>
      <c r="K162" s="466">
        <v>1.0</v>
      </c>
      <c r="L162" s="467">
        <f>K162*J162*E162</f>
        <v>35300</v>
      </c>
      <c r="M162" s="452"/>
      <c r="N162" s="368"/>
      <c r="O162" s="368"/>
      <c r="P162" s="368"/>
      <c r="Q162" s="369"/>
      <c r="R162" s="369"/>
      <c r="S162" s="452"/>
      <c r="T162" s="452"/>
      <c r="U162" s="452"/>
      <c r="V162" s="369"/>
      <c r="W162" s="369"/>
      <c r="X162" s="369"/>
      <c r="Y162" s="369"/>
      <c r="Z162" s="369"/>
      <c r="AA162" s="369"/>
      <c r="AB162" s="369"/>
      <c r="AC162" s="369"/>
      <c r="AD162" s="369"/>
      <c r="AE162" s="369"/>
      <c r="AF162" s="369"/>
      <c r="AG162" s="369"/>
      <c r="AH162" s="369"/>
      <c r="AI162" s="369"/>
      <c r="AJ162" s="369"/>
      <c r="AK162" s="369"/>
      <c r="AL162" s="369"/>
      <c r="AM162" s="369"/>
      <c r="AN162" s="369"/>
      <c r="AO162" s="369"/>
    </row>
    <row r="163" ht="13.5" customHeight="1">
      <c r="A163" s="458"/>
      <c r="B163" s="473" t="s">
        <v>917</v>
      </c>
      <c r="C163" s="460"/>
      <c r="D163" s="460"/>
      <c r="E163" s="460"/>
      <c r="F163" s="460"/>
      <c r="G163" s="460"/>
      <c r="H163" s="460"/>
      <c r="I163" s="460"/>
      <c r="J163" s="460"/>
      <c r="K163" s="460"/>
      <c r="L163" s="460"/>
      <c r="M163" s="452"/>
      <c r="N163" s="368"/>
      <c r="O163" s="368"/>
      <c r="P163" s="368"/>
      <c r="Q163" s="369"/>
      <c r="R163" s="369"/>
      <c r="S163" s="452"/>
      <c r="T163" s="452"/>
      <c r="U163" s="452"/>
      <c r="V163" s="369"/>
      <c r="W163" s="369"/>
      <c r="X163" s="369"/>
      <c r="Y163" s="369"/>
      <c r="Z163" s="369"/>
      <c r="AA163" s="369"/>
      <c r="AB163" s="369"/>
      <c r="AC163" s="369"/>
      <c r="AD163" s="369"/>
      <c r="AE163" s="369"/>
      <c r="AF163" s="369"/>
      <c r="AG163" s="369"/>
      <c r="AH163" s="369"/>
      <c r="AI163" s="369"/>
      <c r="AJ163" s="369"/>
      <c r="AK163" s="369"/>
      <c r="AL163" s="369"/>
      <c r="AM163" s="369"/>
      <c r="AN163" s="369"/>
      <c r="AO163" s="369"/>
    </row>
    <row r="164" ht="13.5" customHeight="1">
      <c r="A164" s="458"/>
      <c r="B164" s="461" t="str">
        <f>Premium!I37</f>
        <v>Supply and installation of Base storage unit  with BWP Carcass, HDHMR Boilo Shutter, Glossy finish laminate and soft close hinges  </v>
      </c>
      <c r="C164" s="458">
        <v>15.0</v>
      </c>
      <c r="D164" s="458">
        <v>2.75</v>
      </c>
      <c r="E164" s="469">
        <f t="shared" ref="E164:E165" si="55">C164*D164</f>
        <v>41.25</v>
      </c>
      <c r="F164" s="470" t="s">
        <v>683</v>
      </c>
      <c r="G164" s="458">
        <v>4500.0</v>
      </c>
      <c r="H164" s="458">
        <v>825.0</v>
      </c>
      <c r="I164" s="471" t="s">
        <v>684</v>
      </c>
      <c r="J164" s="472">
        <f>Premium!L37</f>
        <v>1765</v>
      </c>
      <c r="K164" s="466">
        <v>1.0</v>
      </c>
      <c r="L164" s="467">
        <f t="shared" ref="L164:L165" si="56">K164*J164*E164</f>
        <v>72806.25</v>
      </c>
      <c r="M164" s="452"/>
      <c r="N164" s="368"/>
      <c r="O164" s="368"/>
      <c r="P164" s="368"/>
      <c r="Q164" s="369"/>
      <c r="R164" s="369"/>
      <c r="S164" s="452"/>
      <c r="T164" s="452"/>
      <c r="U164" s="452"/>
      <c r="V164" s="369"/>
      <c r="W164" s="369"/>
      <c r="X164" s="369"/>
      <c r="Y164" s="369"/>
      <c r="Z164" s="369"/>
      <c r="AA164" s="369"/>
      <c r="AB164" s="369"/>
      <c r="AC164" s="369"/>
      <c r="AD164" s="369"/>
      <c r="AE164" s="369"/>
      <c r="AF164" s="369"/>
      <c r="AG164" s="369"/>
      <c r="AH164" s="369"/>
      <c r="AI164" s="369"/>
      <c r="AJ164" s="369"/>
      <c r="AK164" s="369"/>
      <c r="AL164" s="369"/>
      <c r="AM164" s="369"/>
      <c r="AN164" s="369"/>
      <c r="AO164" s="369"/>
    </row>
    <row r="165" ht="13.5" customHeight="1">
      <c r="A165" s="458"/>
      <c r="B165" s="461" t="str">
        <f>Premium!I38</f>
        <v>Supply and installation of Wall storage unit  with BWP Carcass, HDHMR Boilo Shutter, Glossy finish laminate and soft close hinges  </v>
      </c>
      <c r="C165" s="458">
        <v>5.0</v>
      </c>
      <c r="D165" s="458">
        <v>2.0</v>
      </c>
      <c r="E165" s="469">
        <f t="shared" si="55"/>
        <v>10</v>
      </c>
      <c r="F165" s="470" t="s">
        <v>683</v>
      </c>
      <c r="G165" s="458">
        <v>1500.0</v>
      </c>
      <c r="H165" s="458">
        <v>600.0</v>
      </c>
      <c r="I165" s="471" t="s">
        <v>684</v>
      </c>
      <c r="J165" s="472">
        <f>Premium!L37</f>
        <v>1765</v>
      </c>
      <c r="K165" s="466">
        <v>1.0</v>
      </c>
      <c r="L165" s="467">
        <f t="shared" si="56"/>
        <v>17650</v>
      </c>
      <c r="M165" s="452"/>
      <c r="N165" s="368"/>
      <c r="O165" s="368"/>
      <c r="P165" s="368"/>
      <c r="Q165" s="497">
        <v>4965214.0</v>
      </c>
      <c r="R165" s="369"/>
      <c r="S165" s="452"/>
      <c r="T165" s="452"/>
      <c r="U165" s="452"/>
      <c r="V165" s="369"/>
      <c r="W165" s="369"/>
      <c r="X165" s="369"/>
      <c r="Y165" s="369"/>
      <c r="Z165" s="369"/>
      <c r="AA165" s="369"/>
      <c r="AB165" s="369"/>
      <c r="AC165" s="369"/>
      <c r="AD165" s="369"/>
      <c r="AE165" s="369"/>
      <c r="AF165" s="369"/>
      <c r="AG165" s="369"/>
      <c r="AH165" s="369"/>
      <c r="AI165" s="369"/>
      <c r="AJ165" s="369"/>
      <c r="AK165" s="369"/>
      <c r="AL165" s="369"/>
      <c r="AM165" s="369"/>
      <c r="AN165" s="369"/>
      <c r="AO165" s="369"/>
    </row>
    <row r="166" ht="13.5" customHeight="1">
      <c r="A166" s="458"/>
      <c r="B166" s="498" t="s">
        <v>934</v>
      </c>
      <c r="C166" s="460"/>
      <c r="D166" s="460"/>
      <c r="E166" s="460"/>
      <c r="F166" s="460"/>
      <c r="G166" s="460"/>
      <c r="H166" s="460"/>
      <c r="I166" s="460"/>
      <c r="J166" s="460"/>
      <c r="K166" s="460"/>
      <c r="L166" s="460"/>
      <c r="M166" s="452"/>
      <c r="N166" s="368"/>
      <c r="O166" s="368"/>
      <c r="P166" s="368"/>
      <c r="Q166" s="499">
        <f>Q165-L169</f>
        <v>1252904.625</v>
      </c>
      <c r="R166" s="369"/>
      <c r="S166" s="452"/>
      <c r="T166" s="452"/>
      <c r="U166" s="452"/>
      <c r="V166" s="369"/>
      <c r="W166" s="369"/>
      <c r="X166" s="369"/>
      <c r="Y166" s="369"/>
      <c r="Z166" s="369"/>
      <c r="AA166" s="369"/>
      <c r="AB166" s="369"/>
      <c r="AC166" s="369"/>
      <c r="AD166" s="369"/>
      <c r="AE166" s="369"/>
      <c r="AF166" s="369"/>
      <c r="AG166" s="369"/>
      <c r="AH166" s="369"/>
      <c r="AI166" s="369"/>
      <c r="AJ166" s="369"/>
      <c r="AK166" s="369"/>
      <c r="AL166" s="369"/>
      <c r="AM166" s="369"/>
      <c r="AN166" s="369"/>
      <c r="AO166" s="369"/>
    </row>
    <row r="167" ht="13.5" customHeight="1">
      <c r="A167" s="458"/>
      <c r="B167" s="461" t="str">
        <f>Premium!I37</f>
        <v>Supply and installation of Base storage unit  with BWP Carcass, HDHMR Boilo Shutter, Glossy finish laminate and soft close hinges  </v>
      </c>
      <c r="C167" s="458">
        <v>8.0</v>
      </c>
      <c r="D167" s="458">
        <v>2.0</v>
      </c>
      <c r="E167" s="469">
        <f>C167*D167</f>
        <v>16</v>
      </c>
      <c r="F167" s="470" t="s">
        <v>683</v>
      </c>
      <c r="G167" s="458">
        <v>2400.0</v>
      </c>
      <c r="H167" s="458">
        <v>600.0</v>
      </c>
      <c r="I167" s="471" t="s">
        <v>684</v>
      </c>
      <c r="J167" s="472">
        <f>Premium!L37</f>
        <v>1765</v>
      </c>
      <c r="K167" s="466">
        <v>1.0</v>
      </c>
      <c r="L167" s="467">
        <f>K167*J167*E167</f>
        <v>28240</v>
      </c>
      <c r="M167" s="452"/>
      <c r="N167" s="368"/>
      <c r="O167" s="368"/>
      <c r="P167" s="492">
        <f>'GQ3'!L169-L169</f>
        <v>928077.3438</v>
      </c>
      <c r="Q167" s="500">
        <f>Q166/Q165</f>
        <v>0.2523364804</v>
      </c>
      <c r="R167" s="369"/>
      <c r="S167" s="452"/>
      <c r="T167" s="452"/>
      <c r="U167" s="452"/>
      <c r="V167" s="369"/>
      <c r="W167" s="369"/>
      <c r="X167" s="369"/>
      <c r="Y167" s="369"/>
      <c r="Z167" s="369"/>
      <c r="AA167" s="369"/>
      <c r="AB167" s="369"/>
      <c r="AC167" s="369"/>
      <c r="AD167" s="369"/>
      <c r="AE167" s="369"/>
      <c r="AF167" s="369"/>
      <c r="AG167" s="369"/>
      <c r="AH167" s="369"/>
      <c r="AI167" s="369"/>
      <c r="AJ167" s="369"/>
      <c r="AK167" s="369"/>
      <c r="AL167" s="369"/>
      <c r="AM167" s="369"/>
      <c r="AN167" s="369"/>
      <c r="AO167" s="369"/>
    </row>
    <row r="168" ht="13.5" customHeight="1">
      <c r="A168" s="482"/>
      <c r="B168" s="501" t="s">
        <v>938</v>
      </c>
      <c r="C168" s="484"/>
      <c r="D168" s="484"/>
      <c r="E168" s="485"/>
      <c r="F168" s="486"/>
      <c r="G168" s="484"/>
      <c r="H168" s="484"/>
      <c r="I168" s="484"/>
      <c r="J168" s="487"/>
      <c r="K168" s="487"/>
      <c r="L168" s="488">
        <v>10000.0</v>
      </c>
      <c r="M168" s="368"/>
      <c r="N168" s="368"/>
      <c r="O168" s="368"/>
      <c r="P168" s="368"/>
      <c r="Q168" s="369"/>
      <c r="R168" s="369"/>
      <c r="S168" s="368" t="s">
        <v>680</v>
      </c>
      <c r="T168" s="368"/>
      <c r="U168" s="368"/>
      <c r="V168" s="369"/>
      <c r="W168" s="369"/>
      <c r="X168" s="369"/>
      <c r="Y168" s="369"/>
      <c r="Z168" s="369"/>
      <c r="AA168" s="369"/>
      <c r="AB168" s="369"/>
      <c r="AC168" s="369"/>
      <c r="AD168" s="369"/>
      <c r="AE168" s="369"/>
      <c r="AF168" s="369"/>
      <c r="AG168" s="369"/>
      <c r="AH168" s="369"/>
      <c r="AI168" s="369"/>
      <c r="AJ168" s="369"/>
      <c r="AK168" s="369"/>
      <c r="AL168" s="369"/>
      <c r="AM168" s="369"/>
      <c r="AN168" s="369"/>
      <c r="AO168" s="369"/>
    </row>
    <row r="169" ht="13.5" customHeight="1">
      <c r="A169" s="489"/>
      <c r="B169" s="502" t="s">
        <v>939</v>
      </c>
      <c r="C169" s="94"/>
      <c r="D169" s="94"/>
      <c r="E169" s="94"/>
      <c r="F169" s="94"/>
      <c r="G169" s="94"/>
      <c r="H169" s="94"/>
      <c r="I169" s="94"/>
      <c r="J169" s="94"/>
      <c r="K169" s="95"/>
      <c r="L169" s="491">
        <f>SUM(L4:L167)</f>
        <v>3712309.375</v>
      </c>
      <c r="M169" s="368"/>
      <c r="N169" s="368"/>
      <c r="O169" s="503">
        <f>'GQ3'!L169/L169</f>
        <v>1.25</v>
      </c>
      <c r="P169" s="368"/>
      <c r="Q169" s="500"/>
      <c r="R169" s="369"/>
      <c r="S169" s="368"/>
      <c r="T169" s="368"/>
      <c r="U169" s="368"/>
      <c r="V169" s="369"/>
      <c r="W169" s="369"/>
      <c r="X169" s="369"/>
      <c r="Y169" s="369"/>
      <c r="Z169" s="369"/>
      <c r="AA169" s="369"/>
      <c r="AB169" s="369"/>
      <c r="AC169" s="369"/>
      <c r="AD169" s="369"/>
      <c r="AE169" s="369"/>
      <c r="AF169" s="369"/>
      <c r="AG169" s="369"/>
      <c r="AH169" s="369"/>
      <c r="AI169" s="369"/>
      <c r="AJ169" s="369"/>
      <c r="AK169" s="369"/>
      <c r="AL169" s="369"/>
      <c r="AM169" s="369"/>
      <c r="AN169" s="369"/>
      <c r="AO169" s="369"/>
    </row>
    <row r="170" ht="13.5" customHeight="1">
      <c r="A170" s="489"/>
      <c r="B170" s="489" t="s">
        <v>705</v>
      </c>
      <c r="C170" s="489"/>
      <c r="D170" s="489"/>
      <c r="E170" s="489"/>
      <c r="F170" s="489"/>
      <c r="G170" s="489"/>
      <c r="H170" s="489"/>
      <c r="I170" s="489"/>
      <c r="J170" s="489"/>
      <c r="K170" s="489"/>
      <c r="L170" s="491">
        <f>L169*18%</f>
        <v>668215.6875</v>
      </c>
      <c r="M170" s="368"/>
      <c r="N170" s="368"/>
      <c r="O170" s="503">
        <f>L169/'GQ3'!L169</f>
        <v>0.8</v>
      </c>
      <c r="P170" s="368"/>
      <c r="Q170" s="500"/>
      <c r="R170" s="369"/>
      <c r="S170" s="368"/>
      <c r="T170" s="492"/>
      <c r="U170" s="368"/>
      <c r="V170" s="369"/>
      <c r="W170" s="369"/>
      <c r="X170" s="369"/>
      <c r="Y170" s="369"/>
      <c r="Z170" s="369"/>
      <c r="AA170" s="369"/>
      <c r="AB170" s="369"/>
      <c r="AC170" s="369"/>
      <c r="AD170" s="369"/>
      <c r="AE170" s="369"/>
      <c r="AF170" s="369"/>
      <c r="AG170" s="369"/>
      <c r="AH170" s="369"/>
      <c r="AI170" s="369"/>
      <c r="AJ170" s="369"/>
      <c r="AK170" s="369"/>
      <c r="AL170" s="369"/>
      <c r="AM170" s="369"/>
      <c r="AN170" s="369"/>
      <c r="AO170" s="369"/>
    </row>
    <row r="171" ht="13.5" customHeight="1">
      <c r="A171" s="489"/>
      <c r="B171" s="504" t="s">
        <v>940</v>
      </c>
      <c r="C171" s="489"/>
      <c r="D171" s="489"/>
      <c r="E171" s="489"/>
      <c r="F171" s="489"/>
      <c r="G171" s="489"/>
      <c r="H171" s="489"/>
      <c r="I171" s="489"/>
      <c r="J171" s="489"/>
      <c r="K171" s="489"/>
      <c r="L171" s="491">
        <f>L169+L170</f>
        <v>4380525.063</v>
      </c>
      <c r="M171" s="492"/>
      <c r="N171" s="368"/>
      <c r="O171" s="368"/>
      <c r="P171" s="368"/>
      <c r="Q171" s="369"/>
      <c r="R171" s="369"/>
      <c r="S171" s="492"/>
      <c r="T171" s="368"/>
      <c r="U171" s="492"/>
      <c r="V171" s="369"/>
      <c r="W171" s="369"/>
      <c r="X171" s="369"/>
      <c r="Y171" s="369"/>
      <c r="Z171" s="369"/>
      <c r="AA171" s="369"/>
      <c r="AB171" s="369"/>
      <c r="AC171" s="369"/>
      <c r="AD171" s="369"/>
      <c r="AE171" s="369"/>
      <c r="AF171" s="369"/>
      <c r="AG171" s="369"/>
      <c r="AH171" s="369"/>
      <c r="AI171" s="369"/>
      <c r="AJ171" s="369"/>
      <c r="AK171" s="369"/>
      <c r="AL171" s="369"/>
      <c r="AM171" s="369"/>
      <c r="AN171" s="369"/>
      <c r="AO171" s="369"/>
    </row>
  </sheetData>
  <mergeCells count="4">
    <mergeCell ref="M18:M26"/>
    <mergeCell ref="M37:M42"/>
    <mergeCell ref="M44:M48"/>
    <mergeCell ref="B169:K16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3" width="8.13"/>
    <col customWidth="1" min="4" max="5" width="7.25"/>
    <col customWidth="1" min="6" max="6" width="7.63"/>
    <col customWidth="1" min="7" max="7" width="8.0"/>
    <col customWidth="1" min="8" max="8" width="7.25"/>
    <col customWidth="1" min="9" max="10" width="7.88"/>
    <col customWidth="1" min="11" max="11" width="8.13"/>
    <col customWidth="1" min="12" max="12" width="9.75"/>
    <col customWidth="1" min="13" max="13" width="9.63"/>
    <col customWidth="1" min="14" max="14" width="9.0"/>
    <col customWidth="1" min="15" max="15" width="13.13"/>
    <col customWidth="1" min="16" max="16" width="7.63"/>
    <col customWidth="1" min="17" max="17" width="9.13"/>
    <col customWidth="1" min="18" max="19" width="7.63"/>
    <col customWidth="1" min="20" max="20" width="8.25"/>
    <col customWidth="1" min="21" max="29" width="7.63"/>
    <col customWidth="1" min="30" max="43" width="12.63"/>
  </cols>
  <sheetData>
    <row r="1" ht="13.5" customHeight="1">
      <c r="A1" s="245"/>
      <c r="B1" s="245"/>
      <c r="C1" s="505"/>
      <c r="D1" s="505"/>
      <c r="E1" s="505"/>
      <c r="F1" s="505"/>
      <c r="G1" s="245"/>
      <c r="H1" s="245"/>
      <c r="I1" s="245"/>
      <c r="J1" s="505"/>
      <c r="K1" s="505"/>
      <c r="L1" s="244"/>
      <c r="M1" s="245"/>
      <c r="N1" s="245"/>
      <c r="O1" s="245"/>
      <c r="P1" s="245"/>
      <c r="Q1" s="245"/>
      <c r="R1" s="245"/>
      <c r="S1" s="245"/>
      <c r="T1" s="245"/>
      <c r="U1" s="245"/>
      <c r="V1" s="245"/>
      <c r="W1" s="245"/>
      <c r="X1" s="245"/>
      <c r="Y1" s="245"/>
      <c r="Z1" s="245"/>
      <c r="AA1" s="245"/>
      <c r="AB1" s="245"/>
      <c r="AC1" s="245"/>
    </row>
    <row r="2" ht="13.5" customHeight="1">
      <c r="A2" s="244" t="s">
        <v>819</v>
      </c>
      <c r="M2" s="245"/>
      <c r="N2" s="245"/>
      <c r="O2" s="245"/>
      <c r="P2" s="245"/>
      <c r="Q2" s="245"/>
      <c r="R2" s="245" t="s">
        <v>820</v>
      </c>
      <c r="S2" s="245"/>
      <c r="T2" s="245"/>
      <c r="U2" s="245"/>
      <c r="V2" s="245"/>
      <c r="W2" s="245"/>
      <c r="X2" s="245"/>
      <c r="Y2" s="245"/>
      <c r="Z2" s="245"/>
      <c r="AA2" s="245"/>
      <c r="AB2" s="245"/>
      <c r="AC2" s="245"/>
    </row>
    <row r="3" ht="13.5" customHeight="1">
      <c r="A3" s="246" t="s">
        <v>941</v>
      </c>
      <c r="N3" s="245"/>
      <c r="O3" s="245"/>
      <c r="P3" s="245"/>
      <c r="Q3" s="245"/>
      <c r="R3" s="245"/>
      <c r="S3" s="245"/>
      <c r="T3" s="245"/>
      <c r="U3" s="245"/>
      <c r="V3" s="245"/>
      <c r="W3" s="245"/>
      <c r="X3" s="245"/>
      <c r="Y3" s="245"/>
      <c r="Z3" s="245"/>
      <c r="AA3" s="245"/>
      <c r="AB3" s="245"/>
      <c r="AC3" s="245"/>
    </row>
    <row r="4" ht="13.5" customHeight="1">
      <c r="N4" s="245"/>
      <c r="O4" s="245"/>
      <c r="P4" s="245"/>
      <c r="Q4" s="245"/>
      <c r="R4" s="245"/>
      <c r="S4" s="245"/>
      <c r="T4" s="245"/>
      <c r="U4" s="245"/>
      <c r="V4" s="245"/>
      <c r="W4" s="245"/>
      <c r="X4" s="245"/>
      <c r="Y4" s="245"/>
      <c r="Z4" s="245"/>
      <c r="AA4" s="245"/>
      <c r="AB4" s="245"/>
      <c r="AC4" s="245"/>
    </row>
    <row r="5" ht="13.5" customHeight="1">
      <c r="N5" s="245"/>
      <c r="O5" s="245"/>
      <c r="P5" s="245"/>
      <c r="Q5" s="245"/>
      <c r="R5" s="245"/>
      <c r="S5" s="245"/>
      <c r="T5" s="245"/>
      <c r="U5" s="245"/>
      <c r="V5" s="245"/>
      <c r="W5" s="245"/>
      <c r="X5" s="245"/>
      <c r="Y5" s="245"/>
      <c r="Z5" s="245"/>
      <c r="AA5" s="245"/>
      <c r="AB5" s="245"/>
      <c r="AC5" s="245"/>
    </row>
    <row r="6" ht="13.5" customHeight="1">
      <c r="N6" s="245"/>
      <c r="O6" s="245"/>
      <c r="P6" s="245"/>
      <c r="Q6" s="245"/>
      <c r="R6" s="245"/>
      <c r="S6" s="245"/>
      <c r="T6" s="245"/>
      <c r="U6" s="245"/>
      <c r="V6" s="245"/>
      <c r="W6" s="245"/>
      <c r="X6" s="245"/>
      <c r="Y6" s="245"/>
      <c r="Z6" s="245"/>
      <c r="AA6" s="245"/>
      <c r="AB6" s="245"/>
      <c r="AC6" s="245"/>
    </row>
    <row r="7" ht="13.5" customHeight="1">
      <c r="N7" s="245"/>
      <c r="O7" s="245"/>
      <c r="P7" s="245"/>
      <c r="Q7" s="245"/>
      <c r="R7" s="245"/>
      <c r="S7" s="245"/>
      <c r="T7" s="245"/>
      <c r="U7" s="245"/>
      <c r="V7" s="245"/>
      <c r="W7" s="245"/>
      <c r="X7" s="245"/>
      <c r="Y7" s="245"/>
      <c r="Z7" s="245"/>
      <c r="AA7" s="245"/>
      <c r="AB7" s="245"/>
      <c r="AC7" s="245"/>
    </row>
    <row r="8" ht="13.5" customHeight="1">
      <c r="N8" s="245"/>
      <c r="O8" s="245"/>
      <c r="P8" s="245"/>
      <c r="Q8" s="245"/>
      <c r="R8" s="245"/>
      <c r="S8" s="245"/>
      <c r="T8" s="245"/>
      <c r="U8" s="245"/>
      <c r="V8" s="245"/>
      <c r="W8" s="245"/>
      <c r="X8" s="245"/>
      <c r="Y8" s="245"/>
      <c r="Z8" s="245"/>
      <c r="AA8" s="245"/>
      <c r="AB8" s="245"/>
      <c r="AC8" s="245"/>
    </row>
    <row r="9" ht="13.5" customHeight="1">
      <c r="A9" s="247" t="s">
        <v>822</v>
      </c>
      <c r="M9" s="248"/>
      <c r="N9" s="245"/>
      <c r="O9" s="245"/>
      <c r="P9" s="245"/>
      <c r="Q9" s="245"/>
      <c r="R9" s="245"/>
      <c r="S9" s="245"/>
      <c r="T9" s="245"/>
      <c r="U9" s="245"/>
      <c r="V9" s="245"/>
      <c r="W9" s="245"/>
      <c r="X9" s="245"/>
      <c r="Y9" s="245"/>
      <c r="Z9" s="245"/>
      <c r="AA9" s="245"/>
      <c r="AB9" s="245"/>
      <c r="AC9" s="245"/>
    </row>
    <row r="10" ht="13.5" customHeight="1">
      <c r="M10" s="248"/>
      <c r="N10" s="245"/>
      <c r="O10" s="245"/>
      <c r="P10" s="245"/>
      <c r="Q10" s="245"/>
      <c r="R10" s="245"/>
      <c r="S10" s="245"/>
      <c r="T10" s="245"/>
      <c r="U10" s="245"/>
      <c r="V10" s="245"/>
      <c r="W10" s="245"/>
      <c r="X10" s="245"/>
      <c r="Y10" s="245"/>
      <c r="Z10" s="245"/>
      <c r="AA10" s="245"/>
      <c r="AB10" s="245"/>
      <c r="AC10" s="245"/>
    </row>
    <row r="11" ht="13.5" customHeight="1">
      <c r="M11" s="248"/>
      <c r="N11" s="245"/>
      <c r="O11" s="245"/>
      <c r="P11" s="245"/>
      <c r="Q11" s="245"/>
      <c r="R11" s="245"/>
      <c r="S11" s="245"/>
      <c r="T11" s="245"/>
      <c r="U11" s="245"/>
      <c r="V11" s="245"/>
      <c r="W11" s="245"/>
      <c r="X11" s="245"/>
      <c r="Y11" s="245"/>
      <c r="Z11" s="245"/>
      <c r="AA11" s="245"/>
      <c r="AB11" s="245"/>
      <c r="AC11" s="245"/>
    </row>
    <row r="12" ht="13.5" customHeight="1">
      <c r="M12" s="248"/>
      <c r="N12" s="245"/>
      <c r="O12" s="245"/>
      <c r="P12" s="245"/>
      <c r="Q12" s="245"/>
      <c r="R12" s="245"/>
      <c r="S12" s="245"/>
      <c r="T12" s="245"/>
      <c r="U12" s="245"/>
      <c r="V12" s="245"/>
      <c r="W12" s="245"/>
      <c r="X12" s="245"/>
      <c r="Y12" s="245"/>
      <c r="Z12" s="245"/>
      <c r="AA12" s="245"/>
      <c r="AB12" s="245"/>
      <c r="AC12" s="245"/>
    </row>
    <row r="13" ht="13.5" customHeight="1">
      <c r="M13" s="248"/>
      <c r="N13" s="245"/>
      <c r="O13" s="245"/>
      <c r="P13" s="245"/>
      <c r="Q13" s="245"/>
      <c r="R13" s="245"/>
      <c r="S13" s="245"/>
      <c r="T13" s="245"/>
      <c r="U13" s="245"/>
      <c r="V13" s="245"/>
      <c r="W13" s="245"/>
      <c r="X13" s="245"/>
      <c r="Y13" s="245"/>
      <c r="Z13" s="245"/>
      <c r="AA13" s="245"/>
      <c r="AB13" s="245"/>
      <c r="AC13" s="245"/>
    </row>
    <row r="14" ht="13.5" customHeight="1">
      <c r="M14" s="248"/>
      <c r="N14" s="245"/>
      <c r="O14" s="245"/>
      <c r="P14" s="245"/>
      <c r="Q14" s="245"/>
      <c r="R14" s="245"/>
      <c r="S14" s="245"/>
      <c r="T14" s="245"/>
      <c r="U14" s="245"/>
      <c r="V14" s="245"/>
      <c r="W14" s="245"/>
      <c r="X14" s="245"/>
      <c r="Y14" s="245"/>
      <c r="Z14" s="245"/>
      <c r="AA14" s="245"/>
      <c r="AB14" s="245"/>
      <c r="AC14" s="245"/>
    </row>
    <row r="15" ht="13.5" customHeight="1">
      <c r="M15" s="248"/>
      <c r="N15" s="245"/>
      <c r="O15" s="245"/>
      <c r="P15" s="245"/>
      <c r="Q15" s="245"/>
      <c r="R15" s="245"/>
      <c r="S15" s="245"/>
      <c r="T15" s="245"/>
      <c r="U15" s="245"/>
      <c r="V15" s="245"/>
      <c r="W15" s="245"/>
      <c r="X15" s="245"/>
      <c r="Y15" s="245"/>
      <c r="Z15" s="245"/>
      <c r="AA15" s="245"/>
      <c r="AB15" s="245"/>
      <c r="AC15" s="245"/>
    </row>
    <row r="16" ht="13.5" customHeight="1">
      <c r="M16" s="248"/>
      <c r="N16" s="245"/>
      <c r="O16" s="245"/>
      <c r="P16" s="245"/>
      <c r="Q16" s="245"/>
      <c r="R16" s="245"/>
      <c r="S16" s="245"/>
      <c r="T16" s="245"/>
      <c r="U16" s="245"/>
      <c r="V16" s="245"/>
      <c r="W16" s="245"/>
      <c r="X16" s="245"/>
      <c r="Y16" s="245"/>
      <c r="Z16" s="245"/>
      <c r="AA16" s="245"/>
      <c r="AB16" s="245"/>
      <c r="AC16" s="245"/>
    </row>
    <row r="17" ht="13.5" customHeight="1">
      <c r="M17" s="248"/>
      <c r="N17" s="245"/>
      <c r="O17" s="245"/>
      <c r="P17" s="245"/>
      <c r="Q17" s="245"/>
      <c r="R17" s="245"/>
      <c r="S17" s="245"/>
      <c r="T17" s="245"/>
      <c r="U17" s="245"/>
      <c r="V17" s="245"/>
      <c r="W17" s="245"/>
      <c r="X17" s="245"/>
      <c r="Y17" s="245"/>
      <c r="Z17" s="245"/>
      <c r="AA17" s="245"/>
      <c r="AB17" s="245"/>
      <c r="AC17" s="245"/>
    </row>
    <row r="18" ht="13.5" customHeight="1">
      <c r="M18" s="248"/>
      <c r="N18" s="245"/>
      <c r="O18" s="245"/>
      <c r="P18" s="245"/>
      <c r="Q18" s="245"/>
      <c r="R18" s="245"/>
      <c r="S18" s="245"/>
      <c r="T18" s="245"/>
      <c r="U18" s="245"/>
      <c r="V18" s="245"/>
      <c r="W18" s="245"/>
      <c r="X18" s="245"/>
      <c r="Y18" s="245"/>
      <c r="Z18" s="245"/>
      <c r="AA18" s="245"/>
      <c r="AB18" s="245"/>
      <c r="AC18" s="245"/>
    </row>
    <row r="19" ht="13.5" customHeight="1">
      <c r="M19" s="248"/>
      <c r="N19" s="245"/>
      <c r="O19" s="245"/>
      <c r="P19" s="245"/>
      <c r="Q19" s="245"/>
      <c r="R19" s="245"/>
      <c r="S19" s="245"/>
      <c r="T19" s="245"/>
      <c r="U19" s="245"/>
      <c r="V19" s="245"/>
      <c r="W19" s="245"/>
      <c r="X19" s="245"/>
      <c r="Y19" s="245"/>
      <c r="Z19" s="245"/>
      <c r="AA19" s="245"/>
      <c r="AB19" s="245"/>
      <c r="AC19" s="245"/>
    </row>
    <row r="20" ht="13.5" customHeight="1">
      <c r="M20" s="248"/>
      <c r="N20" s="245"/>
      <c r="O20" s="245"/>
      <c r="P20" s="245"/>
      <c r="Q20" s="245"/>
      <c r="R20" s="245"/>
      <c r="S20" s="245"/>
      <c r="T20" s="245"/>
      <c r="U20" s="245"/>
      <c r="V20" s="245"/>
      <c r="W20" s="245"/>
      <c r="X20" s="245"/>
      <c r="Y20" s="245"/>
      <c r="Z20" s="245"/>
      <c r="AA20" s="245"/>
      <c r="AB20" s="245"/>
      <c r="AC20" s="245"/>
    </row>
    <row r="21" ht="13.5" customHeight="1">
      <c r="M21" s="248"/>
      <c r="N21" s="245"/>
      <c r="O21" s="245"/>
      <c r="P21" s="245"/>
      <c r="Q21" s="245"/>
      <c r="R21" s="245"/>
      <c r="S21" s="245"/>
      <c r="T21" s="245"/>
      <c r="U21" s="245"/>
      <c r="V21" s="245"/>
      <c r="W21" s="245"/>
      <c r="X21" s="245"/>
      <c r="Y21" s="245"/>
      <c r="Z21" s="245"/>
      <c r="AA21" s="245"/>
      <c r="AB21" s="245"/>
      <c r="AC21" s="245"/>
    </row>
    <row r="22" ht="13.5" customHeight="1">
      <c r="M22" s="248"/>
      <c r="N22" s="245"/>
      <c r="O22" s="245"/>
      <c r="P22" s="245"/>
      <c r="Q22" s="245"/>
      <c r="R22" s="245"/>
      <c r="S22" s="245"/>
      <c r="T22" s="245"/>
      <c r="U22" s="245"/>
      <c r="V22" s="245"/>
      <c r="W22" s="245"/>
      <c r="X22" s="245"/>
      <c r="Y22" s="245"/>
      <c r="Z22" s="245"/>
      <c r="AA22" s="245"/>
      <c r="AB22" s="245"/>
      <c r="AC22" s="245"/>
    </row>
    <row r="23" ht="13.5" customHeight="1">
      <c r="M23" s="248"/>
      <c r="N23" s="245"/>
      <c r="O23" s="245"/>
      <c r="P23" s="245"/>
      <c r="Q23" s="245"/>
      <c r="R23" s="245"/>
      <c r="S23" s="245"/>
      <c r="T23" s="245"/>
      <c r="U23" s="245"/>
      <c r="V23" s="245"/>
      <c r="W23" s="245"/>
      <c r="X23" s="245"/>
      <c r="Y23" s="245"/>
      <c r="Z23" s="245"/>
      <c r="AA23" s="245"/>
      <c r="AB23" s="245"/>
      <c r="AC23" s="245"/>
    </row>
    <row r="24" ht="13.5" customHeight="1">
      <c r="M24" s="248"/>
      <c r="N24" s="245"/>
      <c r="O24" s="245"/>
      <c r="P24" s="245"/>
      <c r="Q24" s="245"/>
      <c r="R24" s="245"/>
      <c r="S24" s="245"/>
      <c r="T24" s="245"/>
      <c r="U24" s="245"/>
      <c r="V24" s="245"/>
      <c r="W24" s="245"/>
      <c r="X24" s="245"/>
      <c r="Y24" s="245"/>
      <c r="Z24" s="245"/>
      <c r="AA24" s="245"/>
      <c r="AB24" s="245"/>
      <c r="AC24" s="245"/>
    </row>
    <row r="25" ht="13.5" customHeight="1">
      <c r="M25" s="248"/>
      <c r="N25" s="245"/>
      <c r="O25" s="245"/>
      <c r="P25" s="245"/>
      <c r="Q25" s="245"/>
      <c r="R25" s="245"/>
      <c r="S25" s="245"/>
      <c r="T25" s="245"/>
      <c r="U25" s="245"/>
      <c r="V25" s="245"/>
      <c r="W25" s="245"/>
      <c r="X25" s="245"/>
      <c r="Y25" s="245"/>
      <c r="Z25" s="245"/>
      <c r="AA25" s="245"/>
      <c r="AB25" s="245"/>
      <c r="AC25" s="245"/>
    </row>
    <row r="26" ht="13.5" customHeight="1">
      <c r="M26" s="248"/>
      <c r="N26" s="245"/>
      <c r="O26" s="245"/>
      <c r="P26" s="245"/>
      <c r="Q26" s="245"/>
      <c r="R26" s="245"/>
      <c r="S26" s="245"/>
      <c r="T26" s="245"/>
      <c r="U26" s="245"/>
      <c r="V26" s="245"/>
      <c r="W26" s="245"/>
      <c r="X26" s="245"/>
      <c r="Y26" s="245"/>
      <c r="Z26" s="245"/>
      <c r="AA26" s="245"/>
      <c r="AB26" s="245"/>
      <c r="AC26" s="245"/>
    </row>
    <row r="27" ht="13.5" customHeight="1">
      <c r="M27" s="248"/>
      <c r="N27" s="245"/>
      <c r="O27" s="245"/>
      <c r="P27" s="245"/>
      <c r="Q27" s="245"/>
      <c r="R27" s="245"/>
      <c r="S27" s="245"/>
      <c r="T27" s="245"/>
      <c r="U27" s="245"/>
      <c r="V27" s="245"/>
      <c r="W27" s="245"/>
      <c r="X27" s="245"/>
      <c r="Y27" s="245"/>
      <c r="Z27" s="245"/>
      <c r="AA27" s="245"/>
      <c r="AB27" s="245"/>
      <c r="AC27" s="245"/>
    </row>
    <row r="28" ht="13.5" customHeight="1">
      <c r="M28" s="248"/>
      <c r="N28" s="245"/>
      <c r="O28" s="245"/>
      <c r="P28" s="245"/>
      <c r="Q28" s="245"/>
      <c r="R28" s="245"/>
      <c r="S28" s="245"/>
      <c r="T28" s="245"/>
      <c r="U28" s="245"/>
      <c r="V28" s="245"/>
      <c r="W28" s="245"/>
      <c r="X28" s="245"/>
      <c r="Y28" s="245"/>
      <c r="Z28" s="245"/>
      <c r="AA28" s="245"/>
      <c r="AB28" s="245"/>
      <c r="AC28" s="245"/>
    </row>
    <row r="29" ht="13.5" customHeight="1">
      <c r="M29" s="248"/>
      <c r="N29" s="245"/>
      <c r="O29" s="245"/>
      <c r="P29" s="245"/>
      <c r="Q29" s="245"/>
      <c r="R29" s="245"/>
      <c r="S29" s="245"/>
      <c r="T29" s="245"/>
      <c r="U29" s="245"/>
      <c r="V29" s="245"/>
      <c r="W29" s="245"/>
      <c r="X29" s="245"/>
      <c r="Y29" s="245"/>
      <c r="Z29" s="245"/>
      <c r="AA29" s="245"/>
      <c r="AB29" s="245"/>
      <c r="AC29" s="245"/>
    </row>
    <row r="30" ht="13.5" customHeight="1">
      <c r="M30" s="248"/>
      <c r="N30" s="245"/>
      <c r="O30" s="245"/>
      <c r="P30" s="245"/>
      <c r="Q30" s="245"/>
      <c r="R30" s="245"/>
      <c r="S30" s="245"/>
      <c r="T30" s="245"/>
      <c r="U30" s="245"/>
      <c r="V30" s="245"/>
      <c r="W30" s="245"/>
      <c r="X30" s="245"/>
      <c r="Y30" s="245"/>
      <c r="Z30" s="245"/>
      <c r="AA30" s="245"/>
      <c r="AB30" s="245"/>
      <c r="AC30" s="245"/>
    </row>
    <row r="31" ht="13.5" customHeight="1">
      <c r="M31" s="248"/>
      <c r="N31" s="245"/>
      <c r="O31" s="245"/>
      <c r="P31" s="245"/>
      <c r="Q31" s="245"/>
      <c r="R31" s="245"/>
      <c r="S31" s="245"/>
      <c r="T31" s="245"/>
      <c r="U31" s="245"/>
      <c r="V31" s="245"/>
      <c r="W31" s="245"/>
      <c r="X31" s="245"/>
      <c r="Y31" s="245"/>
      <c r="Z31" s="245"/>
      <c r="AA31" s="245"/>
      <c r="AB31" s="245"/>
      <c r="AC31" s="245"/>
    </row>
    <row r="32" ht="13.5" hidden="1" customHeight="1">
      <c r="M32" s="248"/>
      <c r="N32" s="245"/>
      <c r="O32" s="245"/>
      <c r="P32" s="245"/>
      <c r="Q32" s="245"/>
      <c r="R32" s="245"/>
      <c r="S32" s="245"/>
      <c r="T32" s="245"/>
      <c r="U32" s="245"/>
      <c r="V32" s="245"/>
      <c r="W32" s="245"/>
      <c r="X32" s="245"/>
      <c r="Y32" s="245"/>
      <c r="Z32" s="245"/>
      <c r="AA32" s="245"/>
      <c r="AB32" s="245"/>
      <c r="AC32" s="245"/>
    </row>
    <row r="33" ht="13.5" hidden="1" customHeight="1">
      <c r="M33" s="248"/>
      <c r="N33" s="245"/>
      <c r="O33" s="245"/>
      <c r="P33" s="245"/>
      <c r="Q33" s="245"/>
      <c r="R33" s="245"/>
      <c r="S33" s="245"/>
      <c r="T33" s="245"/>
      <c r="U33" s="245"/>
      <c r="V33" s="245"/>
      <c r="W33" s="245"/>
      <c r="X33" s="245"/>
      <c r="Y33" s="245"/>
      <c r="Z33" s="245"/>
      <c r="AA33" s="245"/>
      <c r="AB33" s="245"/>
      <c r="AC33" s="245"/>
    </row>
    <row r="34" ht="13.5" hidden="1" customHeight="1">
      <c r="M34" s="248"/>
      <c r="N34" s="245"/>
      <c r="O34" s="245"/>
      <c r="P34" s="245"/>
      <c r="Q34" s="245"/>
      <c r="R34" s="245"/>
      <c r="S34" s="245"/>
      <c r="T34" s="245"/>
      <c r="U34" s="245"/>
      <c r="V34" s="245"/>
      <c r="W34" s="245"/>
      <c r="X34" s="245"/>
      <c r="Y34" s="245"/>
      <c r="Z34" s="245"/>
      <c r="AA34" s="245"/>
      <c r="AB34" s="245"/>
      <c r="AC34" s="245"/>
    </row>
    <row r="35" ht="13.5" hidden="1" customHeight="1">
      <c r="M35" s="248"/>
      <c r="N35" s="245"/>
      <c r="O35" s="245"/>
      <c r="P35" s="245"/>
      <c r="Q35" s="245"/>
      <c r="R35" s="245"/>
      <c r="S35" s="245"/>
      <c r="T35" s="245"/>
      <c r="U35" s="245"/>
      <c r="V35" s="245"/>
      <c r="W35" s="245"/>
      <c r="X35" s="245"/>
      <c r="Y35" s="245"/>
      <c r="Z35" s="245"/>
      <c r="AA35" s="245"/>
      <c r="AB35" s="245"/>
      <c r="AC35" s="245"/>
    </row>
    <row r="36" ht="24.0" hidden="1" customHeight="1">
      <c r="M36" s="248"/>
      <c r="N36" s="245"/>
      <c r="O36" s="245"/>
      <c r="P36" s="245"/>
      <c r="Q36" s="245"/>
      <c r="R36" s="245"/>
      <c r="S36" s="245"/>
      <c r="T36" s="245"/>
      <c r="U36" s="245"/>
      <c r="V36" s="245"/>
      <c r="W36" s="245"/>
      <c r="X36" s="245"/>
      <c r="Y36" s="245"/>
      <c r="Z36" s="245"/>
      <c r="AA36" s="245"/>
      <c r="AB36" s="245"/>
      <c r="AC36" s="245"/>
    </row>
    <row r="37" ht="15.75" hidden="1" customHeight="1">
      <c r="A37" s="249" t="s">
        <v>823</v>
      </c>
      <c r="C37" s="250"/>
      <c r="D37" s="250"/>
      <c r="E37" s="250"/>
      <c r="F37" s="250"/>
      <c r="G37" s="250"/>
      <c r="H37" s="250"/>
      <c r="I37" s="250"/>
      <c r="J37" s="250"/>
      <c r="K37" s="250"/>
      <c r="L37" s="251"/>
      <c r="M37" s="250"/>
      <c r="N37" s="250"/>
      <c r="O37" s="250"/>
      <c r="P37" s="250"/>
      <c r="Q37" s="250"/>
      <c r="R37" s="250"/>
      <c r="S37" s="250"/>
      <c r="T37" s="250"/>
      <c r="U37" s="250"/>
      <c r="V37" s="250"/>
      <c r="W37" s="250"/>
      <c r="X37" s="250"/>
      <c r="Y37" s="250"/>
      <c r="Z37" s="250"/>
      <c r="AA37" s="250"/>
      <c r="AB37" s="250"/>
      <c r="AC37" s="250"/>
      <c r="AD37" s="250"/>
      <c r="AE37" s="250"/>
    </row>
    <row r="38" ht="15.75" hidden="1" customHeight="1">
      <c r="A38" s="251" t="s">
        <v>707</v>
      </c>
      <c r="M38" s="251"/>
      <c r="N38" s="250"/>
      <c r="O38" s="250"/>
      <c r="P38" s="250"/>
      <c r="Q38" s="250"/>
      <c r="R38" s="250"/>
      <c r="S38" s="250"/>
      <c r="T38" s="250"/>
      <c r="U38" s="250"/>
      <c r="V38" s="250"/>
      <c r="W38" s="250"/>
      <c r="X38" s="250"/>
      <c r="Y38" s="250"/>
      <c r="Z38" s="250"/>
      <c r="AA38" s="250"/>
      <c r="AB38" s="250"/>
      <c r="AC38" s="250"/>
      <c r="AD38" s="250"/>
      <c r="AE38" s="250"/>
    </row>
    <row r="39" ht="15.75" hidden="1" customHeight="1">
      <c r="M39" s="251"/>
      <c r="N39" s="250"/>
      <c r="O39" s="250"/>
      <c r="Q39" s="250"/>
      <c r="R39" s="250"/>
      <c r="S39" s="250"/>
      <c r="T39" s="250"/>
      <c r="U39" s="250"/>
      <c r="V39" s="250"/>
      <c r="W39" s="250"/>
      <c r="X39" s="250"/>
      <c r="Y39" s="250"/>
      <c r="Z39" s="250"/>
      <c r="AA39" s="250"/>
      <c r="AB39" s="250"/>
      <c r="AC39" s="250"/>
      <c r="AD39" s="250"/>
      <c r="AE39" s="250"/>
    </row>
    <row r="40" ht="15.75" hidden="1" customHeight="1">
      <c r="M40" s="251"/>
      <c r="N40" s="250"/>
      <c r="O40" s="250"/>
      <c r="P40" s="250"/>
      <c r="Q40" s="250"/>
      <c r="R40" s="250"/>
      <c r="S40" s="250"/>
      <c r="T40" s="250"/>
      <c r="U40" s="250"/>
      <c r="V40" s="250"/>
      <c r="W40" s="250"/>
      <c r="X40" s="250"/>
      <c r="Y40" s="250"/>
      <c r="Z40" s="250"/>
      <c r="AA40" s="250"/>
      <c r="AB40" s="250"/>
      <c r="AC40" s="250"/>
      <c r="AD40" s="250"/>
      <c r="AE40" s="250"/>
    </row>
    <row r="41" ht="15.75" hidden="1" customHeight="1">
      <c r="M41" s="251"/>
      <c r="N41" s="250"/>
      <c r="O41" s="250"/>
      <c r="P41" s="250"/>
      <c r="Q41" s="250"/>
      <c r="R41" s="250"/>
      <c r="S41" s="250"/>
      <c r="T41" s="250"/>
      <c r="U41" s="250"/>
      <c r="V41" s="250"/>
      <c r="W41" s="250"/>
      <c r="X41" s="250"/>
      <c r="Y41" s="250"/>
      <c r="Z41" s="250"/>
      <c r="AA41" s="250"/>
      <c r="AB41" s="250"/>
      <c r="AC41" s="250"/>
      <c r="AD41" s="250"/>
      <c r="AE41" s="250"/>
    </row>
    <row r="42" ht="15.75" hidden="1" customHeight="1">
      <c r="M42" s="251"/>
      <c r="N42" s="250"/>
      <c r="O42" s="250"/>
      <c r="Q42" s="250"/>
      <c r="R42" s="250"/>
      <c r="S42" s="250"/>
      <c r="T42" s="250"/>
      <c r="U42" s="250"/>
      <c r="V42" s="250"/>
      <c r="W42" s="250"/>
      <c r="X42" s="250"/>
      <c r="Y42" s="250"/>
      <c r="Z42" s="250"/>
      <c r="AA42" s="250"/>
      <c r="AB42" s="250"/>
      <c r="AC42" s="250"/>
      <c r="AD42" s="250"/>
      <c r="AE42" s="250"/>
    </row>
    <row r="43" ht="15.75" hidden="1" customHeight="1">
      <c r="M43" s="251"/>
      <c r="N43" s="250"/>
      <c r="O43" s="250"/>
      <c r="P43" s="250"/>
      <c r="Q43" s="250"/>
      <c r="R43" s="250"/>
      <c r="S43" s="250"/>
      <c r="T43" s="250"/>
      <c r="U43" s="250"/>
      <c r="V43" s="250"/>
      <c r="W43" s="250"/>
      <c r="X43" s="250"/>
      <c r="Y43" s="250"/>
      <c r="Z43" s="250"/>
      <c r="AA43" s="250"/>
      <c r="AB43" s="250"/>
      <c r="AC43" s="250"/>
      <c r="AD43" s="250"/>
      <c r="AE43" s="250"/>
    </row>
    <row r="44" ht="15.75" hidden="1" customHeight="1">
      <c r="M44" s="251"/>
      <c r="N44" s="250"/>
      <c r="O44" s="250"/>
      <c r="P44" s="250"/>
      <c r="Q44" s="250"/>
      <c r="R44" s="250"/>
      <c r="S44" s="250"/>
      <c r="T44" s="250"/>
      <c r="U44" s="250"/>
      <c r="V44" s="250"/>
      <c r="W44" s="250"/>
      <c r="X44" s="250"/>
      <c r="Y44" s="250"/>
      <c r="Z44" s="250"/>
      <c r="AA44" s="250"/>
      <c r="AB44" s="250"/>
      <c r="AC44" s="250"/>
      <c r="AD44" s="250"/>
      <c r="AE44" s="250"/>
    </row>
    <row r="45" ht="15.75" hidden="1" customHeight="1">
      <c r="M45" s="251"/>
      <c r="N45" s="250"/>
      <c r="O45" s="250"/>
      <c r="P45" s="250"/>
      <c r="Q45" s="250"/>
      <c r="R45" s="250"/>
      <c r="S45" s="250"/>
      <c r="T45" s="250"/>
      <c r="U45" s="250"/>
      <c r="V45" s="250"/>
      <c r="W45" s="250"/>
      <c r="X45" s="250"/>
      <c r="Y45" s="250"/>
      <c r="Z45" s="250"/>
      <c r="AA45" s="250"/>
      <c r="AB45" s="250"/>
      <c r="AC45" s="250"/>
      <c r="AD45" s="250"/>
      <c r="AE45" s="250"/>
    </row>
    <row r="46" ht="15.75" hidden="1" customHeight="1">
      <c r="M46" s="251"/>
      <c r="N46" s="250"/>
      <c r="O46" s="250"/>
      <c r="P46" s="250"/>
      <c r="Q46" s="250"/>
      <c r="R46" s="250"/>
      <c r="S46" s="250"/>
      <c r="T46" s="250"/>
      <c r="U46" s="250"/>
      <c r="V46" s="250"/>
      <c r="W46" s="250"/>
      <c r="X46" s="250"/>
      <c r="Y46" s="250"/>
      <c r="Z46" s="250"/>
      <c r="AA46" s="250"/>
      <c r="AB46" s="250"/>
      <c r="AC46" s="250"/>
      <c r="AD46" s="250"/>
      <c r="AE46" s="250"/>
    </row>
    <row r="47" ht="15.75" hidden="1" customHeight="1">
      <c r="M47" s="251"/>
      <c r="N47" s="250"/>
      <c r="O47" s="250"/>
      <c r="Q47" s="250"/>
      <c r="R47" s="250"/>
      <c r="S47" s="250"/>
      <c r="T47" s="250"/>
      <c r="U47" s="250"/>
      <c r="V47" s="250"/>
      <c r="W47" s="250"/>
      <c r="X47" s="250"/>
      <c r="Y47" s="250"/>
      <c r="Z47" s="250"/>
      <c r="AA47" s="250"/>
      <c r="AB47" s="250"/>
      <c r="AC47" s="250"/>
      <c r="AD47" s="250"/>
      <c r="AE47" s="250"/>
    </row>
    <row r="48" ht="15.75" hidden="1" customHeight="1">
      <c r="M48" s="251"/>
      <c r="N48" s="250"/>
      <c r="O48" s="250"/>
      <c r="P48" s="250"/>
      <c r="Q48" s="250"/>
      <c r="R48" s="250"/>
      <c r="S48" s="250"/>
      <c r="T48" s="250"/>
      <c r="U48" s="250"/>
      <c r="V48" s="250"/>
      <c r="W48" s="250"/>
      <c r="X48" s="250"/>
      <c r="Y48" s="250"/>
      <c r="Z48" s="250"/>
      <c r="AA48" s="250"/>
      <c r="AB48" s="250"/>
      <c r="AC48" s="250"/>
      <c r="AD48" s="250"/>
      <c r="AE48" s="250"/>
    </row>
    <row r="49" ht="15.75" hidden="1" customHeight="1">
      <c r="M49" s="251"/>
      <c r="N49" s="250"/>
      <c r="O49" s="250"/>
      <c r="P49" s="250"/>
      <c r="Q49" s="250"/>
      <c r="R49" s="250"/>
      <c r="S49" s="250"/>
      <c r="T49" s="250"/>
      <c r="U49" s="250"/>
      <c r="V49" s="250"/>
      <c r="W49" s="250"/>
      <c r="X49" s="250"/>
      <c r="Y49" s="250"/>
      <c r="Z49" s="250"/>
      <c r="AA49" s="250"/>
      <c r="AB49" s="250"/>
      <c r="AC49" s="250"/>
      <c r="AD49" s="250"/>
      <c r="AE49" s="250"/>
    </row>
    <row r="50" ht="15.75" hidden="1" customHeight="1">
      <c r="M50" s="251"/>
      <c r="N50" s="250"/>
      <c r="O50" s="250"/>
      <c r="P50" s="250"/>
      <c r="Q50" s="250"/>
      <c r="R50" s="250"/>
      <c r="S50" s="250"/>
      <c r="T50" s="250"/>
      <c r="U50" s="250"/>
      <c r="V50" s="250"/>
      <c r="W50" s="250"/>
      <c r="X50" s="250"/>
      <c r="Y50" s="250"/>
      <c r="Z50" s="250"/>
      <c r="AA50" s="250"/>
      <c r="AB50" s="250"/>
      <c r="AC50" s="250"/>
      <c r="AD50" s="250"/>
      <c r="AE50" s="250"/>
    </row>
    <row r="51" ht="15.75" hidden="1" customHeight="1">
      <c r="M51" s="251"/>
      <c r="N51" s="250"/>
      <c r="O51" s="250"/>
      <c r="P51" s="250"/>
      <c r="Q51" s="250"/>
      <c r="R51" s="250"/>
      <c r="S51" s="250"/>
      <c r="T51" s="250"/>
      <c r="U51" s="250"/>
      <c r="V51" s="250"/>
      <c r="W51" s="250"/>
      <c r="X51" s="250"/>
      <c r="Y51" s="250"/>
      <c r="Z51" s="250"/>
      <c r="AA51" s="250"/>
      <c r="AB51" s="250"/>
      <c r="AC51" s="250"/>
      <c r="AD51" s="250"/>
      <c r="AE51" s="250"/>
    </row>
    <row r="52" ht="15.75" hidden="1" customHeight="1">
      <c r="M52" s="251"/>
      <c r="N52" s="250"/>
      <c r="O52" s="250"/>
      <c r="P52" s="250"/>
      <c r="Q52" s="250"/>
      <c r="R52" s="250"/>
      <c r="S52" s="250"/>
      <c r="T52" s="250"/>
      <c r="U52" s="250"/>
      <c r="V52" s="250"/>
      <c r="W52" s="250"/>
      <c r="X52" s="250"/>
      <c r="Y52" s="250"/>
      <c r="Z52" s="250"/>
      <c r="AA52" s="250"/>
      <c r="AB52" s="250"/>
      <c r="AC52" s="250"/>
      <c r="AD52" s="250"/>
      <c r="AE52" s="250"/>
    </row>
    <row r="53" ht="15.75" hidden="1" customHeight="1">
      <c r="M53" s="251"/>
      <c r="N53" s="250"/>
      <c r="O53" s="250"/>
      <c r="P53" s="250"/>
      <c r="Q53" s="250"/>
      <c r="R53" s="250"/>
      <c r="S53" s="250"/>
      <c r="T53" s="250"/>
      <c r="U53" s="250"/>
      <c r="V53" s="250"/>
      <c r="W53" s="250"/>
      <c r="X53" s="250"/>
      <c r="Y53" s="250"/>
      <c r="Z53" s="250"/>
      <c r="AA53" s="250"/>
      <c r="AB53" s="250"/>
      <c r="AC53" s="250"/>
      <c r="AD53" s="250"/>
      <c r="AE53" s="250"/>
    </row>
    <row r="54" ht="15.75" hidden="1" customHeight="1">
      <c r="M54" s="251"/>
      <c r="N54" s="250"/>
      <c r="O54" s="250"/>
      <c r="P54" s="250"/>
      <c r="Q54" s="250"/>
      <c r="R54" s="250"/>
      <c r="S54" s="250"/>
      <c r="T54" s="250"/>
      <c r="U54" s="250"/>
      <c r="V54" s="250"/>
      <c r="W54" s="250"/>
      <c r="X54" s="250"/>
      <c r="Y54" s="250"/>
      <c r="Z54" s="250"/>
      <c r="AA54" s="250"/>
      <c r="AB54" s="250"/>
      <c r="AC54" s="250"/>
      <c r="AD54" s="250"/>
      <c r="AE54" s="250"/>
    </row>
    <row r="55" ht="15.75" hidden="1" customHeight="1">
      <c r="M55" s="251"/>
      <c r="N55" s="250"/>
      <c r="O55" s="250"/>
      <c r="P55" s="250"/>
      <c r="Q55" s="250"/>
      <c r="R55" s="250"/>
      <c r="S55" s="250"/>
      <c r="T55" s="250"/>
      <c r="U55" s="250"/>
      <c r="V55" s="250"/>
      <c r="W55" s="250"/>
      <c r="X55" s="250"/>
      <c r="Y55" s="250"/>
      <c r="Z55" s="250"/>
      <c r="AA55" s="250"/>
      <c r="AB55" s="250"/>
      <c r="AC55" s="250"/>
      <c r="AD55" s="250"/>
      <c r="AE55" s="250"/>
    </row>
    <row r="56" ht="15.75" hidden="1" customHeight="1">
      <c r="M56" s="251"/>
      <c r="N56" s="250"/>
      <c r="O56" s="250"/>
      <c r="P56" s="250"/>
      <c r="Q56" s="250"/>
      <c r="R56" s="250"/>
      <c r="S56" s="250"/>
      <c r="T56" s="250"/>
      <c r="U56" s="250"/>
      <c r="V56" s="250"/>
      <c r="W56" s="250"/>
      <c r="X56" s="250"/>
      <c r="Y56" s="250"/>
      <c r="Z56" s="250"/>
      <c r="AA56" s="250"/>
      <c r="AB56" s="250"/>
      <c r="AC56" s="250"/>
      <c r="AD56" s="250"/>
      <c r="AE56" s="250"/>
    </row>
    <row r="57" ht="15.75" hidden="1" customHeight="1">
      <c r="M57" s="251"/>
      <c r="N57" s="250"/>
      <c r="O57" s="250"/>
      <c r="P57" s="250"/>
      <c r="Q57" s="250"/>
      <c r="R57" s="250"/>
      <c r="S57" s="250"/>
      <c r="T57" s="250"/>
      <c r="U57" s="250"/>
      <c r="V57" s="250"/>
      <c r="W57" s="250"/>
      <c r="X57" s="250"/>
      <c r="Y57" s="250"/>
      <c r="Z57" s="250"/>
      <c r="AA57" s="250"/>
      <c r="AB57" s="250"/>
      <c r="AC57" s="250"/>
      <c r="AD57" s="250"/>
      <c r="AE57" s="250"/>
    </row>
    <row r="58" ht="15.75" hidden="1" customHeight="1">
      <c r="M58" s="251"/>
      <c r="N58" s="250"/>
      <c r="O58" s="250"/>
      <c r="P58" s="250"/>
      <c r="Q58" s="250"/>
      <c r="R58" s="250"/>
      <c r="S58" s="250"/>
      <c r="T58" s="250"/>
      <c r="U58" s="250"/>
      <c r="V58" s="250"/>
      <c r="W58" s="250"/>
      <c r="X58" s="250"/>
      <c r="Y58" s="250"/>
      <c r="Z58" s="250"/>
      <c r="AA58" s="250"/>
      <c r="AB58" s="250"/>
      <c r="AC58" s="250"/>
      <c r="AD58" s="250"/>
      <c r="AE58" s="250"/>
    </row>
    <row r="59" ht="15.75" hidden="1" customHeight="1">
      <c r="M59" s="251"/>
      <c r="N59" s="250"/>
      <c r="O59" s="250"/>
      <c r="P59" s="250"/>
      <c r="Q59" s="250"/>
      <c r="R59" s="250"/>
      <c r="S59" s="250"/>
      <c r="T59" s="250"/>
      <c r="U59" s="250"/>
      <c r="V59" s="250"/>
      <c r="W59" s="250"/>
      <c r="X59" s="250"/>
      <c r="Y59" s="250"/>
      <c r="Z59" s="250"/>
      <c r="AA59" s="250"/>
      <c r="AB59" s="250"/>
      <c r="AC59" s="250"/>
      <c r="AD59" s="250"/>
      <c r="AE59" s="250"/>
    </row>
    <row r="60" ht="15.75" hidden="1" customHeight="1">
      <c r="M60" s="251"/>
      <c r="N60" s="250"/>
      <c r="O60" s="250"/>
      <c r="P60" s="250"/>
      <c r="Q60" s="250"/>
      <c r="R60" s="250"/>
      <c r="S60" s="250"/>
      <c r="T60" s="250"/>
      <c r="U60" s="250"/>
      <c r="V60" s="250"/>
      <c r="W60" s="250"/>
      <c r="X60" s="250"/>
      <c r="Y60" s="250"/>
      <c r="Z60" s="250"/>
      <c r="AA60" s="250"/>
      <c r="AB60" s="250"/>
      <c r="AC60" s="250"/>
      <c r="AD60" s="250"/>
      <c r="AE60" s="250"/>
    </row>
    <row r="61" ht="15.75" hidden="1" customHeight="1">
      <c r="M61" s="251"/>
      <c r="N61" s="250"/>
      <c r="O61" s="250"/>
      <c r="P61" s="250"/>
      <c r="Q61" s="250"/>
      <c r="R61" s="250"/>
      <c r="S61" s="250"/>
      <c r="T61" s="250"/>
      <c r="U61" s="250"/>
      <c r="V61" s="250"/>
      <c r="W61" s="250"/>
      <c r="X61" s="250"/>
      <c r="Y61" s="250"/>
      <c r="Z61" s="250"/>
      <c r="AA61" s="250"/>
      <c r="AB61" s="250"/>
      <c r="AC61" s="250"/>
      <c r="AD61" s="250"/>
      <c r="AE61" s="250"/>
    </row>
    <row r="62" ht="15.75" hidden="1" customHeight="1">
      <c r="M62" s="251"/>
      <c r="N62" s="250"/>
      <c r="O62" s="250"/>
      <c r="P62" s="250"/>
      <c r="Q62" s="250"/>
      <c r="R62" s="250"/>
      <c r="S62" s="250"/>
      <c r="T62" s="250"/>
      <c r="U62" s="250"/>
      <c r="V62" s="250"/>
      <c r="W62" s="250"/>
      <c r="X62" s="250"/>
      <c r="Y62" s="250"/>
      <c r="Z62" s="250"/>
      <c r="AA62" s="250"/>
      <c r="AB62" s="250"/>
      <c r="AC62" s="250"/>
      <c r="AD62" s="250"/>
      <c r="AE62" s="250"/>
    </row>
    <row r="63" ht="15.75" hidden="1" customHeight="1">
      <c r="M63" s="251"/>
      <c r="N63" s="250"/>
      <c r="O63" s="250"/>
      <c r="P63" s="250"/>
      <c r="Q63" s="250"/>
      <c r="R63" s="250"/>
      <c r="S63" s="250"/>
      <c r="T63" s="250"/>
      <c r="U63" s="250"/>
      <c r="V63" s="250"/>
      <c r="W63" s="250"/>
      <c r="X63" s="250"/>
      <c r="Y63" s="250"/>
      <c r="Z63" s="250"/>
      <c r="AA63" s="250"/>
      <c r="AB63" s="250"/>
      <c r="AC63" s="250"/>
      <c r="AD63" s="250"/>
      <c r="AE63" s="250"/>
    </row>
    <row r="64" ht="15.75" hidden="1" customHeight="1">
      <c r="M64" s="251"/>
      <c r="N64" s="250"/>
      <c r="O64" s="250"/>
      <c r="P64" s="250"/>
      <c r="Q64" s="250"/>
      <c r="R64" s="250"/>
      <c r="S64" s="250"/>
      <c r="T64" s="250"/>
      <c r="U64" s="250"/>
      <c r="V64" s="250"/>
      <c r="W64" s="250"/>
      <c r="X64" s="250"/>
      <c r="Y64" s="250"/>
      <c r="Z64" s="250"/>
      <c r="AA64" s="250"/>
      <c r="AB64" s="250"/>
      <c r="AC64" s="250"/>
      <c r="AD64" s="250"/>
      <c r="AE64" s="250"/>
    </row>
    <row r="65" ht="15.75" hidden="1" customHeight="1">
      <c r="M65" s="251"/>
      <c r="N65" s="250"/>
      <c r="O65" s="250"/>
      <c r="P65" s="250"/>
      <c r="Q65" s="250"/>
      <c r="R65" s="250"/>
      <c r="S65" s="250"/>
      <c r="T65" s="250"/>
      <c r="U65" s="250"/>
      <c r="V65" s="250"/>
      <c r="W65" s="250"/>
      <c r="X65" s="250"/>
      <c r="Y65" s="250"/>
      <c r="Z65" s="250"/>
      <c r="AA65" s="250"/>
      <c r="AB65" s="250"/>
      <c r="AC65" s="250"/>
      <c r="AD65" s="250"/>
      <c r="AE65" s="250"/>
    </row>
    <row r="66" ht="15.75" hidden="1" customHeight="1">
      <c r="M66" s="251"/>
      <c r="N66" s="250"/>
      <c r="O66" s="250"/>
      <c r="P66" s="250"/>
      <c r="Q66" s="250"/>
      <c r="R66" s="250"/>
      <c r="S66" s="250"/>
      <c r="T66" s="250"/>
      <c r="U66" s="250"/>
      <c r="V66" s="250"/>
      <c r="W66" s="250"/>
      <c r="X66" s="250"/>
      <c r="Y66" s="250"/>
      <c r="Z66" s="250"/>
      <c r="AA66" s="250"/>
      <c r="AB66" s="250"/>
      <c r="AC66" s="250"/>
      <c r="AD66" s="250"/>
      <c r="AE66" s="250"/>
    </row>
    <row r="67" ht="15.75" hidden="1" customHeight="1">
      <c r="M67" s="251"/>
      <c r="N67" s="250"/>
      <c r="O67" s="250"/>
      <c r="P67" s="250"/>
      <c r="Q67" s="250"/>
      <c r="R67" s="250"/>
      <c r="S67" s="250"/>
      <c r="T67" s="250"/>
      <c r="U67" s="250"/>
      <c r="V67" s="250"/>
      <c r="W67" s="250"/>
      <c r="X67" s="250"/>
      <c r="Y67" s="250"/>
      <c r="Z67" s="250"/>
      <c r="AA67" s="250"/>
      <c r="AB67" s="250"/>
      <c r="AC67" s="250"/>
      <c r="AD67" s="250"/>
      <c r="AE67" s="250"/>
    </row>
    <row r="68" ht="15.75" hidden="1" customHeight="1">
      <c r="M68" s="251"/>
      <c r="N68" s="250"/>
      <c r="O68" s="250"/>
      <c r="P68" s="250"/>
      <c r="Q68" s="250"/>
      <c r="R68" s="250"/>
      <c r="S68" s="250"/>
      <c r="T68" s="250"/>
      <c r="U68" s="250"/>
      <c r="V68" s="250"/>
      <c r="W68" s="250"/>
      <c r="X68" s="250"/>
      <c r="Y68" s="250"/>
      <c r="Z68" s="250"/>
      <c r="AA68" s="250"/>
      <c r="AB68" s="250"/>
      <c r="AC68" s="250"/>
      <c r="AD68" s="250"/>
      <c r="AE68" s="250"/>
    </row>
    <row r="69" ht="15.75" hidden="1" customHeight="1">
      <c r="M69" s="251"/>
      <c r="N69" s="250"/>
      <c r="O69" s="250"/>
      <c r="P69" s="250"/>
      <c r="Q69" s="250"/>
      <c r="R69" s="250"/>
      <c r="S69" s="250"/>
      <c r="T69" s="250"/>
      <c r="U69" s="250"/>
      <c r="V69" s="250"/>
      <c r="W69" s="250"/>
      <c r="X69" s="250"/>
      <c r="Y69" s="250"/>
      <c r="Z69" s="250"/>
      <c r="AA69" s="250"/>
      <c r="AB69" s="250"/>
      <c r="AC69" s="250"/>
      <c r="AD69" s="250"/>
      <c r="AE69" s="250"/>
    </row>
    <row r="70" ht="15.75" hidden="1" customHeight="1">
      <c r="M70" s="251"/>
      <c r="N70" s="250"/>
      <c r="O70" s="250"/>
      <c r="P70" s="250"/>
      <c r="Q70" s="250"/>
      <c r="R70" s="250"/>
      <c r="S70" s="250"/>
      <c r="T70" s="250"/>
      <c r="U70" s="250"/>
      <c r="V70" s="250"/>
      <c r="W70" s="250"/>
      <c r="X70" s="250"/>
      <c r="Y70" s="250"/>
      <c r="Z70" s="250"/>
      <c r="AA70" s="250"/>
      <c r="AB70" s="250"/>
      <c r="AC70" s="250"/>
      <c r="AD70" s="250"/>
      <c r="AE70" s="250"/>
    </row>
    <row r="71" ht="15.75" hidden="1" customHeight="1">
      <c r="M71" s="251"/>
      <c r="N71" s="250"/>
      <c r="O71" s="250"/>
      <c r="P71" s="250">
        <f>15*21+13*4+9*15+10</f>
        <v>512</v>
      </c>
      <c r="Q71" s="250"/>
      <c r="R71" s="250"/>
      <c r="S71" s="250"/>
      <c r="T71" s="250"/>
      <c r="U71" s="250"/>
      <c r="V71" s="250"/>
      <c r="W71" s="250"/>
      <c r="X71" s="250"/>
      <c r="Y71" s="250"/>
      <c r="Z71" s="250"/>
      <c r="AA71" s="250"/>
      <c r="AB71" s="250"/>
      <c r="AC71" s="250"/>
      <c r="AD71" s="250"/>
      <c r="AE71" s="250"/>
    </row>
    <row r="72" ht="15.75" hidden="1" customHeight="1">
      <c r="M72" s="251"/>
      <c r="N72" s="250"/>
      <c r="O72" s="250"/>
      <c r="P72" s="250"/>
      <c r="Q72" s="250"/>
      <c r="R72" s="250"/>
      <c r="S72" s="250"/>
      <c r="T72" s="250"/>
      <c r="U72" s="250"/>
      <c r="V72" s="250"/>
      <c r="W72" s="250"/>
      <c r="X72" s="250"/>
      <c r="Y72" s="250"/>
      <c r="Z72" s="250"/>
      <c r="AA72" s="250"/>
      <c r="AB72" s="250"/>
      <c r="AC72" s="250"/>
      <c r="AD72" s="250"/>
      <c r="AE72" s="250"/>
    </row>
    <row r="73" ht="15.75" hidden="1" customHeight="1">
      <c r="M73" s="251"/>
      <c r="N73" s="250"/>
      <c r="O73" s="250"/>
      <c r="P73" s="250"/>
      <c r="Q73" s="250"/>
      <c r="R73" s="250"/>
      <c r="S73" s="250"/>
      <c r="T73" s="250"/>
      <c r="U73" s="250"/>
      <c r="V73" s="250"/>
      <c r="W73" s="250"/>
      <c r="X73" s="250"/>
      <c r="Y73" s="250"/>
      <c r="Z73" s="250"/>
      <c r="AA73" s="250"/>
      <c r="AB73" s="250"/>
      <c r="AC73" s="250"/>
      <c r="AD73" s="250"/>
      <c r="AE73" s="250"/>
    </row>
    <row r="74" ht="15.75" hidden="1" customHeight="1">
      <c r="M74" s="251"/>
      <c r="N74" s="250"/>
      <c r="O74" s="250"/>
      <c r="P74" s="250"/>
      <c r="Q74" s="250"/>
      <c r="R74" s="250"/>
      <c r="S74" s="250"/>
      <c r="T74" s="250"/>
      <c r="U74" s="250"/>
      <c r="V74" s="250"/>
      <c r="W74" s="250"/>
      <c r="X74" s="250"/>
      <c r="Y74" s="250"/>
      <c r="Z74" s="250"/>
      <c r="AA74" s="250"/>
      <c r="AB74" s="250"/>
      <c r="AC74" s="250"/>
      <c r="AD74" s="250"/>
      <c r="AE74" s="250"/>
    </row>
    <row r="75" ht="15.75" hidden="1" customHeight="1">
      <c r="M75" s="251"/>
      <c r="N75" s="250"/>
      <c r="O75" s="250"/>
      <c r="P75" s="250"/>
      <c r="Q75" s="250"/>
      <c r="R75" s="250"/>
      <c r="S75" s="250"/>
      <c r="T75" s="250"/>
      <c r="U75" s="250"/>
      <c r="V75" s="250"/>
      <c r="W75" s="250"/>
      <c r="X75" s="250"/>
      <c r="Y75" s="250"/>
      <c r="Z75" s="250"/>
      <c r="AA75" s="250"/>
      <c r="AB75" s="250"/>
      <c r="AC75" s="250"/>
      <c r="AD75" s="250"/>
      <c r="AE75" s="250"/>
    </row>
    <row r="76" ht="15.75" hidden="1" customHeight="1">
      <c r="M76" s="251"/>
      <c r="N76" s="250"/>
      <c r="O76" s="250"/>
      <c r="P76" s="250"/>
      <c r="Q76" s="250"/>
      <c r="R76" s="250"/>
      <c r="S76" s="250"/>
      <c r="T76" s="250"/>
      <c r="U76" s="250"/>
      <c r="V76" s="250"/>
      <c r="W76" s="250"/>
      <c r="X76" s="250"/>
      <c r="Y76" s="250"/>
      <c r="Z76" s="250"/>
      <c r="AA76" s="250"/>
      <c r="AB76" s="250"/>
      <c r="AC76" s="250"/>
      <c r="AD76" s="250"/>
      <c r="AE76" s="250"/>
    </row>
    <row r="77" ht="15.75" hidden="1" customHeight="1">
      <c r="M77" s="251"/>
      <c r="N77" s="250"/>
      <c r="O77" s="250"/>
      <c r="P77" s="250"/>
      <c r="Q77" s="250"/>
      <c r="R77" s="250"/>
      <c r="S77" s="250"/>
      <c r="T77" s="250"/>
      <c r="U77" s="250"/>
      <c r="V77" s="250"/>
      <c r="W77" s="250"/>
      <c r="X77" s="250"/>
      <c r="Y77" s="250"/>
      <c r="Z77" s="250"/>
      <c r="AA77" s="250"/>
      <c r="AB77" s="250"/>
      <c r="AC77" s="250"/>
      <c r="AD77" s="250"/>
      <c r="AE77" s="250"/>
    </row>
    <row r="78" ht="15.75" hidden="1" customHeight="1">
      <c r="M78" s="251"/>
      <c r="N78" s="250"/>
      <c r="O78" s="250"/>
      <c r="P78" s="250"/>
      <c r="Q78" s="250"/>
      <c r="R78" s="250"/>
      <c r="S78" s="250"/>
      <c r="T78" s="250"/>
      <c r="U78" s="250"/>
      <c r="V78" s="250"/>
      <c r="W78" s="250"/>
      <c r="X78" s="250"/>
      <c r="Y78" s="250"/>
      <c r="Z78" s="250"/>
      <c r="AA78" s="250"/>
      <c r="AB78" s="250"/>
      <c r="AC78" s="250"/>
      <c r="AD78" s="250"/>
      <c r="AE78" s="250"/>
    </row>
    <row r="79" ht="9.75" hidden="1" customHeight="1">
      <c r="M79" s="251"/>
      <c r="N79" s="250"/>
      <c r="O79" s="250"/>
      <c r="P79" s="250"/>
      <c r="Q79" s="250"/>
      <c r="R79" s="250"/>
      <c r="S79" s="250"/>
      <c r="T79" s="250"/>
      <c r="U79" s="250"/>
      <c r="V79" s="250"/>
      <c r="W79" s="250"/>
      <c r="X79" s="250"/>
      <c r="Y79" s="250"/>
      <c r="Z79" s="250"/>
      <c r="AA79" s="250"/>
      <c r="AB79" s="250"/>
      <c r="AC79" s="250"/>
      <c r="AD79" s="250"/>
      <c r="AE79" s="250"/>
    </row>
    <row r="80" ht="15.75" hidden="1" customHeight="1">
      <c r="M80" s="251"/>
      <c r="N80" s="250"/>
      <c r="O80" s="250"/>
      <c r="P80" s="250"/>
      <c r="Q80" s="250"/>
      <c r="R80" s="250"/>
      <c r="S80" s="250"/>
      <c r="T80" s="250"/>
      <c r="U80" s="250"/>
      <c r="V80" s="250"/>
      <c r="W80" s="250"/>
      <c r="X80" s="250"/>
      <c r="Y80" s="250"/>
      <c r="Z80" s="250"/>
      <c r="AA80" s="250"/>
      <c r="AB80" s="250"/>
      <c r="AC80" s="250"/>
      <c r="AD80" s="250"/>
      <c r="AE80" s="250"/>
    </row>
    <row r="81" ht="15.75" hidden="1" customHeight="1">
      <c r="M81" s="251"/>
      <c r="N81" s="250"/>
      <c r="O81" s="250"/>
      <c r="P81" s="250"/>
      <c r="Q81" s="250"/>
      <c r="R81" s="250"/>
      <c r="S81" s="250"/>
      <c r="T81" s="250"/>
      <c r="U81" s="250"/>
      <c r="V81" s="250"/>
      <c r="W81" s="250"/>
      <c r="X81" s="250"/>
      <c r="Y81" s="250"/>
      <c r="Z81" s="250"/>
      <c r="AA81" s="250"/>
      <c r="AB81" s="250"/>
      <c r="AC81" s="250"/>
      <c r="AD81" s="250"/>
      <c r="AE81" s="250"/>
    </row>
    <row r="82" ht="15.75" hidden="1" customHeight="1">
      <c r="M82" s="251"/>
      <c r="N82" s="250"/>
      <c r="O82" s="250"/>
      <c r="P82" s="250"/>
      <c r="Q82" s="250"/>
      <c r="R82" s="250"/>
      <c r="S82" s="250"/>
      <c r="T82" s="250"/>
      <c r="U82" s="250"/>
      <c r="V82" s="250"/>
      <c r="W82" s="250"/>
      <c r="X82" s="250"/>
      <c r="Y82" s="250"/>
      <c r="Z82" s="250"/>
      <c r="AA82" s="250"/>
      <c r="AB82" s="250"/>
      <c r="AC82" s="250"/>
      <c r="AD82" s="250"/>
      <c r="AE82" s="250"/>
    </row>
    <row r="83" ht="15.75" hidden="1" customHeight="1">
      <c r="M83" s="251"/>
      <c r="N83" s="250"/>
      <c r="O83" s="250"/>
      <c r="P83" s="250"/>
      <c r="Q83" s="250"/>
      <c r="R83" s="250"/>
      <c r="S83" s="250"/>
      <c r="T83" s="250"/>
      <c r="U83" s="250"/>
      <c r="V83" s="250"/>
      <c r="W83" s="250"/>
      <c r="X83" s="250"/>
      <c r="Y83" s="250"/>
      <c r="Z83" s="250"/>
      <c r="AA83" s="250"/>
      <c r="AB83" s="250"/>
      <c r="AC83" s="250"/>
      <c r="AD83" s="250"/>
      <c r="AE83" s="250"/>
    </row>
    <row r="84" ht="15.75" hidden="1" customHeight="1">
      <c r="M84" s="251"/>
      <c r="N84" s="250"/>
      <c r="O84" s="250"/>
      <c r="P84" s="250"/>
      <c r="Q84" s="250"/>
      <c r="R84" s="250"/>
      <c r="S84" s="250"/>
      <c r="T84" s="250"/>
      <c r="U84" s="250"/>
      <c r="V84" s="250"/>
      <c r="W84" s="250"/>
      <c r="X84" s="250"/>
      <c r="Y84" s="250"/>
      <c r="Z84" s="250"/>
      <c r="AA84" s="250"/>
      <c r="AB84" s="250"/>
      <c r="AC84" s="250"/>
      <c r="AD84" s="250"/>
      <c r="AE84" s="250"/>
    </row>
    <row r="85" ht="10.5" hidden="1" customHeight="1">
      <c r="M85" s="251"/>
      <c r="N85" s="250"/>
      <c r="O85" s="250"/>
      <c r="P85" s="250"/>
      <c r="Q85" s="250"/>
      <c r="R85" s="250"/>
      <c r="S85" s="250"/>
      <c r="T85" s="250"/>
      <c r="U85" s="250"/>
      <c r="V85" s="250"/>
      <c r="W85" s="250"/>
      <c r="X85" s="250"/>
      <c r="Y85" s="250"/>
      <c r="Z85" s="250"/>
      <c r="AA85" s="250"/>
      <c r="AB85" s="250"/>
      <c r="AC85" s="250"/>
      <c r="AD85" s="250"/>
      <c r="AE85" s="250"/>
    </row>
    <row r="86" ht="13.5" customHeight="1">
      <c r="A86" s="244"/>
      <c r="B86" s="244"/>
      <c r="C86" s="252"/>
      <c r="D86" s="252"/>
      <c r="E86" s="252"/>
      <c r="F86" s="252"/>
      <c r="G86" s="244"/>
      <c r="H86" s="244"/>
      <c r="I86" s="244"/>
      <c r="J86" s="252"/>
      <c r="K86" s="252"/>
      <c r="L86" s="244"/>
      <c r="M86" s="244"/>
      <c r="N86" s="245"/>
      <c r="O86" s="245"/>
      <c r="P86" s="245"/>
      <c r="Q86" s="245"/>
      <c r="R86" s="245"/>
      <c r="S86" s="245"/>
      <c r="T86" s="245"/>
      <c r="U86" s="245"/>
      <c r="V86" s="245"/>
      <c r="W86" s="245"/>
      <c r="X86" s="245"/>
      <c r="Y86" s="245"/>
      <c r="Z86" s="245"/>
      <c r="AA86" s="245"/>
      <c r="AB86" s="245"/>
      <c r="AC86" s="245"/>
    </row>
    <row r="87" ht="13.5" customHeight="1">
      <c r="A87" s="253" t="s">
        <v>715</v>
      </c>
      <c r="M87" s="253"/>
      <c r="N87" s="245"/>
      <c r="O87" s="245"/>
      <c r="P87" s="245"/>
      <c r="Q87" s="245"/>
      <c r="R87" s="245"/>
      <c r="S87" s="245"/>
      <c r="T87" s="245"/>
      <c r="U87" s="245"/>
      <c r="V87" s="245"/>
      <c r="W87" s="245"/>
      <c r="X87" s="245"/>
      <c r="Y87" s="245"/>
      <c r="Z87" s="245"/>
      <c r="AA87" s="245"/>
      <c r="AB87" s="245"/>
      <c r="AC87" s="245"/>
    </row>
    <row r="88" ht="13.5" customHeight="1">
      <c r="A88" s="254" t="s">
        <v>716</v>
      </c>
      <c r="B88" s="113"/>
      <c r="C88" s="113"/>
      <c r="D88" s="113"/>
      <c r="E88" s="113"/>
      <c r="F88" s="113"/>
      <c r="G88" s="113"/>
      <c r="H88" s="113"/>
      <c r="I88" s="113"/>
      <c r="J88" s="113"/>
      <c r="K88" s="113"/>
      <c r="L88" s="113"/>
      <c r="M88" s="114"/>
      <c r="N88" s="245"/>
      <c r="O88" s="245"/>
      <c r="P88" s="245"/>
      <c r="Q88" s="245"/>
      <c r="R88" s="245"/>
      <c r="S88" s="245"/>
      <c r="T88" s="245"/>
      <c r="U88" s="245"/>
      <c r="V88" s="245"/>
      <c r="W88" s="245"/>
      <c r="X88" s="245"/>
      <c r="Y88" s="245"/>
      <c r="Z88" s="245"/>
      <c r="AA88" s="245"/>
      <c r="AB88" s="245"/>
      <c r="AC88" s="245"/>
    </row>
    <row r="89" ht="13.5" customHeight="1">
      <c r="A89" s="255"/>
      <c r="B89" s="256" t="s">
        <v>717</v>
      </c>
      <c r="C89" s="256"/>
      <c r="D89" s="256"/>
      <c r="E89" s="257" t="s">
        <v>718</v>
      </c>
      <c r="F89" s="94"/>
      <c r="G89" s="94"/>
      <c r="H89" s="94"/>
      <c r="I89" s="94"/>
      <c r="J89" s="94"/>
      <c r="K89" s="94"/>
      <c r="L89" s="94"/>
      <c r="M89" s="117"/>
      <c r="N89" s="245"/>
      <c r="O89" s="245"/>
      <c r="P89" s="245"/>
      <c r="Q89" s="245"/>
      <c r="R89" s="245"/>
      <c r="S89" s="245"/>
      <c r="T89" s="245"/>
      <c r="U89" s="245"/>
      <c r="V89" s="245"/>
      <c r="W89" s="257" t="s">
        <v>718</v>
      </c>
      <c r="X89" s="94"/>
      <c r="Y89" s="94"/>
      <c r="Z89" s="94"/>
      <c r="AA89" s="94"/>
      <c r="AB89" s="94"/>
      <c r="AC89" s="94"/>
      <c r="AD89" s="94"/>
      <c r="AE89" s="117"/>
    </row>
    <row r="90" ht="13.5" customHeight="1">
      <c r="A90" s="255"/>
      <c r="B90" s="256" t="s">
        <v>719</v>
      </c>
      <c r="C90" s="256"/>
      <c r="D90" s="256"/>
      <c r="E90" s="258" t="s">
        <v>720</v>
      </c>
      <c r="F90" s="120"/>
      <c r="G90" s="120"/>
      <c r="H90" s="120"/>
      <c r="I90" s="120"/>
      <c r="J90" s="120"/>
      <c r="K90" s="120"/>
      <c r="L90" s="120"/>
      <c r="M90" s="121"/>
      <c r="N90" s="245"/>
      <c r="O90" s="245"/>
      <c r="P90" s="245"/>
      <c r="Q90" s="245"/>
      <c r="R90" s="245"/>
      <c r="S90" s="245"/>
      <c r="T90" s="245"/>
      <c r="U90" s="245"/>
      <c r="V90" s="245"/>
      <c r="W90" s="245"/>
      <c r="X90" s="245"/>
      <c r="Y90" s="245"/>
      <c r="Z90" s="245"/>
      <c r="AA90" s="245"/>
      <c r="AB90" s="245"/>
      <c r="AC90" s="245"/>
    </row>
    <row r="91" ht="13.5" customHeight="1">
      <c r="A91" s="255"/>
      <c r="B91" s="256" t="s">
        <v>721</v>
      </c>
      <c r="C91" s="256"/>
      <c r="D91" s="256"/>
      <c r="E91" s="122"/>
      <c r="F91" s="123"/>
      <c r="G91" s="123"/>
      <c r="H91" s="123"/>
      <c r="I91" s="123"/>
      <c r="J91" s="123"/>
      <c r="K91" s="123"/>
      <c r="L91" s="123"/>
      <c r="M91" s="124"/>
      <c r="N91" s="245"/>
      <c r="O91" s="245"/>
      <c r="P91" s="245"/>
      <c r="Q91" s="245"/>
      <c r="R91" s="245"/>
      <c r="S91" s="245"/>
      <c r="T91" s="245"/>
      <c r="U91" s="245"/>
      <c r="V91" s="245"/>
      <c r="W91" s="245"/>
      <c r="X91" s="245"/>
      <c r="Y91" s="245"/>
      <c r="Z91" s="245"/>
      <c r="AA91" s="245"/>
      <c r="AB91" s="245"/>
      <c r="AC91" s="245"/>
    </row>
    <row r="92" ht="13.5" customHeight="1">
      <c r="A92" s="255"/>
      <c r="B92" s="256" t="s">
        <v>722</v>
      </c>
      <c r="C92" s="256"/>
      <c r="D92" s="256"/>
      <c r="E92" s="257" t="s">
        <v>723</v>
      </c>
      <c r="F92" s="94"/>
      <c r="G92" s="94"/>
      <c r="H92" s="94"/>
      <c r="I92" s="94"/>
      <c r="J92" s="94"/>
      <c r="K92" s="94"/>
      <c r="L92" s="94"/>
      <c r="M92" s="117"/>
      <c r="N92" s="245"/>
      <c r="O92" s="245"/>
      <c r="P92" s="245"/>
      <c r="Q92" s="245"/>
      <c r="R92" s="245"/>
      <c r="S92" s="245"/>
      <c r="T92" s="245"/>
      <c r="U92" s="245"/>
      <c r="V92" s="245"/>
      <c r="W92" s="245"/>
      <c r="X92" s="245"/>
      <c r="Y92" s="245"/>
      <c r="Z92" s="245"/>
      <c r="AA92" s="245"/>
      <c r="AB92" s="245"/>
      <c r="AC92" s="245"/>
    </row>
    <row r="93" ht="13.5" customHeight="1">
      <c r="A93" s="255"/>
      <c r="B93" s="256" t="s">
        <v>724</v>
      </c>
      <c r="C93" s="256"/>
      <c r="D93" s="256"/>
      <c r="E93" s="257" t="s">
        <v>725</v>
      </c>
      <c r="F93" s="94"/>
      <c r="G93" s="94"/>
      <c r="H93" s="94"/>
      <c r="I93" s="94"/>
      <c r="J93" s="94"/>
      <c r="K93" s="94"/>
      <c r="L93" s="94"/>
      <c r="M93" s="117"/>
      <c r="N93" s="245"/>
      <c r="O93" s="245"/>
      <c r="P93" s="245"/>
      <c r="Q93" s="245"/>
      <c r="R93" s="245"/>
      <c r="S93" s="245"/>
      <c r="T93" s="245"/>
      <c r="U93" s="245"/>
      <c r="V93" s="245"/>
      <c r="W93" s="245"/>
      <c r="X93" s="245"/>
      <c r="Y93" s="245"/>
      <c r="Z93" s="245"/>
      <c r="AA93" s="245"/>
      <c r="AB93" s="245"/>
      <c r="AC93" s="245"/>
    </row>
    <row r="94" ht="13.5" customHeight="1">
      <c r="A94" s="255"/>
      <c r="B94" s="256" t="s">
        <v>726</v>
      </c>
      <c r="C94" s="256"/>
      <c r="D94" s="256"/>
      <c r="E94" s="257"/>
      <c r="F94" s="94"/>
      <c r="G94" s="94"/>
      <c r="H94" s="94"/>
      <c r="I94" s="94"/>
      <c r="J94" s="94"/>
      <c r="K94" s="94"/>
      <c r="L94" s="94"/>
      <c r="M94" s="117"/>
      <c r="N94" s="245"/>
      <c r="O94" s="245"/>
      <c r="P94" s="245"/>
      <c r="Q94" s="245"/>
      <c r="R94" s="245"/>
      <c r="S94" s="245"/>
      <c r="T94" s="245"/>
      <c r="U94" s="245"/>
      <c r="V94" s="245"/>
      <c r="W94" s="245"/>
      <c r="X94" s="245"/>
      <c r="Y94" s="245"/>
      <c r="Z94" s="245"/>
      <c r="AA94" s="245"/>
      <c r="AB94" s="245"/>
      <c r="AC94" s="245"/>
    </row>
    <row r="95" ht="13.5" customHeight="1">
      <c r="A95" s="255"/>
      <c r="B95" s="256" t="s">
        <v>727</v>
      </c>
      <c r="C95" s="256"/>
      <c r="D95" s="256"/>
      <c r="E95" s="257" t="s">
        <v>728</v>
      </c>
      <c r="F95" s="94"/>
      <c r="G95" s="94"/>
      <c r="H95" s="94"/>
      <c r="I95" s="94"/>
      <c r="J95" s="94"/>
      <c r="K95" s="94"/>
      <c r="L95" s="94"/>
      <c r="M95" s="117"/>
      <c r="N95" s="245"/>
      <c r="O95" s="245"/>
      <c r="P95" s="245"/>
      <c r="Q95" s="245"/>
      <c r="R95" s="245"/>
      <c r="S95" s="245"/>
      <c r="T95" s="245"/>
      <c r="U95" s="245"/>
      <c r="V95" s="245"/>
      <c r="W95" s="245"/>
      <c r="X95" s="245"/>
      <c r="Y95" s="245"/>
      <c r="Z95" s="245"/>
      <c r="AA95" s="245"/>
      <c r="AB95" s="245"/>
      <c r="AC95" s="245"/>
    </row>
    <row r="96" ht="13.5" customHeight="1">
      <c r="A96" s="255"/>
      <c r="B96" s="256" t="s">
        <v>729</v>
      </c>
      <c r="C96" s="256"/>
      <c r="D96" s="256"/>
      <c r="E96" s="257" t="s">
        <v>730</v>
      </c>
      <c r="F96" s="94"/>
      <c r="G96" s="94"/>
      <c r="H96" s="94"/>
      <c r="I96" s="94"/>
      <c r="J96" s="94"/>
      <c r="K96" s="94"/>
      <c r="L96" s="94"/>
      <c r="M96" s="117"/>
      <c r="N96" s="245"/>
      <c r="O96" s="245"/>
      <c r="P96" s="245"/>
      <c r="Q96" s="245"/>
      <c r="R96" s="245"/>
      <c r="S96" s="245"/>
      <c r="T96" s="245"/>
      <c r="U96" s="245"/>
      <c r="V96" s="245"/>
      <c r="W96" s="245"/>
      <c r="X96" s="245"/>
      <c r="Y96" s="245"/>
      <c r="Z96" s="245"/>
      <c r="AA96" s="245"/>
      <c r="AB96" s="245"/>
      <c r="AC96" s="245"/>
    </row>
    <row r="97" ht="13.5" customHeight="1">
      <c r="A97" s="255"/>
      <c r="B97" s="256" t="s">
        <v>731</v>
      </c>
      <c r="C97" s="256"/>
      <c r="D97" s="256"/>
      <c r="E97" s="257" t="s">
        <v>732</v>
      </c>
      <c r="F97" s="94"/>
      <c r="G97" s="94"/>
      <c r="H97" s="94"/>
      <c r="I97" s="94"/>
      <c r="J97" s="94"/>
      <c r="K97" s="94"/>
      <c r="L97" s="94"/>
      <c r="M97" s="117"/>
      <c r="N97" s="245"/>
      <c r="O97" s="245"/>
      <c r="P97" s="245"/>
      <c r="Q97" s="245"/>
      <c r="R97" s="245"/>
      <c r="S97" s="245"/>
      <c r="T97" s="245"/>
      <c r="U97" s="245"/>
      <c r="V97" s="245"/>
      <c r="W97" s="245"/>
      <c r="X97" s="245"/>
      <c r="Y97" s="245"/>
      <c r="Z97" s="245"/>
      <c r="AA97" s="245"/>
      <c r="AB97" s="245"/>
      <c r="AC97" s="245"/>
    </row>
    <row r="98" ht="13.5" customHeight="1">
      <c r="A98" s="255"/>
      <c r="B98" s="256" t="s">
        <v>733</v>
      </c>
      <c r="C98" s="256"/>
      <c r="D98" s="256"/>
      <c r="E98" s="257" t="s">
        <v>734</v>
      </c>
      <c r="F98" s="94"/>
      <c r="G98" s="94"/>
      <c r="H98" s="94"/>
      <c r="I98" s="94"/>
      <c r="J98" s="94"/>
      <c r="K98" s="94"/>
      <c r="L98" s="94"/>
      <c r="M98" s="117"/>
      <c r="N98" s="245"/>
      <c r="O98" s="245"/>
      <c r="P98" s="245"/>
      <c r="Q98" s="245"/>
      <c r="R98" s="245"/>
      <c r="S98" s="245"/>
      <c r="T98" s="245"/>
      <c r="U98" s="245"/>
      <c r="V98" s="245"/>
      <c r="W98" s="245"/>
      <c r="X98" s="245"/>
      <c r="Y98" s="245"/>
      <c r="Z98" s="245"/>
      <c r="AA98" s="245"/>
      <c r="AB98" s="245"/>
      <c r="AC98" s="245"/>
    </row>
    <row r="99" ht="13.5" customHeight="1">
      <c r="A99" s="259"/>
      <c r="B99" s="260" t="s">
        <v>735</v>
      </c>
      <c r="C99" s="260"/>
      <c r="D99" s="260"/>
      <c r="E99" s="261" t="s">
        <v>736</v>
      </c>
      <c r="F99" s="130"/>
      <c r="G99" s="130"/>
      <c r="H99" s="130"/>
      <c r="I99" s="130"/>
      <c r="J99" s="130"/>
      <c r="K99" s="130"/>
      <c r="L99" s="130"/>
      <c r="M99" s="131"/>
      <c r="N99" s="262"/>
      <c r="O99" s="262"/>
      <c r="P99" s="262"/>
      <c r="Q99" s="262"/>
      <c r="R99" s="262"/>
      <c r="S99" s="262"/>
      <c r="T99" s="262"/>
      <c r="U99" s="262"/>
      <c r="V99" s="262"/>
      <c r="W99" s="262"/>
      <c r="X99" s="262"/>
      <c r="Y99" s="262"/>
      <c r="Z99" s="262"/>
      <c r="AA99" s="262"/>
      <c r="AB99" s="262"/>
      <c r="AC99" s="262"/>
    </row>
    <row r="100" ht="13.5" customHeight="1">
      <c r="A100" s="263"/>
      <c r="B100" s="263"/>
      <c r="C100" s="264"/>
      <c r="D100" s="264"/>
      <c r="E100" s="265"/>
      <c r="F100" s="265"/>
      <c r="G100" s="263"/>
      <c r="H100" s="263"/>
      <c r="I100" s="263"/>
      <c r="J100" s="266"/>
      <c r="K100" s="266"/>
      <c r="L100" s="263"/>
      <c r="M100" s="263"/>
      <c r="N100" s="267"/>
      <c r="O100" s="267"/>
      <c r="P100" s="267"/>
      <c r="Q100" s="267"/>
      <c r="R100" s="267"/>
      <c r="S100" s="267"/>
      <c r="T100" s="267"/>
      <c r="U100" s="267"/>
      <c r="V100" s="267"/>
      <c r="W100" s="267"/>
      <c r="X100" s="267"/>
      <c r="Y100" s="267"/>
      <c r="Z100" s="267"/>
      <c r="AA100" s="267"/>
      <c r="AB100" s="267"/>
      <c r="AC100" s="267"/>
    </row>
    <row r="101" ht="13.5" customHeight="1">
      <c r="A101" s="268" t="s">
        <v>28</v>
      </c>
      <c r="B101" s="269" t="s">
        <v>222</v>
      </c>
      <c r="C101" s="270" t="s">
        <v>737</v>
      </c>
      <c r="D101" s="270" t="s">
        <v>674</v>
      </c>
      <c r="E101" s="270" t="s">
        <v>675</v>
      </c>
      <c r="F101" s="270" t="s">
        <v>676</v>
      </c>
      <c r="G101" s="269" t="s">
        <v>737</v>
      </c>
      <c r="H101" s="269" t="s">
        <v>674</v>
      </c>
      <c r="I101" s="269" t="s">
        <v>676</v>
      </c>
      <c r="J101" s="270" t="s">
        <v>34</v>
      </c>
      <c r="K101" s="270" t="s">
        <v>678</v>
      </c>
      <c r="L101" s="269" t="s">
        <v>679</v>
      </c>
      <c r="M101" s="271" t="s">
        <v>824</v>
      </c>
      <c r="N101" s="267"/>
      <c r="O101" s="267" t="s">
        <v>680</v>
      </c>
      <c r="P101" s="267"/>
      <c r="Q101" s="267"/>
      <c r="R101" s="267"/>
      <c r="S101" s="267"/>
      <c r="T101" s="267"/>
      <c r="U101" s="267"/>
      <c r="V101" s="267"/>
      <c r="W101" s="267"/>
      <c r="X101" s="267"/>
      <c r="Y101" s="267"/>
      <c r="Z101" s="267"/>
      <c r="AA101" s="267"/>
      <c r="AB101" s="267"/>
      <c r="AC101" s="267"/>
    </row>
    <row r="102" ht="13.5" customHeight="1">
      <c r="A102" s="53"/>
      <c r="B102" s="54"/>
      <c r="C102" s="54"/>
      <c r="D102" s="54"/>
      <c r="E102" s="54"/>
      <c r="F102" s="54"/>
      <c r="G102" s="54"/>
      <c r="H102" s="54"/>
      <c r="I102" s="54"/>
      <c r="J102" s="54"/>
      <c r="K102" s="54"/>
      <c r="L102" s="54"/>
      <c r="M102" s="272"/>
      <c r="N102" s="267"/>
      <c r="O102" s="267"/>
      <c r="P102" s="267"/>
      <c r="Q102" s="267"/>
      <c r="R102" s="267"/>
      <c r="S102" s="267"/>
      <c r="T102" s="267"/>
      <c r="U102" s="267"/>
      <c r="V102" s="267"/>
      <c r="W102" s="267"/>
      <c r="X102" s="267"/>
      <c r="Y102" s="267"/>
      <c r="Z102" s="267"/>
      <c r="AA102" s="267"/>
      <c r="AB102" s="267"/>
      <c r="AC102" s="267"/>
    </row>
    <row r="103" ht="13.5" customHeight="1">
      <c r="A103" s="273"/>
      <c r="B103" s="274" t="s">
        <v>681</v>
      </c>
      <c r="C103" s="275"/>
      <c r="D103" s="275"/>
      <c r="E103" s="275"/>
      <c r="F103" s="275"/>
      <c r="G103" s="276"/>
      <c r="H103" s="276"/>
      <c r="I103" s="276"/>
      <c r="J103" s="275"/>
      <c r="K103" s="275"/>
      <c r="L103" s="277"/>
      <c r="M103" s="278"/>
      <c r="N103" s="267"/>
      <c r="O103" s="267"/>
      <c r="P103" s="267"/>
      <c r="Q103" s="279"/>
      <c r="R103" s="280"/>
      <c r="S103" s="280"/>
      <c r="T103" s="280"/>
      <c r="U103" s="280"/>
      <c r="V103" s="280"/>
      <c r="W103" s="280"/>
      <c r="X103" s="280"/>
      <c r="Y103" s="280"/>
      <c r="Z103" s="280"/>
      <c r="AA103" s="280"/>
      <c r="AB103" s="280"/>
      <c r="AC103" s="280"/>
      <c r="AD103" s="280"/>
      <c r="AE103" s="280"/>
    </row>
    <row r="104" ht="13.5" customHeight="1">
      <c r="A104" s="281"/>
      <c r="B104" s="274" t="s">
        <v>825</v>
      </c>
      <c r="C104" s="282"/>
      <c r="D104" s="282"/>
      <c r="E104" s="282"/>
      <c r="F104" s="282"/>
      <c r="G104" s="274"/>
      <c r="H104" s="274"/>
      <c r="I104" s="274"/>
      <c r="J104" s="282"/>
      <c r="K104" s="282"/>
      <c r="L104" s="283"/>
      <c r="M104" s="284"/>
      <c r="N104" s="279"/>
      <c r="O104" s="279"/>
      <c r="P104" s="279"/>
      <c r="Q104" s="279"/>
      <c r="R104" s="279"/>
      <c r="S104" s="279"/>
      <c r="T104" s="279"/>
      <c r="U104" s="279"/>
      <c r="V104" s="279"/>
      <c r="W104" s="279"/>
      <c r="X104" s="279"/>
      <c r="Y104" s="279"/>
      <c r="Z104" s="279"/>
      <c r="AA104" s="279"/>
      <c r="AB104" s="279"/>
      <c r="AC104" s="279"/>
      <c r="AD104" s="279"/>
      <c r="AE104" s="279"/>
    </row>
    <row r="105" ht="13.5" customHeight="1">
      <c r="A105" s="285"/>
      <c r="B105" s="286" t="s">
        <v>826</v>
      </c>
      <c r="C105" s="287">
        <v>4.0</v>
      </c>
      <c r="D105" s="287">
        <v>1.5</v>
      </c>
      <c r="E105" s="288">
        <f>C105*D105</f>
        <v>6</v>
      </c>
      <c r="F105" s="287" t="s">
        <v>683</v>
      </c>
      <c r="G105" s="289">
        <f t="shared" ref="G105:H105" si="1">C105*300</f>
        <v>1200</v>
      </c>
      <c r="H105" s="289">
        <f t="shared" si="1"/>
        <v>450</v>
      </c>
      <c r="I105" s="289" t="s">
        <v>684</v>
      </c>
      <c r="J105" s="290">
        <v>3808.0</v>
      </c>
      <c r="K105" s="290">
        <v>1.0</v>
      </c>
      <c r="L105" s="291">
        <f>K105*J105*E105</f>
        <v>22848</v>
      </c>
      <c r="M105" s="292">
        <f>L105-L105*0.4</f>
        <v>13708.8</v>
      </c>
      <c r="N105" s="279"/>
      <c r="O105" s="279"/>
      <c r="P105" s="279"/>
      <c r="Q105" s="279"/>
      <c r="R105" s="279"/>
      <c r="S105" s="279"/>
      <c r="T105" s="279"/>
      <c r="U105" s="279"/>
      <c r="V105" s="279"/>
      <c r="W105" s="279"/>
      <c r="X105" s="279"/>
      <c r="Y105" s="279"/>
      <c r="Z105" s="279"/>
      <c r="AA105" s="279"/>
      <c r="AB105" s="279"/>
      <c r="AC105" s="279"/>
      <c r="AD105" s="293"/>
      <c r="AE105" s="293"/>
      <c r="AF105" s="293"/>
      <c r="AG105" s="293"/>
      <c r="AH105" s="293"/>
      <c r="AI105" s="293"/>
      <c r="AJ105" s="293"/>
      <c r="AK105" s="293"/>
      <c r="AL105" s="293"/>
      <c r="AM105" s="293"/>
      <c r="AN105" s="293"/>
      <c r="AO105" s="293"/>
      <c r="AP105" s="293"/>
      <c r="AQ105" s="293"/>
    </row>
    <row r="106" ht="13.5" customHeight="1">
      <c r="A106" s="281"/>
      <c r="B106" s="274" t="s">
        <v>827</v>
      </c>
      <c r="C106" s="282"/>
      <c r="D106" s="282"/>
      <c r="E106" s="282"/>
      <c r="F106" s="282"/>
      <c r="G106" s="274"/>
      <c r="H106" s="274"/>
      <c r="I106" s="274"/>
      <c r="J106" s="282"/>
      <c r="K106" s="282"/>
      <c r="L106" s="283"/>
      <c r="M106" s="284"/>
      <c r="N106" s="279"/>
      <c r="O106" s="279"/>
      <c r="P106" s="279"/>
      <c r="Q106" s="279"/>
      <c r="R106" s="279"/>
      <c r="S106" s="279"/>
      <c r="T106" s="279"/>
      <c r="U106" s="279"/>
      <c r="V106" s="279"/>
      <c r="W106" s="279"/>
      <c r="X106" s="279"/>
      <c r="Y106" s="279"/>
      <c r="Z106" s="279"/>
      <c r="AA106" s="279"/>
      <c r="AB106" s="279"/>
      <c r="AC106" s="279"/>
      <c r="AD106" s="279"/>
      <c r="AE106" s="279"/>
      <c r="AF106" s="293"/>
      <c r="AG106" s="293"/>
      <c r="AH106" s="293"/>
      <c r="AI106" s="293"/>
      <c r="AJ106" s="293"/>
      <c r="AK106" s="293"/>
      <c r="AL106" s="293"/>
      <c r="AM106" s="293"/>
      <c r="AN106" s="293"/>
      <c r="AO106" s="293"/>
      <c r="AP106" s="293"/>
      <c r="AQ106" s="293"/>
    </row>
    <row r="107" ht="13.5" customHeight="1">
      <c r="A107" s="285"/>
      <c r="B107" s="286" t="s">
        <v>828</v>
      </c>
      <c r="C107" s="287">
        <v>3.25</v>
      </c>
      <c r="D107" s="287">
        <v>7.0</v>
      </c>
      <c r="E107" s="288">
        <f>C107*D107</f>
        <v>22.75</v>
      </c>
      <c r="F107" s="287" t="s">
        <v>683</v>
      </c>
      <c r="G107" s="289">
        <f t="shared" ref="G107:H107" si="2">C107*300</f>
        <v>975</v>
      </c>
      <c r="H107" s="289">
        <f t="shared" si="2"/>
        <v>2100</v>
      </c>
      <c r="I107" s="289" t="s">
        <v>684</v>
      </c>
      <c r="J107" s="290">
        <v>6748.0</v>
      </c>
      <c r="K107" s="290">
        <v>1.0</v>
      </c>
      <c r="L107" s="291">
        <f>K107*J107*E107</f>
        <v>153517</v>
      </c>
      <c r="M107" s="292">
        <f>L107-L107*0.4</f>
        <v>92110.2</v>
      </c>
      <c r="N107" s="279"/>
      <c r="O107" s="279"/>
      <c r="P107" s="279"/>
      <c r="Q107" s="279"/>
      <c r="R107" s="279"/>
      <c r="S107" s="279"/>
      <c r="T107" s="279"/>
      <c r="U107" s="279"/>
      <c r="V107" s="279"/>
      <c r="W107" s="279"/>
      <c r="X107" s="279"/>
      <c r="Y107" s="279"/>
      <c r="Z107" s="279"/>
      <c r="AA107" s="279"/>
      <c r="AB107" s="279"/>
      <c r="AC107" s="279"/>
      <c r="AD107" s="293"/>
      <c r="AE107" s="293"/>
      <c r="AF107" s="293"/>
      <c r="AG107" s="293"/>
      <c r="AH107" s="293"/>
      <c r="AI107" s="293"/>
      <c r="AJ107" s="293"/>
      <c r="AK107" s="293"/>
      <c r="AL107" s="293"/>
      <c r="AM107" s="293"/>
      <c r="AN107" s="293"/>
      <c r="AO107" s="293"/>
      <c r="AP107" s="293"/>
      <c r="AQ107" s="293"/>
    </row>
    <row r="108" ht="13.5" customHeight="1">
      <c r="A108" s="281"/>
      <c r="B108" s="274" t="s">
        <v>829</v>
      </c>
      <c r="C108" s="282"/>
      <c r="D108" s="282"/>
      <c r="E108" s="282"/>
      <c r="F108" s="282"/>
      <c r="G108" s="274"/>
      <c r="H108" s="274"/>
      <c r="I108" s="274"/>
      <c r="J108" s="282"/>
      <c r="K108" s="282"/>
      <c r="L108" s="283"/>
      <c r="M108" s="284"/>
      <c r="N108" s="279"/>
      <c r="O108" s="279"/>
      <c r="P108" s="279"/>
      <c r="Q108" s="279"/>
      <c r="R108" s="279"/>
      <c r="S108" s="279"/>
      <c r="T108" s="279"/>
      <c r="U108" s="279"/>
      <c r="V108" s="279"/>
      <c r="W108" s="279"/>
      <c r="X108" s="279"/>
      <c r="Y108" s="279"/>
      <c r="Z108" s="279"/>
      <c r="AA108" s="279"/>
      <c r="AB108" s="279"/>
      <c r="AC108" s="279"/>
      <c r="AD108" s="279"/>
      <c r="AE108" s="279"/>
      <c r="AF108" s="293"/>
      <c r="AG108" s="293"/>
      <c r="AH108" s="293"/>
      <c r="AI108" s="293"/>
      <c r="AJ108" s="293"/>
      <c r="AK108" s="293"/>
      <c r="AL108" s="293"/>
      <c r="AM108" s="293"/>
      <c r="AN108" s="293"/>
      <c r="AO108" s="293"/>
      <c r="AP108" s="293"/>
      <c r="AQ108" s="293"/>
    </row>
    <row r="109" ht="13.5" customHeight="1">
      <c r="A109" s="294"/>
      <c r="B109" s="295" t="s">
        <v>830</v>
      </c>
      <c r="C109" s="287">
        <v>13.75</v>
      </c>
      <c r="D109" s="287">
        <v>5.75</v>
      </c>
      <c r="E109" s="288">
        <f t="shared" ref="E109:E111" si="4">C109*D109</f>
        <v>79.0625</v>
      </c>
      <c r="F109" s="287" t="s">
        <v>683</v>
      </c>
      <c r="G109" s="289">
        <f t="shared" ref="G109:H109" si="3">C109*300</f>
        <v>4125</v>
      </c>
      <c r="H109" s="289">
        <f t="shared" si="3"/>
        <v>1725</v>
      </c>
      <c r="I109" s="296" t="s">
        <v>684</v>
      </c>
      <c r="J109" s="297">
        <f>1547+357</f>
        <v>1904</v>
      </c>
      <c r="K109" s="297">
        <v>1.0</v>
      </c>
      <c r="L109" s="291">
        <f t="shared" ref="L109:L111" si="6">K109*J109*E109</f>
        <v>150535</v>
      </c>
      <c r="M109" s="292">
        <f t="shared" ref="M109:M111" si="7">L109-L109*0.4</f>
        <v>90321</v>
      </c>
      <c r="N109" s="267"/>
      <c r="O109" s="267"/>
      <c r="P109" s="267"/>
      <c r="Q109" s="267"/>
      <c r="R109" s="267"/>
      <c r="S109" s="267"/>
      <c r="T109" s="279"/>
      <c r="U109" s="279"/>
      <c r="V109" s="279"/>
      <c r="W109" s="279"/>
      <c r="X109" s="279"/>
      <c r="Y109" s="279"/>
      <c r="Z109" s="279"/>
      <c r="AA109" s="279"/>
      <c r="AB109" s="279"/>
      <c r="AC109" s="279"/>
      <c r="AD109" s="293"/>
      <c r="AE109" s="293"/>
      <c r="AF109" s="293"/>
      <c r="AG109" s="293"/>
      <c r="AH109" s="293"/>
      <c r="AI109" s="293"/>
      <c r="AJ109" s="293"/>
      <c r="AK109" s="293"/>
      <c r="AL109" s="293"/>
      <c r="AM109" s="293"/>
      <c r="AN109" s="293"/>
      <c r="AO109" s="293"/>
      <c r="AP109" s="293"/>
      <c r="AQ109" s="293"/>
    </row>
    <row r="110" ht="13.5" customHeight="1">
      <c r="A110" s="285"/>
      <c r="B110" s="286" t="s">
        <v>831</v>
      </c>
      <c r="C110" s="287">
        <v>13.75</v>
      </c>
      <c r="D110" s="287">
        <v>1.5</v>
      </c>
      <c r="E110" s="288">
        <f t="shared" si="4"/>
        <v>20.625</v>
      </c>
      <c r="F110" s="287" t="s">
        <v>683</v>
      </c>
      <c r="G110" s="289">
        <f t="shared" ref="G110:H110" si="5">C110*300</f>
        <v>4125</v>
      </c>
      <c r="H110" s="289">
        <f t="shared" si="5"/>
        <v>450</v>
      </c>
      <c r="I110" s="289" t="s">
        <v>684</v>
      </c>
      <c r="J110" s="290">
        <v>3843.0</v>
      </c>
      <c r="K110" s="290">
        <v>1.0</v>
      </c>
      <c r="L110" s="291">
        <f t="shared" si="6"/>
        <v>79261.875</v>
      </c>
      <c r="M110" s="292">
        <f t="shared" si="7"/>
        <v>47557.125</v>
      </c>
      <c r="N110" s="279"/>
      <c r="O110" s="279"/>
      <c r="P110" s="279"/>
      <c r="Q110" s="279"/>
      <c r="R110" s="279"/>
      <c r="S110" s="279"/>
      <c r="T110" s="279"/>
      <c r="U110" s="279"/>
      <c r="V110" s="279"/>
      <c r="W110" s="279"/>
      <c r="X110" s="279"/>
      <c r="Y110" s="279"/>
      <c r="Z110" s="279"/>
      <c r="AA110" s="279"/>
      <c r="AB110" s="279"/>
      <c r="AC110" s="279"/>
      <c r="AD110" s="293"/>
      <c r="AE110" s="293"/>
      <c r="AF110" s="293"/>
      <c r="AG110" s="293"/>
      <c r="AH110" s="293"/>
      <c r="AI110" s="293"/>
      <c r="AJ110" s="293"/>
      <c r="AK110" s="293"/>
      <c r="AL110" s="293"/>
      <c r="AM110" s="293"/>
      <c r="AN110" s="293"/>
      <c r="AO110" s="293"/>
      <c r="AP110" s="293"/>
      <c r="AQ110" s="293"/>
    </row>
    <row r="111" ht="13.5" customHeight="1">
      <c r="A111" s="285"/>
      <c r="B111" s="286" t="s">
        <v>832</v>
      </c>
      <c r="C111" s="287">
        <v>1.5</v>
      </c>
      <c r="D111" s="287">
        <v>7.0</v>
      </c>
      <c r="E111" s="288">
        <f t="shared" si="4"/>
        <v>10.5</v>
      </c>
      <c r="F111" s="287" t="s">
        <v>683</v>
      </c>
      <c r="G111" s="289">
        <f t="shared" ref="G111:H111" si="8">C111*300</f>
        <v>450</v>
      </c>
      <c r="H111" s="289">
        <f t="shared" si="8"/>
        <v>2100</v>
      </c>
      <c r="I111" s="289" t="s">
        <v>684</v>
      </c>
      <c r="J111" s="290">
        <v>6621.0</v>
      </c>
      <c r="K111" s="290">
        <v>1.0</v>
      </c>
      <c r="L111" s="291">
        <f t="shared" si="6"/>
        <v>69520.5</v>
      </c>
      <c r="M111" s="292">
        <f t="shared" si="7"/>
        <v>41712.3</v>
      </c>
      <c r="N111" s="279"/>
      <c r="O111" s="279"/>
      <c r="P111" s="279"/>
      <c r="Q111" s="279"/>
      <c r="R111" s="279"/>
      <c r="S111" s="279"/>
      <c r="T111" s="279"/>
      <c r="U111" s="279"/>
      <c r="V111" s="279"/>
      <c r="W111" s="279"/>
      <c r="X111" s="279"/>
      <c r="Y111" s="279"/>
      <c r="Z111" s="279"/>
      <c r="AA111" s="279"/>
      <c r="AB111" s="279"/>
      <c r="AC111" s="279"/>
      <c r="AD111" s="293"/>
      <c r="AE111" s="293"/>
      <c r="AF111" s="293"/>
      <c r="AG111" s="293"/>
      <c r="AH111" s="293"/>
      <c r="AI111" s="293"/>
      <c r="AJ111" s="293"/>
      <c r="AK111" s="293"/>
      <c r="AL111" s="293"/>
      <c r="AM111" s="293"/>
      <c r="AN111" s="293"/>
      <c r="AO111" s="293"/>
      <c r="AP111" s="293"/>
      <c r="AQ111" s="293"/>
    </row>
    <row r="112" ht="13.5" customHeight="1">
      <c r="A112" s="281"/>
      <c r="B112" s="274" t="s">
        <v>833</v>
      </c>
      <c r="C112" s="282"/>
      <c r="D112" s="282"/>
      <c r="E112" s="282"/>
      <c r="F112" s="282"/>
      <c r="G112" s="274"/>
      <c r="H112" s="274"/>
      <c r="I112" s="274"/>
      <c r="J112" s="282"/>
      <c r="K112" s="282"/>
      <c r="L112" s="283"/>
      <c r="M112" s="284"/>
      <c r="N112" s="279"/>
      <c r="O112" s="279"/>
      <c r="P112" s="279"/>
      <c r="Q112" s="279"/>
      <c r="R112" s="279"/>
      <c r="S112" s="279"/>
      <c r="T112" s="279"/>
      <c r="U112" s="279"/>
      <c r="V112" s="279"/>
      <c r="W112" s="279"/>
      <c r="X112" s="279"/>
      <c r="Y112" s="279"/>
      <c r="Z112" s="279"/>
      <c r="AA112" s="279"/>
      <c r="AB112" s="279"/>
      <c r="AC112" s="279"/>
      <c r="AD112" s="279"/>
      <c r="AE112" s="279"/>
      <c r="AF112" s="293"/>
      <c r="AG112" s="293"/>
      <c r="AH112" s="293"/>
      <c r="AI112" s="293"/>
      <c r="AJ112" s="293"/>
      <c r="AK112" s="293"/>
      <c r="AL112" s="293"/>
      <c r="AM112" s="293"/>
      <c r="AN112" s="293"/>
      <c r="AO112" s="293"/>
      <c r="AP112" s="293"/>
      <c r="AQ112" s="293"/>
    </row>
    <row r="113" ht="13.5" customHeight="1">
      <c r="A113" s="285"/>
      <c r="B113" s="286" t="s">
        <v>834</v>
      </c>
      <c r="C113" s="287">
        <v>3.5</v>
      </c>
      <c r="D113" s="287">
        <v>6.0</v>
      </c>
      <c r="E113" s="288">
        <f t="shared" ref="E113:E116" si="10">C113*D113</f>
        <v>21</v>
      </c>
      <c r="F113" s="287" t="s">
        <v>683</v>
      </c>
      <c r="G113" s="289">
        <f t="shared" ref="G113:H113" si="9">C113*300</f>
        <v>1050</v>
      </c>
      <c r="H113" s="289">
        <f t="shared" si="9"/>
        <v>1800</v>
      </c>
      <c r="I113" s="289" t="s">
        <v>684</v>
      </c>
      <c r="J113" s="290">
        <v>6621.0</v>
      </c>
      <c r="K113" s="290">
        <v>1.0</v>
      </c>
      <c r="L113" s="291">
        <f t="shared" ref="L113:L116" si="12">K113*J113*E113</f>
        <v>139041</v>
      </c>
      <c r="M113" s="292">
        <f t="shared" ref="M113:M116" si="13">L113-L113*0.4</f>
        <v>83424.6</v>
      </c>
      <c r="N113" s="279"/>
      <c r="O113" s="279"/>
      <c r="P113" s="279"/>
      <c r="Q113" s="279"/>
      <c r="R113" s="279"/>
      <c r="S113" s="279"/>
      <c r="T113" s="279"/>
      <c r="U113" s="279"/>
      <c r="V113" s="279"/>
      <c r="W113" s="279"/>
      <c r="X113" s="279"/>
      <c r="Y113" s="279"/>
      <c r="Z113" s="279"/>
      <c r="AA113" s="279"/>
      <c r="AB113" s="279"/>
      <c r="AC113" s="279"/>
      <c r="AD113" s="293"/>
      <c r="AE113" s="293"/>
      <c r="AF113" s="293"/>
      <c r="AG113" s="293"/>
      <c r="AH113" s="293"/>
      <c r="AI113" s="293"/>
      <c r="AJ113" s="293"/>
      <c r="AK113" s="293"/>
      <c r="AL113" s="293"/>
      <c r="AM113" s="293"/>
      <c r="AN113" s="293"/>
      <c r="AO113" s="293"/>
      <c r="AP113" s="293"/>
      <c r="AQ113" s="293"/>
    </row>
    <row r="114" ht="13.5" customHeight="1">
      <c r="A114" s="285"/>
      <c r="B114" s="286" t="s">
        <v>835</v>
      </c>
      <c r="C114" s="287">
        <v>4.25</v>
      </c>
      <c r="D114" s="287">
        <v>6.25</v>
      </c>
      <c r="E114" s="288">
        <f t="shared" si="10"/>
        <v>26.5625</v>
      </c>
      <c r="F114" s="287" t="s">
        <v>683</v>
      </c>
      <c r="G114" s="289">
        <f t="shared" ref="G114:H114" si="11">C114*300</f>
        <v>1275</v>
      </c>
      <c r="H114" s="289">
        <f t="shared" si="11"/>
        <v>1875</v>
      </c>
      <c r="I114" s="289" t="s">
        <v>684</v>
      </c>
      <c r="J114" s="290">
        <v>3812.0</v>
      </c>
      <c r="K114" s="290">
        <v>2.0</v>
      </c>
      <c r="L114" s="291">
        <f t="shared" si="12"/>
        <v>202512.5</v>
      </c>
      <c r="M114" s="292">
        <f t="shared" si="13"/>
        <v>121507.5</v>
      </c>
      <c r="N114" s="279"/>
      <c r="O114" s="279"/>
      <c r="P114" s="279"/>
      <c r="Q114" s="279"/>
      <c r="R114" s="279"/>
      <c r="S114" s="279"/>
      <c r="T114" s="279"/>
      <c r="U114" s="279"/>
      <c r="V114" s="279"/>
      <c r="W114" s="279"/>
      <c r="X114" s="279"/>
      <c r="Y114" s="279"/>
      <c r="Z114" s="279"/>
      <c r="AA114" s="279"/>
      <c r="AB114" s="279"/>
      <c r="AC114" s="279"/>
      <c r="AD114" s="293"/>
      <c r="AE114" s="293"/>
      <c r="AF114" s="293"/>
      <c r="AG114" s="293"/>
      <c r="AH114" s="293"/>
      <c r="AI114" s="293"/>
      <c r="AJ114" s="293"/>
      <c r="AK114" s="293"/>
      <c r="AL114" s="293"/>
      <c r="AM114" s="293"/>
      <c r="AN114" s="293"/>
      <c r="AO114" s="293"/>
      <c r="AP114" s="293"/>
      <c r="AQ114" s="293"/>
    </row>
    <row r="115" ht="13.5" customHeight="1">
      <c r="A115" s="285"/>
      <c r="B115" s="286" t="s">
        <v>836</v>
      </c>
      <c r="C115" s="287">
        <v>4.25</v>
      </c>
      <c r="D115" s="287">
        <v>4.5</v>
      </c>
      <c r="E115" s="288">
        <f t="shared" si="10"/>
        <v>19.125</v>
      </c>
      <c r="F115" s="287" t="s">
        <v>683</v>
      </c>
      <c r="G115" s="289">
        <f t="shared" ref="G115:H115" si="14">C115*300</f>
        <v>1275</v>
      </c>
      <c r="H115" s="289">
        <f t="shared" si="14"/>
        <v>1350</v>
      </c>
      <c r="I115" s="289" t="s">
        <v>684</v>
      </c>
      <c r="J115" s="290">
        <v>2003.0</v>
      </c>
      <c r="K115" s="290">
        <v>1.0</v>
      </c>
      <c r="L115" s="291">
        <f t="shared" si="12"/>
        <v>38307.375</v>
      </c>
      <c r="M115" s="292">
        <f t="shared" si="13"/>
        <v>22984.425</v>
      </c>
      <c r="N115" s="279"/>
      <c r="O115" s="279"/>
      <c r="P115" s="279"/>
      <c r="Q115" s="279"/>
      <c r="R115" s="279"/>
      <c r="S115" s="279"/>
      <c r="T115" s="279"/>
      <c r="U115" s="279"/>
      <c r="V115" s="279"/>
      <c r="W115" s="279"/>
      <c r="X115" s="279"/>
      <c r="Y115" s="279"/>
      <c r="Z115" s="279"/>
      <c r="AA115" s="279"/>
      <c r="AB115" s="279"/>
      <c r="AC115" s="279"/>
      <c r="AD115" s="293"/>
      <c r="AE115" s="293"/>
      <c r="AF115" s="293"/>
      <c r="AG115" s="293"/>
      <c r="AH115" s="293"/>
      <c r="AI115" s="293"/>
      <c r="AJ115" s="293"/>
      <c r="AK115" s="293"/>
      <c r="AL115" s="293"/>
      <c r="AM115" s="293"/>
      <c r="AN115" s="293"/>
      <c r="AO115" s="293"/>
      <c r="AP115" s="293"/>
      <c r="AQ115" s="293"/>
    </row>
    <row r="116" ht="13.5" customHeight="1">
      <c r="A116" s="285"/>
      <c r="B116" s="286" t="s">
        <v>838</v>
      </c>
      <c r="C116" s="287">
        <v>4.25</v>
      </c>
      <c r="D116" s="287">
        <v>4.5</v>
      </c>
      <c r="E116" s="288">
        <f t="shared" si="10"/>
        <v>19.125</v>
      </c>
      <c r="F116" s="287" t="s">
        <v>683</v>
      </c>
      <c r="G116" s="289">
        <f t="shared" ref="G116:H116" si="15">C116*300</f>
        <v>1275</v>
      </c>
      <c r="H116" s="289">
        <f t="shared" si="15"/>
        <v>1350</v>
      </c>
      <c r="I116" s="289" t="s">
        <v>684</v>
      </c>
      <c r="J116" s="290">
        <v>1428.0</v>
      </c>
      <c r="K116" s="290">
        <v>1.0</v>
      </c>
      <c r="L116" s="291">
        <f t="shared" si="12"/>
        <v>27310.5</v>
      </c>
      <c r="M116" s="292">
        <f t="shared" si="13"/>
        <v>16386.3</v>
      </c>
      <c r="N116" s="279"/>
      <c r="O116" s="279"/>
      <c r="P116" s="279"/>
      <c r="Q116" s="279"/>
      <c r="R116" s="279"/>
      <c r="S116" s="279"/>
      <c r="T116" s="279"/>
      <c r="U116" s="279"/>
      <c r="V116" s="279"/>
      <c r="W116" s="279"/>
      <c r="X116" s="279"/>
      <c r="Y116" s="279"/>
      <c r="Z116" s="279"/>
      <c r="AA116" s="279"/>
      <c r="AB116" s="279"/>
      <c r="AC116" s="279"/>
      <c r="AD116" s="293"/>
      <c r="AE116" s="293"/>
      <c r="AF116" s="293"/>
      <c r="AG116" s="293"/>
      <c r="AH116" s="293"/>
      <c r="AI116" s="293"/>
      <c r="AJ116" s="293"/>
      <c r="AK116" s="293"/>
      <c r="AL116" s="293"/>
      <c r="AM116" s="293"/>
      <c r="AN116" s="293"/>
      <c r="AO116" s="293"/>
      <c r="AP116" s="293"/>
      <c r="AQ116" s="293"/>
    </row>
    <row r="117" ht="13.5" customHeight="1">
      <c r="A117" s="298"/>
      <c r="B117" s="274" t="s">
        <v>688</v>
      </c>
      <c r="C117" s="299"/>
      <c r="D117" s="299"/>
      <c r="E117" s="300"/>
      <c r="F117" s="299"/>
      <c r="G117" s="301"/>
      <c r="H117" s="301"/>
      <c r="I117" s="301"/>
      <c r="J117" s="302"/>
      <c r="K117" s="302"/>
      <c r="L117" s="303"/>
      <c r="M117" s="284"/>
      <c r="N117" s="304"/>
      <c r="O117" s="304"/>
      <c r="P117" s="304"/>
      <c r="Q117" s="304"/>
      <c r="R117" s="304"/>
      <c r="S117" s="304"/>
      <c r="T117" s="304"/>
      <c r="U117" s="304"/>
      <c r="V117" s="304"/>
      <c r="W117" s="304"/>
      <c r="X117" s="304"/>
      <c r="Y117" s="304"/>
      <c r="Z117" s="304"/>
      <c r="AA117" s="304"/>
      <c r="AB117" s="304"/>
      <c r="AC117" s="304"/>
      <c r="AD117" s="304"/>
      <c r="AE117" s="304"/>
    </row>
    <row r="118" ht="13.5" customHeight="1">
      <c r="A118" s="285"/>
      <c r="B118" s="286" t="s">
        <v>839</v>
      </c>
      <c r="C118" s="287">
        <v>7.75</v>
      </c>
      <c r="D118" s="287">
        <v>3.0</v>
      </c>
      <c r="E118" s="288">
        <f t="shared" ref="E118:E127" si="17">C118*D118</f>
        <v>23.25</v>
      </c>
      <c r="F118" s="287" t="s">
        <v>683</v>
      </c>
      <c r="G118" s="289">
        <f t="shared" ref="G118:H118" si="16">C118*300</f>
        <v>2325</v>
      </c>
      <c r="H118" s="289">
        <f t="shared" si="16"/>
        <v>900</v>
      </c>
      <c r="I118" s="289" t="s">
        <v>684</v>
      </c>
      <c r="J118" s="290">
        <f>1428+357</f>
        <v>1785</v>
      </c>
      <c r="K118" s="290">
        <v>1.0</v>
      </c>
      <c r="L118" s="291">
        <f t="shared" ref="L118:L127" si="19">K118*J118*E118</f>
        <v>41501.25</v>
      </c>
      <c r="M118" s="292">
        <f t="shared" ref="M118:M127" si="20">L118-L118*0.4</f>
        <v>24900.75</v>
      </c>
      <c r="N118" s="305" t="s">
        <v>942</v>
      </c>
      <c r="O118" s="279"/>
      <c r="P118" s="279"/>
      <c r="Q118" s="279"/>
      <c r="R118" s="279"/>
      <c r="S118" s="279"/>
      <c r="T118" s="279"/>
      <c r="U118" s="279"/>
      <c r="V118" s="279"/>
      <c r="W118" s="279"/>
      <c r="X118" s="279"/>
      <c r="Y118" s="279"/>
      <c r="Z118" s="279"/>
      <c r="AA118" s="279"/>
      <c r="AB118" s="279"/>
      <c r="AC118" s="279"/>
    </row>
    <row r="119" ht="13.5" customHeight="1">
      <c r="A119" s="285"/>
      <c r="B119" s="286" t="s">
        <v>840</v>
      </c>
      <c r="C119" s="287">
        <v>22.0</v>
      </c>
      <c r="D119" s="287">
        <v>3.0</v>
      </c>
      <c r="E119" s="288">
        <f t="shared" si="17"/>
        <v>66</v>
      </c>
      <c r="F119" s="287" t="s">
        <v>683</v>
      </c>
      <c r="G119" s="289">
        <f t="shared" ref="G119:H119" si="18">C119*300</f>
        <v>6600</v>
      </c>
      <c r="H119" s="289">
        <f t="shared" si="18"/>
        <v>900</v>
      </c>
      <c r="I119" s="289" t="s">
        <v>684</v>
      </c>
      <c r="J119" s="290">
        <v>5093.0</v>
      </c>
      <c r="K119" s="290">
        <v>1.0</v>
      </c>
      <c r="L119" s="291">
        <f t="shared" si="19"/>
        <v>336138</v>
      </c>
      <c r="M119" s="292">
        <f t="shared" si="20"/>
        <v>201682.8</v>
      </c>
      <c r="N119" s="279"/>
      <c r="O119" s="279"/>
      <c r="P119" s="279"/>
      <c r="Q119" s="279"/>
      <c r="R119" s="279"/>
      <c r="S119" s="279"/>
      <c r="T119" s="279"/>
      <c r="U119" s="279"/>
      <c r="V119" s="279"/>
      <c r="W119" s="279"/>
      <c r="X119" s="279"/>
      <c r="Y119" s="279"/>
      <c r="Z119" s="279"/>
      <c r="AA119" s="279"/>
      <c r="AB119" s="279"/>
      <c r="AC119" s="279"/>
    </row>
    <row r="120" ht="13.5" customHeight="1">
      <c r="A120" s="285"/>
      <c r="B120" s="286" t="s">
        <v>841</v>
      </c>
      <c r="C120" s="287">
        <v>14.5</v>
      </c>
      <c r="D120" s="287">
        <v>2.0</v>
      </c>
      <c r="E120" s="288">
        <f t="shared" si="17"/>
        <v>29</v>
      </c>
      <c r="F120" s="287" t="s">
        <v>683</v>
      </c>
      <c r="G120" s="289">
        <f t="shared" ref="G120:H120" si="21">C120*300</f>
        <v>4350</v>
      </c>
      <c r="H120" s="289">
        <f t="shared" si="21"/>
        <v>600</v>
      </c>
      <c r="I120" s="289" t="s">
        <v>684</v>
      </c>
      <c r="J120" s="290">
        <v>4607.0</v>
      </c>
      <c r="K120" s="290">
        <v>1.0</v>
      </c>
      <c r="L120" s="291">
        <f t="shared" si="19"/>
        <v>133603</v>
      </c>
      <c r="M120" s="292">
        <f t="shared" si="20"/>
        <v>80161.8</v>
      </c>
      <c r="N120" s="279"/>
      <c r="O120" s="279"/>
      <c r="P120" s="279"/>
      <c r="Q120" s="279"/>
      <c r="R120" s="279"/>
      <c r="S120" s="279"/>
      <c r="T120" s="279"/>
      <c r="U120" s="279"/>
      <c r="V120" s="279"/>
      <c r="W120" s="279"/>
      <c r="X120" s="279"/>
      <c r="Y120" s="279"/>
      <c r="Z120" s="279"/>
      <c r="AA120" s="279"/>
      <c r="AB120" s="279"/>
      <c r="AC120" s="279"/>
    </row>
    <row r="121" ht="13.5" customHeight="1">
      <c r="A121" s="285"/>
      <c r="B121" s="286" t="s">
        <v>842</v>
      </c>
      <c r="C121" s="287">
        <v>1.0</v>
      </c>
      <c r="D121" s="287">
        <v>4.0</v>
      </c>
      <c r="E121" s="288">
        <f t="shared" si="17"/>
        <v>4</v>
      </c>
      <c r="F121" s="287" t="s">
        <v>683</v>
      </c>
      <c r="G121" s="289">
        <f t="shared" ref="G121:H121" si="22">C121*300</f>
        <v>300</v>
      </c>
      <c r="H121" s="289">
        <f t="shared" si="22"/>
        <v>1200</v>
      </c>
      <c r="I121" s="289" t="s">
        <v>684</v>
      </c>
      <c r="J121" s="290">
        <v>6367.0</v>
      </c>
      <c r="K121" s="290">
        <v>1.0</v>
      </c>
      <c r="L121" s="291">
        <f t="shared" si="19"/>
        <v>25468</v>
      </c>
      <c r="M121" s="292">
        <f t="shared" si="20"/>
        <v>15280.8</v>
      </c>
      <c r="N121" s="279"/>
      <c r="O121" s="279"/>
      <c r="P121" s="279"/>
      <c r="Q121" s="279"/>
      <c r="R121" s="279"/>
      <c r="S121" s="279"/>
      <c r="T121" s="279"/>
      <c r="U121" s="279"/>
      <c r="V121" s="279"/>
      <c r="W121" s="279"/>
      <c r="X121" s="279"/>
      <c r="Y121" s="279"/>
      <c r="Z121" s="279"/>
      <c r="AA121" s="279"/>
      <c r="AB121" s="279"/>
      <c r="AC121" s="279"/>
    </row>
    <row r="122" ht="13.5" customHeight="1">
      <c r="A122" s="285"/>
      <c r="B122" s="286" t="s">
        <v>843</v>
      </c>
      <c r="C122" s="287">
        <v>5.5</v>
      </c>
      <c r="D122" s="287">
        <v>2.0</v>
      </c>
      <c r="E122" s="288">
        <f t="shared" si="17"/>
        <v>11</v>
      </c>
      <c r="F122" s="287" t="s">
        <v>683</v>
      </c>
      <c r="G122" s="289">
        <f t="shared" ref="G122:H122" si="23">C122*300</f>
        <v>1650</v>
      </c>
      <c r="H122" s="289">
        <f t="shared" si="23"/>
        <v>600</v>
      </c>
      <c r="I122" s="289" t="s">
        <v>684</v>
      </c>
      <c r="J122" s="290">
        <v>6367.0</v>
      </c>
      <c r="K122" s="290">
        <v>1.0</v>
      </c>
      <c r="L122" s="291">
        <f t="shared" si="19"/>
        <v>70037</v>
      </c>
      <c r="M122" s="292">
        <f t="shared" si="20"/>
        <v>42022.2</v>
      </c>
      <c r="N122" s="279"/>
      <c r="O122" s="279"/>
      <c r="P122" s="279"/>
      <c r="Q122" s="279"/>
      <c r="R122" s="279"/>
      <c r="S122" s="279"/>
      <c r="T122" s="279"/>
      <c r="U122" s="279"/>
      <c r="V122" s="279"/>
      <c r="W122" s="279"/>
      <c r="X122" s="279"/>
      <c r="Y122" s="279"/>
      <c r="Z122" s="279"/>
      <c r="AA122" s="279"/>
      <c r="AB122" s="279"/>
      <c r="AC122" s="279"/>
      <c r="AD122" s="293"/>
      <c r="AE122" s="293"/>
      <c r="AF122" s="293"/>
      <c r="AG122" s="293"/>
      <c r="AH122" s="293"/>
      <c r="AI122" s="293"/>
      <c r="AJ122" s="293"/>
      <c r="AK122" s="293"/>
      <c r="AL122" s="293"/>
      <c r="AM122" s="293"/>
      <c r="AN122" s="293"/>
      <c r="AO122" s="293"/>
      <c r="AP122" s="293"/>
      <c r="AQ122" s="293"/>
    </row>
    <row r="123" ht="13.5" customHeight="1">
      <c r="A123" s="285"/>
      <c r="B123" s="286" t="s">
        <v>844</v>
      </c>
      <c r="C123" s="287">
        <v>5.75</v>
      </c>
      <c r="D123" s="287">
        <v>7.0</v>
      </c>
      <c r="E123" s="288">
        <f t="shared" si="17"/>
        <v>40.25</v>
      </c>
      <c r="F123" s="287" t="s">
        <v>683</v>
      </c>
      <c r="G123" s="289">
        <f t="shared" ref="G123:H123" si="24">C123*300</f>
        <v>1725</v>
      </c>
      <c r="H123" s="289">
        <f t="shared" si="24"/>
        <v>2100</v>
      </c>
      <c r="I123" s="289" t="s">
        <v>684</v>
      </c>
      <c r="J123" s="290">
        <v>4607.0</v>
      </c>
      <c r="K123" s="290">
        <v>1.0</v>
      </c>
      <c r="L123" s="291">
        <f t="shared" si="19"/>
        <v>185431.75</v>
      </c>
      <c r="M123" s="292">
        <f t="shared" si="20"/>
        <v>111259.05</v>
      </c>
      <c r="N123" s="279"/>
      <c r="O123" s="279"/>
      <c r="P123" s="279"/>
      <c r="Q123" s="279"/>
      <c r="R123" s="279"/>
      <c r="S123" s="279"/>
      <c r="T123" s="279"/>
      <c r="U123" s="279"/>
      <c r="V123" s="279"/>
      <c r="W123" s="279"/>
      <c r="X123" s="279"/>
      <c r="Y123" s="279"/>
      <c r="Z123" s="279"/>
      <c r="AA123" s="279"/>
      <c r="AB123" s="279"/>
      <c r="AC123" s="279"/>
      <c r="AD123" s="293"/>
      <c r="AE123" s="293"/>
      <c r="AF123" s="293"/>
      <c r="AG123" s="293"/>
      <c r="AH123" s="293"/>
      <c r="AI123" s="293"/>
      <c r="AJ123" s="293"/>
      <c r="AK123" s="293"/>
      <c r="AL123" s="293"/>
      <c r="AM123" s="293"/>
      <c r="AN123" s="293"/>
      <c r="AO123" s="293"/>
      <c r="AP123" s="293"/>
      <c r="AQ123" s="293"/>
    </row>
    <row r="124" ht="13.5" customHeight="1">
      <c r="A124" s="306"/>
      <c r="B124" s="286" t="s">
        <v>845</v>
      </c>
      <c r="C124" s="287">
        <v>14.5</v>
      </c>
      <c r="D124" s="287">
        <v>2.25</v>
      </c>
      <c r="E124" s="288">
        <f t="shared" si="17"/>
        <v>32.625</v>
      </c>
      <c r="F124" s="287" t="s">
        <v>683</v>
      </c>
      <c r="G124" s="289">
        <f t="shared" ref="G124:H124" si="25">C124*300</f>
        <v>4350</v>
      </c>
      <c r="H124" s="289">
        <f t="shared" si="25"/>
        <v>675</v>
      </c>
      <c r="I124" s="289" t="s">
        <v>684</v>
      </c>
      <c r="J124" s="290">
        <v>2793.0</v>
      </c>
      <c r="K124" s="290">
        <v>1.0</v>
      </c>
      <c r="L124" s="291">
        <f t="shared" si="19"/>
        <v>91121.625</v>
      </c>
      <c r="M124" s="292">
        <f t="shared" si="20"/>
        <v>54672.975</v>
      </c>
      <c r="N124" s="304"/>
      <c r="O124" s="304"/>
      <c r="P124" s="304"/>
      <c r="Q124" s="304"/>
      <c r="R124" s="304"/>
      <c r="S124" s="304"/>
      <c r="T124" s="304"/>
      <c r="U124" s="304"/>
      <c r="V124" s="304"/>
      <c r="W124" s="304"/>
      <c r="X124" s="304"/>
      <c r="Y124" s="304"/>
      <c r="Z124" s="304"/>
      <c r="AA124" s="304"/>
      <c r="AB124" s="304"/>
      <c r="AC124" s="304"/>
      <c r="AD124" s="307"/>
      <c r="AE124" s="307"/>
    </row>
    <row r="125" ht="13.5" customHeight="1">
      <c r="A125" s="306"/>
      <c r="B125" s="286" t="s">
        <v>846</v>
      </c>
      <c r="C125" s="287">
        <v>2.75</v>
      </c>
      <c r="D125" s="287">
        <v>7.0</v>
      </c>
      <c r="E125" s="288">
        <f t="shared" si="17"/>
        <v>19.25</v>
      </c>
      <c r="F125" s="287" t="s">
        <v>683</v>
      </c>
      <c r="G125" s="289">
        <f t="shared" ref="G125:H125" si="26">C125*300</f>
        <v>825</v>
      </c>
      <c r="H125" s="289">
        <f t="shared" si="26"/>
        <v>2100</v>
      </c>
      <c r="I125" s="289" t="s">
        <v>684</v>
      </c>
      <c r="J125" s="290">
        <v>2793.0</v>
      </c>
      <c r="K125" s="290">
        <v>1.0</v>
      </c>
      <c r="L125" s="291">
        <f t="shared" si="19"/>
        <v>53765.25</v>
      </c>
      <c r="M125" s="292">
        <f t="shared" si="20"/>
        <v>32259.15</v>
      </c>
      <c r="N125" s="304"/>
      <c r="O125" s="304"/>
      <c r="P125" s="304"/>
      <c r="Q125" s="304"/>
      <c r="R125" s="304"/>
      <c r="S125" s="304"/>
      <c r="T125" s="304"/>
      <c r="U125" s="304"/>
      <c r="V125" s="304"/>
      <c r="W125" s="304"/>
      <c r="X125" s="304"/>
      <c r="Y125" s="304"/>
      <c r="Z125" s="304"/>
      <c r="AA125" s="304"/>
      <c r="AB125" s="304"/>
      <c r="AC125" s="304"/>
      <c r="AD125" s="307"/>
      <c r="AE125" s="307"/>
      <c r="AF125" s="293"/>
      <c r="AG125" s="293"/>
      <c r="AH125" s="293"/>
      <c r="AI125" s="293"/>
      <c r="AJ125" s="293"/>
      <c r="AK125" s="293"/>
      <c r="AL125" s="293"/>
      <c r="AM125" s="293"/>
      <c r="AN125" s="293"/>
      <c r="AO125" s="293"/>
      <c r="AP125" s="293"/>
      <c r="AQ125" s="293"/>
    </row>
    <row r="126" ht="13.5" customHeight="1">
      <c r="A126" s="285"/>
      <c r="B126" s="286" t="s">
        <v>842</v>
      </c>
      <c r="C126" s="287">
        <v>3.0</v>
      </c>
      <c r="D126" s="287">
        <v>7.0</v>
      </c>
      <c r="E126" s="288">
        <f t="shared" si="17"/>
        <v>21</v>
      </c>
      <c r="F126" s="287" t="s">
        <v>683</v>
      </c>
      <c r="G126" s="289">
        <f t="shared" ref="G126:H126" si="27">C126*300</f>
        <v>900</v>
      </c>
      <c r="H126" s="289">
        <f t="shared" si="27"/>
        <v>2100</v>
      </c>
      <c r="I126" s="289" t="s">
        <v>684</v>
      </c>
      <c r="J126" s="290">
        <v>6367.0</v>
      </c>
      <c r="K126" s="290">
        <v>1.0</v>
      </c>
      <c r="L126" s="291">
        <f t="shared" si="19"/>
        <v>133707</v>
      </c>
      <c r="M126" s="292">
        <f t="shared" si="20"/>
        <v>80224.2</v>
      </c>
      <c r="N126" s="279"/>
      <c r="O126" s="279"/>
      <c r="P126" s="279"/>
      <c r="Q126" s="279"/>
      <c r="R126" s="279"/>
      <c r="S126" s="279"/>
      <c r="T126" s="279"/>
      <c r="U126" s="279"/>
      <c r="V126" s="279"/>
      <c r="W126" s="279"/>
      <c r="X126" s="279"/>
      <c r="Y126" s="279"/>
      <c r="Z126" s="279"/>
      <c r="AA126" s="279"/>
      <c r="AB126" s="279"/>
      <c r="AC126" s="279"/>
      <c r="AD126" s="293"/>
      <c r="AE126" s="293"/>
      <c r="AF126" s="293"/>
      <c r="AG126" s="293"/>
      <c r="AH126" s="293"/>
      <c r="AI126" s="293"/>
      <c r="AJ126" s="293"/>
      <c r="AK126" s="293"/>
      <c r="AL126" s="293"/>
      <c r="AM126" s="293"/>
      <c r="AN126" s="293"/>
      <c r="AO126" s="293"/>
      <c r="AP126" s="293"/>
      <c r="AQ126" s="293"/>
    </row>
    <row r="127" ht="13.5" customHeight="1">
      <c r="A127" s="306"/>
      <c r="B127" s="286" t="s">
        <v>847</v>
      </c>
      <c r="C127" s="287">
        <v>3.5</v>
      </c>
      <c r="D127" s="287">
        <v>1.0</v>
      </c>
      <c r="E127" s="288">
        <f t="shared" si="17"/>
        <v>3.5</v>
      </c>
      <c r="F127" s="287" t="s">
        <v>683</v>
      </c>
      <c r="G127" s="289">
        <f t="shared" ref="G127:H127" si="28">C127*300</f>
        <v>1050</v>
      </c>
      <c r="H127" s="289">
        <f t="shared" si="28"/>
        <v>300</v>
      </c>
      <c r="I127" s="289" t="s">
        <v>684</v>
      </c>
      <c r="J127" s="290">
        <v>2824.0</v>
      </c>
      <c r="K127" s="290">
        <v>1.0</v>
      </c>
      <c r="L127" s="291">
        <f t="shared" si="19"/>
        <v>9884</v>
      </c>
      <c r="M127" s="292">
        <f t="shared" si="20"/>
        <v>5930.4</v>
      </c>
      <c r="N127" s="304"/>
      <c r="O127" s="304"/>
      <c r="P127" s="304"/>
      <c r="Q127" s="304"/>
      <c r="R127" s="304"/>
      <c r="S127" s="304"/>
      <c r="T127" s="304"/>
      <c r="U127" s="304"/>
      <c r="V127" s="304"/>
      <c r="W127" s="304"/>
      <c r="X127" s="304"/>
      <c r="Y127" s="304"/>
      <c r="Z127" s="304"/>
      <c r="AA127" s="304"/>
      <c r="AB127" s="304"/>
      <c r="AC127" s="304"/>
      <c r="AD127" s="307"/>
      <c r="AE127" s="307"/>
    </row>
    <row r="128" ht="13.5" customHeight="1">
      <c r="A128" s="281"/>
      <c r="B128" s="274" t="s">
        <v>692</v>
      </c>
      <c r="C128" s="308"/>
      <c r="D128" s="308"/>
      <c r="E128" s="308"/>
      <c r="F128" s="308"/>
      <c r="G128" s="283"/>
      <c r="H128" s="283"/>
      <c r="I128" s="283"/>
      <c r="J128" s="308"/>
      <c r="K128" s="308"/>
      <c r="L128" s="283"/>
      <c r="M128" s="284"/>
      <c r="N128" s="279"/>
      <c r="O128" s="279"/>
      <c r="P128" s="279"/>
      <c r="Q128" s="279"/>
      <c r="R128" s="279"/>
      <c r="S128" s="279"/>
      <c r="T128" s="279"/>
      <c r="U128" s="279"/>
      <c r="V128" s="279"/>
      <c r="W128" s="279"/>
      <c r="X128" s="279"/>
      <c r="Y128" s="279"/>
      <c r="Z128" s="279"/>
      <c r="AA128" s="279"/>
      <c r="AB128" s="279"/>
      <c r="AC128" s="279"/>
      <c r="AD128" s="279"/>
      <c r="AE128" s="279"/>
    </row>
    <row r="129" ht="13.5" customHeight="1">
      <c r="A129" s="285"/>
      <c r="B129" s="286" t="s">
        <v>848</v>
      </c>
      <c r="C129" s="287">
        <v>7.0</v>
      </c>
      <c r="D129" s="287">
        <v>8.75</v>
      </c>
      <c r="E129" s="288">
        <f t="shared" ref="E129:E133" si="30">C129*D129</f>
        <v>61.25</v>
      </c>
      <c r="F129" s="287" t="s">
        <v>683</v>
      </c>
      <c r="G129" s="289">
        <f t="shared" ref="G129:H129" si="29">C129*300</f>
        <v>2100</v>
      </c>
      <c r="H129" s="289">
        <f t="shared" si="29"/>
        <v>2625</v>
      </c>
      <c r="I129" s="289" t="s">
        <v>684</v>
      </c>
      <c r="J129" s="290">
        <v>3451.0</v>
      </c>
      <c r="K129" s="290">
        <v>1.0</v>
      </c>
      <c r="L129" s="291">
        <f t="shared" ref="L129:L133" si="32">K129*J129*E129</f>
        <v>211373.75</v>
      </c>
      <c r="M129" s="292">
        <f t="shared" ref="M129:M133" si="33">L129-L129*0.4</f>
        <v>126824.25</v>
      </c>
      <c r="N129" s="279"/>
      <c r="O129" s="279"/>
      <c r="P129" s="279"/>
      <c r="Q129" s="279"/>
      <c r="R129" s="279"/>
      <c r="S129" s="279"/>
      <c r="T129" s="279"/>
      <c r="U129" s="279"/>
      <c r="V129" s="279"/>
      <c r="W129" s="279"/>
      <c r="X129" s="279"/>
      <c r="Y129" s="279"/>
      <c r="Z129" s="279"/>
      <c r="AA129" s="279"/>
      <c r="AB129" s="279"/>
      <c r="AC129" s="279"/>
      <c r="AD129" s="293"/>
      <c r="AE129" s="293"/>
      <c r="AF129" s="293"/>
      <c r="AG129" s="293"/>
      <c r="AH129" s="293"/>
      <c r="AI129" s="293"/>
      <c r="AJ129" s="293"/>
      <c r="AK129" s="293"/>
      <c r="AL129" s="293"/>
      <c r="AM129" s="293"/>
      <c r="AN129" s="293"/>
      <c r="AO129" s="293"/>
      <c r="AP129" s="293"/>
      <c r="AQ129" s="293"/>
    </row>
    <row r="130" ht="13.5" customHeight="1">
      <c r="A130" s="285"/>
      <c r="B130" s="286" t="s">
        <v>849</v>
      </c>
      <c r="C130" s="287">
        <v>1.5</v>
      </c>
      <c r="D130" s="287">
        <v>7.75</v>
      </c>
      <c r="E130" s="288">
        <f t="shared" si="30"/>
        <v>11.625</v>
      </c>
      <c r="F130" s="287" t="s">
        <v>683</v>
      </c>
      <c r="G130" s="289">
        <f t="shared" ref="G130:H130" si="31">C130*300</f>
        <v>450</v>
      </c>
      <c r="H130" s="289">
        <f t="shared" si="31"/>
        <v>2325</v>
      </c>
      <c r="I130" s="289" t="s">
        <v>684</v>
      </c>
      <c r="J130" s="290">
        <f t="shared" ref="J130:J131" si="35">4225+357</f>
        <v>4582</v>
      </c>
      <c r="K130" s="290">
        <v>1.0</v>
      </c>
      <c r="L130" s="291">
        <f t="shared" si="32"/>
        <v>53265.75</v>
      </c>
      <c r="M130" s="292">
        <f t="shared" si="33"/>
        <v>31959.45</v>
      </c>
      <c r="N130" s="279"/>
      <c r="O130" s="279"/>
      <c r="P130" s="279"/>
      <c r="Q130" s="279"/>
      <c r="R130" s="279"/>
      <c r="S130" s="279"/>
      <c r="T130" s="279"/>
      <c r="U130" s="279"/>
      <c r="V130" s="279"/>
      <c r="W130" s="279"/>
      <c r="X130" s="279"/>
      <c r="Y130" s="279"/>
      <c r="Z130" s="279"/>
      <c r="AA130" s="279"/>
      <c r="AB130" s="279"/>
      <c r="AC130" s="279"/>
    </row>
    <row r="131" ht="13.5" customHeight="1">
      <c r="A131" s="285"/>
      <c r="B131" s="286" t="s">
        <v>850</v>
      </c>
      <c r="C131" s="287">
        <v>9.0</v>
      </c>
      <c r="D131" s="287">
        <v>1.0</v>
      </c>
      <c r="E131" s="288">
        <f t="shared" si="30"/>
        <v>9</v>
      </c>
      <c r="F131" s="287" t="s">
        <v>683</v>
      </c>
      <c r="G131" s="289">
        <f t="shared" ref="G131:H131" si="34">C131*300</f>
        <v>2700</v>
      </c>
      <c r="H131" s="289">
        <f t="shared" si="34"/>
        <v>300</v>
      </c>
      <c r="I131" s="289" t="s">
        <v>684</v>
      </c>
      <c r="J131" s="290">
        <f t="shared" si="35"/>
        <v>4582</v>
      </c>
      <c r="K131" s="290">
        <v>1.0</v>
      </c>
      <c r="L131" s="291">
        <f t="shared" si="32"/>
        <v>41238</v>
      </c>
      <c r="M131" s="292">
        <f t="shared" si="33"/>
        <v>24742.8</v>
      </c>
      <c r="N131" s="279"/>
      <c r="O131" s="279"/>
      <c r="P131" s="279"/>
      <c r="Q131" s="279"/>
      <c r="R131" s="279"/>
      <c r="S131" s="279"/>
      <c r="T131" s="279"/>
      <c r="U131" s="279"/>
      <c r="V131" s="279"/>
      <c r="W131" s="279"/>
      <c r="X131" s="279"/>
      <c r="Y131" s="279"/>
      <c r="Z131" s="279"/>
      <c r="AA131" s="279"/>
      <c r="AB131" s="279"/>
      <c r="AC131" s="279"/>
      <c r="AD131" s="293"/>
      <c r="AE131" s="293"/>
      <c r="AF131" s="293"/>
      <c r="AG131" s="293"/>
      <c r="AH131" s="293"/>
      <c r="AI131" s="293"/>
      <c r="AJ131" s="293"/>
      <c r="AK131" s="293"/>
      <c r="AL131" s="293"/>
      <c r="AM131" s="293"/>
      <c r="AN131" s="293"/>
      <c r="AO131" s="293"/>
      <c r="AP131" s="293"/>
      <c r="AQ131" s="293"/>
    </row>
    <row r="132" ht="13.5" customHeight="1">
      <c r="A132" s="306"/>
      <c r="B132" s="286" t="s">
        <v>851</v>
      </c>
      <c r="C132" s="287">
        <v>8.5</v>
      </c>
      <c r="D132" s="287">
        <v>1.5</v>
      </c>
      <c r="E132" s="288">
        <f t="shared" si="30"/>
        <v>12.75</v>
      </c>
      <c r="F132" s="287" t="s">
        <v>683</v>
      </c>
      <c r="G132" s="289">
        <f t="shared" ref="G132:H132" si="36">C132*300</f>
        <v>2550</v>
      </c>
      <c r="H132" s="289">
        <f t="shared" si="36"/>
        <v>450</v>
      </c>
      <c r="I132" s="289" t="s">
        <v>684</v>
      </c>
      <c r="J132" s="290">
        <v>2034.0</v>
      </c>
      <c r="K132" s="290">
        <v>1.0</v>
      </c>
      <c r="L132" s="291">
        <f t="shared" si="32"/>
        <v>25933.5</v>
      </c>
      <c r="M132" s="292">
        <f t="shared" si="33"/>
        <v>15560.1</v>
      </c>
      <c r="N132" s="304"/>
      <c r="O132" s="304"/>
      <c r="P132" s="304"/>
      <c r="Q132" s="304"/>
      <c r="R132" s="304"/>
      <c r="S132" s="304"/>
      <c r="T132" s="304"/>
      <c r="U132" s="304"/>
      <c r="V132" s="304"/>
      <c r="W132" s="304"/>
      <c r="X132" s="304"/>
      <c r="Y132" s="304"/>
      <c r="Z132" s="304"/>
      <c r="AA132" s="304"/>
      <c r="AB132" s="304"/>
      <c r="AC132" s="304"/>
      <c r="AD132" s="307"/>
      <c r="AE132" s="307"/>
      <c r="AF132" s="293"/>
      <c r="AG132" s="293"/>
      <c r="AH132" s="293"/>
      <c r="AI132" s="293"/>
      <c r="AJ132" s="293"/>
      <c r="AK132" s="293"/>
      <c r="AL132" s="293"/>
      <c r="AM132" s="293"/>
      <c r="AN132" s="293"/>
      <c r="AO132" s="293"/>
      <c r="AP132" s="293"/>
      <c r="AQ132" s="293"/>
    </row>
    <row r="133" ht="13.5" customHeight="1">
      <c r="A133" s="306"/>
      <c r="B133" s="286" t="s">
        <v>943</v>
      </c>
      <c r="C133" s="287">
        <v>8.5</v>
      </c>
      <c r="D133" s="287">
        <v>7.0</v>
      </c>
      <c r="E133" s="288">
        <f t="shared" si="30"/>
        <v>59.5</v>
      </c>
      <c r="F133" s="287" t="s">
        <v>683</v>
      </c>
      <c r="G133" s="289">
        <f t="shared" ref="G133:H133" si="37">C133*300</f>
        <v>2550</v>
      </c>
      <c r="H133" s="289">
        <f t="shared" si="37"/>
        <v>2100</v>
      </c>
      <c r="I133" s="289" t="s">
        <v>684</v>
      </c>
      <c r="J133" s="290">
        <f>4639+357</f>
        <v>4996</v>
      </c>
      <c r="K133" s="290">
        <v>1.0</v>
      </c>
      <c r="L133" s="291">
        <f t="shared" si="32"/>
        <v>297262</v>
      </c>
      <c r="M133" s="292">
        <f t="shared" si="33"/>
        <v>178357.2</v>
      </c>
      <c r="N133" s="304"/>
      <c r="O133" s="304"/>
      <c r="P133" s="304"/>
      <c r="Q133" s="304"/>
      <c r="R133" s="304"/>
      <c r="S133" s="304"/>
      <c r="T133" s="304"/>
      <c r="U133" s="304"/>
      <c r="V133" s="304"/>
      <c r="W133" s="304"/>
      <c r="X133" s="304"/>
      <c r="Y133" s="304"/>
      <c r="Z133" s="304"/>
      <c r="AA133" s="304"/>
      <c r="AB133" s="304"/>
      <c r="AC133" s="304"/>
      <c r="AD133" s="307"/>
      <c r="AE133" s="307"/>
      <c r="AF133" s="293"/>
      <c r="AG133" s="293"/>
      <c r="AH133" s="293"/>
      <c r="AI133" s="293"/>
      <c r="AJ133" s="293"/>
      <c r="AK133" s="293"/>
      <c r="AL133" s="293"/>
      <c r="AM133" s="293"/>
      <c r="AN133" s="293"/>
      <c r="AO133" s="293"/>
      <c r="AP133" s="293"/>
      <c r="AQ133" s="293"/>
    </row>
    <row r="134" ht="13.5" customHeight="1">
      <c r="A134" s="281"/>
      <c r="B134" s="274" t="s">
        <v>853</v>
      </c>
      <c r="C134" s="308"/>
      <c r="D134" s="308"/>
      <c r="E134" s="308"/>
      <c r="F134" s="308"/>
      <c r="G134" s="283"/>
      <c r="H134" s="283"/>
      <c r="I134" s="283"/>
      <c r="J134" s="308"/>
      <c r="K134" s="308"/>
      <c r="L134" s="283"/>
      <c r="M134" s="284"/>
      <c r="N134" s="279"/>
      <c r="O134" s="279"/>
      <c r="P134" s="279"/>
      <c r="Q134" s="279"/>
      <c r="R134" s="279"/>
      <c r="S134" s="279"/>
      <c r="T134" s="279"/>
      <c r="U134" s="279"/>
      <c r="V134" s="279"/>
      <c r="W134" s="279"/>
      <c r="X134" s="279"/>
      <c r="Y134" s="279"/>
      <c r="Z134" s="279"/>
      <c r="AA134" s="279"/>
      <c r="AB134" s="279"/>
      <c r="AC134" s="279"/>
      <c r="AD134" s="279"/>
      <c r="AE134" s="279"/>
    </row>
    <row r="135" ht="13.5" customHeight="1">
      <c r="A135" s="285"/>
      <c r="B135" s="286" t="s">
        <v>854</v>
      </c>
      <c r="C135" s="287">
        <v>8.0</v>
      </c>
      <c r="D135" s="287">
        <v>2.0</v>
      </c>
      <c r="E135" s="288">
        <f t="shared" ref="E135:E142" si="39">C135*D135</f>
        <v>16</v>
      </c>
      <c r="F135" s="287" t="s">
        <v>683</v>
      </c>
      <c r="G135" s="289">
        <f t="shared" ref="G135:H135" si="38">C135*300</f>
        <v>2400</v>
      </c>
      <c r="H135" s="289">
        <f t="shared" si="38"/>
        <v>600</v>
      </c>
      <c r="I135" s="289" t="s">
        <v>684</v>
      </c>
      <c r="J135" s="290">
        <v>1666.0</v>
      </c>
      <c r="K135" s="290">
        <v>1.0</v>
      </c>
      <c r="L135" s="291">
        <f t="shared" ref="L135:L142" si="41">K135*J135*E135</f>
        <v>26656</v>
      </c>
      <c r="M135" s="292">
        <f t="shared" ref="M135:M142" si="42">L135-L135*0.4</f>
        <v>15993.6</v>
      </c>
      <c r="N135" s="279"/>
      <c r="O135" s="279"/>
      <c r="P135" s="279"/>
      <c r="Q135" s="279"/>
      <c r="R135" s="279"/>
      <c r="S135" s="279"/>
      <c r="T135" s="279"/>
      <c r="U135" s="279"/>
      <c r="V135" s="279"/>
      <c r="W135" s="279"/>
      <c r="X135" s="279"/>
      <c r="Y135" s="279"/>
      <c r="Z135" s="279"/>
      <c r="AA135" s="279"/>
      <c r="AB135" s="279"/>
      <c r="AC135" s="279"/>
      <c r="AD135" s="293"/>
      <c r="AE135" s="293"/>
      <c r="AF135" s="293"/>
      <c r="AG135" s="293"/>
      <c r="AH135" s="293"/>
      <c r="AI135" s="293"/>
      <c r="AJ135" s="293"/>
      <c r="AK135" s="293"/>
      <c r="AL135" s="293"/>
      <c r="AM135" s="293"/>
      <c r="AN135" s="293"/>
      <c r="AO135" s="293"/>
      <c r="AP135" s="293"/>
      <c r="AQ135" s="293"/>
    </row>
    <row r="136" ht="13.5" customHeight="1">
      <c r="A136" s="285"/>
      <c r="B136" s="286" t="s">
        <v>855</v>
      </c>
      <c r="C136" s="287">
        <v>2.0</v>
      </c>
      <c r="D136" s="287">
        <v>5.0</v>
      </c>
      <c r="E136" s="288">
        <f t="shared" si="39"/>
        <v>10</v>
      </c>
      <c r="F136" s="287" t="s">
        <v>683</v>
      </c>
      <c r="G136" s="289">
        <f t="shared" ref="G136:H136" si="40">C136*300</f>
        <v>600</v>
      </c>
      <c r="H136" s="289">
        <f t="shared" si="40"/>
        <v>1500</v>
      </c>
      <c r="I136" s="289" t="s">
        <v>684</v>
      </c>
      <c r="J136" s="290">
        <v>3451.0</v>
      </c>
      <c r="K136" s="290">
        <v>1.0</v>
      </c>
      <c r="L136" s="291">
        <f t="shared" si="41"/>
        <v>34510</v>
      </c>
      <c r="M136" s="292">
        <f t="shared" si="42"/>
        <v>20706</v>
      </c>
      <c r="N136" s="279"/>
      <c r="O136" s="279"/>
      <c r="P136" s="279"/>
      <c r="Q136" s="279"/>
      <c r="R136" s="279"/>
      <c r="S136" s="279"/>
      <c r="T136" s="279"/>
      <c r="U136" s="279"/>
      <c r="V136" s="279"/>
      <c r="W136" s="279"/>
      <c r="X136" s="279"/>
      <c r="Y136" s="279"/>
      <c r="Z136" s="279"/>
      <c r="AA136" s="279"/>
      <c r="AB136" s="279"/>
      <c r="AC136" s="279"/>
      <c r="AD136" s="293"/>
      <c r="AE136" s="293"/>
      <c r="AF136" s="293"/>
      <c r="AG136" s="293"/>
      <c r="AH136" s="293"/>
      <c r="AI136" s="293"/>
      <c r="AJ136" s="293"/>
      <c r="AK136" s="293"/>
      <c r="AL136" s="293"/>
      <c r="AM136" s="293"/>
      <c r="AN136" s="293"/>
      <c r="AO136" s="293"/>
      <c r="AP136" s="293"/>
      <c r="AQ136" s="293"/>
    </row>
    <row r="137" ht="13.5" customHeight="1">
      <c r="A137" s="285"/>
      <c r="B137" s="286" t="s">
        <v>855</v>
      </c>
      <c r="C137" s="287">
        <v>5.0</v>
      </c>
      <c r="D137" s="287">
        <v>1.0</v>
      </c>
      <c r="E137" s="288">
        <f t="shared" si="39"/>
        <v>5</v>
      </c>
      <c r="F137" s="287" t="s">
        <v>683</v>
      </c>
      <c r="G137" s="289">
        <f t="shared" ref="G137:H137" si="43">C137*300</f>
        <v>1500</v>
      </c>
      <c r="H137" s="289">
        <f t="shared" si="43"/>
        <v>300</v>
      </c>
      <c r="I137" s="289" t="s">
        <v>684</v>
      </c>
      <c r="J137" s="290">
        <v>3451.0</v>
      </c>
      <c r="K137" s="290">
        <v>1.0</v>
      </c>
      <c r="L137" s="291">
        <f t="shared" si="41"/>
        <v>17255</v>
      </c>
      <c r="M137" s="292">
        <f t="shared" si="42"/>
        <v>10353</v>
      </c>
      <c r="N137" s="279"/>
      <c r="O137" s="279"/>
      <c r="P137" s="279"/>
      <c r="Q137" s="279"/>
      <c r="R137" s="279"/>
      <c r="S137" s="279"/>
      <c r="T137" s="279"/>
      <c r="U137" s="279"/>
      <c r="V137" s="279"/>
      <c r="W137" s="279"/>
      <c r="X137" s="279"/>
      <c r="Y137" s="279"/>
      <c r="Z137" s="279"/>
      <c r="AA137" s="279"/>
      <c r="AB137" s="279"/>
      <c r="AC137" s="279"/>
      <c r="AD137" s="293"/>
      <c r="AE137" s="293"/>
      <c r="AF137" s="293"/>
      <c r="AG137" s="293"/>
      <c r="AH137" s="293"/>
      <c r="AI137" s="293"/>
      <c r="AJ137" s="293"/>
      <c r="AK137" s="293"/>
      <c r="AL137" s="293"/>
      <c r="AM137" s="293"/>
      <c r="AN137" s="293"/>
      <c r="AO137" s="293"/>
      <c r="AP137" s="293"/>
      <c r="AQ137" s="293"/>
    </row>
    <row r="138" ht="13.5" customHeight="1">
      <c r="A138" s="285"/>
      <c r="B138" s="286" t="s">
        <v>856</v>
      </c>
      <c r="C138" s="287">
        <v>2.5</v>
      </c>
      <c r="D138" s="287">
        <v>3.0</v>
      </c>
      <c r="E138" s="288">
        <f t="shared" si="39"/>
        <v>7.5</v>
      </c>
      <c r="F138" s="287" t="s">
        <v>683</v>
      </c>
      <c r="G138" s="289">
        <f t="shared" ref="G138:H138" si="44">C138*300</f>
        <v>750</v>
      </c>
      <c r="H138" s="289">
        <f t="shared" si="44"/>
        <v>900</v>
      </c>
      <c r="I138" s="289" t="s">
        <v>684</v>
      </c>
      <c r="J138" s="290">
        <v>2499.0</v>
      </c>
      <c r="K138" s="290">
        <v>1.0</v>
      </c>
      <c r="L138" s="291">
        <f t="shared" si="41"/>
        <v>18742.5</v>
      </c>
      <c r="M138" s="292">
        <f t="shared" si="42"/>
        <v>11245.5</v>
      </c>
      <c r="N138" s="279"/>
      <c r="O138" s="279"/>
      <c r="P138" s="279"/>
      <c r="Q138" s="279"/>
      <c r="R138" s="279"/>
      <c r="S138" s="279"/>
      <c r="T138" s="279"/>
      <c r="U138" s="279"/>
      <c r="V138" s="279"/>
      <c r="W138" s="279"/>
      <c r="X138" s="279"/>
      <c r="Y138" s="279"/>
      <c r="Z138" s="279"/>
      <c r="AA138" s="279"/>
      <c r="AB138" s="279"/>
      <c r="AC138" s="279"/>
      <c r="AD138" s="293"/>
      <c r="AE138" s="293"/>
      <c r="AF138" s="293"/>
      <c r="AG138" s="293"/>
      <c r="AH138" s="293"/>
      <c r="AI138" s="293"/>
      <c r="AJ138" s="293"/>
      <c r="AK138" s="293"/>
      <c r="AL138" s="293"/>
      <c r="AM138" s="293"/>
      <c r="AN138" s="293"/>
      <c r="AO138" s="293"/>
      <c r="AP138" s="293"/>
      <c r="AQ138" s="293"/>
    </row>
    <row r="139" ht="13.5" customHeight="1">
      <c r="A139" s="285"/>
      <c r="B139" s="286" t="s">
        <v>857</v>
      </c>
      <c r="C139" s="287">
        <v>5.0</v>
      </c>
      <c r="D139" s="287">
        <v>2.75</v>
      </c>
      <c r="E139" s="288">
        <f t="shared" si="39"/>
        <v>13.75</v>
      </c>
      <c r="F139" s="287" t="s">
        <v>683</v>
      </c>
      <c r="G139" s="289">
        <f t="shared" ref="G139:H139" si="45">C139*300</f>
        <v>1500</v>
      </c>
      <c r="H139" s="289">
        <f t="shared" si="45"/>
        <v>825</v>
      </c>
      <c r="I139" s="289" t="s">
        <v>684</v>
      </c>
      <c r="J139" s="290">
        <v>3843.0</v>
      </c>
      <c r="K139" s="290">
        <v>1.0</v>
      </c>
      <c r="L139" s="291">
        <f t="shared" si="41"/>
        <v>52841.25</v>
      </c>
      <c r="M139" s="292">
        <f t="shared" si="42"/>
        <v>31704.75</v>
      </c>
      <c r="N139" s="279"/>
      <c r="O139" s="279"/>
      <c r="P139" s="279"/>
      <c r="Q139" s="279"/>
      <c r="R139" s="279"/>
      <c r="S139" s="279"/>
      <c r="T139" s="279"/>
      <c r="U139" s="279"/>
      <c r="V139" s="279"/>
      <c r="W139" s="279"/>
      <c r="X139" s="279"/>
      <c r="Y139" s="279"/>
      <c r="Z139" s="279"/>
      <c r="AA139" s="279"/>
      <c r="AB139" s="279"/>
      <c r="AC139" s="279"/>
      <c r="AD139" s="293"/>
      <c r="AE139" s="293"/>
      <c r="AF139" s="293"/>
      <c r="AG139" s="293"/>
      <c r="AH139" s="293"/>
      <c r="AI139" s="293"/>
      <c r="AJ139" s="293"/>
      <c r="AK139" s="293"/>
      <c r="AL139" s="293"/>
      <c r="AM139" s="293"/>
      <c r="AN139" s="293"/>
      <c r="AO139" s="293"/>
      <c r="AP139" s="293"/>
      <c r="AQ139" s="293"/>
    </row>
    <row r="140" ht="13.5" customHeight="1">
      <c r="A140" s="306"/>
      <c r="B140" s="286" t="s">
        <v>851</v>
      </c>
      <c r="C140" s="287">
        <v>10.75</v>
      </c>
      <c r="D140" s="287">
        <v>1.5</v>
      </c>
      <c r="E140" s="288">
        <f t="shared" si="39"/>
        <v>16.125</v>
      </c>
      <c r="F140" s="287" t="s">
        <v>683</v>
      </c>
      <c r="G140" s="289">
        <f t="shared" ref="G140:H140" si="46">C140*300</f>
        <v>3225</v>
      </c>
      <c r="H140" s="289">
        <f t="shared" si="46"/>
        <v>450</v>
      </c>
      <c r="I140" s="289" t="s">
        <v>684</v>
      </c>
      <c r="J140" s="290">
        <v>2034.0</v>
      </c>
      <c r="K140" s="290">
        <v>1.0</v>
      </c>
      <c r="L140" s="291">
        <f t="shared" si="41"/>
        <v>32798.25</v>
      </c>
      <c r="M140" s="292">
        <f t="shared" si="42"/>
        <v>19678.95</v>
      </c>
      <c r="N140" s="304"/>
      <c r="O140" s="304"/>
      <c r="P140" s="304"/>
      <c r="Q140" s="304"/>
      <c r="R140" s="304"/>
      <c r="S140" s="304"/>
      <c r="T140" s="304"/>
      <c r="U140" s="304"/>
      <c r="V140" s="304"/>
      <c r="W140" s="304"/>
      <c r="X140" s="304"/>
      <c r="Y140" s="304"/>
      <c r="Z140" s="304"/>
      <c r="AA140" s="304"/>
      <c r="AB140" s="304"/>
      <c r="AC140" s="304"/>
      <c r="AD140" s="307"/>
      <c r="AE140" s="307"/>
      <c r="AF140" s="293"/>
      <c r="AG140" s="293"/>
      <c r="AH140" s="293"/>
      <c r="AI140" s="293"/>
      <c r="AJ140" s="293"/>
      <c r="AK140" s="293"/>
      <c r="AL140" s="293"/>
      <c r="AM140" s="293"/>
      <c r="AN140" s="293"/>
      <c r="AO140" s="293"/>
      <c r="AP140" s="293"/>
      <c r="AQ140" s="293"/>
    </row>
    <row r="141" ht="13.5" customHeight="1">
      <c r="A141" s="306"/>
      <c r="B141" s="286" t="s">
        <v>858</v>
      </c>
      <c r="C141" s="287">
        <v>10.75</v>
      </c>
      <c r="D141" s="287">
        <v>8.0</v>
      </c>
      <c r="E141" s="288">
        <f t="shared" si="39"/>
        <v>86</v>
      </c>
      <c r="F141" s="287" t="s">
        <v>683</v>
      </c>
      <c r="G141" s="289">
        <f t="shared" ref="G141:H141" si="47">C141*300</f>
        <v>3225</v>
      </c>
      <c r="H141" s="289">
        <f t="shared" si="47"/>
        <v>2400</v>
      </c>
      <c r="I141" s="289" t="s">
        <v>684</v>
      </c>
      <c r="J141" s="290">
        <v>1428.0</v>
      </c>
      <c r="K141" s="290">
        <v>1.0</v>
      </c>
      <c r="L141" s="291">
        <f t="shared" si="41"/>
        <v>122808</v>
      </c>
      <c r="M141" s="292">
        <f t="shared" si="42"/>
        <v>73684.8</v>
      </c>
      <c r="N141" s="304"/>
      <c r="O141" s="304"/>
      <c r="P141" s="304"/>
      <c r="Q141" s="304"/>
      <c r="R141" s="304"/>
      <c r="S141" s="304"/>
      <c r="T141" s="304"/>
      <c r="U141" s="304"/>
      <c r="V141" s="304"/>
      <c r="W141" s="304"/>
      <c r="X141" s="304"/>
      <c r="Y141" s="304"/>
      <c r="Z141" s="304"/>
      <c r="AA141" s="304"/>
      <c r="AB141" s="304"/>
      <c r="AC141" s="304"/>
      <c r="AD141" s="307"/>
      <c r="AE141" s="307"/>
      <c r="AF141" s="293"/>
      <c r="AG141" s="293"/>
      <c r="AH141" s="293"/>
      <c r="AI141" s="293"/>
      <c r="AJ141" s="293"/>
      <c r="AK141" s="293"/>
      <c r="AL141" s="293"/>
      <c r="AM141" s="293"/>
      <c r="AN141" s="293"/>
      <c r="AO141" s="293"/>
      <c r="AP141" s="293"/>
      <c r="AQ141" s="293"/>
    </row>
    <row r="142" ht="13.5" customHeight="1">
      <c r="A142" s="285"/>
      <c r="B142" s="286" t="s">
        <v>859</v>
      </c>
      <c r="C142" s="287">
        <v>1.75</v>
      </c>
      <c r="D142" s="287">
        <v>6.75</v>
      </c>
      <c r="E142" s="288">
        <f t="shared" si="39"/>
        <v>11.8125</v>
      </c>
      <c r="F142" s="287" t="s">
        <v>683</v>
      </c>
      <c r="G142" s="289">
        <f t="shared" ref="G142:H142" si="48">C142*300</f>
        <v>525</v>
      </c>
      <c r="H142" s="289">
        <f t="shared" si="48"/>
        <v>2025</v>
      </c>
      <c r="I142" s="289" t="s">
        <v>684</v>
      </c>
      <c r="J142" s="290">
        <f>1428+857</f>
        <v>2285</v>
      </c>
      <c r="K142" s="290">
        <v>1.0</v>
      </c>
      <c r="L142" s="291">
        <f t="shared" si="41"/>
        <v>26991.5625</v>
      </c>
      <c r="M142" s="292">
        <f t="shared" si="42"/>
        <v>16194.9375</v>
      </c>
      <c r="N142" s="279"/>
      <c r="O142" s="279"/>
      <c r="P142" s="279"/>
      <c r="Q142" s="279"/>
      <c r="R142" s="279"/>
      <c r="S142" s="279"/>
      <c r="T142" s="279"/>
      <c r="U142" s="279"/>
      <c r="V142" s="279"/>
      <c r="W142" s="279"/>
      <c r="X142" s="279"/>
      <c r="Y142" s="279"/>
      <c r="Z142" s="279"/>
      <c r="AA142" s="279"/>
      <c r="AB142" s="279"/>
      <c r="AC142" s="279"/>
      <c r="AD142" s="293"/>
      <c r="AE142" s="293"/>
      <c r="AF142" s="293"/>
      <c r="AG142" s="293"/>
      <c r="AH142" s="293"/>
      <c r="AI142" s="293"/>
      <c r="AJ142" s="293"/>
      <c r="AK142" s="293"/>
      <c r="AL142" s="293"/>
      <c r="AM142" s="293"/>
      <c r="AN142" s="293"/>
      <c r="AO142" s="293"/>
      <c r="AP142" s="293"/>
      <c r="AQ142" s="293"/>
    </row>
    <row r="143" ht="13.5" customHeight="1">
      <c r="A143" s="306"/>
      <c r="B143" s="309" t="s">
        <v>701</v>
      </c>
      <c r="C143" s="299"/>
      <c r="D143" s="299"/>
      <c r="E143" s="300"/>
      <c r="F143" s="299"/>
      <c r="G143" s="310"/>
      <c r="H143" s="310"/>
      <c r="I143" s="310"/>
      <c r="J143" s="302"/>
      <c r="K143" s="302"/>
      <c r="L143" s="311"/>
      <c r="M143" s="312">
        <v>10000.0</v>
      </c>
      <c r="N143" s="279"/>
      <c r="O143" s="279">
        <f>L144*0.4</f>
        <v>1170074.475</v>
      </c>
      <c r="P143" s="279"/>
      <c r="Q143" s="279"/>
      <c r="R143" s="279"/>
      <c r="S143" s="279"/>
      <c r="T143" s="279"/>
      <c r="U143" s="279"/>
      <c r="V143" s="279"/>
      <c r="W143" s="279"/>
      <c r="X143" s="279"/>
      <c r="Y143" s="279"/>
      <c r="Z143" s="279"/>
      <c r="AA143" s="279"/>
      <c r="AB143" s="279"/>
      <c r="AC143" s="279"/>
      <c r="AD143" s="279"/>
      <c r="AE143" s="279"/>
    </row>
    <row r="144" ht="13.5" customHeight="1">
      <c r="A144" s="298"/>
      <c r="B144" s="313" t="s">
        <v>702</v>
      </c>
      <c r="C144" s="94"/>
      <c r="D144" s="94"/>
      <c r="E144" s="94"/>
      <c r="F144" s="94"/>
      <c r="G144" s="94"/>
      <c r="H144" s="94"/>
      <c r="I144" s="94"/>
      <c r="J144" s="94"/>
      <c r="K144" s="95"/>
      <c r="L144" s="314">
        <f>SUM(L104:L142)</f>
        <v>2925186.188</v>
      </c>
      <c r="M144" s="315"/>
      <c r="N144" s="267"/>
      <c r="O144" s="267"/>
      <c r="P144" s="267"/>
      <c r="Q144" s="267"/>
      <c r="R144" s="267"/>
      <c r="S144" s="267"/>
      <c r="T144" s="267"/>
      <c r="U144" s="267"/>
      <c r="V144" s="267"/>
      <c r="W144" s="267"/>
      <c r="X144" s="267"/>
      <c r="Y144" s="267"/>
      <c r="Z144" s="267"/>
      <c r="AA144" s="267"/>
      <c r="AB144" s="267"/>
      <c r="AC144" s="267"/>
      <c r="AD144" s="267"/>
      <c r="AE144" s="267"/>
    </row>
    <row r="145" ht="13.5" customHeight="1">
      <c r="A145" s="298"/>
      <c r="B145" s="313" t="s">
        <v>738</v>
      </c>
      <c r="C145" s="94"/>
      <c r="D145" s="94"/>
      <c r="E145" s="94"/>
      <c r="F145" s="94"/>
      <c r="G145" s="94"/>
      <c r="H145" s="94"/>
      <c r="I145" s="94"/>
      <c r="J145" s="94"/>
      <c r="K145" s="94"/>
      <c r="L145" s="95"/>
      <c r="M145" s="316">
        <f>L144*0.4</f>
        <v>1170074.475</v>
      </c>
      <c r="N145" s="267"/>
      <c r="O145" s="267"/>
      <c r="P145" s="267"/>
      <c r="Q145" s="267"/>
      <c r="R145" s="267"/>
      <c r="S145" s="267"/>
      <c r="T145" s="267"/>
      <c r="U145" s="267"/>
      <c r="V145" s="267"/>
      <c r="W145" s="267"/>
      <c r="X145" s="267"/>
      <c r="Y145" s="267"/>
      <c r="Z145" s="267"/>
      <c r="AA145" s="267"/>
      <c r="AB145" s="267"/>
      <c r="AC145" s="267"/>
      <c r="AD145" s="267"/>
      <c r="AE145" s="267"/>
    </row>
    <row r="146" ht="13.5" customHeight="1">
      <c r="A146" s="298"/>
      <c r="B146" s="313" t="s">
        <v>739</v>
      </c>
      <c r="C146" s="94"/>
      <c r="D146" s="94"/>
      <c r="E146" s="94"/>
      <c r="F146" s="94"/>
      <c r="G146" s="94"/>
      <c r="H146" s="94"/>
      <c r="I146" s="94"/>
      <c r="J146" s="94"/>
      <c r="K146" s="94"/>
      <c r="L146" s="95"/>
      <c r="M146" s="316">
        <f>L144-M145+M143</f>
        <v>1765111.713</v>
      </c>
      <c r="N146" s="317"/>
      <c r="O146" s="318"/>
      <c r="P146" s="267"/>
      <c r="Q146" s="267"/>
      <c r="R146" s="267"/>
      <c r="S146" s="267"/>
      <c r="T146" s="267"/>
      <c r="U146" s="267"/>
      <c r="V146" s="267"/>
      <c r="W146" s="267"/>
      <c r="X146" s="267"/>
      <c r="Y146" s="267"/>
      <c r="Z146" s="267"/>
      <c r="AA146" s="267"/>
      <c r="AB146" s="267"/>
      <c r="AC146" s="267"/>
      <c r="AD146" s="267"/>
      <c r="AE146" s="267"/>
    </row>
    <row r="147" ht="13.5" customHeight="1">
      <c r="A147" s="298"/>
      <c r="B147" s="313" t="s">
        <v>705</v>
      </c>
      <c r="C147" s="94"/>
      <c r="D147" s="94"/>
      <c r="E147" s="94"/>
      <c r="F147" s="94"/>
      <c r="G147" s="94"/>
      <c r="H147" s="94"/>
      <c r="I147" s="94"/>
      <c r="J147" s="94"/>
      <c r="K147" s="94"/>
      <c r="L147" s="95"/>
      <c r="M147" s="316">
        <f>M146*18%</f>
        <v>317720.1083</v>
      </c>
      <c r="N147" s="319"/>
      <c r="O147" s="320"/>
      <c r="P147" s="319"/>
      <c r="Q147" s="319"/>
      <c r="R147" s="319"/>
      <c r="S147" s="319"/>
      <c r="T147" s="319"/>
      <c r="U147" s="319"/>
      <c r="V147" s="319"/>
      <c r="W147" s="319"/>
      <c r="X147" s="319"/>
      <c r="Y147" s="319"/>
      <c r="Z147" s="319"/>
      <c r="AA147" s="319"/>
      <c r="AB147" s="319"/>
      <c r="AC147" s="319"/>
      <c r="AD147" s="319"/>
      <c r="AE147" s="319"/>
    </row>
    <row r="148" ht="13.5" customHeight="1">
      <c r="A148" s="321"/>
      <c r="B148" s="322" t="s">
        <v>706</v>
      </c>
      <c r="C148" s="130"/>
      <c r="D148" s="130"/>
      <c r="E148" s="130"/>
      <c r="F148" s="130"/>
      <c r="G148" s="130"/>
      <c r="H148" s="130"/>
      <c r="I148" s="130"/>
      <c r="J148" s="130"/>
      <c r="K148" s="130"/>
      <c r="L148" s="136"/>
      <c r="M148" s="323">
        <f>M146+M147</f>
        <v>2082831.821</v>
      </c>
      <c r="N148" s="324"/>
      <c r="O148" s="319"/>
      <c r="P148" s="319"/>
      <c r="Q148" s="319"/>
      <c r="R148" s="319"/>
      <c r="S148" s="319" t="s">
        <v>707</v>
      </c>
      <c r="T148" s="319"/>
      <c r="U148" s="319"/>
      <c r="V148" s="319"/>
      <c r="W148" s="319"/>
      <c r="X148" s="319"/>
      <c r="Y148" s="319"/>
      <c r="Z148" s="319"/>
      <c r="AA148" s="319"/>
      <c r="AB148" s="319"/>
      <c r="AC148" s="319"/>
      <c r="AD148" s="319"/>
      <c r="AE148" s="319"/>
    </row>
    <row r="149" ht="13.5" customHeight="1">
      <c r="A149" s="325"/>
      <c r="B149" s="325"/>
      <c r="C149" s="326"/>
      <c r="D149" s="326"/>
      <c r="E149" s="327"/>
      <c r="F149" s="327"/>
      <c r="G149" s="328"/>
      <c r="H149" s="329"/>
      <c r="I149" s="330"/>
      <c r="J149" s="327"/>
      <c r="K149" s="327"/>
      <c r="L149" s="331"/>
      <c r="M149" s="332"/>
      <c r="N149" s="267"/>
      <c r="O149" s="267"/>
      <c r="P149" s="267"/>
      <c r="Q149" s="267"/>
      <c r="R149" s="267"/>
      <c r="S149" s="267"/>
      <c r="T149" s="267"/>
      <c r="U149" s="267"/>
      <c r="V149" s="267"/>
      <c r="W149" s="267"/>
      <c r="X149" s="267"/>
      <c r="Y149" s="267"/>
      <c r="Z149" s="267"/>
      <c r="AA149" s="267"/>
      <c r="AB149" s="267"/>
      <c r="AC149" s="267"/>
    </row>
    <row r="150" ht="13.5" customHeight="1">
      <c r="A150" s="325" t="s">
        <v>740</v>
      </c>
      <c r="M150" s="325"/>
      <c r="N150" s="267"/>
      <c r="O150" s="267"/>
      <c r="P150" s="267"/>
      <c r="Q150" s="267"/>
      <c r="R150" s="267"/>
      <c r="S150" s="267"/>
      <c r="T150" s="267"/>
      <c r="U150" s="267"/>
      <c r="V150" s="267"/>
      <c r="W150" s="267"/>
      <c r="X150" s="267"/>
      <c r="Y150" s="267"/>
      <c r="Z150" s="267"/>
      <c r="AA150" s="267"/>
      <c r="AB150" s="267"/>
      <c r="AC150" s="267"/>
    </row>
    <row r="151" ht="13.5" customHeight="1">
      <c r="A151" s="333" t="s">
        <v>741</v>
      </c>
      <c r="B151" s="334" t="s">
        <v>222</v>
      </c>
      <c r="C151" s="335" t="s">
        <v>742</v>
      </c>
      <c r="D151" s="335" t="s">
        <v>743</v>
      </c>
      <c r="E151" s="336"/>
      <c r="F151" s="145"/>
      <c r="G151" s="334" t="s">
        <v>742</v>
      </c>
      <c r="H151" s="334" t="s">
        <v>743</v>
      </c>
      <c r="I151" s="334" t="s">
        <v>744</v>
      </c>
      <c r="J151" s="336" t="s">
        <v>744</v>
      </c>
      <c r="K151" s="145"/>
      <c r="L151" s="337" t="s">
        <v>222</v>
      </c>
      <c r="M151" s="338"/>
      <c r="N151" s="267"/>
      <c r="O151" s="267"/>
      <c r="P151" s="267"/>
      <c r="Q151" s="267"/>
      <c r="R151" s="267"/>
      <c r="S151" s="267"/>
      <c r="T151" s="267"/>
      <c r="U151" s="267"/>
      <c r="V151" s="267"/>
      <c r="W151" s="267"/>
      <c r="X151" s="267"/>
      <c r="Y151" s="267"/>
      <c r="Z151" s="267"/>
      <c r="AA151" s="267"/>
      <c r="AB151" s="267"/>
      <c r="AC151" s="267"/>
    </row>
    <row r="152" ht="13.5" customHeight="1">
      <c r="A152" s="339">
        <v>1.0</v>
      </c>
      <c r="B152" s="295" t="s">
        <v>745</v>
      </c>
      <c r="C152" s="308" t="s">
        <v>746</v>
      </c>
      <c r="D152" s="290">
        <v>1.0</v>
      </c>
      <c r="E152" s="340"/>
      <c r="F152" s="95"/>
      <c r="G152" s="341" t="s">
        <v>746</v>
      </c>
      <c r="H152" s="291">
        <f t="shared" ref="H152:H155" si="49">D152</f>
        <v>1</v>
      </c>
      <c r="I152" s="342">
        <f t="shared" ref="I152:I156" si="50">J152*D152</f>
        <v>1971</v>
      </c>
      <c r="J152" s="343">
        <v>1971.0</v>
      </c>
      <c r="K152" s="95"/>
      <c r="L152" s="344" t="s">
        <v>819</v>
      </c>
      <c r="M152" s="345"/>
      <c r="N152" s="267"/>
    </row>
    <row r="153" ht="13.5" customHeight="1">
      <c r="A153" s="339">
        <v>2.0</v>
      </c>
      <c r="B153" s="295" t="s">
        <v>747</v>
      </c>
      <c r="C153" s="308" t="s">
        <v>746</v>
      </c>
      <c r="D153" s="290">
        <v>2.0</v>
      </c>
      <c r="E153" s="340"/>
      <c r="F153" s="95"/>
      <c r="G153" s="341" t="s">
        <v>746</v>
      </c>
      <c r="H153" s="291">
        <f t="shared" si="49"/>
        <v>2</v>
      </c>
      <c r="I153" s="342">
        <f t="shared" si="50"/>
        <v>13934</v>
      </c>
      <c r="J153" s="343">
        <v>6967.0</v>
      </c>
      <c r="K153" s="95"/>
      <c r="L153" s="344"/>
      <c r="M153" s="345"/>
      <c r="P153" s="293" t="s">
        <v>707</v>
      </c>
    </row>
    <row r="154" ht="13.5" customHeight="1">
      <c r="A154" s="339">
        <v>3.0</v>
      </c>
      <c r="B154" s="295" t="s">
        <v>748</v>
      </c>
      <c r="C154" s="308" t="s">
        <v>746</v>
      </c>
      <c r="D154" s="290">
        <v>3.0</v>
      </c>
      <c r="E154" s="340"/>
      <c r="F154" s="95"/>
      <c r="G154" s="341" t="s">
        <v>749</v>
      </c>
      <c r="H154" s="291">
        <f t="shared" si="49"/>
        <v>3</v>
      </c>
      <c r="I154" s="342">
        <f t="shared" si="50"/>
        <v>24192</v>
      </c>
      <c r="J154" s="343">
        <v>8064.0</v>
      </c>
      <c r="K154" s="95"/>
      <c r="L154" s="344"/>
      <c r="M154" s="346"/>
      <c r="N154" s="293"/>
      <c r="O154" s="293"/>
      <c r="P154" s="293"/>
      <c r="Q154" s="293"/>
      <c r="R154" s="293"/>
      <c r="S154" s="293"/>
      <c r="T154" s="293"/>
      <c r="U154" s="293"/>
      <c r="V154" s="293"/>
      <c r="W154" s="293"/>
      <c r="X154" s="293"/>
      <c r="Y154" s="293"/>
      <c r="Z154" s="293"/>
      <c r="AA154" s="293"/>
      <c r="AB154" s="293"/>
      <c r="AC154" s="293"/>
      <c r="AD154" s="293"/>
      <c r="AE154" s="293"/>
      <c r="AF154" s="347"/>
      <c r="AG154" s="347"/>
      <c r="AH154" s="347"/>
      <c r="AI154" s="347"/>
      <c r="AJ154" s="347"/>
      <c r="AK154" s="347"/>
      <c r="AL154" s="347"/>
      <c r="AM154" s="347"/>
      <c r="AN154" s="347"/>
      <c r="AO154" s="347"/>
      <c r="AP154" s="347"/>
      <c r="AQ154" s="347"/>
    </row>
    <row r="155" ht="13.5" customHeight="1">
      <c r="A155" s="339">
        <v>4.0</v>
      </c>
      <c r="B155" s="295" t="s">
        <v>860</v>
      </c>
      <c r="C155" s="308" t="s">
        <v>746</v>
      </c>
      <c r="D155" s="290">
        <v>1.0</v>
      </c>
      <c r="E155" s="348"/>
      <c r="F155" s="349"/>
      <c r="G155" s="341" t="s">
        <v>746</v>
      </c>
      <c r="H155" s="291">
        <f t="shared" si="49"/>
        <v>1</v>
      </c>
      <c r="I155" s="342">
        <f t="shared" si="50"/>
        <v>5880</v>
      </c>
      <c r="J155" s="343">
        <v>5880.0</v>
      </c>
      <c r="K155" s="95"/>
      <c r="L155" s="344"/>
      <c r="M155" s="332"/>
      <c r="N155" s="267"/>
      <c r="O155" s="267"/>
      <c r="P155" s="267"/>
      <c r="Q155" s="267"/>
      <c r="R155" s="267"/>
      <c r="S155" s="267"/>
      <c r="T155" s="267"/>
      <c r="U155" s="267"/>
      <c r="V155" s="267"/>
      <c r="W155" s="267"/>
      <c r="X155" s="267"/>
      <c r="Y155" s="267"/>
      <c r="Z155" s="267"/>
      <c r="AA155" s="267"/>
      <c r="AB155" s="267"/>
      <c r="AC155" s="267"/>
      <c r="AD155" s="293"/>
      <c r="AE155" s="293"/>
    </row>
    <row r="156" ht="13.5" customHeight="1">
      <c r="A156" s="339">
        <v>5.0</v>
      </c>
      <c r="B156" s="295" t="s">
        <v>754</v>
      </c>
      <c r="C156" s="308" t="s">
        <v>746</v>
      </c>
      <c r="D156" s="290">
        <v>19.0</v>
      </c>
      <c r="E156" s="348"/>
      <c r="F156" s="349"/>
      <c r="G156" s="341" t="s">
        <v>746</v>
      </c>
      <c r="H156" s="291">
        <v>19.0</v>
      </c>
      <c r="I156" s="342">
        <f t="shared" si="50"/>
        <v>79800</v>
      </c>
      <c r="J156" s="343">
        <v>4200.0</v>
      </c>
      <c r="K156" s="95"/>
      <c r="L156" s="344"/>
      <c r="M156" s="332"/>
      <c r="N156" s="267"/>
      <c r="O156" s="267"/>
      <c r="P156" s="267"/>
      <c r="Q156" s="267"/>
      <c r="R156" s="267"/>
      <c r="S156" s="267"/>
      <c r="T156" s="267"/>
      <c r="U156" s="267"/>
      <c r="V156" s="267"/>
      <c r="W156" s="267"/>
      <c r="X156" s="267"/>
      <c r="Y156" s="267"/>
      <c r="Z156" s="267"/>
      <c r="AA156" s="267"/>
      <c r="AB156" s="267"/>
      <c r="AC156" s="267"/>
      <c r="AD156" s="293"/>
      <c r="AE156" s="293"/>
      <c r="AF156" s="293"/>
      <c r="AG156" s="293"/>
      <c r="AH156" s="293"/>
      <c r="AI156" s="293"/>
      <c r="AJ156" s="293"/>
      <c r="AK156" s="293"/>
      <c r="AL156" s="293"/>
      <c r="AM156" s="293"/>
      <c r="AN156" s="293"/>
      <c r="AO156" s="293"/>
      <c r="AP156" s="293"/>
      <c r="AQ156" s="293"/>
    </row>
    <row r="157" ht="13.5" customHeight="1">
      <c r="A157" s="350"/>
      <c r="B157" s="351"/>
      <c r="C157" s="352"/>
      <c r="D157" s="353"/>
      <c r="E157" s="352"/>
      <c r="F157" s="353"/>
      <c r="G157" s="351"/>
      <c r="H157" s="354" t="s">
        <v>704</v>
      </c>
      <c r="I157" s="355">
        <f>SUM(I152:I156)</f>
        <v>125777</v>
      </c>
      <c r="J157" s="356"/>
      <c r="K157" s="168"/>
      <c r="L157" s="357"/>
      <c r="M157" s="345"/>
      <c r="N157" s="267"/>
      <c r="O157" s="267"/>
      <c r="P157" s="267"/>
      <c r="Q157" s="267"/>
      <c r="R157" s="267"/>
      <c r="S157" s="267"/>
      <c r="T157" s="267"/>
      <c r="U157" s="267"/>
      <c r="V157" s="267"/>
      <c r="W157" s="267"/>
      <c r="X157" s="267"/>
      <c r="Y157" s="267"/>
      <c r="Z157" s="267"/>
      <c r="AA157" s="267"/>
      <c r="AB157" s="267"/>
      <c r="AC157" s="267"/>
    </row>
    <row r="158" ht="13.5" customHeight="1">
      <c r="A158" s="358" t="s">
        <v>755</v>
      </c>
      <c r="B158" s="171"/>
      <c r="C158" s="171"/>
      <c r="D158" s="171"/>
      <c r="E158" s="171"/>
      <c r="F158" s="171"/>
      <c r="G158" s="171"/>
      <c r="H158" s="171"/>
      <c r="I158" s="171"/>
      <c r="J158" s="171"/>
      <c r="K158" s="171"/>
      <c r="L158" s="172"/>
      <c r="M158" s="332"/>
      <c r="N158" s="267"/>
      <c r="O158" s="267"/>
      <c r="P158" s="267"/>
      <c r="Q158" s="267"/>
      <c r="R158" s="267"/>
      <c r="S158" s="267"/>
      <c r="T158" s="267"/>
      <c r="U158" s="267"/>
      <c r="V158" s="267"/>
      <c r="W158" s="267"/>
      <c r="X158" s="267"/>
      <c r="Y158" s="267"/>
      <c r="Z158" s="267"/>
      <c r="AA158" s="267"/>
      <c r="AB158" s="267"/>
      <c r="AC158" s="267"/>
    </row>
    <row r="159" ht="13.5" customHeight="1">
      <c r="A159" s="332"/>
      <c r="B159" s="332"/>
      <c r="C159" s="359"/>
      <c r="D159" s="174"/>
      <c r="E159" s="174"/>
      <c r="F159" s="175"/>
      <c r="G159" s="332"/>
      <c r="H159" s="332"/>
      <c r="I159" s="332"/>
      <c r="J159" s="359"/>
      <c r="K159" s="175"/>
      <c r="L159" s="331"/>
      <c r="M159" s="332"/>
      <c r="N159" s="267"/>
      <c r="O159" s="267"/>
      <c r="P159" s="267"/>
      <c r="Q159" s="267"/>
      <c r="R159" s="267"/>
      <c r="S159" s="267"/>
      <c r="T159" s="267"/>
      <c r="U159" s="267"/>
      <c r="V159" s="267"/>
      <c r="W159" s="267"/>
      <c r="X159" s="267"/>
      <c r="Y159" s="267"/>
      <c r="Z159" s="267"/>
      <c r="AA159" s="267"/>
      <c r="AB159" s="267"/>
      <c r="AC159" s="267"/>
    </row>
    <row r="160" ht="13.5" customHeight="1">
      <c r="A160" s="325" t="s">
        <v>756</v>
      </c>
      <c r="M160" s="360"/>
      <c r="N160" s="279"/>
      <c r="O160" s="267"/>
      <c r="P160" s="267"/>
      <c r="Q160" s="267"/>
      <c r="R160" s="267"/>
      <c r="S160" s="267"/>
      <c r="T160" s="267"/>
      <c r="U160" s="267"/>
      <c r="V160" s="267"/>
      <c r="W160" s="267"/>
      <c r="X160" s="267"/>
      <c r="Y160" s="267"/>
      <c r="Z160" s="267"/>
      <c r="AA160" s="267"/>
      <c r="AB160" s="267"/>
      <c r="AC160" s="267"/>
    </row>
    <row r="161" ht="13.5" customHeight="1">
      <c r="A161" s="268" t="s">
        <v>28</v>
      </c>
      <c r="B161" s="269" t="s">
        <v>222</v>
      </c>
      <c r="C161" s="270" t="s">
        <v>737</v>
      </c>
      <c r="D161" s="270" t="s">
        <v>674</v>
      </c>
      <c r="E161" s="270" t="s">
        <v>757</v>
      </c>
      <c r="F161" s="270" t="s">
        <v>676</v>
      </c>
      <c r="G161" s="269" t="s">
        <v>737</v>
      </c>
      <c r="H161" s="269" t="s">
        <v>674</v>
      </c>
      <c r="I161" s="269" t="s">
        <v>676</v>
      </c>
      <c r="J161" s="361" t="s">
        <v>758</v>
      </c>
      <c r="K161" s="178"/>
      <c r="L161" s="178"/>
      <c r="M161" s="179"/>
      <c r="N161" s="362"/>
      <c r="O161" s="362"/>
      <c r="P161" s="362"/>
      <c r="Q161" s="362"/>
      <c r="R161" s="362"/>
      <c r="S161" s="362"/>
      <c r="T161" s="362"/>
      <c r="U161" s="362"/>
      <c r="V161" s="362"/>
      <c r="W161" s="362"/>
      <c r="X161" s="362"/>
      <c r="Y161" s="362"/>
      <c r="Z161" s="362"/>
      <c r="AA161" s="362"/>
      <c r="AB161" s="362"/>
      <c r="AC161" s="362"/>
      <c r="AD161" s="363"/>
      <c r="AE161" s="363"/>
      <c r="AF161" s="363"/>
      <c r="AG161" s="363"/>
      <c r="AH161" s="363"/>
      <c r="AI161" s="363"/>
      <c r="AJ161" s="363"/>
      <c r="AK161" s="363"/>
      <c r="AL161" s="363"/>
      <c r="AM161" s="363"/>
      <c r="AN161" s="363"/>
      <c r="AO161" s="363"/>
      <c r="AP161" s="363"/>
      <c r="AQ161" s="363"/>
    </row>
    <row r="162" ht="13.5" customHeight="1">
      <c r="A162" s="53"/>
      <c r="B162" s="54"/>
      <c r="C162" s="54"/>
      <c r="D162" s="54"/>
      <c r="E162" s="54"/>
      <c r="F162" s="54"/>
      <c r="G162" s="54"/>
      <c r="H162" s="54"/>
      <c r="I162" s="54"/>
      <c r="J162" s="364"/>
      <c r="K162" s="364" t="s">
        <v>34</v>
      </c>
      <c r="L162" s="365" t="s">
        <v>679</v>
      </c>
      <c r="M162" s="117"/>
      <c r="N162" s="267"/>
      <c r="O162" s="267"/>
      <c r="P162" s="267"/>
      <c r="Q162" s="267"/>
      <c r="R162" s="267"/>
      <c r="S162" s="267"/>
      <c r="T162" s="267"/>
      <c r="U162" s="267"/>
      <c r="V162" s="267"/>
      <c r="W162" s="267"/>
      <c r="X162" s="267"/>
      <c r="Y162" s="267"/>
      <c r="Z162" s="267"/>
      <c r="AA162" s="267"/>
      <c r="AB162" s="267"/>
      <c r="AC162" s="267"/>
    </row>
    <row r="163" ht="13.5" customHeight="1">
      <c r="A163" s="298"/>
      <c r="B163" s="274" t="s">
        <v>759</v>
      </c>
      <c r="C163" s="299"/>
      <c r="D163" s="299"/>
      <c r="E163" s="300"/>
      <c r="F163" s="299"/>
      <c r="G163" s="366"/>
      <c r="H163" s="95"/>
      <c r="I163" s="301"/>
      <c r="J163" s="302"/>
      <c r="K163" s="302"/>
      <c r="L163" s="367"/>
      <c r="M163" s="117"/>
      <c r="N163" s="368"/>
      <c r="O163" s="368"/>
      <c r="P163" s="368"/>
      <c r="Q163" s="368"/>
      <c r="R163" s="368"/>
      <c r="S163" s="368"/>
      <c r="T163" s="368"/>
      <c r="U163" s="368"/>
      <c r="V163" s="368"/>
      <c r="W163" s="368"/>
      <c r="X163" s="368"/>
      <c r="Y163" s="368"/>
      <c r="Z163" s="368"/>
      <c r="AA163" s="368"/>
      <c r="AB163" s="368"/>
      <c r="AC163" s="368"/>
      <c r="AD163" s="369"/>
      <c r="AE163" s="369"/>
      <c r="AF163" s="369"/>
      <c r="AG163" s="369"/>
      <c r="AH163" s="369"/>
      <c r="AI163" s="369"/>
      <c r="AJ163" s="369"/>
      <c r="AK163" s="369"/>
      <c r="AL163" s="369"/>
      <c r="AM163" s="369"/>
      <c r="AN163" s="369"/>
      <c r="AO163" s="369"/>
      <c r="AP163" s="369"/>
      <c r="AQ163" s="369"/>
    </row>
    <row r="164" ht="13.5" customHeight="1">
      <c r="A164" s="370"/>
      <c r="B164" s="371" t="s">
        <v>760</v>
      </c>
      <c r="C164" s="372">
        <v>1500.0</v>
      </c>
      <c r="D164" s="372"/>
      <c r="E164" s="372">
        <v>1.0</v>
      </c>
      <c r="F164" s="373" t="s">
        <v>761</v>
      </c>
      <c r="G164" s="374">
        <f>C164</f>
        <v>1500</v>
      </c>
      <c r="H164" s="191"/>
      <c r="I164" s="375" t="str">
        <f>F164</f>
        <v>sqft</v>
      </c>
      <c r="J164" s="376"/>
      <c r="K164" s="376">
        <v>18.0</v>
      </c>
      <c r="L164" s="377">
        <f>C164*E164*K164</f>
        <v>27000</v>
      </c>
      <c r="M164" s="378"/>
      <c r="N164" s="267"/>
      <c r="O164" s="267"/>
      <c r="P164" s="267"/>
      <c r="Q164" s="267"/>
      <c r="R164" s="267"/>
      <c r="S164" s="267"/>
      <c r="T164" s="267"/>
      <c r="U164" s="267"/>
      <c r="V164" s="267"/>
      <c r="W164" s="267"/>
      <c r="X164" s="267"/>
      <c r="Y164" s="267"/>
      <c r="Z164" s="267"/>
      <c r="AA164" s="267"/>
      <c r="AB164" s="267"/>
      <c r="AC164" s="267"/>
      <c r="AD164" s="347"/>
      <c r="AE164" s="347"/>
      <c r="AF164" s="347"/>
      <c r="AG164" s="347"/>
      <c r="AH164" s="347"/>
      <c r="AI164" s="347"/>
      <c r="AJ164" s="347"/>
      <c r="AK164" s="347"/>
      <c r="AL164" s="347"/>
      <c r="AM164" s="347"/>
      <c r="AN164" s="347"/>
      <c r="AO164" s="347"/>
      <c r="AP164" s="347"/>
      <c r="AQ164" s="347"/>
    </row>
    <row r="165" ht="13.5" customHeight="1">
      <c r="A165" s="298"/>
      <c r="B165" s="274" t="s">
        <v>944</v>
      </c>
      <c r="C165" s="379"/>
      <c r="D165" s="379"/>
      <c r="E165" s="379"/>
      <c r="F165" s="379"/>
      <c r="G165" s="506"/>
      <c r="H165" s="95"/>
      <c r="I165" s="381"/>
      <c r="J165" s="382"/>
      <c r="K165" s="382"/>
      <c r="L165" s="383"/>
      <c r="M165" s="117"/>
      <c r="N165" s="267"/>
      <c r="O165" s="267"/>
      <c r="P165" s="267"/>
      <c r="Q165" s="267"/>
      <c r="R165" s="267"/>
      <c r="S165" s="267"/>
      <c r="T165" s="267"/>
      <c r="U165" s="267"/>
      <c r="V165" s="267"/>
      <c r="W165" s="267"/>
      <c r="X165" s="267"/>
      <c r="Y165" s="267"/>
      <c r="Z165" s="267"/>
      <c r="AA165" s="267"/>
      <c r="AB165" s="267"/>
      <c r="AC165" s="267"/>
      <c r="AD165" s="293"/>
      <c r="AE165" s="293"/>
      <c r="AF165" s="293"/>
      <c r="AG165" s="293"/>
      <c r="AH165" s="293"/>
      <c r="AI165" s="293"/>
      <c r="AJ165" s="293"/>
      <c r="AK165" s="293"/>
      <c r="AL165" s="293"/>
      <c r="AM165" s="293"/>
      <c r="AN165" s="293"/>
      <c r="AO165" s="293"/>
      <c r="AP165" s="293"/>
      <c r="AQ165" s="293"/>
    </row>
    <row r="166" ht="13.5" customHeight="1">
      <c r="A166" s="306"/>
      <c r="B166" s="371" t="s">
        <v>945</v>
      </c>
      <c r="C166" s="379">
        <v>70.0</v>
      </c>
      <c r="D166" s="379"/>
      <c r="E166" s="379">
        <v>1.0</v>
      </c>
      <c r="F166" s="388" t="s">
        <v>764</v>
      </c>
      <c r="G166" s="384">
        <f>C166</f>
        <v>70</v>
      </c>
      <c r="H166" s="95"/>
      <c r="I166" s="389" t="str">
        <f>F166</f>
        <v>nos</v>
      </c>
      <c r="J166" s="382"/>
      <c r="K166" s="382">
        <v>1287.0</v>
      </c>
      <c r="L166" s="386">
        <f>C166*E166*K166</f>
        <v>90090</v>
      </c>
      <c r="M166" s="117"/>
      <c r="N166" s="267"/>
      <c r="O166" s="267"/>
      <c r="P166" s="267"/>
      <c r="Q166" s="267"/>
      <c r="R166" s="267"/>
      <c r="S166" s="267"/>
      <c r="T166" s="267"/>
      <c r="U166" s="267"/>
      <c r="V166" s="267"/>
      <c r="W166" s="267"/>
      <c r="X166" s="267"/>
      <c r="Y166" s="267"/>
      <c r="Z166" s="267"/>
      <c r="AA166" s="267"/>
      <c r="AB166" s="267"/>
      <c r="AC166" s="267"/>
    </row>
    <row r="167" ht="13.5" customHeight="1">
      <c r="A167" s="298"/>
      <c r="B167" s="274" t="s">
        <v>682</v>
      </c>
      <c r="C167" s="379"/>
      <c r="D167" s="379"/>
      <c r="E167" s="379"/>
      <c r="F167" s="379"/>
      <c r="G167" s="380"/>
      <c r="H167" s="380"/>
      <c r="I167" s="381"/>
      <c r="J167" s="382"/>
      <c r="K167" s="382"/>
      <c r="L167" s="383"/>
      <c r="M167" s="117"/>
      <c r="N167" s="267"/>
      <c r="O167" s="267"/>
      <c r="P167" s="267"/>
      <c r="Q167" s="267"/>
      <c r="R167" s="267"/>
      <c r="S167" s="267"/>
      <c r="T167" s="267"/>
      <c r="U167" s="267"/>
      <c r="V167" s="267"/>
      <c r="W167" s="267"/>
      <c r="X167" s="267"/>
      <c r="Y167" s="267"/>
      <c r="Z167" s="267"/>
      <c r="AA167" s="267"/>
      <c r="AB167" s="267"/>
      <c r="AC167" s="267"/>
    </row>
    <row r="168" ht="13.5" customHeight="1">
      <c r="A168" s="306"/>
      <c r="B168" s="256" t="s">
        <v>778</v>
      </c>
      <c r="C168" s="379">
        <v>15.0</v>
      </c>
      <c r="D168" s="379"/>
      <c r="E168" s="379">
        <v>1.0</v>
      </c>
      <c r="F168" s="379" t="s">
        <v>767</v>
      </c>
      <c r="G168" s="384">
        <f>C168</f>
        <v>15</v>
      </c>
      <c r="H168" s="95"/>
      <c r="I168" s="385" t="str">
        <f t="shared" ref="I168:I171" si="51">F168</f>
        <v>rft</v>
      </c>
      <c r="J168" s="382"/>
      <c r="K168" s="382">
        <v>579.0</v>
      </c>
      <c r="L168" s="386">
        <f>C168*E168*K168</f>
        <v>8685</v>
      </c>
      <c r="M168" s="117"/>
      <c r="N168" s="279"/>
      <c r="O168" s="279"/>
      <c r="P168" s="279"/>
      <c r="Q168" s="279"/>
      <c r="R168" s="279"/>
      <c r="S168" s="279"/>
      <c r="T168" s="279"/>
      <c r="U168" s="279"/>
      <c r="V168" s="279"/>
      <c r="W168" s="279"/>
      <c r="X168" s="279"/>
      <c r="Y168" s="279"/>
      <c r="Z168" s="279"/>
      <c r="AA168" s="279"/>
      <c r="AB168" s="279"/>
      <c r="AC168" s="279"/>
      <c r="AD168" s="387"/>
      <c r="AE168" s="387"/>
    </row>
    <row r="169" ht="13.5" customHeight="1">
      <c r="A169" s="306"/>
      <c r="B169" s="256" t="s">
        <v>772</v>
      </c>
      <c r="C169" s="379">
        <v>1.0</v>
      </c>
      <c r="D169" s="379"/>
      <c r="E169" s="379">
        <v>1.0</v>
      </c>
      <c r="F169" s="388" t="s">
        <v>764</v>
      </c>
      <c r="G169" s="384">
        <v>1.0</v>
      </c>
      <c r="H169" s="95"/>
      <c r="I169" s="389" t="str">
        <f t="shared" si="51"/>
        <v>nos</v>
      </c>
      <c r="J169" s="382"/>
      <c r="K169" s="382">
        <v>2574.0</v>
      </c>
      <c r="L169" s="386">
        <f t="shared" ref="L169:L170" si="52">K169*E169*C169</f>
        <v>2574</v>
      </c>
      <c r="M169" s="117"/>
      <c r="N169" s="267"/>
      <c r="O169" s="267"/>
      <c r="P169" s="267"/>
      <c r="Q169" s="267"/>
      <c r="R169" s="267"/>
      <c r="S169" s="267"/>
      <c r="T169" s="267"/>
      <c r="U169" s="267"/>
      <c r="V169" s="267"/>
      <c r="W169" s="267"/>
      <c r="X169" s="267"/>
      <c r="Y169" s="267"/>
      <c r="Z169" s="267"/>
      <c r="AA169" s="267"/>
      <c r="AB169" s="267"/>
      <c r="AC169" s="267"/>
      <c r="AD169" s="293"/>
      <c r="AE169" s="293"/>
      <c r="AF169" s="293"/>
      <c r="AG169" s="293"/>
      <c r="AH169" s="293"/>
      <c r="AI169" s="293"/>
      <c r="AJ169" s="293"/>
      <c r="AK169" s="293"/>
      <c r="AL169" s="293"/>
      <c r="AM169" s="293"/>
      <c r="AN169" s="293"/>
      <c r="AO169" s="293"/>
      <c r="AP169" s="293"/>
      <c r="AQ169" s="293"/>
    </row>
    <row r="170" ht="13.5" customHeight="1">
      <c r="A170" s="306"/>
      <c r="B170" s="256" t="s">
        <v>792</v>
      </c>
      <c r="C170" s="379">
        <v>2.0</v>
      </c>
      <c r="D170" s="379"/>
      <c r="E170" s="379">
        <v>2.0</v>
      </c>
      <c r="F170" s="388" t="s">
        <v>764</v>
      </c>
      <c r="G170" s="384">
        <v>2.0</v>
      </c>
      <c r="H170" s="95"/>
      <c r="I170" s="389" t="str">
        <f t="shared" si="51"/>
        <v>nos</v>
      </c>
      <c r="J170" s="382"/>
      <c r="K170" s="382">
        <v>2288.0</v>
      </c>
      <c r="L170" s="386">
        <f t="shared" si="52"/>
        <v>9152</v>
      </c>
      <c r="M170" s="117"/>
      <c r="N170" s="267"/>
      <c r="O170" s="267"/>
      <c r="P170" s="267"/>
      <c r="Q170" s="267"/>
      <c r="R170" s="267"/>
      <c r="S170" s="267"/>
      <c r="T170" s="267"/>
      <c r="U170" s="267"/>
      <c r="V170" s="267"/>
      <c r="W170" s="267"/>
      <c r="X170" s="267"/>
      <c r="Y170" s="267"/>
      <c r="Z170" s="267"/>
      <c r="AA170" s="267"/>
      <c r="AB170" s="267"/>
      <c r="AC170" s="267"/>
      <c r="AD170" s="293"/>
      <c r="AE170" s="293"/>
      <c r="AF170" s="293"/>
      <c r="AG170" s="293"/>
      <c r="AH170" s="293"/>
      <c r="AI170" s="293"/>
      <c r="AJ170" s="293"/>
      <c r="AK170" s="293"/>
      <c r="AL170" s="293"/>
      <c r="AM170" s="293"/>
      <c r="AN170" s="293"/>
      <c r="AO170" s="293"/>
      <c r="AP170" s="293"/>
      <c r="AQ170" s="293"/>
    </row>
    <row r="171" ht="13.5" customHeight="1">
      <c r="A171" s="306"/>
      <c r="B171" s="256" t="s">
        <v>861</v>
      </c>
      <c r="C171" s="379">
        <v>200.0</v>
      </c>
      <c r="D171" s="379"/>
      <c r="E171" s="379">
        <v>1.0</v>
      </c>
      <c r="F171" s="388" t="s">
        <v>767</v>
      </c>
      <c r="G171" s="384">
        <f>C171</f>
        <v>200</v>
      </c>
      <c r="H171" s="95"/>
      <c r="I171" s="389" t="str">
        <f t="shared" si="51"/>
        <v>rft</v>
      </c>
      <c r="J171" s="382"/>
      <c r="K171" s="382">
        <v>121.0</v>
      </c>
      <c r="L171" s="386">
        <f>C171*E171*K171</f>
        <v>24200</v>
      </c>
      <c r="M171" s="117"/>
      <c r="N171" s="267"/>
      <c r="O171" s="267"/>
      <c r="P171" s="267"/>
      <c r="Q171" s="267"/>
      <c r="R171" s="267"/>
      <c r="S171" s="267"/>
      <c r="T171" s="267"/>
      <c r="U171" s="267"/>
      <c r="V171" s="267"/>
      <c r="W171" s="267"/>
      <c r="X171" s="267"/>
      <c r="Y171" s="267"/>
      <c r="Z171" s="267"/>
      <c r="AA171" s="267"/>
      <c r="AB171" s="267"/>
      <c r="AC171" s="267"/>
      <c r="AD171" s="293"/>
      <c r="AE171" s="293"/>
      <c r="AF171" s="293"/>
      <c r="AG171" s="293"/>
      <c r="AH171" s="293"/>
      <c r="AI171" s="293"/>
      <c r="AJ171" s="293"/>
      <c r="AK171" s="293"/>
      <c r="AL171" s="293"/>
      <c r="AM171" s="293"/>
      <c r="AN171" s="293"/>
      <c r="AO171" s="293"/>
      <c r="AP171" s="293"/>
      <c r="AQ171" s="293"/>
    </row>
    <row r="172" ht="13.5" customHeight="1">
      <c r="A172" s="298"/>
      <c r="B172" s="274" t="s">
        <v>776</v>
      </c>
      <c r="C172" s="379"/>
      <c r="D172" s="379"/>
      <c r="E172" s="379"/>
      <c r="F172" s="379"/>
      <c r="G172" s="380"/>
      <c r="H172" s="380"/>
      <c r="I172" s="381"/>
      <c r="J172" s="382"/>
      <c r="K172" s="382"/>
      <c r="L172" s="383"/>
      <c r="M172" s="117"/>
      <c r="N172" s="267"/>
      <c r="O172" s="267"/>
      <c r="P172" s="267"/>
      <c r="Q172" s="267"/>
      <c r="R172" s="267"/>
      <c r="S172" s="267"/>
      <c r="T172" s="267"/>
      <c r="U172" s="267"/>
      <c r="V172" s="267"/>
      <c r="W172" s="267"/>
      <c r="X172" s="267"/>
      <c r="Y172" s="267"/>
      <c r="Z172" s="267"/>
      <c r="AA172" s="267"/>
      <c r="AB172" s="267"/>
      <c r="AC172" s="267"/>
      <c r="AD172" s="293"/>
      <c r="AE172" s="293"/>
      <c r="AF172" s="293"/>
      <c r="AG172" s="293"/>
      <c r="AH172" s="293"/>
      <c r="AI172" s="293"/>
      <c r="AJ172" s="293"/>
      <c r="AK172" s="293"/>
      <c r="AL172" s="293"/>
      <c r="AM172" s="293"/>
      <c r="AN172" s="293"/>
      <c r="AO172" s="293"/>
      <c r="AP172" s="293"/>
      <c r="AQ172" s="293"/>
    </row>
    <row r="173" ht="13.5" customHeight="1">
      <c r="A173" s="306"/>
      <c r="B173" s="256" t="s">
        <v>778</v>
      </c>
      <c r="C173" s="379">
        <v>15.0</v>
      </c>
      <c r="D173" s="379"/>
      <c r="E173" s="379">
        <v>1.0</v>
      </c>
      <c r="F173" s="388" t="s">
        <v>767</v>
      </c>
      <c r="G173" s="384">
        <f t="shared" ref="G173:G177" si="53">C173</f>
        <v>15</v>
      </c>
      <c r="H173" s="95"/>
      <c r="I173" s="389" t="s">
        <v>767</v>
      </c>
      <c r="J173" s="382"/>
      <c r="K173" s="382">
        <v>579.0</v>
      </c>
      <c r="L173" s="386">
        <f t="shared" ref="L173:L175" si="54">C173*E173*K173</f>
        <v>8685</v>
      </c>
      <c r="M173" s="117"/>
      <c r="N173" s="267"/>
      <c r="O173" s="267"/>
      <c r="P173" s="267"/>
      <c r="Q173" s="267"/>
      <c r="R173" s="267"/>
      <c r="S173" s="267"/>
      <c r="T173" s="267"/>
      <c r="U173" s="267"/>
      <c r="V173" s="267"/>
      <c r="W173" s="267"/>
      <c r="X173" s="267"/>
      <c r="Y173" s="267"/>
      <c r="Z173" s="267"/>
      <c r="AA173" s="267"/>
      <c r="AB173" s="267"/>
      <c r="AC173" s="267"/>
      <c r="AD173" s="293"/>
      <c r="AE173" s="293"/>
      <c r="AF173" s="293"/>
      <c r="AG173" s="293"/>
      <c r="AH173" s="293"/>
      <c r="AI173" s="293"/>
      <c r="AJ173" s="293"/>
      <c r="AK173" s="293"/>
      <c r="AL173" s="293"/>
      <c r="AM173" s="293"/>
      <c r="AN173" s="293"/>
      <c r="AO173" s="293"/>
      <c r="AP173" s="293"/>
      <c r="AQ173" s="293"/>
    </row>
    <row r="174" ht="13.5" customHeight="1">
      <c r="A174" s="306"/>
      <c r="B174" s="256" t="s">
        <v>779</v>
      </c>
      <c r="C174" s="379">
        <v>50.0</v>
      </c>
      <c r="D174" s="379"/>
      <c r="E174" s="379">
        <v>1.0</v>
      </c>
      <c r="F174" s="388" t="s">
        <v>761</v>
      </c>
      <c r="G174" s="384">
        <f t="shared" si="53"/>
        <v>50</v>
      </c>
      <c r="H174" s="95"/>
      <c r="I174" s="389" t="str">
        <f t="shared" ref="I174:I179" si="55">F174</f>
        <v>sqft</v>
      </c>
      <c r="J174" s="382"/>
      <c r="K174" s="382">
        <v>168.0</v>
      </c>
      <c r="L174" s="386">
        <f t="shared" si="54"/>
        <v>8400</v>
      </c>
      <c r="M174" s="117"/>
      <c r="N174" s="267"/>
      <c r="O174" s="267"/>
      <c r="P174" s="267"/>
      <c r="Q174" s="267"/>
      <c r="R174" s="267"/>
      <c r="S174" s="267"/>
      <c r="T174" s="267"/>
      <c r="U174" s="267"/>
      <c r="V174" s="267"/>
      <c r="W174" s="267"/>
      <c r="X174" s="267"/>
      <c r="Y174" s="267"/>
      <c r="Z174" s="267"/>
      <c r="AA174" s="267"/>
      <c r="AB174" s="267"/>
      <c r="AC174" s="267"/>
      <c r="AD174" s="293"/>
      <c r="AE174" s="293"/>
      <c r="AF174" s="293"/>
      <c r="AG174" s="293"/>
      <c r="AH174" s="293"/>
      <c r="AI174" s="293"/>
      <c r="AJ174" s="293"/>
      <c r="AK174" s="293"/>
      <c r="AL174" s="293"/>
      <c r="AM174" s="293"/>
      <c r="AN174" s="293"/>
      <c r="AO174" s="293"/>
      <c r="AP174" s="293"/>
      <c r="AQ174" s="293"/>
    </row>
    <row r="175" ht="13.5" customHeight="1">
      <c r="A175" s="306"/>
      <c r="B175" s="256" t="s">
        <v>862</v>
      </c>
      <c r="C175" s="379">
        <v>50.0</v>
      </c>
      <c r="D175" s="379"/>
      <c r="E175" s="379">
        <v>1.0</v>
      </c>
      <c r="F175" s="388" t="s">
        <v>761</v>
      </c>
      <c r="G175" s="384">
        <f t="shared" si="53"/>
        <v>50</v>
      </c>
      <c r="H175" s="95"/>
      <c r="I175" s="389" t="str">
        <f t="shared" si="55"/>
        <v>sqft</v>
      </c>
      <c r="J175" s="382"/>
      <c r="K175" s="382">
        <v>358.0</v>
      </c>
      <c r="L175" s="386">
        <f t="shared" si="54"/>
        <v>17900</v>
      </c>
      <c r="M175" s="117"/>
      <c r="N175" s="267"/>
      <c r="O175" s="267"/>
      <c r="P175" s="267"/>
      <c r="Q175" s="267"/>
      <c r="R175" s="267"/>
      <c r="S175" s="267"/>
      <c r="T175" s="267"/>
      <c r="U175" s="267"/>
      <c r="V175" s="267"/>
      <c r="W175" s="267"/>
      <c r="X175" s="267"/>
      <c r="Y175" s="267"/>
      <c r="Z175" s="267"/>
      <c r="AA175" s="267"/>
      <c r="AB175" s="267"/>
      <c r="AC175" s="267"/>
      <c r="AD175" s="293"/>
      <c r="AE175" s="293"/>
      <c r="AF175" s="293"/>
      <c r="AG175" s="293"/>
      <c r="AH175" s="293"/>
      <c r="AI175" s="293"/>
      <c r="AJ175" s="293"/>
      <c r="AK175" s="293"/>
      <c r="AL175" s="293"/>
      <c r="AM175" s="293"/>
      <c r="AN175" s="293"/>
      <c r="AO175" s="293"/>
      <c r="AP175" s="293"/>
      <c r="AQ175" s="293"/>
    </row>
    <row r="176" ht="13.5" customHeight="1">
      <c r="A176" s="306"/>
      <c r="B176" s="256" t="s">
        <v>781</v>
      </c>
      <c r="C176" s="379">
        <v>20.0</v>
      </c>
      <c r="D176" s="379"/>
      <c r="E176" s="379">
        <v>1.0</v>
      </c>
      <c r="F176" s="388" t="s">
        <v>767</v>
      </c>
      <c r="G176" s="384">
        <f t="shared" si="53"/>
        <v>20</v>
      </c>
      <c r="H176" s="95"/>
      <c r="I176" s="389" t="str">
        <f t="shared" si="55"/>
        <v>rft</v>
      </c>
      <c r="J176" s="382"/>
      <c r="K176" s="382">
        <v>358.0</v>
      </c>
      <c r="L176" s="386">
        <f t="shared" ref="L176:L179" si="56">K176*E176*C176</f>
        <v>7160</v>
      </c>
      <c r="M176" s="117"/>
      <c r="N176" s="267"/>
      <c r="O176" s="267"/>
      <c r="P176" s="267"/>
      <c r="Q176" s="267"/>
      <c r="R176" s="267"/>
      <c r="S176" s="267"/>
      <c r="T176" s="267"/>
      <c r="U176" s="267"/>
      <c r="V176" s="267"/>
      <c r="W176" s="267"/>
      <c r="X176" s="267"/>
      <c r="Y176" s="267"/>
      <c r="Z176" s="267"/>
      <c r="AA176" s="267"/>
      <c r="AB176" s="267"/>
      <c r="AC176" s="267"/>
      <c r="AD176" s="293"/>
      <c r="AE176" s="293"/>
      <c r="AF176" s="293"/>
      <c r="AG176" s="293"/>
      <c r="AH176" s="293"/>
      <c r="AI176" s="293"/>
      <c r="AJ176" s="293"/>
      <c r="AK176" s="293"/>
      <c r="AL176" s="293"/>
      <c r="AM176" s="293"/>
      <c r="AN176" s="293"/>
      <c r="AO176" s="293"/>
      <c r="AP176" s="293"/>
      <c r="AQ176" s="293"/>
    </row>
    <row r="177" ht="13.5" customHeight="1">
      <c r="A177" s="306"/>
      <c r="B177" s="256" t="s">
        <v>782</v>
      </c>
      <c r="C177" s="379">
        <v>20.0</v>
      </c>
      <c r="D177" s="379"/>
      <c r="E177" s="379">
        <v>1.0</v>
      </c>
      <c r="F177" s="388" t="s">
        <v>767</v>
      </c>
      <c r="G177" s="384">
        <f t="shared" si="53"/>
        <v>20</v>
      </c>
      <c r="H177" s="95"/>
      <c r="I177" s="389" t="str">
        <f t="shared" si="55"/>
        <v>rft</v>
      </c>
      <c r="J177" s="382"/>
      <c r="K177" s="382">
        <v>358.0</v>
      </c>
      <c r="L177" s="386">
        <f t="shared" si="56"/>
        <v>7160</v>
      </c>
      <c r="M177" s="117"/>
      <c r="N177" s="267"/>
      <c r="O177" s="267"/>
      <c r="P177" s="267"/>
      <c r="Q177" s="267"/>
      <c r="R177" s="267"/>
      <c r="S177" s="267"/>
      <c r="T177" s="267"/>
      <c r="U177" s="267"/>
      <c r="V177" s="267"/>
      <c r="W177" s="267"/>
      <c r="X177" s="267"/>
      <c r="Y177" s="267"/>
      <c r="Z177" s="267"/>
      <c r="AA177" s="267"/>
      <c r="AB177" s="267"/>
      <c r="AC177" s="267"/>
      <c r="AD177" s="293"/>
      <c r="AE177" s="293"/>
      <c r="AF177" s="293"/>
      <c r="AG177" s="293"/>
      <c r="AH177" s="293"/>
      <c r="AI177" s="293"/>
      <c r="AJ177" s="293"/>
      <c r="AK177" s="293"/>
      <c r="AL177" s="293"/>
      <c r="AM177" s="293"/>
      <c r="AN177" s="293"/>
      <c r="AO177" s="293"/>
      <c r="AP177" s="293"/>
      <c r="AQ177" s="293"/>
    </row>
    <row r="178" ht="13.5" customHeight="1">
      <c r="A178" s="306"/>
      <c r="B178" s="256" t="s">
        <v>774</v>
      </c>
      <c r="C178" s="379">
        <v>2.0</v>
      </c>
      <c r="D178" s="379"/>
      <c r="E178" s="379">
        <v>1.0</v>
      </c>
      <c r="F178" s="388" t="s">
        <v>764</v>
      </c>
      <c r="G178" s="384">
        <v>2.0</v>
      </c>
      <c r="H178" s="95"/>
      <c r="I178" s="389" t="str">
        <f t="shared" si="55"/>
        <v>nos</v>
      </c>
      <c r="J178" s="382"/>
      <c r="K178" s="382">
        <v>1430.0</v>
      </c>
      <c r="L178" s="386">
        <f t="shared" si="56"/>
        <v>2860</v>
      </c>
      <c r="M178" s="117"/>
      <c r="N178" s="267"/>
      <c r="O178" s="267"/>
      <c r="P178" s="267"/>
      <c r="Q178" s="267"/>
      <c r="R178" s="267"/>
      <c r="S178" s="267"/>
      <c r="T178" s="267"/>
      <c r="U178" s="267"/>
      <c r="V178" s="267"/>
      <c r="W178" s="267"/>
      <c r="X178" s="267"/>
      <c r="Y178" s="267"/>
      <c r="Z178" s="267"/>
      <c r="AA178" s="267"/>
      <c r="AB178" s="267"/>
      <c r="AC178" s="267"/>
      <c r="AD178" s="293"/>
      <c r="AE178" s="293"/>
      <c r="AF178" s="293"/>
      <c r="AG178" s="293"/>
      <c r="AH178" s="293"/>
      <c r="AI178" s="293"/>
      <c r="AJ178" s="293"/>
      <c r="AK178" s="293"/>
      <c r="AL178" s="293"/>
      <c r="AM178" s="293"/>
      <c r="AN178" s="293"/>
      <c r="AO178" s="293"/>
      <c r="AP178" s="293"/>
      <c r="AQ178" s="293"/>
    </row>
    <row r="179" ht="13.5" customHeight="1">
      <c r="A179" s="306"/>
      <c r="B179" s="256" t="s">
        <v>784</v>
      </c>
      <c r="C179" s="379">
        <v>2.0</v>
      </c>
      <c r="D179" s="379"/>
      <c r="E179" s="379">
        <v>1.0</v>
      </c>
      <c r="F179" s="388" t="s">
        <v>764</v>
      </c>
      <c r="G179" s="384">
        <v>2.0</v>
      </c>
      <c r="H179" s="95"/>
      <c r="I179" s="389" t="str">
        <f t="shared" si="55"/>
        <v>nos</v>
      </c>
      <c r="J179" s="382"/>
      <c r="K179" s="382">
        <v>1500.0</v>
      </c>
      <c r="L179" s="386">
        <f t="shared" si="56"/>
        <v>3000</v>
      </c>
      <c r="M179" s="117"/>
      <c r="N179" s="267"/>
      <c r="O179" s="267"/>
      <c r="P179" s="267"/>
      <c r="Q179" s="267"/>
      <c r="R179" s="267"/>
      <c r="S179" s="267"/>
      <c r="T179" s="267"/>
      <c r="U179" s="267"/>
      <c r="V179" s="267"/>
      <c r="W179" s="267"/>
      <c r="X179" s="267"/>
      <c r="Y179" s="267"/>
      <c r="Z179" s="267"/>
      <c r="AA179" s="267"/>
      <c r="AB179" s="267"/>
      <c r="AC179" s="267"/>
      <c r="AD179" s="293"/>
      <c r="AE179" s="293"/>
      <c r="AF179" s="293"/>
      <c r="AG179" s="293"/>
      <c r="AH179" s="293"/>
      <c r="AI179" s="293"/>
      <c r="AJ179" s="293"/>
      <c r="AK179" s="293"/>
      <c r="AL179" s="293"/>
      <c r="AM179" s="293"/>
      <c r="AN179" s="293"/>
      <c r="AO179" s="293"/>
      <c r="AP179" s="293"/>
      <c r="AQ179" s="293"/>
    </row>
    <row r="180" ht="13.5" customHeight="1">
      <c r="A180" s="298"/>
      <c r="B180" s="274" t="s">
        <v>692</v>
      </c>
      <c r="C180" s="379"/>
      <c r="D180" s="379"/>
      <c r="E180" s="379"/>
      <c r="F180" s="379"/>
      <c r="G180" s="380"/>
      <c r="H180" s="380"/>
      <c r="I180" s="381"/>
      <c r="J180" s="382"/>
      <c r="K180" s="382"/>
      <c r="L180" s="383"/>
      <c r="M180" s="117"/>
      <c r="N180" s="267"/>
      <c r="O180" s="267"/>
      <c r="P180" s="267"/>
      <c r="Q180" s="267"/>
      <c r="R180" s="267"/>
      <c r="S180" s="267"/>
      <c r="T180" s="267"/>
      <c r="U180" s="267"/>
      <c r="V180" s="267"/>
      <c r="W180" s="267"/>
      <c r="X180" s="267"/>
      <c r="Y180" s="267"/>
      <c r="Z180" s="267"/>
      <c r="AA180" s="267"/>
      <c r="AB180" s="267"/>
      <c r="AC180" s="267"/>
      <c r="AD180" s="293"/>
      <c r="AE180" s="293"/>
      <c r="AF180" s="293"/>
      <c r="AG180" s="293"/>
      <c r="AH180" s="293"/>
      <c r="AI180" s="293"/>
      <c r="AJ180" s="293"/>
      <c r="AK180" s="293"/>
      <c r="AL180" s="293"/>
      <c r="AM180" s="293"/>
      <c r="AN180" s="293"/>
      <c r="AO180" s="293"/>
      <c r="AP180" s="293"/>
      <c r="AQ180" s="293"/>
    </row>
    <row r="181" ht="13.5" customHeight="1">
      <c r="A181" s="306"/>
      <c r="B181" s="256" t="s">
        <v>787</v>
      </c>
      <c r="C181" s="379">
        <v>50.0</v>
      </c>
      <c r="D181" s="379"/>
      <c r="E181" s="379">
        <v>1.0</v>
      </c>
      <c r="F181" s="388" t="s">
        <v>761</v>
      </c>
      <c r="G181" s="384">
        <f>C181</f>
        <v>50</v>
      </c>
      <c r="H181" s="95"/>
      <c r="I181" s="389" t="str">
        <f t="shared" ref="I181:I190" si="57">F181</f>
        <v>sqft</v>
      </c>
      <c r="J181" s="382"/>
      <c r="K181" s="382">
        <v>50.0</v>
      </c>
      <c r="L181" s="386">
        <f t="shared" ref="L181:L190" si="58">C181*E181*K181</f>
        <v>2500</v>
      </c>
      <c r="M181" s="117"/>
      <c r="N181" s="267"/>
      <c r="O181" s="267"/>
      <c r="P181" s="267"/>
      <c r="Q181" s="267"/>
      <c r="R181" s="267"/>
      <c r="S181" s="267"/>
      <c r="T181" s="267"/>
      <c r="U181" s="267"/>
      <c r="V181" s="267"/>
      <c r="W181" s="267"/>
      <c r="X181" s="267"/>
      <c r="Y181" s="267"/>
      <c r="Z181" s="267"/>
      <c r="AA181" s="267"/>
      <c r="AB181" s="267"/>
      <c r="AC181" s="267"/>
      <c r="AD181" s="293"/>
      <c r="AE181" s="293"/>
      <c r="AF181" s="293"/>
      <c r="AG181" s="293"/>
      <c r="AH181" s="293"/>
      <c r="AI181" s="293"/>
      <c r="AJ181" s="293"/>
      <c r="AK181" s="293"/>
      <c r="AL181" s="293"/>
      <c r="AM181" s="293"/>
      <c r="AN181" s="293"/>
      <c r="AO181" s="293"/>
      <c r="AP181" s="293"/>
      <c r="AQ181" s="293"/>
    </row>
    <row r="182" ht="13.5" customHeight="1">
      <c r="A182" s="306"/>
      <c r="B182" s="256" t="s">
        <v>788</v>
      </c>
      <c r="C182" s="379">
        <v>50.0</v>
      </c>
      <c r="D182" s="379"/>
      <c r="E182" s="379">
        <v>1.0</v>
      </c>
      <c r="F182" s="388" t="s">
        <v>761</v>
      </c>
      <c r="G182" s="384">
        <v>50.0</v>
      </c>
      <c r="H182" s="95"/>
      <c r="I182" s="389" t="str">
        <f t="shared" si="57"/>
        <v>sqft</v>
      </c>
      <c r="J182" s="382"/>
      <c r="K182" s="382">
        <v>122.0</v>
      </c>
      <c r="L182" s="386">
        <f t="shared" si="58"/>
        <v>6100</v>
      </c>
      <c r="M182" s="117"/>
      <c r="N182" s="267"/>
      <c r="O182" s="267"/>
      <c r="P182" s="267"/>
      <c r="Q182" s="267"/>
      <c r="R182" s="267"/>
      <c r="S182" s="267"/>
      <c r="T182" s="267"/>
      <c r="U182" s="267"/>
      <c r="V182" s="267"/>
      <c r="W182" s="267"/>
      <c r="X182" s="267"/>
      <c r="Y182" s="267"/>
      <c r="Z182" s="267"/>
      <c r="AA182" s="267"/>
      <c r="AB182" s="267"/>
      <c r="AC182" s="267"/>
      <c r="AD182" s="293"/>
      <c r="AE182" s="293"/>
      <c r="AF182" s="293"/>
      <c r="AG182" s="293"/>
      <c r="AH182" s="293"/>
      <c r="AI182" s="293"/>
      <c r="AJ182" s="293"/>
      <c r="AK182" s="293"/>
      <c r="AL182" s="293"/>
      <c r="AM182" s="293"/>
      <c r="AN182" s="293"/>
      <c r="AO182" s="293"/>
      <c r="AP182" s="293"/>
      <c r="AQ182" s="293"/>
    </row>
    <row r="183" ht="13.5" customHeight="1">
      <c r="A183" s="306"/>
      <c r="B183" s="256" t="s">
        <v>789</v>
      </c>
      <c r="C183" s="379">
        <v>30.0</v>
      </c>
      <c r="D183" s="379"/>
      <c r="E183" s="379">
        <v>1.0</v>
      </c>
      <c r="F183" s="379" t="s">
        <v>767</v>
      </c>
      <c r="G183" s="384">
        <f t="shared" ref="G183:G190" si="59">C183</f>
        <v>30</v>
      </c>
      <c r="H183" s="95"/>
      <c r="I183" s="389" t="str">
        <f t="shared" si="57"/>
        <v>rft</v>
      </c>
      <c r="J183" s="382"/>
      <c r="K183" s="382">
        <v>479.0</v>
      </c>
      <c r="L183" s="386">
        <f t="shared" si="58"/>
        <v>14370</v>
      </c>
      <c r="M183" s="117"/>
      <c r="N183" s="279"/>
      <c r="O183" s="279"/>
      <c r="P183" s="279"/>
      <c r="Q183" s="279"/>
      <c r="R183" s="279"/>
      <c r="S183" s="279"/>
      <c r="T183" s="279"/>
      <c r="U183" s="279"/>
      <c r="V183" s="279"/>
      <c r="W183" s="279"/>
      <c r="X183" s="279"/>
      <c r="Y183" s="279"/>
      <c r="Z183" s="279"/>
      <c r="AA183" s="279"/>
      <c r="AB183" s="279"/>
      <c r="AC183" s="279"/>
      <c r="AD183" s="387"/>
      <c r="AE183" s="387"/>
      <c r="AF183" s="293"/>
      <c r="AG183" s="293"/>
      <c r="AH183" s="293"/>
      <c r="AI183" s="293"/>
      <c r="AJ183" s="293"/>
      <c r="AK183" s="293"/>
      <c r="AL183" s="293"/>
      <c r="AM183" s="293"/>
      <c r="AN183" s="293"/>
      <c r="AO183" s="293"/>
      <c r="AP183" s="293"/>
      <c r="AQ183" s="293"/>
    </row>
    <row r="184" ht="13.5" customHeight="1">
      <c r="A184" s="306"/>
      <c r="B184" s="256" t="s">
        <v>865</v>
      </c>
      <c r="C184" s="379">
        <v>30.0</v>
      </c>
      <c r="D184" s="379"/>
      <c r="E184" s="379">
        <v>1.0</v>
      </c>
      <c r="F184" s="379" t="s">
        <v>767</v>
      </c>
      <c r="G184" s="384">
        <f t="shared" si="59"/>
        <v>30</v>
      </c>
      <c r="H184" s="95"/>
      <c r="I184" s="389" t="str">
        <f t="shared" si="57"/>
        <v>rft</v>
      </c>
      <c r="J184" s="382"/>
      <c r="K184" s="382">
        <v>136.0</v>
      </c>
      <c r="L184" s="386">
        <f t="shared" si="58"/>
        <v>4080</v>
      </c>
      <c r="M184" s="117"/>
      <c r="N184" s="279"/>
      <c r="O184" s="279"/>
      <c r="P184" s="279"/>
      <c r="Q184" s="279"/>
      <c r="R184" s="279"/>
      <c r="S184" s="279"/>
      <c r="T184" s="279"/>
      <c r="U184" s="279"/>
      <c r="V184" s="279"/>
      <c r="W184" s="279"/>
      <c r="X184" s="279"/>
      <c r="Y184" s="279"/>
      <c r="Z184" s="279"/>
      <c r="AA184" s="279"/>
      <c r="AB184" s="279"/>
      <c r="AC184" s="279"/>
      <c r="AD184" s="387"/>
      <c r="AE184" s="387"/>
      <c r="AF184" s="293"/>
      <c r="AG184" s="293"/>
      <c r="AH184" s="293"/>
      <c r="AI184" s="293"/>
      <c r="AJ184" s="293"/>
      <c r="AK184" s="293"/>
      <c r="AL184" s="293"/>
      <c r="AM184" s="293"/>
      <c r="AN184" s="293"/>
      <c r="AO184" s="293"/>
      <c r="AP184" s="293"/>
      <c r="AQ184" s="293"/>
    </row>
    <row r="185" ht="13.5" customHeight="1">
      <c r="A185" s="306"/>
      <c r="B185" s="256" t="s">
        <v>866</v>
      </c>
      <c r="C185" s="379">
        <v>4.0</v>
      </c>
      <c r="D185" s="379"/>
      <c r="E185" s="379">
        <v>1.0</v>
      </c>
      <c r="F185" s="379" t="s">
        <v>767</v>
      </c>
      <c r="G185" s="384">
        <f t="shared" si="59"/>
        <v>4</v>
      </c>
      <c r="H185" s="95"/>
      <c r="I185" s="389" t="str">
        <f t="shared" si="57"/>
        <v>rft</v>
      </c>
      <c r="J185" s="382"/>
      <c r="K185" s="382">
        <v>1700.0</v>
      </c>
      <c r="L185" s="386">
        <f t="shared" si="58"/>
        <v>6800</v>
      </c>
      <c r="M185" s="117"/>
      <c r="N185" s="279"/>
      <c r="O185" s="279"/>
      <c r="P185" s="279"/>
      <c r="Q185" s="279"/>
      <c r="R185" s="279"/>
      <c r="S185" s="279"/>
      <c r="T185" s="279"/>
      <c r="U185" s="279"/>
      <c r="V185" s="279"/>
      <c r="W185" s="279"/>
      <c r="X185" s="279"/>
      <c r="Y185" s="279"/>
      <c r="Z185" s="279"/>
      <c r="AA185" s="279"/>
      <c r="AB185" s="279"/>
      <c r="AC185" s="279"/>
      <c r="AD185" s="387"/>
      <c r="AE185" s="387"/>
      <c r="AF185" s="293"/>
      <c r="AG185" s="293"/>
      <c r="AH185" s="293"/>
      <c r="AI185" s="293"/>
      <c r="AJ185" s="293"/>
      <c r="AK185" s="293"/>
      <c r="AL185" s="293"/>
      <c r="AM185" s="293"/>
      <c r="AN185" s="293"/>
      <c r="AO185" s="293"/>
      <c r="AP185" s="293"/>
      <c r="AQ185" s="293"/>
    </row>
    <row r="186" ht="13.5" customHeight="1">
      <c r="A186" s="306"/>
      <c r="B186" s="256" t="s">
        <v>867</v>
      </c>
      <c r="C186" s="379">
        <v>100.0</v>
      </c>
      <c r="D186" s="379"/>
      <c r="E186" s="379">
        <v>1.0</v>
      </c>
      <c r="F186" s="379" t="s">
        <v>767</v>
      </c>
      <c r="G186" s="384">
        <f t="shared" si="59"/>
        <v>100</v>
      </c>
      <c r="H186" s="95"/>
      <c r="I186" s="389" t="str">
        <f t="shared" si="57"/>
        <v>rft</v>
      </c>
      <c r="J186" s="382"/>
      <c r="K186" s="382">
        <v>170.0</v>
      </c>
      <c r="L186" s="386">
        <f t="shared" si="58"/>
        <v>17000</v>
      </c>
      <c r="M186" s="117"/>
      <c r="N186" s="279"/>
      <c r="O186" s="279"/>
      <c r="P186" s="279"/>
      <c r="Q186" s="279"/>
      <c r="R186" s="279"/>
      <c r="S186" s="279"/>
      <c r="T186" s="279"/>
      <c r="U186" s="279"/>
      <c r="V186" s="279"/>
      <c r="W186" s="279"/>
      <c r="X186" s="279"/>
      <c r="Y186" s="279"/>
      <c r="Z186" s="279"/>
      <c r="AA186" s="279"/>
      <c r="AB186" s="279"/>
      <c r="AC186" s="279"/>
      <c r="AD186" s="387"/>
      <c r="AE186" s="387"/>
      <c r="AF186" s="293"/>
      <c r="AG186" s="293"/>
      <c r="AH186" s="293"/>
      <c r="AI186" s="293"/>
      <c r="AJ186" s="293"/>
      <c r="AK186" s="293"/>
      <c r="AL186" s="293"/>
      <c r="AM186" s="293"/>
      <c r="AN186" s="293"/>
      <c r="AO186" s="293"/>
      <c r="AP186" s="293"/>
      <c r="AQ186" s="293"/>
    </row>
    <row r="187" ht="13.5" customHeight="1">
      <c r="A187" s="306"/>
      <c r="B187" s="256" t="s">
        <v>868</v>
      </c>
      <c r="C187" s="379">
        <v>21.0</v>
      </c>
      <c r="D187" s="379"/>
      <c r="E187" s="379">
        <v>1.0</v>
      </c>
      <c r="F187" s="379" t="s">
        <v>761</v>
      </c>
      <c r="G187" s="384">
        <f t="shared" si="59"/>
        <v>21</v>
      </c>
      <c r="H187" s="95"/>
      <c r="I187" s="389" t="str">
        <f t="shared" si="57"/>
        <v>sqft</v>
      </c>
      <c r="J187" s="382"/>
      <c r="K187" s="382">
        <v>2310.0</v>
      </c>
      <c r="L187" s="386">
        <f t="shared" si="58"/>
        <v>48510</v>
      </c>
      <c r="M187" s="117"/>
      <c r="N187" s="279"/>
      <c r="O187" s="279"/>
      <c r="P187" s="279"/>
      <c r="Q187" s="279"/>
      <c r="R187" s="279"/>
      <c r="S187" s="279"/>
      <c r="T187" s="279"/>
      <c r="U187" s="279"/>
      <c r="V187" s="279"/>
      <c r="W187" s="279"/>
      <c r="X187" s="279"/>
      <c r="Y187" s="279"/>
      <c r="Z187" s="279"/>
      <c r="AA187" s="279"/>
      <c r="AB187" s="279"/>
      <c r="AC187" s="279"/>
      <c r="AD187" s="387"/>
      <c r="AE187" s="387"/>
      <c r="AF187" s="293"/>
      <c r="AG187" s="293"/>
      <c r="AH187" s="293"/>
      <c r="AI187" s="293"/>
      <c r="AJ187" s="293"/>
      <c r="AK187" s="293"/>
      <c r="AL187" s="293"/>
      <c r="AM187" s="293"/>
      <c r="AN187" s="293"/>
      <c r="AO187" s="293"/>
      <c r="AP187" s="293"/>
      <c r="AQ187" s="293"/>
    </row>
    <row r="188" ht="13.5" customHeight="1">
      <c r="A188" s="306"/>
      <c r="B188" s="256" t="s">
        <v>869</v>
      </c>
      <c r="C188" s="379">
        <v>60.0</v>
      </c>
      <c r="D188" s="379"/>
      <c r="E188" s="379">
        <v>1.0</v>
      </c>
      <c r="F188" s="379" t="s">
        <v>761</v>
      </c>
      <c r="G188" s="384">
        <f t="shared" si="59"/>
        <v>60</v>
      </c>
      <c r="H188" s="95"/>
      <c r="I188" s="389" t="str">
        <f t="shared" si="57"/>
        <v>sqft</v>
      </c>
      <c r="J188" s="382"/>
      <c r="K188" s="382">
        <v>2661.0</v>
      </c>
      <c r="L188" s="386">
        <f t="shared" si="58"/>
        <v>159660</v>
      </c>
      <c r="M188" s="117"/>
      <c r="N188" s="279"/>
      <c r="O188" s="279"/>
      <c r="P188" s="279"/>
      <c r="Q188" s="279"/>
      <c r="R188" s="279"/>
      <c r="S188" s="279"/>
      <c r="T188" s="279"/>
      <c r="U188" s="279"/>
      <c r="V188" s="279"/>
      <c r="W188" s="279"/>
      <c r="X188" s="279"/>
      <c r="Y188" s="279"/>
      <c r="Z188" s="279"/>
      <c r="AA188" s="279"/>
      <c r="AB188" s="279"/>
      <c r="AC188" s="279"/>
      <c r="AD188" s="387"/>
      <c r="AE188" s="387"/>
      <c r="AF188" s="293"/>
      <c r="AG188" s="293"/>
      <c r="AH188" s="293"/>
      <c r="AI188" s="293"/>
      <c r="AJ188" s="293"/>
      <c r="AK188" s="293"/>
      <c r="AL188" s="293"/>
      <c r="AM188" s="293"/>
      <c r="AN188" s="293"/>
      <c r="AO188" s="293"/>
      <c r="AP188" s="293"/>
      <c r="AQ188" s="293"/>
    </row>
    <row r="189" ht="13.5" customHeight="1">
      <c r="A189" s="306"/>
      <c r="B189" s="256" t="s">
        <v>870</v>
      </c>
      <c r="C189" s="379">
        <v>2.0</v>
      </c>
      <c r="D189" s="379"/>
      <c r="E189" s="379">
        <v>1.0</v>
      </c>
      <c r="F189" s="379" t="s">
        <v>761</v>
      </c>
      <c r="G189" s="384">
        <f t="shared" si="59"/>
        <v>2</v>
      </c>
      <c r="H189" s="95"/>
      <c r="I189" s="389" t="str">
        <f t="shared" si="57"/>
        <v>sqft</v>
      </c>
      <c r="J189" s="382"/>
      <c r="K189" s="382">
        <v>4303.0</v>
      </c>
      <c r="L189" s="386">
        <f t="shared" si="58"/>
        <v>8606</v>
      </c>
      <c r="M189" s="117"/>
      <c r="N189" s="279"/>
      <c r="O189" s="279"/>
      <c r="P189" s="279"/>
      <c r="Q189" s="279"/>
      <c r="R189" s="279"/>
      <c r="S189" s="279"/>
      <c r="T189" s="279"/>
      <c r="U189" s="279"/>
      <c r="V189" s="279"/>
      <c r="W189" s="279"/>
      <c r="X189" s="279"/>
      <c r="Y189" s="279"/>
      <c r="Z189" s="279"/>
      <c r="AA189" s="279"/>
      <c r="AB189" s="279"/>
      <c r="AC189" s="279"/>
      <c r="AD189" s="387"/>
      <c r="AE189" s="387"/>
      <c r="AF189" s="293"/>
      <c r="AG189" s="293"/>
      <c r="AH189" s="293"/>
      <c r="AI189" s="293"/>
      <c r="AJ189" s="293"/>
      <c r="AK189" s="293"/>
      <c r="AL189" s="293"/>
      <c r="AM189" s="293"/>
      <c r="AN189" s="293"/>
      <c r="AO189" s="293"/>
      <c r="AP189" s="293"/>
      <c r="AQ189" s="293"/>
    </row>
    <row r="190" ht="13.5" customHeight="1">
      <c r="A190" s="306"/>
      <c r="B190" s="256" t="s">
        <v>871</v>
      </c>
      <c r="C190" s="379">
        <v>4.0</v>
      </c>
      <c r="D190" s="379"/>
      <c r="E190" s="379">
        <v>1.0</v>
      </c>
      <c r="F190" s="379" t="s">
        <v>761</v>
      </c>
      <c r="G190" s="384">
        <f t="shared" si="59"/>
        <v>4</v>
      </c>
      <c r="H190" s="95"/>
      <c r="I190" s="389" t="str">
        <f t="shared" si="57"/>
        <v>sqft</v>
      </c>
      <c r="J190" s="382"/>
      <c r="K190" s="382">
        <v>4303.0</v>
      </c>
      <c r="L190" s="386">
        <f t="shared" si="58"/>
        <v>17212</v>
      </c>
      <c r="M190" s="117"/>
      <c r="N190" s="279"/>
      <c r="O190" s="279"/>
      <c r="P190" s="279"/>
      <c r="Q190" s="279"/>
      <c r="R190" s="279"/>
      <c r="S190" s="279"/>
      <c r="T190" s="279"/>
      <c r="U190" s="279"/>
      <c r="V190" s="279"/>
      <c r="W190" s="279"/>
      <c r="X190" s="279"/>
      <c r="Y190" s="279"/>
      <c r="Z190" s="279"/>
      <c r="AA190" s="279"/>
      <c r="AB190" s="279"/>
      <c r="AC190" s="279"/>
      <c r="AD190" s="387"/>
      <c r="AE190" s="387"/>
      <c r="AF190" s="293"/>
      <c r="AG190" s="293"/>
      <c r="AH190" s="293"/>
      <c r="AI190" s="293"/>
      <c r="AJ190" s="293"/>
      <c r="AK190" s="293"/>
      <c r="AL190" s="293"/>
      <c r="AM190" s="293"/>
      <c r="AN190" s="293"/>
      <c r="AO190" s="293"/>
      <c r="AP190" s="293"/>
      <c r="AQ190" s="293"/>
    </row>
    <row r="191" ht="13.5" customHeight="1">
      <c r="A191" s="298"/>
      <c r="B191" s="274" t="s">
        <v>853</v>
      </c>
      <c r="C191" s="379"/>
      <c r="D191" s="379"/>
      <c r="E191" s="379"/>
      <c r="F191" s="379"/>
      <c r="G191" s="380"/>
      <c r="H191" s="380"/>
      <c r="I191" s="381"/>
      <c r="J191" s="382"/>
      <c r="K191" s="382"/>
      <c r="L191" s="383"/>
      <c r="M191" s="117"/>
      <c r="N191" s="267"/>
      <c r="O191" s="267"/>
      <c r="P191" s="267"/>
      <c r="Q191" s="267"/>
      <c r="R191" s="267"/>
      <c r="S191" s="267"/>
      <c r="T191" s="267"/>
      <c r="U191" s="267"/>
      <c r="V191" s="267"/>
      <c r="W191" s="267"/>
      <c r="X191" s="267"/>
      <c r="Y191" s="267"/>
      <c r="Z191" s="267"/>
      <c r="AA191" s="267"/>
      <c r="AB191" s="267"/>
      <c r="AC191" s="267"/>
      <c r="AD191" s="293"/>
      <c r="AE191" s="293"/>
      <c r="AF191" s="293"/>
      <c r="AG191" s="293"/>
      <c r="AH191" s="293"/>
      <c r="AI191" s="293"/>
      <c r="AJ191" s="293"/>
      <c r="AK191" s="293"/>
      <c r="AL191" s="293"/>
      <c r="AM191" s="293"/>
      <c r="AN191" s="293"/>
      <c r="AO191" s="293"/>
      <c r="AP191" s="293"/>
      <c r="AQ191" s="293"/>
    </row>
    <row r="192" ht="13.5" customHeight="1">
      <c r="A192" s="306"/>
      <c r="B192" s="256" t="s">
        <v>765</v>
      </c>
      <c r="C192" s="379">
        <v>1.0</v>
      </c>
      <c r="D192" s="379"/>
      <c r="E192" s="379">
        <v>1.0</v>
      </c>
      <c r="F192" s="388" t="s">
        <v>764</v>
      </c>
      <c r="G192" s="384">
        <v>1.0</v>
      </c>
      <c r="H192" s="95"/>
      <c r="I192" s="389" t="str">
        <f t="shared" ref="I192:I195" si="60">F192</f>
        <v>nos</v>
      </c>
      <c r="J192" s="382"/>
      <c r="K192" s="382">
        <v>2574.0</v>
      </c>
      <c r="L192" s="386">
        <f>K192*E192*C192</f>
        <v>2574</v>
      </c>
      <c r="M192" s="117"/>
      <c r="N192" s="267"/>
      <c r="O192" s="267"/>
      <c r="P192" s="267"/>
      <c r="Q192" s="267"/>
      <c r="R192" s="267"/>
      <c r="S192" s="267"/>
      <c r="T192" s="267"/>
      <c r="U192" s="267"/>
      <c r="V192" s="267"/>
      <c r="W192" s="267"/>
      <c r="X192" s="267"/>
      <c r="Y192" s="267"/>
      <c r="Z192" s="267"/>
      <c r="AA192" s="267"/>
      <c r="AB192" s="267"/>
      <c r="AC192" s="267"/>
      <c r="AD192" s="293"/>
      <c r="AE192" s="293"/>
      <c r="AF192" s="293"/>
      <c r="AG192" s="293"/>
      <c r="AH192" s="293"/>
      <c r="AI192" s="293"/>
      <c r="AJ192" s="293"/>
      <c r="AK192" s="293"/>
      <c r="AL192" s="293"/>
      <c r="AM192" s="293"/>
      <c r="AN192" s="293"/>
      <c r="AO192" s="293"/>
      <c r="AP192" s="293"/>
      <c r="AQ192" s="293"/>
    </row>
    <row r="193" ht="13.5" customHeight="1">
      <c r="A193" s="306"/>
      <c r="B193" s="256" t="s">
        <v>872</v>
      </c>
      <c r="C193" s="379">
        <v>60.0</v>
      </c>
      <c r="D193" s="379"/>
      <c r="E193" s="379">
        <v>1.0</v>
      </c>
      <c r="F193" s="379" t="s">
        <v>761</v>
      </c>
      <c r="G193" s="384">
        <f t="shared" ref="G193:G194" si="61">C193</f>
        <v>60</v>
      </c>
      <c r="H193" s="95"/>
      <c r="I193" s="389" t="str">
        <f t="shared" si="60"/>
        <v>sqft</v>
      </c>
      <c r="J193" s="382"/>
      <c r="K193" s="382">
        <v>2310.0</v>
      </c>
      <c r="L193" s="386">
        <f t="shared" ref="L193:L194" si="62">C193*E193*K193</f>
        <v>138600</v>
      </c>
      <c r="M193" s="117"/>
      <c r="N193" s="279"/>
      <c r="O193" s="279"/>
      <c r="P193" s="279"/>
      <c r="Q193" s="279"/>
      <c r="R193" s="279"/>
      <c r="S193" s="279"/>
      <c r="T193" s="279"/>
      <c r="U193" s="279"/>
      <c r="V193" s="279"/>
      <c r="W193" s="279"/>
      <c r="X193" s="279"/>
      <c r="Y193" s="279"/>
      <c r="Z193" s="279"/>
      <c r="AA193" s="279"/>
      <c r="AB193" s="279"/>
      <c r="AC193" s="279"/>
      <c r="AD193" s="387"/>
      <c r="AE193" s="387"/>
      <c r="AF193" s="293"/>
      <c r="AG193" s="293"/>
      <c r="AH193" s="293"/>
      <c r="AI193" s="293"/>
      <c r="AJ193" s="293"/>
      <c r="AK193" s="293"/>
      <c r="AL193" s="293"/>
      <c r="AM193" s="293"/>
      <c r="AN193" s="293"/>
      <c r="AO193" s="293"/>
      <c r="AP193" s="293"/>
      <c r="AQ193" s="293"/>
    </row>
    <row r="194" ht="13.5" customHeight="1">
      <c r="A194" s="306"/>
      <c r="B194" s="256" t="s">
        <v>778</v>
      </c>
      <c r="C194" s="379">
        <v>15.0</v>
      </c>
      <c r="D194" s="379"/>
      <c r="E194" s="379">
        <v>1.0</v>
      </c>
      <c r="F194" s="379" t="s">
        <v>767</v>
      </c>
      <c r="G194" s="384">
        <f t="shared" si="61"/>
        <v>15</v>
      </c>
      <c r="H194" s="95"/>
      <c r="I194" s="385" t="str">
        <f t="shared" si="60"/>
        <v>rft</v>
      </c>
      <c r="J194" s="382"/>
      <c r="K194" s="382">
        <v>579.0</v>
      </c>
      <c r="L194" s="386">
        <f t="shared" si="62"/>
        <v>8685</v>
      </c>
      <c r="M194" s="117"/>
      <c r="N194" s="279"/>
      <c r="O194" s="279"/>
      <c r="P194" s="279"/>
      <c r="Q194" s="279"/>
      <c r="R194" s="279"/>
      <c r="S194" s="279"/>
      <c r="T194" s="279"/>
      <c r="U194" s="279"/>
      <c r="V194" s="279"/>
      <c r="W194" s="279"/>
      <c r="X194" s="279"/>
      <c r="Y194" s="279"/>
      <c r="Z194" s="279"/>
      <c r="AA194" s="279"/>
      <c r="AB194" s="279"/>
      <c r="AC194" s="279"/>
      <c r="AD194" s="387"/>
      <c r="AE194" s="387"/>
      <c r="AF194" s="293"/>
      <c r="AG194" s="293"/>
      <c r="AH194" s="293"/>
      <c r="AI194" s="293"/>
      <c r="AJ194" s="293"/>
      <c r="AK194" s="293"/>
      <c r="AL194" s="293"/>
      <c r="AM194" s="293"/>
      <c r="AN194" s="293"/>
      <c r="AO194" s="293"/>
      <c r="AP194" s="293"/>
      <c r="AQ194" s="293"/>
    </row>
    <row r="195" ht="13.5" customHeight="1">
      <c r="A195" s="306"/>
      <c r="B195" s="256" t="s">
        <v>772</v>
      </c>
      <c r="C195" s="379">
        <v>1.0</v>
      </c>
      <c r="D195" s="379"/>
      <c r="E195" s="379">
        <v>1.0</v>
      </c>
      <c r="F195" s="388" t="s">
        <v>764</v>
      </c>
      <c r="G195" s="384">
        <v>1.0</v>
      </c>
      <c r="H195" s="95"/>
      <c r="I195" s="389" t="str">
        <f t="shared" si="60"/>
        <v>nos</v>
      </c>
      <c r="J195" s="382"/>
      <c r="K195" s="382">
        <v>2574.0</v>
      </c>
      <c r="L195" s="386">
        <f>K195*E195*C195</f>
        <v>2574</v>
      </c>
      <c r="M195" s="117"/>
      <c r="N195" s="267"/>
      <c r="O195" s="267"/>
      <c r="P195" s="267"/>
      <c r="Q195" s="267"/>
      <c r="R195" s="267"/>
      <c r="S195" s="267"/>
      <c r="T195" s="267"/>
      <c r="U195" s="267"/>
      <c r="V195" s="267"/>
      <c r="W195" s="267"/>
      <c r="X195" s="267"/>
      <c r="Y195" s="267"/>
      <c r="Z195" s="267"/>
      <c r="AA195" s="267"/>
      <c r="AB195" s="267"/>
      <c r="AC195" s="267"/>
      <c r="AD195" s="293"/>
      <c r="AE195" s="293"/>
      <c r="AF195" s="293"/>
      <c r="AG195" s="293"/>
      <c r="AH195" s="293"/>
      <c r="AI195" s="293"/>
      <c r="AJ195" s="293"/>
      <c r="AK195" s="293"/>
      <c r="AL195" s="293"/>
      <c r="AM195" s="293"/>
      <c r="AN195" s="293"/>
      <c r="AO195" s="293"/>
      <c r="AP195" s="293"/>
      <c r="AQ195" s="293"/>
    </row>
    <row r="196" ht="13.5" customHeight="1">
      <c r="A196" s="298"/>
      <c r="B196" s="274" t="s">
        <v>735</v>
      </c>
      <c r="C196" s="379"/>
      <c r="D196" s="379"/>
      <c r="E196" s="379"/>
      <c r="F196" s="379"/>
      <c r="G196" s="380"/>
      <c r="H196" s="380"/>
      <c r="I196" s="381"/>
      <c r="J196" s="382"/>
      <c r="K196" s="382"/>
      <c r="L196" s="383"/>
      <c r="M196" s="117"/>
      <c r="N196" s="267"/>
      <c r="O196" s="267"/>
      <c r="P196" s="267"/>
      <c r="Q196" s="267"/>
      <c r="R196" s="267"/>
      <c r="S196" s="267"/>
      <c r="T196" s="267"/>
      <c r="U196" s="267"/>
      <c r="V196" s="267"/>
      <c r="W196" s="267"/>
      <c r="X196" s="267"/>
      <c r="Y196" s="267"/>
      <c r="Z196" s="267"/>
      <c r="AA196" s="267"/>
      <c r="AB196" s="267"/>
      <c r="AC196" s="267"/>
      <c r="AD196" s="293"/>
      <c r="AE196" s="293"/>
      <c r="AF196" s="293"/>
      <c r="AG196" s="293"/>
      <c r="AH196" s="293"/>
      <c r="AI196" s="293"/>
      <c r="AJ196" s="293"/>
      <c r="AK196" s="293"/>
      <c r="AL196" s="293"/>
      <c r="AM196" s="293"/>
      <c r="AN196" s="293"/>
      <c r="AO196" s="293"/>
      <c r="AP196" s="293"/>
      <c r="AQ196" s="293"/>
    </row>
    <row r="197" ht="13.5" customHeight="1">
      <c r="A197" s="306"/>
      <c r="B197" s="256" t="s">
        <v>873</v>
      </c>
      <c r="C197" s="379">
        <v>7.0</v>
      </c>
      <c r="D197" s="379"/>
      <c r="E197" s="379">
        <v>1.0</v>
      </c>
      <c r="F197" s="388" t="s">
        <v>761</v>
      </c>
      <c r="G197" s="384">
        <f t="shared" ref="G197:G198" si="63">C197</f>
        <v>7</v>
      </c>
      <c r="H197" s="95"/>
      <c r="I197" s="389" t="str">
        <f t="shared" ref="I197:I198" si="64">F197</f>
        <v>sqft</v>
      </c>
      <c r="J197" s="382"/>
      <c r="K197" s="382">
        <v>620.0</v>
      </c>
      <c r="L197" s="386">
        <f t="shared" ref="L197:L198" si="65">C197*E197*K197</f>
        <v>4340</v>
      </c>
      <c r="M197" s="117"/>
      <c r="N197" s="267"/>
      <c r="O197" s="267"/>
      <c r="P197" s="267"/>
      <c r="Q197" s="267"/>
      <c r="R197" s="267"/>
      <c r="S197" s="267"/>
      <c r="T197" s="267"/>
      <c r="U197" s="267"/>
      <c r="V197" s="267"/>
      <c r="W197" s="267"/>
      <c r="X197" s="267"/>
      <c r="Y197" s="267"/>
      <c r="Z197" s="267"/>
      <c r="AA197" s="267"/>
      <c r="AB197" s="267"/>
      <c r="AC197" s="267"/>
      <c r="AD197" s="293"/>
      <c r="AE197" s="293"/>
      <c r="AF197" s="293"/>
      <c r="AG197" s="293"/>
      <c r="AH197" s="293"/>
      <c r="AI197" s="293"/>
      <c r="AJ197" s="293"/>
      <c r="AK197" s="293"/>
      <c r="AL197" s="293"/>
      <c r="AM197" s="293"/>
      <c r="AN197" s="293"/>
      <c r="AO197" s="293"/>
      <c r="AP197" s="293"/>
      <c r="AQ197" s="293"/>
    </row>
    <row r="198" ht="13.5" customHeight="1">
      <c r="A198" s="306"/>
      <c r="B198" s="256" t="s">
        <v>874</v>
      </c>
      <c r="C198" s="379">
        <v>2.0</v>
      </c>
      <c r="D198" s="379"/>
      <c r="E198" s="379">
        <v>1.0</v>
      </c>
      <c r="F198" s="388" t="s">
        <v>761</v>
      </c>
      <c r="G198" s="384">
        <f t="shared" si="63"/>
        <v>2</v>
      </c>
      <c r="H198" s="95"/>
      <c r="I198" s="389" t="str">
        <f t="shared" si="64"/>
        <v>sqft</v>
      </c>
      <c r="J198" s="382"/>
      <c r="K198" s="390">
        <v>3500.0</v>
      </c>
      <c r="L198" s="386">
        <f t="shared" si="65"/>
        <v>7000</v>
      </c>
      <c r="M198" s="117"/>
      <c r="N198" s="267"/>
      <c r="O198" s="267"/>
      <c r="P198" s="267"/>
      <c r="Q198" s="267"/>
      <c r="R198" s="267"/>
      <c r="S198" s="267"/>
      <c r="T198" s="267"/>
      <c r="U198" s="267"/>
      <c r="V198" s="267"/>
      <c r="W198" s="267"/>
      <c r="X198" s="267"/>
      <c r="Y198" s="267"/>
      <c r="Z198" s="267"/>
      <c r="AA198" s="267"/>
      <c r="AB198" s="267"/>
      <c r="AC198" s="267"/>
      <c r="AD198" s="293"/>
      <c r="AE198" s="293"/>
      <c r="AF198" s="293"/>
      <c r="AG198" s="293"/>
      <c r="AH198" s="293"/>
      <c r="AI198" s="293"/>
      <c r="AJ198" s="293"/>
      <c r="AK198" s="293"/>
      <c r="AL198" s="293"/>
      <c r="AM198" s="293"/>
      <c r="AN198" s="293"/>
      <c r="AO198" s="293"/>
      <c r="AP198" s="293"/>
      <c r="AQ198" s="293"/>
    </row>
    <row r="199" ht="13.5" customHeight="1">
      <c r="A199" s="298"/>
      <c r="B199" s="274" t="s">
        <v>946</v>
      </c>
      <c r="C199" s="379"/>
      <c r="D199" s="379"/>
      <c r="E199" s="379"/>
      <c r="F199" s="379"/>
      <c r="G199" s="380"/>
      <c r="H199" s="380"/>
      <c r="I199" s="381"/>
      <c r="J199" s="382"/>
      <c r="K199" s="382"/>
      <c r="L199" s="383"/>
      <c r="M199" s="117"/>
      <c r="N199" s="267"/>
      <c r="O199" s="267"/>
      <c r="P199" s="267"/>
      <c r="Q199" s="267"/>
      <c r="R199" s="267"/>
      <c r="S199" s="267"/>
      <c r="T199" s="267"/>
      <c r="U199" s="267"/>
      <c r="V199" s="267"/>
      <c r="W199" s="267"/>
      <c r="X199" s="267"/>
      <c r="Y199" s="267"/>
      <c r="Z199" s="267"/>
      <c r="AA199" s="267"/>
      <c r="AB199" s="267"/>
      <c r="AC199" s="267"/>
      <c r="AD199" s="293"/>
      <c r="AE199" s="293"/>
      <c r="AF199" s="293"/>
      <c r="AG199" s="293"/>
      <c r="AH199" s="293"/>
      <c r="AI199" s="293"/>
      <c r="AJ199" s="293"/>
      <c r="AK199" s="293"/>
      <c r="AL199" s="293"/>
      <c r="AM199" s="293"/>
      <c r="AN199" s="293"/>
      <c r="AO199" s="293"/>
      <c r="AP199" s="293"/>
      <c r="AQ199" s="293"/>
    </row>
    <row r="200" ht="13.5" customHeight="1">
      <c r="A200" s="298"/>
      <c r="B200" s="274" t="s">
        <v>797</v>
      </c>
      <c r="C200" s="379"/>
      <c r="D200" s="379"/>
      <c r="E200" s="379"/>
      <c r="F200" s="379"/>
      <c r="G200" s="380"/>
      <c r="H200" s="380"/>
      <c r="I200" s="381"/>
      <c r="J200" s="382"/>
      <c r="K200" s="382"/>
      <c r="L200" s="383"/>
      <c r="M200" s="117"/>
      <c r="N200" s="267"/>
      <c r="O200" s="267"/>
      <c r="P200" s="267"/>
      <c r="Q200" s="267" t="s">
        <v>798</v>
      </c>
      <c r="R200" s="267"/>
      <c r="S200" s="267"/>
      <c r="T200" s="267"/>
      <c r="U200" s="267"/>
      <c r="V200" s="267"/>
      <c r="W200" s="267"/>
      <c r="X200" s="267"/>
      <c r="Y200" s="267"/>
      <c r="Z200" s="267"/>
      <c r="AA200" s="267"/>
      <c r="AB200" s="267"/>
      <c r="AC200" s="267"/>
      <c r="AD200" s="293"/>
      <c r="AE200" s="293"/>
      <c r="AF200" s="293"/>
      <c r="AG200" s="293"/>
      <c r="AH200" s="293"/>
      <c r="AI200" s="293"/>
      <c r="AJ200" s="293"/>
      <c r="AK200" s="293"/>
      <c r="AL200" s="293"/>
      <c r="AM200" s="293"/>
      <c r="AN200" s="293"/>
      <c r="AO200" s="293"/>
      <c r="AP200" s="293"/>
      <c r="AQ200" s="293"/>
    </row>
    <row r="201" ht="13.5" customHeight="1">
      <c r="A201" s="306"/>
      <c r="B201" s="256" t="s">
        <v>799</v>
      </c>
      <c r="C201" s="379">
        <v>1110.0</v>
      </c>
      <c r="D201" s="379"/>
      <c r="E201" s="379">
        <v>1.0</v>
      </c>
      <c r="F201" s="388" t="s">
        <v>761</v>
      </c>
      <c r="G201" s="384">
        <f t="shared" ref="G201:G208" si="66">C201</f>
        <v>1110</v>
      </c>
      <c r="H201" s="95"/>
      <c r="I201" s="389" t="str">
        <f t="shared" ref="I201:I208" si="67">F201</f>
        <v>sqft</v>
      </c>
      <c r="J201" s="382"/>
      <c r="K201" s="382">
        <v>82.0</v>
      </c>
      <c r="L201" s="386">
        <f t="shared" ref="L201:L203" si="68">K201*E201*C201</f>
        <v>91020</v>
      </c>
      <c r="M201" s="117"/>
      <c r="N201" s="267"/>
      <c r="O201" s="267"/>
      <c r="P201" s="267"/>
      <c r="Q201" s="267"/>
      <c r="R201" s="267"/>
      <c r="S201" s="267"/>
      <c r="T201" s="267"/>
      <c r="U201" s="267"/>
      <c r="V201" s="267"/>
      <c r="W201" s="267"/>
      <c r="X201" s="267"/>
      <c r="Y201" s="267"/>
      <c r="Z201" s="267"/>
      <c r="AA201" s="267"/>
      <c r="AB201" s="267"/>
      <c r="AC201" s="267"/>
      <c r="AD201" s="293"/>
      <c r="AE201" s="293"/>
      <c r="AF201" s="293"/>
      <c r="AG201" s="293"/>
      <c r="AH201" s="293"/>
      <c r="AI201" s="293"/>
      <c r="AJ201" s="293"/>
      <c r="AK201" s="293"/>
      <c r="AL201" s="293"/>
      <c r="AM201" s="293"/>
      <c r="AN201" s="293"/>
      <c r="AO201" s="293"/>
      <c r="AP201" s="293"/>
      <c r="AQ201" s="293"/>
    </row>
    <row r="202" ht="13.5" customHeight="1">
      <c r="A202" s="306"/>
      <c r="B202" s="256" t="s">
        <v>800</v>
      </c>
      <c r="C202" s="379">
        <v>1110.0</v>
      </c>
      <c r="D202" s="379"/>
      <c r="E202" s="379">
        <v>1.0</v>
      </c>
      <c r="F202" s="388" t="s">
        <v>761</v>
      </c>
      <c r="G202" s="384">
        <f t="shared" si="66"/>
        <v>1110</v>
      </c>
      <c r="H202" s="95"/>
      <c r="I202" s="389" t="str">
        <f t="shared" si="67"/>
        <v>sqft</v>
      </c>
      <c r="J202" s="382"/>
      <c r="K202" s="382">
        <v>82.0</v>
      </c>
      <c r="L202" s="386">
        <f t="shared" si="68"/>
        <v>91020</v>
      </c>
      <c r="M202" s="117"/>
      <c r="N202" s="267"/>
      <c r="O202" s="267"/>
      <c r="P202" s="267"/>
      <c r="Q202" s="267"/>
      <c r="R202" s="267"/>
      <c r="S202" s="267"/>
      <c r="T202" s="267"/>
      <c r="U202" s="267"/>
      <c r="V202" s="267"/>
      <c r="W202" s="267"/>
      <c r="X202" s="267"/>
      <c r="Y202" s="267"/>
      <c r="Z202" s="267"/>
      <c r="AA202" s="267"/>
      <c r="AB202" s="267"/>
      <c r="AC202" s="267"/>
      <c r="AD202" s="293"/>
      <c r="AE202" s="293"/>
      <c r="AF202" s="293"/>
      <c r="AG202" s="293"/>
      <c r="AH202" s="293"/>
      <c r="AI202" s="293"/>
      <c r="AJ202" s="293"/>
      <c r="AK202" s="293"/>
      <c r="AL202" s="293"/>
      <c r="AM202" s="293"/>
      <c r="AN202" s="293"/>
      <c r="AO202" s="293"/>
      <c r="AP202" s="293"/>
      <c r="AQ202" s="293"/>
    </row>
    <row r="203" ht="13.5" customHeight="1">
      <c r="A203" s="306"/>
      <c r="B203" s="256" t="s">
        <v>801</v>
      </c>
      <c r="C203" s="379">
        <v>1110.0</v>
      </c>
      <c r="D203" s="379"/>
      <c r="E203" s="379">
        <v>1.0</v>
      </c>
      <c r="F203" s="388" t="s">
        <v>761</v>
      </c>
      <c r="G203" s="384">
        <f t="shared" si="66"/>
        <v>1110</v>
      </c>
      <c r="H203" s="95"/>
      <c r="I203" s="389" t="str">
        <f t="shared" si="67"/>
        <v>sqft</v>
      </c>
      <c r="J203" s="382"/>
      <c r="K203" s="382">
        <v>29.0</v>
      </c>
      <c r="L203" s="386">
        <f t="shared" si="68"/>
        <v>32190</v>
      </c>
      <c r="M203" s="117"/>
      <c r="N203" s="267"/>
      <c r="O203" s="267"/>
      <c r="P203" s="267"/>
      <c r="Q203" s="267"/>
      <c r="R203" s="267"/>
      <c r="S203" s="267"/>
      <c r="T203" s="267"/>
      <c r="U203" s="267"/>
      <c r="V203" s="267"/>
      <c r="W203" s="267"/>
      <c r="X203" s="267"/>
      <c r="Y203" s="267"/>
      <c r="Z203" s="267"/>
      <c r="AA203" s="267"/>
      <c r="AB203" s="267"/>
      <c r="AC203" s="267"/>
      <c r="AD203" s="293"/>
      <c r="AE203" s="293"/>
      <c r="AF203" s="293"/>
      <c r="AG203" s="293"/>
      <c r="AH203" s="293"/>
      <c r="AI203" s="293"/>
      <c r="AJ203" s="293"/>
      <c r="AK203" s="293"/>
      <c r="AL203" s="293"/>
      <c r="AM203" s="293"/>
      <c r="AN203" s="293"/>
      <c r="AO203" s="293"/>
      <c r="AP203" s="293"/>
      <c r="AQ203" s="293"/>
    </row>
    <row r="204" ht="13.5" customHeight="1">
      <c r="A204" s="306"/>
      <c r="B204" s="256" t="s">
        <v>802</v>
      </c>
      <c r="C204" s="379">
        <v>180.0</v>
      </c>
      <c r="D204" s="379"/>
      <c r="E204" s="379">
        <v>1.0</v>
      </c>
      <c r="F204" s="379" t="s">
        <v>767</v>
      </c>
      <c r="G204" s="384">
        <f t="shared" si="66"/>
        <v>180</v>
      </c>
      <c r="H204" s="95"/>
      <c r="I204" s="389" t="str">
        <f t="shared" si="67"/>
        <v>rft</v>
      </c>
      <c r="J204" s="382"/>
      <c r="K204" s="382">
        <v>479.0</v>
      </c>
      <c r="L204" s="386">
        <f t="shared" ref="L204:L207" si="69">C204*E204*K204</f>
        <v>86220</v>
      </c>
      <c r="M204" s="117"/>
      <c r="N204" s="279"/>
      <c r="O204" s="279"/>
      <c r="P204" s="279"/>
      <c r="Q204" s="279"/>
      <c r="R204" s="279"/>
      <c r="S204" s="279"/>
      <c r="T204" s="279"/>
      <c r="U204" s="279"/>
      <c r="V204" s="279"/>
      <c r="W204" s="279"/>
      <c r="X204" s="279"/>
      <c r="Y204" s="279"/>
      <c r="Z204" s="279"/>
      <c r="AA204" s="279"/>
      <c r="AB204" s="279"/>
      <c r="AC204" s="279"/>
      <c r="AD204" s="387"/>
      <c r="AE204" s="387"/>
      <c r="AF204" s="293"/>
      <c r="AG204" s="293"/>
      <c r="AH204" s="293"/>
      <c r="AI204" s="293"/>
      <c r="AJ204" s="293"/>
      <c r="AK204" s="293"/>
      <c r="AL204" s="293"/>
      <c r="AM204" s="293"/>
      <c r="AN204" s="293"/>
      <c r="AO204" s="293"/>
      <c r="AP204" s="293"/>
      <c r="AQ204" s="293"/>
    </row>
    <row r="205" ht="13.5" customHeight="1">
      <c r="A205" s="306"/>
      <c r="B205" s="256" t="s">
        <v>803</v>
      </c>
      <c r="C205" s="379">
        <v>31.0</v>
      </c>
      <c r="D205" s="379"/>
      <c r="E205" s="379">
        <v>1.0</v>
      </c>
      <c r="F205" s="379" t="s">
        <v>764</v>
      </c>
      <c r="G205" s="384">
        <f t="shared" si="66"/>
        <v>31</v>
      </c>
      <c r="H205" s="95"/>
      <c r="I205" s="389" t="str">
        <f t="shared" si="67"/>
        <v>nos</v>
      </c>
      <c r="J205" s="382"/>
      <c r="K205" s="382">
        <v>1595.0</v>
      </c>
      <c r="L205" s="386">
        <f t="shared" si="69"/>
        <v>49445</v>
      </c>
      <c r="M205" s="117"/>
      <c r="N205" s="279"/>
      <c r="O205" s="279"/>
      <c r="P205" s="279"/>
      <c r="Q205" s="279"/>
      <c r="R205" s="279"/>
      <c r="S205" s="279"/>
      <c r="T205" s="279"/>
      <c r="U205" s="279"/>
      <c r="V205" s="279"/>
      <c r="W205" s="279"/>
      <c r="X205" s="279"/>
      <c r="Y205" s="279"/>
      <c r="Z205" s="279"/>
      <c r="AA205" s="279"/>
      <c r="AB205" s="279"/>
      <c r="AC205" s="279"/>
      <c r="AD205" s="387"/>
      <c r="AE205" s="387"/>
      <c r="AF205" s="293"/>
      <c r="AG205" s="293"/>
      <c r="AH205" s="293"/>
      <c r="AI205" s="293"/>
      <c r="AJ205" s="293"/>
      <c r="AK205" s="293"/>
      <c r="AL205" s="293"/>
      <c r="AM205" s="293"/>
      <c r="AN205" s="293"/>
      <c r="AO205" s="293"/>
      <c r="AP205" s="293"/>
      <c r="AQ205" s="293"/>
    </row>
    <row r="206" ht="13.5" customHeight="1">
      <c r="A206" s="306"/>
      <c r="B206" s="256" t="s">
        <v>804</v>
      </c>
      <c r="C206" s="379">
        <v>3.0</v>
      </c>
      <c r="D206" s="379"/>
      <c r="E206" s="379">
        <v>1.0</v>
      </c>
      <c r="F206" s="379" t="s">
        <v>764</v>
      </c>
      <c r="G206" s="384">
        <f t="shared" si="66"/>
        <v>3</v>
      </c>
      <c r="H206" s="95"/>
      <c r="I206" s="389" t="str">
        <f t="shared" si="67"/>
        <v>nos</v>
      </c>
      <c r="J206" s="382"/>
      <c r="K206" s="382">
        <v>1672.0</v>
      </c>
      <c r="L206" s="386">
        <f t="shared" si="69"/>
        <v>5016</v>
      </c>
      <c r="M206" s="117"/>
      <c r="N206" s="279"/>
      <c r="O206" s="279"/>
      <c r="P206" s="279"/>
      <c r="Q206" s="279"/>
      <c r="R206" s="279"/>
      <c r="S206" s="279"/>
      <c r="T206" s="279"/>
      <c r="U206" s="279"/>
      <c r="V206" s="279"/>
      <c r="W206" s="279"/>
      <c r="X206" s="279"/>
      <c r="Y206" s="279"/>
      <c r="Z206" s="279"/>
      <c r="AA206" s="279"/>
      <c r="AB206" s="279"/>
      <c r="AC206" s="279"/>
      <c r="AD206" s="387"/>
      <c r="AE206" s="387"/>
      <c r="AF206" s="293"/>
      <c r="AG206" s="293"/>
      <c r="AH206" s="293"/>
      <c r="AI206" s="293"/>
      <c r="AJ206" s="293"/>
      <c r="AK206" s="293"/>
      <c r="AL206" s="293"/>
      <c r="AM206" s="293"/>
      <c r="AN206" s="293"/>
      <c r="AO206" s="293"/>
      <c r="AP206" s="293"/>
      <c r="AQ206" s="293"/>
    </row>
    <row r="207" ht="13.5" customHeight="1">
      <c r="A207" s="306"/>
      <c r="B207" s="256" t="s">
        <v>875</v>
      </c>
      <c r="C207" s="379">
        <v>100.0</v>
      </c>
      <c r="D207" s="379"/>
      <c r="E207" s="379">
        <v>1.0</v>
      </c>
      <c r="F207" s="379" t="s">
        <v>764</v>
      </c>
      <c r="G207" s="384">
        <f t="shared" si="66"/>
        <v>100</v>
      </c>
      <c r="H207" s="95"/>
      <c r="I207" s="389" t="str">
        <f t="shared" si="67"/>
        <v>nos</v>
      </c>
      <c r="J207" s="382"/>
      <c r="K207" s="382">
        <v>515.0</v>
      </c>
      <c r="L207" s="386">
        <f t="shared" si="69"/>
        <v>51500</v>
      </c>
      <c r="M207" s="117"/>
      <c r="N207" s="279"/>
      <c r="O207" s="279"/>
      <c r="P207" s="279"/>
      <c r="Q207" s="279"/>
      <c r="R207" s="279"/>
      <c r="S207" s="279"/>
      <c r="T207" s="279"/>
      <c r="U207" s="279"/>
      <c r="V207" s="279"/>
      <c r="W207" s="279"/>
      <c r="X207" s="279"/>
      <c r="Y207" s="279"/>
      <c r="Z207" s="279"/>
      <c r="AA207" s="279"/>
      <c r="AB207" s="279"/>
      <c r="AC207" s="279"/>
      <c r="AD207" s="387"/>
      <c r="AE207" s="387"/>
      <c r="AF207" s="293"/>
      <c r="AG207" s="293"/>
      <c r="AH207" s="293"/>
      <c r="AI207" s="293"/>
      <c r="AJ207" s="293"/>
      <c r="AK207" s="293"/>
      <c r="AL207" s="293"/>
      <c r="AM207" s="293"/>
      <c r="AN207" s="293"/>
      <c r="AO207" s="293"/>
      <c r="AP207" s="293"/>
      <c r="AQ207" s="293"/>
    </row>
    <row r="208" ht="13.5" customHeight="1">
      <c r="A208" s="391"/>
      <c r="B208" s="309" t="s">
        <v>806</v>
      </c>
      <c r="C208" s="392"/>
      <c r="D208" s="392"/>
      <c r="E208" s="393"/>
      <c r="F208" s="394"/>
      <c r="G208" s="384" t="str">
        <f t="shared" si="66"/>
        <v/>
      </c>
      <c r="H208" s="95"/>
      <c r="I208" s="389" t="str">
        <f t="shared" si="67"/>
        <v/>
      </c>
      <c r="J208" s="395"/>
      <c r="K208" s="395"/>
      <c r="L208" s="396">
        <f>SUM(L164:M207)</f>
        <v>1071888</v>
      </c>
      <c r="M208" s="117"/>
      <c r="N208" s="250"/>
      <c r="O208" s="250"/>
      <c r="P208" s="250"/>
      <c r="Q208" s="250"/>
      <c r="R208" s="250"/>
      <c r="S208" s="250"/>
      <c r="T208" s="250"/>
      <c r="U208" s="250"/>
      <c r="V208" s="250"/>
      <c r="W208" s="250"/>
      <c r="X208" s="250"/>
      <c r="Y208" s="250"/>
      <c r="Z208" s="250"/>
      <c r="AA208" s="250"/>
      <c r="AB208" s="250"/>
      <c r="AC208" s="250"/>
      <c r="AD208" s="397"/>
      <c r="AE208" s="397"/>
      <c r="AF208" s="397"/>
      <c r="AG208" s="397"/>
      <c r="AH208" s="397"/>
      <c r="AI208" s="397"/>
      <c r="AJ208" s="397"/>
      <c r="AK208" s="397"/>
      <c r="AL208" s="397"/>
      <c r="AM208" s="397"/>
      <c r="AN208" s="397"/>
      <c r="AO208" s="397"/>
      <c r="AP208" s="397"/>
      <c r="AQ208" s="397"/>
    </row>
    <row r="209" ht="13.5" customHeight="1">
      <c r="A209" s="398"/>
      <c r="B209" s="274" t="s">
        <v>705</v>
      </c>
      <c r="C209" s="299"/>
      <c r="D209" s="299"/>
      <c r="E209" s="299"/>
      <c r="F209" s="299"/>
      <c r="G209" s="366"/>
      <c r="H209" s="94"/>
      <c r="I209" s="95"/>
      <c r="J209" s="299"/>
      <c r="K209" s="299"/>
      <c r="L209" s="399">
        <f>L208*18%</f>
        <v>192939.84</v>
      </c>
      <c r="M209" s="117"/>
      <c r="N209" s="267"/>
      <c r="O209" s="267"/>
      <c r="P209" s="267"/>
      <c r="Q209" s="267"/>
      <c r="R209" s="267"/>
      <c r="S209" s="267"/>
      <c r="T209" s="267"/>
      <c r="U209" s="267"/>
      <c r="V209" s="267"/>
      <c r="W209" s="267"/>
      <c r="X209" s="267"/>
      <c r="Y209" s="267"/>
      <c r="Z209" s="267"/>
      <c r="AA209" s="267"/>
      <c r="AB209" s="267"/>
      <c r="AC209" s="267"/>
    </row>
    <row r="210" ht="13.5" customHeight="1">
      <c r="A210" s="400"/>
      <c r="B210" s="401" t="s">
        <v>706</v>
      </c>
      <c r="C210" s="402"/>
      <c r="D210" s="402"/>
      <c r="E210" s="402"/>
      <c r="F210" s="402"/>
      <c r="G210" s="403"/>
      <c r="H210" s="130"/>
      <c r="I210" s="136"/>
      <c r="J210" s="402"/>
      <c r="K210" s="402"/>
      <c r="L210" s="404">
        <f>L208+L209</f>
        <v>1264827.84</v>
      </c>
      <c r="M210" s="131"/>
      <c r="N210" s="267"/>
      <c r="O210" s="267"/>
      <c r="P210" s="267"/>
      <c r="Q210" s="267"/>
      <c r="R210" s="267"/>
      <c r="S210" s="267"/>
      <c r="T210" s="267"/>
      <c r="U210" s="267"/>
      <c r="V210" s="267"/>
      <c r="W210" s="267"/>
      <c r="X210" s="267"/>
      <c r="Y210" s="267"/>
      <c r="Z210" s="267"/>
      <c r="AA210" s="267"/>
      <c r="AB210" s="267"/>
      <c r="AC210" s="267"/>
    </row>
    <row r="211" ht="13.5" customHeight="1">
      <c r="A211" s="332"/>
      <c r="B211" s="346"/>
      <c r="C211" s="405"/>
      <c r="D211" s="405"/>
      <c r="E211" s="405"/>
      <c r="F211" s="405"/>
      <c r="G211" s="346"/>
      <c r="H211" s="346"/>
      <c r="I211" s="346"/>
      <c r="J211" s="405"/>
      <c r="K211" s="405"/>
      <c r="L211" s="406"/>
      <c r="M211" s="332"/>
      <c r="N211" s="267"/>
      <c r="O211" s="267"/>
      <c r="P211" s="267"/>
      <c r="Q211" s="267"/>
      <c r="R211" s="267"/>
      <c r="S211" s="267"/>
      <c r="T211" s="267"/>
      <c r="U211" s="267"/>
      <c r="V211" s="267"/>
      <c r="W211" s="267"/>
      <c r="X211" s="267"/>
      <c r="Y211" s="267"/>
      <c r="Z211" s="267"/>
      <c r="AA211" s="267"/>
      <c r="AB211" s="267"/>
      <c r="AC211" s="267"/>
    </row>
    <row r="212" ht="13.5" customHeight="1">
      <c r="A212" s="325"/>
      <c r="B212" s="407" t="s">
        <v>807</v>
      </c>
      <c r="C212" s="408"/>
      <c r="D212" s="408"/>
      <c r="E212" s="409"/>
      <c r="F212" s="409"/>
      <c r="G212" s="410"/>
      <c r="H212" s="411"/>
      <c r="I212" s="412"/>
      <c r="J212" s="409"/>
      <c r="K212" s="409"/>
      <c r="L212" s="413" t="s">
        <v>808</v>
      </c>
      <c r="M212" s="332"/>
    </row>
    <row r="213" ht="13.5" customHeight="1">
      <c r="A213" s="325"/>
      <c r="B213" s="414" t="s">
        <v>809</v>
      </c>
      <c r="C213" s="275"/>
      <c r="D213" s="275"/>
      <c r="E213" s="275"/>
      <c r="F213" s="275"/>
      <c r="G213" s="295"/>
      <c r="H213" s="415"/>
      <c r="I213" s="416"/>
      <c r="J213" s="275"/>
      <c r="K213" s="275"/>
      <c r="L213" s="417">
        <f>M148</f>
        <v>2082831.821</v>
      </c>
      <c r="M213" s="332"/>
    </row>
    <row r="214" ht="13.5" customHeight="1">
      <c r="A214" s="325"/>
      <c r="B214" s="414" t="s">
        <v>810</v>
      </c>
      <c r="C214" s="275"/>
      <c r="D214" s="275"/>
      <c r="E214" s="275"/>
      <c r="F214" s="275"/>
      <c r="G214" s="295"/>
      <c r="H214" s="415"/>
      <c r="I214" s="416"/>
      <c r="J214" s="275"/>
      <c r="K214" s="275"/>
      <c r="L214" s="417">
        <f>I157</f>
        <v>125777</v>
      </c>
      <c r="M214" s="332"/>
    </row>
    <row r="215" ht="13.5" customHeight="1">
      <c r="A215" s="325"/>
      <c r="B215" s="414" t="s">
        <v>811</v>
      </c>
      <c r="C215" s="275"/>
      <c r="D215" s="275"/>
      <c r="E215" s="275"/>
      <c r="F215" s="275"/>
      <c r="G215" s="295"/>
      <c r="H215" s="415"/>
      <c r="I215" s="416"/>
      <c r="J215" s="275"/>
      <c r="K215" s="275"/>
      <c r="L215" s="417">
        <f>L210</f>
        <v>1264827.84</v>
      </c>
      <c r="M215" s="332"/>
    </row>
    <row r="216" ht="13.5" customHeight="1">
      <c r="A216" s="325"/>
      <c r="B216" s="414" t="s">
        <v>812</v>
      </c>
      <c r="C216" s="275"/>
      <c r="D216" s="275"/>
      <c r="E216" s="275"/>
      <c r="F216" s="275"/>
      <c r="G216" s="295"/>
      <c r="H216" s="415"/>
      <c r="I216" s="416"/>
      <c r="J216" s="275"/>
      <c r="K216" s="275"/>
      <c r="L216" s="417">
        <v>50000.0</v>
      </c>
      <c r="M216" s="332"/>
    </row>
    <row r="217" ht="13.5" customHeight="1">
      <c r="A217" s="325"/>
      <c r="B217" s="418" t="s">
        <v>704</v>
      </c>
      <c r="C217" s="419"/>
      <c r="D217" s="419"/>
      <c r="E217" s="420"/>
      <c r="F217" s="420"/>
      <c r="G217" s="421"/>
      <c r="H217" s="422"/>
      <c r="I217" s="423"/>
      <c r="J217" s="420"/>
      <c r="K217" s="420"/>
      <c r="L217" s="424">
        <f>SUM(L213:L215)-L216</f>
        <v>3423436.661</v>
      </c>
      <c r="M217" s="332"/>
      <c r="N217" s="293"/>
    </row>
    <row r="218" ht="13.5" customHeight="1">
      <c r="A218" s="332"/>
      <c r="B218" s="346"/>
      <c r="C218" s="405"/>
      <c r="D218" s="405"/>
      <c r="E218" s="405"/>
      <c r="F218" s="405"/>
      <c r="G218" s="346"/>
      <c r="H218" s="346"/>
      <c r="I218" s="346"/>
      <c r="J218" s="405"/>
      <c r="K218" s="405"/>
      <c r="L218" s="406"/>
      <c r="M218" s="332"/>
      <c r="N218" s="267"/>
      <c r="O218" s="267"/>
      <c r="P218" s="267"/>
      <c r="Q218" s="267"/>
      <c r="R218" s="267"/>
      <c r="S218" s="267"/>
      <c r="T218" s="267"/>
      <c r="U218" s="267"/>
      <c r="V218" s="267"/>
      <c r="W218" s="267"/>
      <c r="X218" s="267"/>
      <c r="Y218" s="267"/>
      <c r="Z218" s="267"/>
      <c r="AA218" s="267"/>
      <c r="AB218" s="267"/>
      <c r="AC218" s="267"/>
    </row>
    <row r="219" ht="13.5" customHeight="1">
      <c r="A219" s="332"/>
      <c r="B219" s="407" t="s">
        <v>813</v>
      </c>
      <c r="C219" s="408"/>
      <c r="D219" s="408"/>
      <c r="E219" s="409"/>
      <c r="F219" s="409"/>
      <c r="G219" s="410"/>
      <c r="H219" s="411"/>
      <c r="I219" s="412"/>
      <c r="J219" s="409"/>
      <c r="K219" s="409"/>
      <c r="L219" s="413" t="s">
        <v>808</v>
      </c>
      <c r="M219" s="332"/>
      <c r="N219" s="267"/>
      <c r="O219" s="267"/>
      <c r="P219" s="267"/>
      <c r="Q219" s="267"/>
      <c r="R219" s="267"/>
      <c r="S219" s="267"/>
      <c r="T219" s="267"/>
      <c r="U219" s="267"/>
      <c r="V219" s="267"/>
      <c r="W219" s="267"/>
      <c r="X219" s="267"/>
      <c r="Y219" s="267"/>
      <c r="Z219" s="267"/>
      <c r="AA219" s="267"/>
      <c r="AB219" s="267"/>
      <c r="AC219" s="267"/>
    </row>
    <row r="220" ht="13.5" customHeight="1">
      <c r="A220" s="332"/>
      <c r="B220" s="414" t="s">
        <v>814</v>
      </c>
      <c r="C220" s="275"/>
      <c r="D220" s="275"/>
      <c r="E220" s="275"/>
      <c r="F220" s="275"/>
      <c r="G220" s="295"/>
      <c r="H220" s="415"/>
      <c r="I220" s="416"/>
      <c r="J220" s="275"/>
      <c r="K220" s="275"/>
      <c r="L220" s="417">
        <f>L217*10%</f>
        <v>342343.6661</v>
      </c>
      <c r="M220" s="332"/>
      <c r="N220" s="267"/>
      <c r="O220" s="267"/>
      <c r="P220" s="267"/>
      <c r="Q220" s="267"/>
      <c r="R220" s="267"/>
      <c r="S220" s="267"/>
      <c r="T220" s="267"/>
      <c r="U220" s="267"/>
      <c r="V220" s="267"/>
      <c r="W220" s="267"/>
      <c r="X220" s="267"/>
      <c r="Y220" s="267"/>
      <c r="Z220" s="267"/>
      <c r="AA220" s="267"/>
      <c r="AB220" s="267"/>
      <c r="AC220" s="267"/>
    </row>
    <row r="221" ht="13.5" customHeight="1">
      <c r="A221" s="332"/>
      <c r="B221" s="414" t="s">
        <v>815</v>
      </c>
      <c r="C221" s="425"/>
      <c r="D221" s="425"/>
      <c r="E221" s="275"/>
      <c r="F221" s="275"/>
      <c r="G221" s="426"/>
      <c r="H221" s="415"/>
      <c r="I221" s="416"/>
      <c r="J221" s="275"/>
      <c r="K221" s="275"/>
      <c r="L221" s="417">
        <f>L217*25%</f>
        <v>855859.1652</v>
      </c>
      <c r="M221" s="332"/>
      <c r="N221" s="267"/>
      <c r="O221" s="267"/>
      <c r="P221" s="267"/>
      <c r="Q221" s="267"/>
      <c r="R221" s="267"/>
      <c r="S221" s="267"/>
      <c r="T221" s="267"/>
      <c r="U221" s="267"/>
      <c r="V221" s="267"/>
      <c r="W221" s="267"/>
      <c r="X221" s="267"/>
      <c r="Y221" s="267"/>
      <c r="Z221" s="267"/>
      <c r="AA221" s="267"/>
      <c r="AB221" s="267"/>
      <c r="AC221" s="267"/>
    </row>
    <row r="222" ht="13.5" customHeight="1">
      <c r="A222" s="332"/>
      <c r="B222" s="414" t="s">
        <v>816</v>
      </c>
      <c r="C222" s="425"/>
      <c r="D222" s="425"/>
      <c r="E222" s="275"/>
      <c r="F222" s="275"/>
      <c r="G222" s="426"/>
      <c r="H222" s="415"/>
      <c r="I222" s="416"/>
      <c r="J222" s="275"/>
      <c r="K222" s="275"/>
      <c r="L222" s="417">
        <f>L217*25%</f>
        <v>855859.1652</v>
      </c>
      <c r="M222" s="332"/>
      <c r="N222" s="267"/>
      <c r="O222" s="267"/>
      <c r="P222" s="267"/>
      <c r="Q222" s="267"/>
      <c r="R222" s="267"/>
      <c r="S222" s="267"/>
      <c r="T222" s="267"/>
      <c r="U222" s="267"/>
      <c r="V222" s="267"/>
      <c r="W222" s="267"/>
      <c r="X222" s="267"/>
      <c r="Y222" s="267"/>
      <c r="Z222" s="267"/>
      <c r="AA222" s="267"/>
      <c r="AB222" s="267"/>
      <c r="AC222" s="267"/>
    </row>
    <row r="223" ht="13.5" customHeight="1">
      <c r="A223" s="332"/>
      <c r="B223" s="414" t="s">
        <v>817</v>
      </c>
      <c r="C223" s="425"/>
      <c r="D223" s="425"/>
      <c r="E223" s="275"/>
      <c r="F223" s="275"/>
      <c r="G223" s="426"/>
      <c r="H223" s="415"/>
      <c r="I223" s="416"/>
      <c r="J223" s="275"/>
      <c r="K223" s="275"/>
      <c r="L223" s="417">
        <f>L217*40%</f>
        <v>1369374.664</v>
      </c>
      <c r="M223" s="332"/>
      <c r="N223" s="267"/>
      <c r="O223" s="267"/>
      <c r="P223" s="267"/>
      <c r="Q223" s="267"/>
      <c r="R223" s="267"/>
      <c r="S223" s="267"/>
      <c r="T223" s="267"/>
      <c r="U223" s="267"/>
      <c r="V223" s="267"/>
      <c r="W223" s="267"/>
      <c r="X223" s="267"/>
      <c r="Y223" s="267"/>
      <c r="Z223" s="267"/>
      <c r="AA223" s="267"/>
      <c r="AB223" s="267"/>
      <c r="AC223" s="267"/>
    </row>
    <row r="224" ht="13.5" customHeight="1">
      <c r="A224" s="332"/>
      <c r="B224" s="418" t="s">
        <v>704</v>
      </c>
      <c r="C224" s="419"/>
      <c r="D224" s="419"/>
      <c r="E224" s="420"/>
      <c r="F224" s="420"/>
      <c r="G224" s="421"/>
      <c r="H224" s="422"/>
      <c r="I224" s="423"/>
      <c r="J224" s="420"/>
      <c r="K224" s="420"/>
      <c r="L224" s="424">
        <f>SUM(L220:L223)</f>
        <v>3423436.661</v>
      </c>
      <c r="M224" s="332"/>
      <c r="N224" s="267"/>
      <c r="O224" s="267"/>
      <c r="P224" s="267"/>
      <c r="Q224" s="267"/>
      <c r="R224" s="267"/>
      <c r="S224" s="267"/>
      <c r="T224" s="267"/>
      <c r="U224" s="267"/>
      <c r="V224" s="267"/>
      <c r="W224" s="267"/>
      <c r="X224" s="267"/>
      <c r="Y224" s="267"/>
      <c r="Z224" s="267"/>
      <c r="AA224" s="267"/>
      <c r="AB224" s="267"/>
      <c r="AC224" s="267"/>
    </row>
    <row r="225" ht="13.5" customHeight="1">
      <c r="A225" s="332"/>
      <c r="B225" s="427"/>
      <c r="C225" s="428"/>
      <c r="D225" s="428"/>
      <c r="E225" s="428"/>
      <c r="F225" s="428"/>
      <c r="G225" s="427"/>
      <c r="H225" s="427"/>
      <c r="I225" s="427"/>
      <c r="J225" s="428"/>
      <c r="K225" s="428"/>
      <c r="L225" s="429"/>
      <c r="M225" s="332"/>
      <c r="N225" s="267"/>
      <c r="O225" s="267"/>
      <c r="P225" s="267"/>
      <c r="Q225" s="267"/>
      <c r="R225" s="267"/>
      <c r="S225" s="267"/>
      <c r="T225" s="267"/>
      <c r="U225" s="267"/>
      <c r="V225" s="267"/>
      <c r="W225" s="267"/>
      <c r="X225" s="267"/>
      <c r="Y225" s="267"/>
      <c r="Z225" s="267"/>
      <c r="AA225" s="267"/>
      <c r="AB225" s="267"/>
      <c r="AC225" s="267"/>
    </row>
    <row r="226" ht="13.5" customHeight="1">
      <c r="A226" s="332"/>
      <c r="B226" s="427"/>
      <c r="C226" s="428"/>
      <c r="D226" s="428"/>
      <c r="E226" s="428"/>
      <c r="F226" s="428"/>
      <c r="G226" s="427"/>
      <c r="H226" s="427"/>
      <c r="I226" s="427"/>
      <c r="J226" s="428"/>
      <c r="K226" s="428"/>
      <c r="L226" s="429"/>
      <c r="M226" s="332"/>
      <c r="N226" s="267"/>
      <c r="O226" s="267"/>
      <c r="P226" s="267"/>
      <c r="Q226" s="267"/>
      <c r="R226" s="267"/>
      <c r="S226" s="267"/>
      <c r="T226" s="267"/>
      <c r="U226" s="267"/>
      <c r="V226" s="267"/>
      <c r="W226" s="267"/>
      <c r="X226" s="267"/>
      <c r="Y226" s="267"/>
      <c r="Z226" s="267"/>
      <c r="AA226" s="267"/>
      <c r="AB226" s="267"/>
      <c r="AC226" s="267"/>
    </row>
    <row r="227" ht="13.5" customHeight="1">
      <c r="A227" s="332"/>
      <c r="B227" s="427"/>
      <c r="C227" s="428"/>
      <c r="D227" s="428"/>
      <c r="E227" s="428"/>
      <c r="F227" s="428"/>
      <c r="G227" s="427"/>
      <c r="H227" s="427"/>
      <c r="I227" s="427"/>
      <c r="J227" s="428"/>
      <c r="K227" s="428"/>
      <c r="L227" s="429"/>
      <c r="M227" s="332"/>
      <c r="N227" s="267"/>
      <c r="O227" s="267"/>
      <c r="P227" s="267"/>
      <c r="Q227" s="267"/>
      <c r="R227" s="267"/>
      <c r="S227" s="267"/>
      <c r="T227" s="267"/>
      <c r="U227" s="267"/>
      <c r="V227" s="267"/>
      <c r="W227" s="267"/>
      <c r="X227" s="267"/>
      <c r="Y227" s="267"/>
      <c r="Z227" s="267"/>
      <c r="AA227" s="267"/>
      <c r="AB227" s="267"/>
      <c r="AC227" s="267"/>
    </row>
    <row r="228" ht="13.5" customHeight="1">
      <c r="A228" s="332"/>
      <c r="B228" s="427"/>
      <c r="C228" s="428"/>
      <c r="D228" s="428"/>
      <c r="E228" s="428"/>
      <c r="F228" s="428"/>
      <c r="G228" s="427"/>
      <c r="H228" s="427"/>
      <c r="I228" s="427"/>
      <c r="J228" s="428"/>
      <c r="K228" s="428"/>
      <c r="L228" s="429"/>
      <c r="M228" s="332"/>
      <c r="N228" s="267"/>
      <c r="O228" s="267"/>
      <c r="P228" s="267"/>
      <c r="Q228" s="267"/>
      <c r="R228" s="267"/>
      <c r="S228" s="267"/>
      <c r="T228" s="267"/>
      <c r="U228" s="267"/>
      <c r="V228" s="267"/>
      <c r="W228" s="267"/>
      <c r="X228" s="267"/>
      <c r="Y228" s="267"/>
      <c r="Z228" s="267"/>
      <c r="AA228" s="267"/>
      <c r="AB228" s="267"/>
      <c r="AC228" s="267"/>
    </row>
    <row r="229" ht="13.5" customHeight="1">
      <c r="A229" s="430" t="s">
        <v>947</v>
      </c>
      <c r="N229" s="267"/>
      <c r="O229" s="267"/>
      <c r="P229" s="267"/>
      <c r="Q229" s="267"/>
      <c r="R229" s="267"/>
      <c r="S229" s="267"/>
      <c r="T229" s="267"/>
      <c r="U229" s="267"/>
      <c r="V229" s="267"/>
      <c r="W229" s="267"/>
      <c r="X229" s="267"/>
      <c r="Y229" s="267"/>
      <c r="Z229" s="267"/>
      <c r="AA229" s="267"/>
      <c r="AB229" s="267"/>
      <c r="AC229" s="267"/>
    </row>
    <row r="230" ht="13.5" customHeight="1">
      <c r="N230" s="267"/>
      <c r="O230" s="267"/>
      <c r="P230" s="267"/>
      <c r="Q230" s="267"/>
      <c r="R230" s="267"/>
      <c r="S230" s="267"/>
      <c r="T230" s="267"/>
      <c r="U230" s="267"/>
      <c r="V230" s="267"/>
      <c r="W230" s="267"/>
      <c r="X230" s="267"/>
      <c r="Y230" s="267"/>
      <c r="Z230" s="267"/>
      <c r="AA230" s="267"/>
      <c r="AB230" s="267"/>
      <c r="AC230" s="267"/>
    </row>
    <row r="231" ht="13.5" customHeight="1">
      <c r="N231" s="267"/>
      <c r="O231" s="267"/>
      <c r="P231" s="267"/>
      <c r="Q231" s="267"/>
      <c r="R231" s="267"/>
      <c r="S231" s="267"/>
      <c r="T231" s="267"/>
      <c r="U231" s="267"/>
      <c r="V231" s="267"/>
      <c r="W231" s="267"/>
      <c r="X231" s="267"/>
      <c r="Y231" s="267"/>
      <c r="Z231" s="267"/>
      <c r="AA231" s="267"/>
      <c r="AB231" s="267"/>
      <c r="AC231" s="267"/>
    </row>
    <row r="232" ht="13.5" customHeight="1">
      <c r="N232" s="267"/>
      <c r="O232" s="267"/>
      <c r="P232" s="267"/>
      <c r="Q232" s="267"/>
      <c r="R232" s="267"/>
      <c r="S232" s="267"/>
      <c r="T232" s="267"/>
      <c r="U232" s="267"/>
      <c r="V232" s="267"/>
      <c r="W232" s="267"/>
      <c r="X232" s="267"/>
      <c r="Y232" s="267"/>
      <c r="Z232" s="267"/>
      <c r="AA232" s="267"/>
      <c r="AB232" s="267"/>
      <c r="AC232" s="267"/>
    </row>
    <row r="233" ht="13.5" customHeight="1">
      <c r="N233" s="267"/>
      <c r="O233" s="267"/>
      <c r="P233" s="267"/>
      <c r="Q233" s="267"/>
      <c r="R233" s="267"/>
      <c r="S233" s="267"/>
      <c r="T233" s="267"/>
      <c r="U233" s="267"/>
      <c r="V233" s="267"/>
      <c r="W233" s="267"/>
      <c r="X233" s="267"/>
      <c r="Y233" s="267"/>
      <c r="Z233" s="267"/>
      <c r="AA233" s="267"/>
      <c r="AB233" s="267"/>
      <c r="AC233" s="267"/>
    </row>
    <row r="234" ht="13.5" customHeight="1">
      <c r="N234" s="267"/>
      <c r="O234" s="267"/>
      <c r="P234" s="267"/>
      <c r="Q234" s="267"/>
      <c r="R234" s="267"/>
      <c r="S234" s="267"/>
      <c r="T234" s="267"/>
      <c r="U234" s="267"/>
      <c r="V234" s="267"/>
      <c r="W234" s="267"/>
      <c r="X234" s="267"/>
      <c r="Y234" s="267"/>
      <c r="Z234" s="267"/>
      <c r="AA234" s="267"/>
      <c r="AB234" s="267"/>
      <c r="AC234" s="267"/>
    </row>
    <row r="235" ht="13.5" customHeight="1">
      <c r="N235" s="267"/>
      <c r="O235" s="267"/>
      <c r="P235" s="267"/>
      <c r="Q235" s="267"/>
      <c r="R235" s="267"/>
      <c r="S235" s="267"/>
      <c r="T235" s="267"/>
      <c r="U235" s="267"/>
      <c r="V235" s="267"/>
      <c r="W235" s="267"/>
      <c r="X235" s="267"/>
      <c r="Y235" s="267"/>
      <c r="Z235" s="267"/>
      <c r="AA235" s="267"/>
      <c r="AB235" s="267"/>
      <c r="AC235" s="267"/>
    </row>
    <row r="236" ht="13.5" customHeight="1">
      <c r="N236" s="267"/>
      <c r="O236" s="267"/>
      <c r="P236" s="267"/>
      <c r="Q236" s="267"/>
      <c r="R236" s="267"/>
      <c r="S236" s="267"/>
      <c r="T236" s="267"/>
      <c r="U236" s="267"/>
      <c r="V236" s="267"/>
      <c r="W236" s="267"/>
      <c r="X236" s="267"/>
      <c r="Y236" s="267"/>
      <c r="Z236" s="267"/>
      <c r="AA236" s="267"/>
      <c r="AB236" s="267"/>
      <c r="AC236" s="267"/>
    </row>
    <row r="237" ht="13.5" customHeight="1">
      <c r="N237" s="267"/>
      <c r="O237" s="267"/>
      <c r="P237" s="267"/>
      <c r="Q237" s="267"/>
      <c r="R237" s="267"/>
      <c r="S237" s="267"/>
      <c r="T237" s="267"/>
      <c r="U237" s="267"/>
      <c r="V237" s="267"/>
      <c r="W237" s="267"/>
      <c r="X237" s="267"/>
      <c r="Y237" s="267"/>
      <c r="Z237" s="267"/>
      <c r="AA237" s="267"/>
      <c r="AB237" s="267"/>
      <c r="AC237" s="267"/>
    </row>
    <row r="238" ht="13.5" customHeight="1">
      <c r="N238" s="267"/>
      <c r="O238" s="267"/>
      <c r="P238" s="267"/>
      <c r="Q238" s="267"/>
      <c r="R238" s="267"/>
      <c r="S238" s="267"/>
      <c r="T238" s="267"/>
      <c r="U238" s="267"/>
      <c r="V238" s="267"/>
      <c r="W238" s="267"/>
      <c r="X238" s="267"/>
      <c r="Y238" s="267"/>
      <c r="Z238" s="267"/>
      <c r="AA238" s="267"/>
      <c r="AB238" s="267"/>
      <c r="AC238" s="267"/>
    </row>
    <row r="239" ht="13.5" customHeight="1">
      <c r="N239" s="267"/>
      <c r="O239" s="267"/>
      <c r="P239" s="267"/>
      <c r="Q239" s="267"/>
      <c r="R239" s="267"/>
      <c r="S239" s="267"/>
      <c r="T239" s="267"/>
      <c r="U239" s="267"/>
      <c r="V239" s="267"/>
      <c r="W239" s="267"/>
      <c r="X239" s="267"/>
      <c r="Y239" s="267"/>
      <c r="Z239" s="267"/>
      <c r="AA239" s="267"/>
      <c r="AB239" s="267"/>
      <c r="AC239" s="267"/>
    </row>
    <row r="240" ht="13.5" customHeight="1">
      <c r="N240" s="267"/>
      <c r="O240" s="267"/>
      <c r="P240" s="267"/>
      <c r="Q240" s="267"/>
      <c r="R240" s="267"/>
      <c r="S240" s="267"/>
      <c r="T240" s="267"/>
      <c r="U240" s="267"/>
      <c r="V240" s="267"/>
      <c r="W240" s="267"/>
      <c r="X240" s="267"/>
      <c r="Y240" s="267"/>
      <c r="Z240" s="267"/>
      <c r="AA240" s="267"/>
      <c r="AB240" s="267"/>
      <c r="AC240" s="267"/>
    </row>
    <row r="241" ht="13.5" customHeight="1">
      <c r="A241" s="430" t="s">
        <v>948</v>
      </c>
      <c r="N241" s="267"/>
      <c r="O241" s="267"/>
      <c r="P241" s="267"/>
      <c r="Q241" s="267"/>
      <c r="R241" s="267"/>
      <c r="S241" s="267"/>
      <c r="T241" s="267"/>
      <c r="U241" s="267"/>
      <c r="V241" s="267"/>
      <c r="W241" s="267"/>
      <c r="X241" s="267"/>
      <c r="Y241" s="267"/>
      <c r="Z241" s="267"/>
      <c r="AA241" s="267"/>
      <c r="AB241" s="267"/>
      <c r="AC241" s="267"/>
    </row>
    <row r="242" ht="13.5" customHeight="1">
      <c r="N242" s="267"/>
      <c r="O242" s="267"/>
      <c r="P242" s="267"/>
      <c r="Q242" s="267"/>
      <c r="R242" s="267"/>
      <c r="S242" s="267"/>
      <c r="T242" s="267"/>
      <c r="U242" s="267"/>
      <c r="V242" s="267"/>
      <c r="W242" s="267"/>
      <c r="X242" s="267"/>
      <c r="Y242" s="267"/>
      <c r="Z242" s="267"/>
      <c r="AA242" s="267"/>
      <c r="AB242" s="267"/>
      <c r="AC242" s="267"/>
    </row>
    <row r="243" ht="13.5" customHeight="1">
      <c r="N243" s="267"/>
      <c r="O243" s="267"/>
      <c r="P243" s="267"/>
      <c r="Q243" s="267"/>
      <c r="R243" s="267"/>
      <c r="S243" s="267"/>
      <c r="T243" s="267"/>
      <c r="U243" s="267"/>
      <c r="V243" s="267"/>
      <c r="W243" s="267"/>
      <c r="X243" s="267"/>
      <c r="Y243" s="267"/>
      <c r="Z243" s="267"/>
      <c r="AA243" s="267"/>
      <c r="AB243" s="267"/>
      <c r="AC243" s="267"/>
    </row>
    <row r="244" ht="13.5" customHeight="1">
      <c r="N244" s="267"/>
      <c r="O244" s="267"/>
      <c r="P244" s="267"/>
      <c r="Q244" s="267"/>
      <c r="R244" s="267"/>
      <c r="S244" s="267"/>
      <c r="T244" s="267"/>
      <c r="U244" s="267"/>
      <c r="V244" s="267"/>
      <c r="W244" s="267"/>
      <c r="X244" s="267"/>
      <c r="Y244" s="267"/>
      <c r="Z244" s="267"/>
      <c r="AA244" s="267"/>
      <c r="AB244" s="267"/>
      <c r="AC244" s="267"/>
    </row>
    <row r="245" ht="13.5" customHeight="1">
      <c r="N245" s="267"/>
      <c r="O245" s="267"/>
      <c r="P245" s="267"/>
      <c r="Q245" s="267"/>
      <c r="R245" s="267"/>
      <c r="S245" s="267"/>
      <c r="T245" s="267"/>
      <c r="U245" s="267"/>
      <c r="V245" s="267"/>
      <c r="W245" s="267"/>
      <c r="X245" s="267"/>
      <c r="Y245" s="267"/>
      <c r="Z245" s="267"/>
      <c r="AA245" s="267"/>
      <c r="AB245" s="267"/>
      <c r="AC245" s="267"/>
    </row>
    <row r="246" ht="13.5" customHeight="1">
      <c r="N246" s="267"/>
      <c r="O246" s="267"/>
      <c r="P246" s="267"/>
      <c r="Q246" s="267"/>
      <c r="R246" s="267"/>
      <c r="S246" s="267"/>
      <c r="T246" s="267"/>
      <c r="U246" s="267"/>
      <c r="V246" s="267"/>
      <c r="W246" s="267"/>
      <c r="X246" s="267"/>
      <c r="Y246" s="267"/>
      <c r="Z246" s="267"/>
      <c r="AA246" s="267"/>
      <c r="AB246" s="267"/>
      <c r="AC246" s="267"/>
    </row>
    <row r="247" ht="13.5" customHeight="1">
      <c r="N247" s="267"/>
      <c r="O247" s="267"/>
      <c r="P247" s="267"/>
      <c r="Q247" s="267"/>
      <c r="R247" s="267"/>
      <c r="S247" s="267"/>
      <c r="T247" s="267"/>
      <c r="U247" s="267"/>
      <c r="V247" s="267"/>
      <c r="W247" s="267"/>
      <c r="X247" s="267"/>
      <c r="Y247" s="267"/>
      <c r="Z247" s="267"/>
      <c r="AA247" s="267"/>
      <c r="AB247" s="267"/>
      <c r="AC247" s="267"/>
    </row>
    <row r="248" ht="13.5" customHeight="1">
      <c r="N248" s="267"/>
      <c r="O248" s="267"/>
      <c r="P248" s="267"/>
      <c r="Q248" s="267"/>
      <c r="R248" s="267"/>
      <c r="S248" s="267"/>
      <c r="T248" s="267"/>
      <c r="U248" s="267"/>
      <c r="V248" s="267"/>
      <c r="W248" s="267"/>
      <c r="X248" s="267"/>
      <c r="Y248" s="267"/>
      <c r="Z248" s="267"/>
      <c r="AA248" s="267"/>
      <c r="AB248" s="267"/>
      <c r="AC248" s="267"/>
    </row>
    <row r="249" ht="13.5" customHeight="1">
      <c r="N249" s="267"/>
      <c r="O249" s="267"/>
      <c r="P249" s="267"/>
      <c r="Q249" s="267"/>
      <c r="R249" s="267"/>
      <c r="S249" s="267"/>
      <c r="T249" s="267"/>
      <c r="U249" s="267"/>
      <c r="V249" s="267"/>
      <c r="W249" s="267"/>
      <c r="X249" s="267"/>
      <c r="Y249" s="267"/>
      <c r="Z249" s="267"/>
      <c r="AA249" s="267"/>
      <c r="AB249" s="267"/>
      <c r="AC249" s="267"/>
    </row>
    <row r="250" ht="13.5" customHeight="1">
      <c r="N250" s="267"/>
      <c r="O250" s="267"/>
      <c r="P250" s="267"/>
      <c r="Q250" s="267"/>
      <c r="R250" s="267"/>
      <c r="S250" s="267"/>
      <c r="T250" s="267"/>
      <c r="U250" s="267"/>
      <c r="V250" s="267"/>
      <c r="W250" s="267"/>
      <c r="X250" s="267"/>
      <c r="Y250" s="267"/>
      <c r="Z250" s="267"/>
      <c r="AA250" s="267"/>
      <c r="AB250" s="267"/>
      <c r="AC250" s="267"/>
    </row>
    <row r="251" ht="13.5" customHeight="1">
      <c r="N251" s="267"/>
      <c r="O251" s="267"/>
      <c r="P251" s="267"/>
      <c r="Q251" s="267"/>
      <c r="R251" s="267"/>
      <c r="S251" s="267"/>
      <c r="T251" s="267"/>
      <c r="U251" s="267"/>
      <c r="V251" s="267"/>
      <c r="W251" s="267"/>
      <c r="X251" s="267"/>
      <c r="Y251" s="267"/>
      <c r="Z251" s="267"/>
      <c r="AA251" s="267"/>
      <c r="AB251" s="267"/>
      <c r="AC251" s="267"/>
    </row>
    <row r="252" ht="13.5" customHeight="1">
      <c r="A252" s="430" t="s">
        <v>949</v>
      </c>
      <c r="N252" s="267"/>
      <c r="O252" s="267"/>
      <c r="P252" s="267"/>
      <c r="Q252" s="267"/>
      <c r="R252" s="267"/>
      <c r="S252" s="267"/>
      <c r="T252" s="267"/>
      <c r="U252" s="267"/>
      <c r="V252" s="267"/>
      <c r="W252" s="267"/>
      <c r="X252" s="267"/>
      <c r="Y252" s="267"/>
      <c r="Z252" s="267"/>
      <c r="AA252" s="267"/>
      <c r="AB252" s="267"/>
      <c r="AC252" s="267"/>
    </row>
    <row r="253" ht="13.5" customHeight="1">
      <c r="N253" s="267"/>
      <c r="O253" s="267"/>
      <c r="P253" s="267"/>
      <c r="Q253" s="267"/>
      <c r="R253" s="267"/>
      <c r="S253" s="267"/>
      <c r="T253" s="267"/>
      <c r="U253" s="267"/>
      <c r="V253" s="267"/>
      <c r="W253" s="267"/>
      <c r="X253" s="267"/>
      <c r="Y253" s="267"/>
      <c r="Z253" s="267"/>
      <c r="AA253" s="267"/>
      <c r="AB253" s="267"/>
      <c r="AC253" s="267"/>
    </row>
    <row r="254" ht="13.5" customHeight="1">
      <c r="A254" s="430" t="s">
        <v>950</v>
      </c>
      <c r="N254" s="267"/>
      <c r="O254" s="267"/>
      <c r="P254" s="267"/>
      <c r="Q254" s="267"/>
      <c r="R254" s="267"/>
      <c r="S254" s="267"/>
      <c r="T254" s="267"/>
      <c r="U254" s="267"/>
      <c r="V254" s="267"/>
      <c r="W254" s="267"/>
      <c r="X254" s="267"/>
      <c r="Y254" s="267"/>
      <c r="Z254" s="267"/>
      <c r="AA254" s="267"/>
      <c r="AB254" s="267"/>
      <c r="AC254" s="267"/>
    </row>
    <row r="255" ht="13.5" customHeight="1">
      <c r="N255" s="267"/>
      <c r="O255" s="267"/>
      <c r="P255" s="267"/>
      <c r="Q255" s="267"/>
      <c r="R255" s="267"/>
      <c r="S255" s="267"/>
      <c r="T255" s="267"/>
      <c r="U255" s="267"/>
      <c r="V255" s="267"/>
      <c r="W255" s="267"/>
      <c r="X255" s="267"/>
      <c r="Y255" s="267"/>
      <c r="Z255" s="267"/>
      <c r="AA255" s="267"/>
      <c r="AB255" s="267"/>
      <c r="AC255" s="267"/>
    </row>
    <row r="256" ht="13.5" customHeight="1">
      <c r="N256" s="267"/>
      <c r="O256" s="267"/>
      <c r="P256" s="267"/>
      <c r="Q256" s="267"/>
      <c r="R256" s="267"/>
      <c r="S256" s="267"/>
      <c r="T256" s="267"/>
      <c r="U256" s="267"/>
      <c r="V256" s="267"/>
      <c r="W256" s="267"/>
      <c r="X256" s="267"/>
      <c r="Y256" s="267"/>
      <c r="Z256" s="267"/>
      <c r="AA256" s="267"/>
      <c r="AB256" s="267"/>
      <c r="AC256" s="267"/>
    </row>
    <row r="257" ht="13.5" customHeight="1">
      <c r="N257" s="267"/>
      <c r="O257" s="267"/>
      <c r="P257" s="267"/>
      <c r="Q257" s="267"/>
      <c r="R257" s="267"/>
      <c r="S257" s="267"/>
      <c r="T257" s="267"/>
      <c r="U257" s="267"/>
      <c r="V257" s="267"/>
      <c r="W257" s="267"/>
      <c r="X257" s="267"/>
      <c r="Y257" s="267"/>
      <c r="Z257" s="267"/>
      <c r="AA257" s="267"/>
      <c r="AB257" s="267"/>
      <c r="AC257" s="267"/>
    </row>
    <row r="258" ht="13.5" customHeight="1">
      <c r="N258" s="267"/>
      <c r="O258" s="267"/>
      <c r="P258" s="267"/>
      <c r="Q258" s="267"/>
      <c r="R258" s="267"/>
      <c r="S258" s="267"/>
      <c r="T258" s="267"/>
      <c r="U258" s="267"/>
      <c r="V258" s="267"/>
      <c r="W258" s="267"/>
      <c r="X258" s="267"/>
      <c r="Y258" s="267"/>
      <c r="Z258" s="267"/>
      <c r="AA258" s="267"/>
      <c r="AB258" s="267"/>
      <c r="AC258" s="267"/>
    </row>
    <row r="259" ht="13.5" customHeight="1">
      <c r="N259" s="267"/>
      <c r="O259" s="267"/>
      <c r="P259" s="267"/>
      <c r="Q259" s="267"/>
      <c r="R259" s="267"/>
      <c r="S259" s="267"/>
      <c r="T259" s="267"/>
      <c r="U259" s="267"/>
      <c r="V259" s="267"/>
      <c r="W259" s="267"/>
      <c r="X259" s="267"/>
      <c r="Y259" s="267"/>
      <c r="Z259" s="267"/>
      <c r="AA259" s="267"/>
      <c r="AB259" s="267"/>
      <c r="AC259" s="267"/>
    </row>
    <row r="260" ht="13.5" customHeight="1">
      <c r="N260" s="267"/>
      <c r="O260" s="267"/>
      <c r="P260" s="267"/>
      <c r="Q260" s="267"/>
      <c r="R260" s="267"/>
      <c r="S260" s="267"/>
      <c r="T260" s="267"/>
      <c r="U260" s="267"/>
      <c r="V260" s="267"/>
      <c r="W260" s="267"/>
      <c r="X260" s="267"/>
      <c r="Y260" s="267"/>
      <c r="Z260" s="267"/>
      <c r="AA260" s="267"/>
      <c r="AB260" s="267"/>
      <c r="AC260" s="267"/>
    </row>
    <row r="261" ht="13.5" customHeight="1">
      <c r="N261" s="267"/>
      <c r="O261" s="267"/>
      <c r="P261" s="267"/>
      <c r="Q261" s="267"/>
      <c r="R261" s="267"/>
      <c r="S261" s="267"/>
      <c r="T261" s="267"/>
      <c r="U261" s="267"/>
      <c r="V261" s="267"/>
      <c r="W261" s="267"/>
      <c r="X261" s="267"/>
      <c r="Y261" s="267"/>
      <c r="Z261" s="267"/>
      <c r="AA261" s="267"/>
      <c r="AB261" s="267"/>
      <c r="AC261" s="267"/>
    </row>
    <row r="262" ht="13.5" customHeight="1">
      <c r="N262" s="267"/>
      <c r="O262" s="267"/>
      <c r="P262" s="267"/>
      <c r="Q262" s="267"/>
      <c r="R262" s="267"/>
      <c r="S262" s="267"/>
      <c r="T262" s="267"/>
      <c r="U262" s="267"/>
      <c r="V262" s="267"/>
      <c r="W262" s="267"/>
      <c r="X262" s="267"/>
      <c r="Y262" s="267"/>
      <c r="Z262" s="267"/>
      <c r="AA262" s="267"/>
      <c r="AB262" s="267"/>
      <c r="AC262" s="267"/>
    </row>
    <row r="263" ht="13.5" customHeight="1">
      <c r="N263" s="267"/>
      <c r="O263" s="267"/>
      <c r="P263" s="267"/>
      <c r="Q263" s="267"/>
      <c r="R263" s="267"/>
      <c r="S263" s="267"/>
      <c r="T263" s="267"/>
      <c r="U263" s="267"/>
      <c r="V263" s="267"/>
      <c r="W263" s="267"/>
      <c r="X263" s="267"/>
      <c r="Y263" s="267"/>
      <c r="Z263" s="267"/>
      <c r="AA263" s="267"/>
      <c r="AB263" s="267"/>
      <c r="AC263" s="267"/>
    </row>
    <row r="264" ht="13.5" customHeight="1">
      <c r="N264" s="267"/>
      <c r="O264" s="267"/>
      <c r="P264" s="267"/>
      <c r="Q264" s="267"/>
      <c r="R264" s="267"/>
      <c r="S264" s="267"/>
      <c r="T264" s="267"/>
      <c r="U264" s="267"/>
      <c r="V264" s="267"/>
      <c r="W264" s="267"/>
      <c r="X264" s="267"/>
      <c r="Y264" s="267"/>
      <c r="Z264" s="267"/>
      <c r="AA264" s="267"/>
      <c r="AB264" s="267"/>
      <c r="AC264" s="267"/>
    </row>
    <row r="265" ht="13.5" customHeight="1">
      <c r="N265" s="267"/>
      <c r="O265" s="267"/>
      <c r="P265" s="267"/>
      <c r="Q265" s="267"/>
      <c r="R265" s="267"/>
      <c r="S265" s="267"/>
      <c r="T265" s="267"/>
      <c r="U265" s="267"/>
      <c r="V265" s="267"/>
      <c r="W265" s="267"/>
      <c r="X265" s="267"/>
      <c r="Y265" s="267"/>
      <c r="Z265" s="267"/>
      <c r="AA265" s="267"/>
      <c r="AB265" s="267"/>
      <c r="AC265" s="267"/>
    </row>
    <row r="266" ht="13.5" customHeight="1">
      <c r="N266" s="267"/>
      <c r="O266" s="267"/>
      <c r="P266" s="267"/>
      <c r="Q266" s="267"/>
      <c r="R266" s="267"/>
      <c r="S266" s="267"/>
      <c r="T266" s="267"/>
      <c r="U266" s="267"/>
      <c r="V266" s="267"/>
      <c r="W266" s="267"/>
      <c r="X266" s="267"/>
      <c r="Y266" s="267"/>
      <c r="Z266" s="267"/>
      <c r="AA266" s="267"/>
      <c r="AB266" s="267"/>
      <c r="AC266" s="267"/>
    </row>
    <row r="267" ht="13.5" customHeight="1">
      <c r="N267" s="267"/>
      <c r="O267" s="267"/>
      <c r="P267" s="267"/>
      <c r="Q267" s="267"/>
      <c r="R267" s="267"/>
      <c r="S267" s="267"/>
      <c r="T267" s="267"/>
      <c r="U267" s="267"/>
      <c r="V267" s="267"/>
      <c r="W267" s="267"/>
      <c r="X267" s="267"/>
      <c r="Y267" s="267"/>
      <c r="Z267" s="267"/>
      <c r="AA267" s="267"/>
      <c r="AB267" s="267"/>
      <c r="AC267" s="267"/>
    </row>
    <row r="268" ht="13.5" customHeight="1">
      <c r="N268" s="267"/>
      <c r="O268" s="267"/>
      <c r="P268" s="267"/>
      <c r="Q268" s="267"/>
      <c r="R268" s="267"/>
      <c r="S268" s="267"/>
      <c r="T268" s="267"/>
      <c r="U268" s="267"/>
      <c r="V268" s="267"/>
      <c r="W268" s="267"/>
      <c r="X268" s="267"/>
      <c r="Y268" s="267"/>
      <c r="Z268" s="267"/>
      <c r="AA268" s="267"/>
      <c r="AB268" s="267"/>
      <c r="AC268" s="267"/>
    </row>
    <row r="269" ht="13.5" customHeight="1">
      <c r="N269" s="267"/>
      <c r="O269" s="267"/>
      <c r="P269" s="267"/>
      <c r="Q269" s="267"/>
      <c r="R269" s="267"/>
      <c r="S269" s="267"/>
      <c r="T269" s="267"/>
      <c r="U269" s="267"/>
      <c r="V269" s="267"/>
      <c r="W269" s="267"/>
      <c r="X269" s="267"/>
      <c r="Y269" s="267"/>
      <c r="Z269" s="267"/>
      <c r="AA269" s="267"/>
      <c r="AB269" s="267"/>
      <c r="AC269" s="267"/>
    </row>
    <row r="270" ht="13.5" customHeight="1">
      <c r="N270" s="267"/>
      <c r="O270" s="267"/>
      <c r="P270" s="267"/>
      <c r="Q270" s="267"/>
      <c r="R270" s="267"/>
      <c r="S270" s="267"/>
      <c r="T270" s="267"/>
      <c r="U270" s="267"/>
      <c r="V270" s="267"/>
      <c r="W270" s="267"/>
      <c r="X270" s="267"/>
      <c r="Y270" s="267"/>
      <c r="Z270" s="267"/>
      <c r="AA270" s="267"/>
      <c r="AB270" s="267"/>
      <c r="AC270" s="267"/>
    </row>
    <row r="271" ht="13.5" customHeight="1">
      <c r="N271" s="267"/>
      <c r="O271" s="267"/>
      <c r="P271" s="267"/>
      <c r="Q271" s="267"/>
      <c r="R271" s="267"/>
      <c r="S271" s="267"/>
      <c r="T271" s="267"/>
      <c r="U271" s="267"/>
      <c r="V271" s="267"/>
      <c r="W271" s="267"/>
      <c r="X271" s="267"/>
      <c r="Y271" s="267"/>
      <c r="Z271" s="267"/>
      <c r="AA271" s="267"/>
      <c r="AB271" s="267"/>
      <c r="AC271" s="267"/>
    </row>
    <row r="272" ht="13.5" customHeight="1">
      <c r="A272" s="319" t="s">
        <v>951</v>
      </c>
      <c r="N272" s="267"/>
      <c r="O272" s="267"/>
      <c r="P272" s="267"/>
      <c r="Q272" s="267"/>
      <c r="R272" s="267"/>
      <c r="S272" s="267"/>
      <c r="T272" s="267"/>
      <c r="U272" s="267"/>
      <c r="V272" s="267"/>
      <c r="W272" s="267"/>
      <c r="X272" s="267"/>
      <c r="Y272" s="267"/>
      <c r="Z272" s="267"/>
      <c r="AA272" s="267"/>
      <c r="AB272" s="267"/>
      <c r="AC272" s="267"/>
    </row>
    <row r="273" ht="13.5" customHeight="1">
      <c r="N273" s="267"/>
      <c r="O273" s="267"/>
      <c r="P273" s="267"/>
      <c r="Q273" s="267"/>
      <c r="R273" s="267"/>
      <c r="S273" s="267"/>
      <c r="T273" s="267"/>
      <c r="U273" s="267"/>
      <c r="V273" s="267"/>
      <c r="W273" s="267"/>
      <c r="X273" s="267"/>
      <c r="Y273" s="267"/>
      <c r="Z273" s="267"/>
      <c r="AA273" s="267"/>
      <c r="AB273" s="267"/>
      <c r="AC273" s="267"/>
    </row>
    <row r="274" ht="13.5" customHeight="1">
      <c r="N274" s="267"/>
      <c r="O274" s="267"/>
      <c r="P274" s="267"/>
      <c r="Q274" s="267"/>
      <c r="R274" s="267"/>
      <c r="S274" s="267"/>
      <c r="T274" s="267"/>
      <c r="U274" s="267"/>
      <c r="V274" s="267"/>
      <c r="W274" s="267"/>
      <c r="X274" s="267"/>
      <c r="Y274" s="267"/>
      <c r="Z274" s="267"/>
      <c r="AA274" s="267"/>
      <c r="AB274" s="267"/>
      <c r="AC274" s="267"/>
    </row>
    <row r="275" ht="13.5" customHeight="1">
      <c r="N275" s="267"/>
      <c r="O275" s="267"/>
      <c r="P275" s="267"/>
      <c r="Q275" s="267"/>
      <c r="R275" s="267"/>
      <c r="S275" s="267"/>
      <c r="T275" s="267"/>
      <c r="U275" s="267"/>
      <c r="V275" s="267"/>
      <c r="W275" s="267"/>
      <c r="X275" s="267"/>
      <c r="Y275" s="267"/>
      <c r="Z275" s="267"/>
      <c r="AA275" s="267"/>
      <c r="AB275" s="267"/>
      <c r="AC275" s="267"/>
    </row>
    <row r="276" ht="13.5" customHeight="1">
      <c r="N276" s="267"/>
      <c r="O276" s="267"/>
      <c r="P276" s="267"/>
      <c r="Q276" s="267"/>
      <c r="R276" s="267"/>
      <c r="S276" s="267"/>
      <c r="T276" s="267"/>
      <c r="U276" s="267"/>
      <c r="V276" s="267"/>
      <c r="W276" s="267"/>
      <c r="X276" s="267"/>
      <c r="Y276" s="267"/>
      <c r="Z276" s="267"/>
      <c r="AA276" s="267"/>
      <c r="AB276" s="267"/>
      <c r="AC276" s="267"/>
    </row>
    <row r="277" ht="13.5" customHeight="1">
      <c r="N277" s="267"/>
      <c r="O277" s="267"/>
      <c r="P277" s="267"/>
      <c r="Q277" s="267"/>
      <c r="R277" s="267"/>
      <c r="S277" s="267"/>
      <c r="T277" s="267"/>
      <c r="U277" s="267"/>
      <c r="V277" s="267"/>
      <c r="W277" s="267"/>
      <c r="X277" s="267"/>
      <c r="Y277" s="267"/>
      <c r="Z277" s="267"/>
      <c r="AA277" s="267"/>
      <c r="AB277" s="267"/>
      <c r="AC277" s="267"/>
    </row>
    <row r="278" ht="13.5" customHeight="1">
      <c r="N278" s="267"/>
      <c r="O278" s="267"/>
      <c r="P278" s="267"/>
      <c r="Q278" s="267"/>
      <c r="R278" s="267"/>
      <c r="S278" s="267"/>
      <c r="T278" s="267"/>
      <c r="U278" s="267"/>
      <c r="V278" s="267"/>
      <c r="W278" s="267"/>
      <c r="X278" s="267"/>
      <c r="Y278" s="267"/>
      <c r="Z278" s="267"/>
      <c r="AA278" s="267"/>
      <c r="AB278" s="267"/>
      <c r="AC278" s="267"/>
    </row>
    <row r="279" ht="13.5" customHeight="1">
      <c r="N279" s="267"/>
      <c r="O279" s="267"/>
      <c r="P279" s="267"/>
      <c r="Q279" s="267"/>
      <c r="R279" s="267"/>
      <c r="S279" s="267"/>
      <c r="T279" s="267"/>
      <c r="U279" s="267"/>
      <c r="V279" s="267"/>
      <c r="W279" s="267"/>
      <c r="X279" s="267"/>
      <c r="Y279" s="267"/>
      <c r="Z279" s="267"/>
      <c r="AA279" s="267"/>
      <c r="AB279" s="267"/>
      <c r="AC279" s="267"/>
    </row>
    <row r="280" ht="13.5" customHeight="1">
      <c r="N280" s="267"/>
      <c r="O280" s="267"/>
      <c r="P280" s="267"/>
      <c r="Q280" s="267"/>
      <c r="R280" s="267"/>
      <c r="S280" s="267"/>
      <c r="T280" s="267"/>
      <c r="U280" s="267"/>
      <c r="V280" s="267"/>
      <c r="W280" s="267"/>
      <c r="X280" s="267"/>
      <c r="Y280" s="267"/>
      <c r="Z280" s="267"/>
      <c r="AA280" s="267"/>
      <c r="AB280" s="267"/>
      <c r="AC280" s="267"/>
    </row>
    <row r="281" ht="13.5" customHeight="1">
      <c r="N281" s="267"/>
      <c r="O281" s="267"/>
      <c r="P281" s="267"/>
      <c r="Q281" s="267"/>
      <c r="R281" s="267"/>
      <c r="S281" s="267"/>
      <c r="T281" s="267"/>
      <c r="U281" s="267"/>
      <c r="V281" s="267"/>
      <c r="W281" s="267"/>
      <c r="X281" s="267"/>
      <c r="Y281" s="267"/>
      <c r="Z281" s="267"/>
      <c r="AA281" s="267"/>
      <c r="AB281" s="267"/>
      <c r="AC281" s="267"/>
    </row>
    <row r="282" ht="13.5" customHeight="1">
      <c r="N282" s="267"/>
      <c r="O282" s="267"/>
      <c r="P282" s="267"/>
      <c r="Q282" s="267"/>
      <c r="R282" s="267"/>
      <c r="S282" s="267"/>
      <c r="T282" s="267"/>
      <c r="U282" s="267"/>
      <c r="V282" s="267"/>
      <c r="W282" s="267"/>
      <c r="X282" s="267"/>
      <c r="Y282" s="267"/>
      <c r="Z282" s="267"/>
      <c r="AA282" s="267"/>
      <c r="AB282" s="267"/>
      <c r="AC282" s="267"/>
    </row>
    <row r="283" ht="13.5" customHeight="1">
      <c r="N283" s="267"/>
      <c r="O283" s="267"/>
      <c r="P283" s="267"/>
      <c r="Q283" s="267"/>
      <c r="R283" s="267"/>
      <c r="S283" s="267"/>
      <c r="T283" s="267"/>
      <c r="U283" s="267"/>
      <c r="V283" s="267"/>
      <c r="W283" s="267"/>
      <c r="X283" s="267"/>
      <c r="Y283" s="267"/>
      <c r="Z283" s="267"/>
      <c r="AA283" s="267"/>
      <c r="AB283" s="267"/>
      <c r="AC283" s="267"/>
    </row>
    <row r="284" ht="13.5" customHeight="1">
      <c r="N284" s="267"/>
      <c r="O284" s="267"/>
      <c r="P284" s="267"/>
      <c r="Q284" s="267"/>
      <c r="R284" s="267"/>
      <c r="S284" s="267"/>
      <c r="T284" s="267"/>
      <c r="U284" s="267"/>
      <c r="V284" s="267"/>
      <c r="W284" s="267"/>
      <c r="X284" s="267"/>
      <c r="Y284" s="267"/>
      <c r="Z284" s="267"/>
      <c r="AA284" s="267"/>
      <c r="AB284" s="267"/>
      <c r="AC284" s="267"/>
    </row>
    <row r="285" ht="13.5" customHeight="1">
      <c r="N285" s="267"/>
      <c r="O285" s="267"/>
      <c r="P285" s="267"/>
      <c r="Q285" s="267"/>
      <c r="R285" s="267"/>
      <c r="S285" s="267"/>
      <c r="T285" s="267"/>
      <c r="U285" s="267"/>
      <c r="V285" s="267"/>
      <c r="W285" s="267"/>
      <c r="X285" s="267"/>
      <c r="Y285" s="267"/>
      <c r="Z285" s="267"/>
      <c r="AA285" s="267"/>
      <c r="AB285" s="267"/>
      <c r="AC285" s="267"/>
    </row>
    <row r="286" ht="13.5" customHeight="1">
      <c r="N286" s="267"/>
      <c r="O286" s="267"/>
      <c r="P286" s="267"/>
      <c r="Q286" s="267"/>
      <c r="R286" s="267"/>
      <c r="S286" s="267"/>
      <c r="T286" s="267"/>
      <c r="U286" s="267"/>
      <c r="V286" s="267"/>
      <c r="W286" s="267"/>
      <c r="X286" s="267"/>
      <c r="Y286" s="267"/>
      <c r="Z286" s="267"/>
      <c r="AA286" s="267"/>
      <c r="AB286" s="267"/>
      <c r="AC286" s="267"/>
    </row>
    <row r="287" ht="13.5" customHeight="1">
      <c r="N287" s="267"/>
      <c r="O287" s="267"/>
      <c r="P287" s="267"/>
      <c r="Q287" s="267"/>
      <c r="R287" s="267"/>
      <c r="S287" s="267"/>
      <c r="T287" s="267"/>
      <c r="U287" s="267"/>
      <c r="V287" s="267"/>
      <c r="W287" s="267"/>
      <c r="X287" s="267"/>
      <c r="Y287" s="267"/>
      <c r="Z287" s="267"/>
      <c r="AA287" s="267"/>
      <c r="AB287" s="267"/>
      <c r="AC287" s="267"/>
    </row>
    <row r="288" ht="13.5" customHeight="1">
      <c r="N288" s="267"/>
      <c r="O288" s="267"/>
      <c r="P288" s="267"/>
      <c r="Q288" s="267"/>
      <c r="R288" s="267"/>
      <c r="S288" s="267"/>
      <c r="T288" s="267"/>
      <c r="U288" s="267"/>
      <c r="V288" s="267"/>
      <c r="W288" s="267"/>
      <c r="X288" s="267"/>
      <c r="Y288" s="267"/>
      <c r="Z288" s="267"/>
      <c r="AA288" s="267"/>
      <c r="AB288" s="267"/>
      <c r="AC288" s="267"/>
    </row>
    <row r="289" ht="13.5" customHeight="1">
      <c r="N289" s="267"/>
      <c r="O289" s="267"/>
      <c r="P289" s="267"/>
      <c r="Q289" s="267"/>
      <c r="R289" s="267"/>
      <c r="S289" s="267"/>
      <c r="T289" s="267"/>
      <c r="U289" s="267"/>
      <c r="V289" s="267"/>
      <c r="W289" s="267"/>
      <c r="X289" s="267"/>
      <c r="Y289" s="267"/>
      <c r="Z289" s="267"/>
      <c r="AA289" s="267"/>
      <c r="AB289" s="267"/>
      <c r="AC289" s="267"/>
    </row>
    <row r="290" ht="13.5" customHeight="1">
      <c r="N290" s="267"/>
      <c r="O290" s="267"/>
      <c r="P290" s="267"/>
      <c r="Q290" s="267"/>
      <c r="R290" s="267"/>
      <c r="S290" s="267"/>
      <c r="T290" s="267"/>
      <c r="U290" s="267"/>
      <c r="V290" s="267"/>
      <c r="W290" s="267"/>
      <c r="X290" s="267"/>
      <c r="Y290" s="267"/>
      <c r="Z290" s="267"/>
      <c r="AA290" s="267"/>
      <c r="AB290" s="267"/>
      <c r="AC290" s="267"/>
    </row>
    <row r="291" ht="13.5" customHeight="1">
      <c r="N291" s="267"/>
      <c r="O291" s="267"/>
      <c r="P291" s="267"/>
      <c r="Q291" s="267"/>
      <c r="R291" s="267"/>
      <c r="S291" s="267"/>
      <c r="T291" s="267"/>
      <c r="U291" s="267"/>
      <c r="V291" s="267"/>
      <c r="W291" s="267"/>
      <c r="X291" s="267"/>
      <c r="Y291" s="267"/>
      <c r="Z291" s="267"/>
      <c r="AA291" s="267"/>
      <c r="AB291" s="267"/>
      <c r="AC291" s="267"/>
    </row>
    <row r="292" ht="13.5" customHeight="1">
      <c r="N292" s="267"/>
      <c r="O292" s="267"/>
      <c r="P292" s="267"/>
      <c r="Q292" s="267"/>
      <c r="R292" s="267"/>
      <c r="S292" s="267"/>
      <c r="T292" s="267"/>
      <c r="U292" s="267"/>
      <c r="V292" s="267"/>
      <c r="W292" s="267"/>
      <c r="X292" s="267"/>
      <c r="Y292" s="267"/>
      <c r="Z292" s="267"/>
      <c r="AA292" s="267"/>
      <c r="AB292" s="267"/>
      <c r="AC292" s="267"/>
    </row>
    <row r="293" ht="13.5" customHeight="1">
      <c r="N293" s="267"/>
      <c r="O293" s="267"/>
      <c r="P293" s="267"/>
      <c r="Q293" s="267"/>
      <c r="R293" s="267"/>
      <c r="S293" s="267"/>
      <c r="T293" s="267"/>
      <c r="U293" s="267"/>
      <c r="V293" s="267"/>
      <c r="W293" s="267"/>
      <c r="X293" s="267"/>
      <c r="Y293" s="267"/>
      <c r="Z293" s="267"/>
      <c r="AA293" s="267"/>
      <c r="AB293" s="267"/>
      <c r="AC293" s="267"/>
    </row>
    <row r="294" ht="13.5" customHeight="1">
      <c r="N294" s="267"/>
      <c r="O294" s="267"/>
      <c r="P294" s="267"/>
      <c r="Q294" s="267"/>
      <c r="R294" s="267"/>
      <c r="S294" s="267"/>
      <c r="T294" s="267"/>
      <c r="U294" s="267"/>
      <c r="V294" s="267"/>
      <c r="W294" s="267"/>
      <c r="X294" s="267"/>
      <c r="Y294" s="267"/>
      <c r="Z294" s="267"/>
      <c r="AA294" s="267"/>
      <c r="AB294" s="267"/>
      <c r="AC294" s="267"/>
    </row>
    <row r="295" ht="13.5" customHeight="1">
      <c r="N295" s="267"/>
      <c r="O295" s="267"/>
      <c r="P295" s="267"/>
      <c r="Q295" s="267"/>
      <c r="R295" s="267"/>
      <c r="S295" s="267"/>
      <c r="T295" s="267"/>
      <c r="U295" s="267"/>
      <c r="V295" s="267"/>
      <c r="W295" s="267"/>
      <c r="X295" s="267"/>
      <c r="Y295" s="267"/>
      <c r="Z295" s="267"/>
      <c r="AA295" s="267"/>
      <c r="AB295" s="267"/>
      <c r="AC295" s="267"/>
    </row>
    <row r="296" ht="13.5" customHeight="1">
      <c r="N296" s="267"/>
      <c r="O296" s="267"/>
      <c r="P296" s="267"/>
      <c r="Q296" s="267"/>
      <c r="R296" s="267"/>
      <c r="S296" s="267"/>
      <c r="T296" s="267"/>
      <c r="U296" s="267"/>
      <c r="V296" s="267"/>
      <c r="W296" s="267"/>
      <c r="X296" s="267"/>
      <c r="Y296" s="267"/>
      <c r="Z296" s="267"/>
      <c r="AA296" s="267"/>
      <c r="AB296" s="267"/>
      <c r="AC296" s="267"/>
    </row>
    <row r="297" ht="13.5" customHeight="1">
      <c r="N297" s="267"/>
      <c r="O297" s="267"/>
      <c r="P297" s="267"/>
      <c r="Q297" s="267"/>
      <c r="R297" s="267"/>
      <c r="S297" s="267"/>
      <c r="T297" s="267"/>
      <c r="U297" s="267"/>
      <c r="V297" s="267"/>
      <c r="W297" s="267"/>
      <c r="X297" s="267"/>
      <c r="Y297" s="267"/>
      <c r="Z297" s="267"/>
      <c r="AA297" s="267"/>
      <c r="AB297" s="267"/>
      <c r="AC297" s="267"/>
    </row>
    <row r="298" ht="13.5" customHeight="1">
      <c r="N298" s="267"/>
      <c r="O298" s="267"/>
      <c r="P298" s="267"/>
      <c r="Q298" s="267"/>
      <c r="R298" s="267"/>
      <c r="S298" s="267"/>
      <c r="T298" s="267"/>
      <c r="U298" s="267"/>
      <c r="V298" s="267"/>
      <c r="W298" s="267"/>
      <c r="X298" s="267"/>
      <c r="Y298" s="267"/>
      <c r="Z298" s="267"/>
      <c r="AA298" s="267"/>
      <c r="AB298" s="267"/>
      <c r="AC298" s="267"/>
    </row>
    <row r="299" ht="13.5" customHeight="1">
      <c r="A299" s="431" t="s">
        <v>818</v>
      </c>
      <c r="N299" s="432"/>
      <c r="O299" s="267"/>
      <c r="P299" s="267"/>
      <c r="Q299" s="267"/>
      <c r="R299" s="267"/>
      <c r="S299" s="267"/>
      <c r="T299" s="267"/>
      <c r="U299" s="267"/>
      <c r="V299" s="267"/>
      <c r="W299" s="267"/>
      <c r="X299" s="267"/>
      <c r="Y299" s="267"/>
      <c r="Z299" s="267"/>
      <c r="AA299" s="267"/>
      <c r="AB299" s="267"/>
      <c r="AC299" s="267"/>
    </row>
    <row r="300" ht="13.5" customHeight="1">
      <c r="N300" s="432"/>
      <c r="O300" s="267"/>
      <c r="P300" s="267"/>
      <c r="Q300" s="267"/>
      <c r="R300" s="267"/>
      <c r="S300" s="267"/>
      <c r="T300" s="267"/>
      <c r="U300" s="267"/>
      <c r="V300" s="267"/>
      <c r="W300" s="267"/>
      <c r="X300" s="267"/>
      <c r="Y300" s="267"/>
      <c r="Z300" s="267"/>
      <c r="AA300" s="267"/>
      <c r="AB300" s="267"/>
      <c r="AC300" s="267"/>
    </row>
    <row r="301" ht="13.5" customHeight="1">
      <c r="N301" s="432"/>
      <c r="O301" s="267"/>
      <c r="P301" s="267"/>
      <c r="Q301" s="267"/>
      <c r="R301" s="267"/>
      <c r="S301" s="267"/>
      <c r="T301" s="267"/>
      <c r="U301" s="267"/>
      <c r="V301" s="267"/>
      <c r="W301" s="267"/>
      <c r="X301" s="267"/>
      <c r="Y301" s="267"/>
      <c r="Z301" s="267"/>
      <c r="AA301" s="267"/>
      <c r="AB301" s="267"/>
      <c r="AC301" s="267"/>
    </row>
    <row r="302" ht="13.5" customHeight="1">
      <c r="A302" s="267"/>
      <c r="B302" s="267"/>
      <c r="C302" s="433"/>
      <c r="D302" s="433"/>
      <c r="E302" s="433"/>
      <c r="F302" s="433"/>
      <c r="G302" s="267"/>
      <c r="H302" s="267"/>
      <c r="I302" s="267"/>
      <c r="J302" s="433"/>
      <c r="K302" s="433"/>
      <c r="L302" s="434"/>
      <c r="M302" s="267"/>
      <c r="N302" s="267"/>
      <c r="O302" s="267"/>
      <c r="P302" s="267"/>
      <c r="Q302" s="267"/>
      <c r="R302" s="267"/>
      <c r="S302" s="267"/>
      <c r="T302" s="267"/>
      <c r="U302" s="267"/>
      <c r="V302" s="267"/>
      <c r="W302" s="267"/>
      <c r="X302" s="267"/>
      <c r="Y302" s="267"/>
      <c r="Z302" s="267"/>
      <c r="AA302" s="267"/>
      <c r="AB302" s="267"/>
      <c r="AC302" s="267"/>
    </row>
    <row r="303" ht="13.5" customHeight="1">
      <c r="A303" s="267"/>
      <c r="B303" s="267"/>
      <c r="C303" s="433"/>
      <c r="D303" s="433"/>
      <c r="E303" s="433"/>
      <c r="F303" s="433"/>
      <c r="G303" s="267"/>
      <c r="H303" s="267"/>
      <c r="I303" s="267"/>
      <c r="J303" s="433"/>
      <c r="K303" s="433"/>
      <c r="L303" s="434"/>
      <c r="M303" s="267"/>
      <c r="N303" s="267"/>
      <c r="O303" s="267"/>
      <c r="P303" s="267"/>
      <c r="Q303" s="267"/>
      <c r="R303" s="267"/>
      <c r="S303" s="267"/>
      <c r="T303" s="267"/>
      <c r="U303" s="267"/>
      <c r="V303" s="267"/>
      <c r="W303" s="267"/>
      <c r="X303" s="267"/>
      <c r="Y303" s="267"/>
      <c r="Z303" s="267"/>
      <c r="AA303" s="267"/>
      <c r="AB303" s="267"/>
      <c r="AC303" s="267"/>
    </row>
    <row r="304" ht="13.5" customHeight="1">
      <c r="A304" s="267"/>
      <c r="B304" s="267"/>
      <c r="C304" s="433"/>
      <c r="D304" s="433"/>
      <c r="E304" s="433"/>
      <c r="F304" s="433"/>
      <c r="G304" s="267"/>
      <c r="H304" s="267"/>
      <c r="I304" s="267"/>
      <c r="J304" s="433"/>
      <c r="K304" s="433"/>
      <c r="L304" s="434"/>
      <c r="M304" s="267"/>
      <c r="N304" s="267"/>
      <c r="O304" s="267"/>
      <c r="P304" s="267"/>
      <c r="Q304" s="267"/>
      <c r="R304" s="267"/>
      <c r="S304" s="267"/>
      <c r="T304" s="267"/>
      <c r="U304" s="267"/>
      <c r="V304" s="267"/>
      <c r="W304" s="267"/>
      <c r="X304" s="267"/>
      <c r="Y304" s="267"/>
      <c r="Z304" s="267"/>
      <c r="AA304" s="267"/>
      <c r="AB304" s="267"/>
      <c r="AC304" s="267"/>
    </row>
    <row r="305" ht="13.5" customHeight="1">
      <c r="A305" s="267"/>
      <c r="B305" s="267"/>
      <c r="C305" s="433"/>
      <c r="D305" s="433"/>
      <c r="E305" s="433"/>
      <c r="F305" s="433"/>
      <c r="G305" s="267"/>
      <c r="H305" s="267"/>
      <c r="I305" s="267"/>
      <c r="J305" s="433"/>
      <c r="K305" s="433"/>
      <c r="L305" s="434"/>
      <c r="M305" s="267"/>
      <c r="N305" s="267"/>
      <c r="O305" s="267"/>
      <c r="P305" s="267"/>
      <c r="Q305" s="267"/>
      <c r="R305" s="267"/>
      <c r="S305" s="267"/>
      <c r="T305" s="267"/>
      <c r="U305" s="267"/>
      <c r="V305" s="267"/>
      <c r="W305" s="267"/>
      <c r="X305" s="267"/>
      <c r="Y305" s="267"/>
      <c r="Z305" s="267"/>
      <c r="AA305" s="267"/>
      <c r="AB305" s="267"/>
      <c r="AC305" s="267"/>
    </row>
    <row r="306" ht="13.5" customHeight="1">
      <c r="A306" s="267"/>
      <c r="B306" s="267"/>
      <c r="C306" s="433"/>
      <c r="D306" s="433"/>
      <c r="E306" s="433"/>
      <c r="F306" s="433"/>
      <c r="G306" s="267"/>
      <c r="H306" s="267"/>
      <c r="I306" s="267"/>
      <c r="J306" s="433"/>
      <c r="K306" s="433"/>
      <c r="L306" s="434"/>
      <c r="M306" s="267"/>
      <c r="N306" s="267"/>
      <c r="O306" s="267"/>
      <c r="P306" s="267"/>
      <c r="Q306" s="267"/>
      <c r="R306" s="267"/>
      <c r="S306" s="267"/>
      <c r="T306" s="267"/>
      <c r="U306" s="267"/>
      <c r="V306" s="267"/>
      <c r="W306" s="267"/>
      <c r="X306" s="267"/>
      <c r="Y306" s="267"/>
      <c r="Z306" s="267"/>
      <c r="AA306" s="267"/>
      <c r="AB306" s="267"/>
      <c r="AC306" s="267"/>
    </row>
    <row r="307" ht="13.5" customHeight="1">
      <c r="A307" s="267"/>
      <c r="B307" s="267"/>
      <c r="C307" s="433"/>
      <c r="D307" s="433"/>
      <c r="E307" s="433"/>
      <c r="F307" s="433"/>
      <c r="G307" s="267"/>
      <c r="H307" s="267"/>
      <c r="I307" s="267"/>
      <c r="J307" s="433"/>
      <c r="K307" s="433"/>
      <c r="L307" s="434"/>
      <c r="M307" s="267"/>
      <c r="N307" s="267"/>
      <c r="O307" s="267"/>
      <c r="P307" s="267"/>
      <c r="Q307" s="267"/>
      <c r="R307" s="267"/>
      <c r="S307" s="267"/>
      <c r="T307" s="267"/>
      <c r="U307" s="267"/>
      <c r="V307" s="267"/>
      <c r="W307" s="267"/>
      <c r="X307" s="267"/>
      <c r="Y307" s="267"/>
      <c r="Z307" s="267"/>
      <c r="AA307" s="267"/>
      <c r="AB307" s="267"/>
      <c r="AC307" s="267"/>
    </row>
    <row r="308" ht="13.5" customHeight="1">
      <c r="A308" s="267"/>
      <c r="B308" s="267"/>
      <c r="C308" s="433"/>
      <c r="D308" s="433"/>
      <c r="E308" s="433"/>
      <c r="F308" s="433"/>
      <c r="G308" s="267"/>
      <c r="H308" s="267"/>
      <c r="I308" s="267"/>
      <c r="J308" s="433"/>
      <c r="K308" s="433"/>
      <c r="L308" s="434"/>
      <c r="M308" s="267"/>
      <c r="N308" s="267"/>
      <c r="O308" s="267"/>
      <c r="P308" s="267"/>
      <c r="Q308" s="267"/>
      <c r="R308" s="267"/>
      <c r="S308" s="267"/>
      <c r="T308" s="267"/>
      <c r="U308" s="267"/>
      <c r="V308" s="267"/>
      <c r="W308" s="267"/>
      <c r="X308" s="267"/>
      <c r="Y308" s="267"/>
      <c r="Z308" s="267"/>
      <c r="AA308" s="267"/>
      <c r="AB308" s="267"/>
      <c r="AC308" s="267"/>
    </row>
    <row r="309" ht="13.5" customHeight="1">
      <c r="A309" s="267"/>
      <c r="B309" s="267"/>
      <c r="C309" s="433"/>
      <c r="D309" s="433"/>
      <c r="E309" s="433"/>
      <c r="F309" s="433"/>
      <c r="G309" s="267"/>
      <c r="H309" s="267"/>
      <c r="I309" s="267"/>
      <c r="J309" s="433"/>
      <c r="K309" s="433"/>
      <c r="L309" s="434"/>
      <c r="M309" s="267"/>
      <c r="N309" s="267"/>
      <c r="O309" s="267"/>
      <c r="P309" s="267"/>
      <c r="Q309" s="267"/>
      <c r="R309" s="267"/>
      <c r="S309" s="267"/>
      <c r="T309" s="267"/>
      <c r="U309" s="267"/>
      <c r="V309" s="267"/>
      <c r="W309" s="267"/>
      <c r="X309" s="267"/>
      <c r="Y309" s="267"/>
      <c r="Z309" s="267"/>
      <c r="AA309" s="267"/>
      <c r="AB309" s="267"/>
      <c r="AC309" s="267"/>
    </row>
    <row r="310" ht="13.5" customHeight="1">
      <c r="A310" s="267"/>
      <c r="B310" s="267"/>
      <c r="C310" s="433"/>
      <c r="D310" s="433"/>
      <c r="E310" s="433"/>
      <c r="F310" s="433"/>
      <c r="G310" s="267"/>
      <c r="H310" s="267"/>
      <c r="I310" s="267"/>
      <c r="J310" s="433"/>
      <c r="K310" s="433"/>
      <c r="L310" s="434"/>
      <c r="M310" s="267"/>
      <c r="N310" s="267"/>
      <c r="O310" s="267"/>
      <c r="P310" s="267"/>
      <c r="Q310" s="267"/>
      <c r="R310" s="267"/>
      <c r="S310" s="267"/>
      <c r="T310" s="267"/>
      <c r="U310" s="267"/>
      <c r="V310" s="267"/>
      <c r="W310" s="267"/>
      <c r="X310" s="267"/>
      <c r="Y310" s="267"/>
      <c r="Z310" s="267"/>
      <c r="AA310" s="267"/>
      <c r="AB310" s="267"/>
      <c r="AC310" s="267"/>
    </row>
    <row r="311" ht="13.5" customHeight="1">
      <c r="A311" s="267"/>
      <c r="B311" s="267"/>
      <c r="C311" s="433"/>
      <c r="D311" s="433"/>
      <c r="E311" s="433"/>
      <c r="F311" s="433"/>
      <c r="G311" s="267"/>
      <c r="H311" s="267"/>
      <c r="I311" s="267"/>
      <c r="J311" s="433"/>
      <c r="K311" s="433"/>
      <c r="L311" s="434"/>
      <c r="M311" s="267"/>
      <c r="N311" s="267"/>
      <c r="O311" s="267"/>
      <c r="P311" s="267"/>
      <c r="Q311" s="267"/>
      <c r="R311" s="267"/>
      <c r="S311" s="267"/>
      <c r="T311" s="267"/>
      <c r="U311" s="267"/>
      <c r="V311" s="267"/>
      <c r="W311" s="267"/>
      <c r="X311" s="267"/>
      <c r="Y311" s="267"/>
      <c r="Z311" s="267"/>
      <c r="AA311" s="267"/>
      <c r="AB311" s="267"/>
      <c r="AC311" s="267"/>
    </row>
    <row r="312" ht="13.5" customHeight="1">
      <c r="A312" s="267"/>
      <c r="B312" s="267"/>
      <c r="C312" s="433"/>
      <c r="D312" s="433"/>
      <c r="E312" s="433"/>
      <c r="F312" s="433"/>
      <c r="G312" s="267"/>
      <c r="H312" s="267"/>
      <c r="I312" s="267"/>
      <c r="J312" s="433"/>
      <c r="K312" s="433"/>
      <c r="L312" s="434"/>
      <c r="M312" s="267"/>
      <c r="N312" s="267"/>
      <c r="O312" s="267"/>
      <c r="P312" s="267"/>
      <c r="Q312" s="267"/>
      <c r="R312" s="267"/>
      <c r="S312" s="267"/>
      <c r="T312" s="267"/>
      <c r="U312" s="267"/>
      <c r="V312" s="267"/>
      <c r="W312" s="267"/>
      <c r="X312" s="267"/>
      <c r="Y312" s="267"/>
      <c r="Z312" s="267"/>
      <c r="AA312" s="267"/>
      <c r="AB312" s="267"/>
      <c r="AC312" s="267"/>
    </row>
    <row r="313" ht="13.5" customHeight="1">
      <c r="A313" s="267"/>
      <c r="B313" s="267"/>
      <c r="C313" s="433"/>
      <c r="D313" s="433"/>
      <c r="E313" s="433"/>
      <c r="F313" s="433"/>
      <c r="G313" s="267"/>
      <c r="H313" s="267"/>
      <c r="I313" s="267"/>
      <c r="J313" s="433"/>
      <c r="K313" s="433"/>
      <c r="L313" s="434"/>
      <c r="M313" s="267"/>
      <c r="N313" s="267"/>
      <c r="O313" s="267"/>
      <c r="P313" s="267"/>
      <c r="Q313" s="267"/>
      <c r="R313" s="267"/>
      <c r="S313" s="267"/>
      <c r="T313" s="267"/>
      <c r="U313" s="267"/>
      <c r="V313" s="267"/>
      <c r="W313" s="267"/>
      <c r="X313" s="267"/>
      <c r="Y313" s="267"/>
      <c r="Z313" s="267"/>
      <c r="AA313" s="267"/>
      <c r="AB313" s="267"/>
      <c r="AC313" s="267"/>
    </row>
    <row r="314" ht="13.5" customHeight="1">
      <c r="A314" s="267"/>
      <c r="B314" s="267"/>
      <c r="C314" s="433"/>
      <c r="D314" s="433"/>
      <c r="E314" s="433"/>
      <c r="F314" s="433"/>
      <c r="G314" s="267"/>
      <c r="H314" s="267"/>
      <c r="I314" s="267"/>
      <c r="J314" s="433"/>
      <c r="K314" s="433"/>
      <c r="L314" s="434"/>
      <c r="M314" s="267"/>
      <c r="N314" s="267"/>
      <c r="O314" s="267"/>
      <c r="P314" s="267"/>
      <c r="Q314" s="267"/>
      <c r="R314" s="267"/>
      <c r="S314" s="267"/>
      <c r="T314" s="267"/>
      <c r="U314" s="267"/>
      <c r="V314" s="267"/>
      <c r="W314" s="267"/>
      <c r="X314" s="267"/>
      <c r="Y314" s="267"/>
      <c r="Z314" s="267"/>
      <c r="AA314" s="267"/>
      <c r="AB314" s="267"/>
      <c r="AC314" s="267"/>
    </row>
    <row r="315" ht="13.5" customHeight="1">
      <c r="A315" s="267"/>
      <c r="B315" s="267"/>
      <c r="C315" s="433"/>
      <c r="D315" s="433"/>
      <c r="E315" s="433"/>
      <c r="F315" s="433"/>
      <c r="G315" s="267"/>
      <c r="H315" s="267"/>
      <c r="I315" s="267"/>
      <c r="J315" s="433"/>
      <c r="K315" s="433"/>
      <c r="L315" s="434"/>
      <c r="M315" s="267"/>
      <c r="N315" s="267"/>
      <c r="O315" s="267"/>
      <c r="P315" s="267"/>
      <c r="Q315" s="267"/>
      <c r="R315" s="267"/>
      <c r="S315" s="267"/>
      <c r="T315" s="267"/>
      <c r="U315" s="267"/>
      <c r="V315" s="267"/>
      <c r="W315" s="267"/>
      <c r="X315" s="267"/>
      <c r="Y315" s="267"/>
      <c r="Z315" s="267"/>
      <c r="AA315" s="267"/>
      <c r="AB315" s="267"/>
      <c r="AC315" s="267"/>
    </row>
    <row r="316" ht="13.5" customHeight="1">
      <c r="A316" s="267"/>
      <c r="B316" s="267"/>
      <c r="C316" s="433"/>
      <c r="D316" s="433"/>
      <c r="E316" s="433"/>
      <c r="F316" s="433"/>
      <c r="G316" s="267"/>
      <c r="H316" s="267"/>
      <c r="I316" s="267"/>
      <c r="J316" s="433"/>
      <c r="K316" s="433"/>
      <c r="L316" s="434"/>
      <c r="M316" s="267"/>
      <c r="N316" s="267"/>
      <c r="O316" s="267"/>
      <c r="P316" s="267"/>
      <c r="Q316" s="267"/>
      <c r="R316" s="267"/>
      <c r="S316" s="267"/>
      <c r="T316" s="267"/>
      <c r="U316" s="267"/>
      <c r="V316" s="267"/>
      <c r="W316" s="267"/>
      <c r="X316" s="267"/>
      <c r="Y316" s="267"/>
      <c r="Z316" s="267"/>
      <c r="AA316" s="267"/>
      <c r="AB316" s="267"/>
      <c r="AC316" s="267"/>
    </row>
    <row r="317" ht="13.5" customHeight="1">
      <c r="A317" s="267"/>
      <c r="B317" s="267"/>
      <c r="C317" s="433"/>
      <c r="D317" s="433"/>
      <c r="E317" s="433"/>
      <c r="F317" s="433"/>
      <c r="G317" s="267"/>
      <c r="H317" s="267"/>
      <c r="I317" s="267"/>
      <c r="J317" s="433"/>
      <c r="K317" s="433"/>
      <c r="L317" s="434"/>
      <c r="M317" s="267"/>
      <c r="N317" s="267"/>
      <c r="O317" s="267"/>
      <c r="P317" s="267"/>
      <c r="Q317" s="267"/>
      <c r="R317" s="267"/>
      <c r="S317" s="267"/>
      <c r="T317" s="267"/>
      <c r="U317" s="267"/>
      <c r="V317" s="267"/>
      <c r="W317" s="267"/>
      <c r="X317" s="267"/>
      <c r="Y317" s="267"/>
      <c r="Z317" s="267"/>
      <c r="AA317" s="267"/>
      <c r="AB317" s="267"/>
      <c r="AC317" s="267"/>
    </row>
    <row r="318" ht="13.5" customHeight="1">
      <c r="A318" s="267"/>
      <c r="B318" s="267"/>
      <c r="C318" s="433"/>
      <c r="D318" s="433"/>
      <c r="E318" s="433"/>
      <c r="F318" s="433"/>
      <c r="G318" s="267"/>
      <c r="H318" s="267"/>
      <c r="I318" s="267"/>
      <c r="J318" s="433"/>
      <c r="K318" s="433"/>
      <c r="L318" s="434"/>
      <c r="M318" s="267"/>
      <c r="N318" s="267"/>
      <c r="O318" s="267"/>
      <c r="P318" s="267"/>
      <c r="Q318" s="267"/>
      <c r="R318" s="267"/>
      <c r="S318" s="267"/>
      <c r="T318" s="267"/>
      <c r="U318" s="267"/>
      <c r="V318" s="267"/>
      <c r="W318" s="267"/>
      <c r="X318" s="267"/>
      <c r="Y318" s="267"/>
      <c r="Z318" s="267"/>
      <c r="AA318" s="267"/>
      <c r="AB318" s="267"/>
      <c r="AC318" s="267"/>
    </row>
    <row r="319" ht="13.5" customHeight="1">
      <c r="A319" s="267"/>
      <c r="B319" s="267"/>
      <c r="C319" s="433"/>
      <c r="D319" s="433"/>
      <c r="E319" s="433"/>
      <c r="F319" s="433"/>
      <c r="G319" s="267"/>
      <c r="H319" s="267"/>
      <c r="I319" s="267"/>
      <c r="J319" s="433"/>
      <c r="K319" s="433"/>
      <c r="L319" s="434"/>
      <c r="M319" s="267"/>
      <c r="N319" s="267"/>
      <c r="O319" s="267"/>
      <c r="P319" s="267"/>
      <c r="Q319" s="267"/>
      <c r="R319" s="267"/>
      <c r="S319" s="267"/>
      <c r="T319" s="267"/>
      <c r="U319" s="267"/>
      <c r="V319" s="267"/>
      <c r="W319" s="267"/>
      <c r="X319" s="267"/>
      <c r="Y319" s="267"/>
      <c r="Z319" s="267"/>
      <c r="AA319" s="267"/>
      <c r="AB319" s="267"/>
      <c r="AC319" s="267"/>
    </row>
    <row r="320" ht="13.5" customHeight="1">
      <c r="A320" s="267"/>
      <c r="B320" s="267"/>
      <c r="C320" s="433"/>
      <c r="D320" s="433"/>
      <c r="E320" s="433"/>
      <c r="F320" s="433"/>
      <c r="G320" s="267"/>
      <c r="H320" s="267"/>
      <c r="I320" s="267"/>
      <c r="J320" s="433"/>
      <c r="K320" s="433"/>
      <c r="L320" s="434"/>
      <c r="M320" s="267"/>
      <c r="N320" s="267"/>
      <c r="O320" s="267"/>
      <c r="P320" s="267"/>
      <c r="Q320" s="267"/>
      <c r="R320" s="267"/>
      <c r="S320" s="267"/>
      <c r="T320" s="267"/>
      <c r="U320" s="267"/>
      <c r="V320" s="267"/>
      <c r="W320" s="267"/>
      <c r="X320" s="267"/>
      <c r="Y320" s="267"/>
      <c r="Z320" s="267"/>
      <c r="AA320" s="267"/>
      <c r="AB320" s="267"/>
      <c r="AC320" s="267"/>
    </row>
    <row r="321" ht="13.5" customHeight="1">
      <c r="A321" s="267"/>
      <c r="B321" s="267"/>
      <c r="C321" s="433"/>
      <c r="D321" s="433"/>
      <c r="E321" s="433"/>
      <c r="F321" s="433"/>
      <c r="G321" s="267"/>
      <c r="H321" s="267"/>
      <c r="I321" s="267"/>
      <c r="J321" s="433"/>
      <c r="K321" s="433"/>
      <c r="L321" s="434"/>
      <c r="M321" s="267"/>
      <c r="N321" s="267"/>
      <c r="O321" s="267"/>
      <c r="P321" s="267"/>
      <c r="Q321" s="267"/>
      <c r="R321" s="267"/>
      <c r="S321" s="267"/>
      <c r="T321" s="267"/>
      <c r="U321" s="267"/>
      <c r="V321" s="267"/>
      <c r="W321" s="267"/>
      <c r="X321" s="267"/>
      <c r="Y321" s="267"/>
      <c r="Z321" s="267"/>
      <c r="AA321" s="267"/>
      <c r="AB321" s="267"/>
      <c r="AC321" s="267"/>
    </row>
    <row r="322" ht="13.5" customHeight="1">
      <c r="A322" s="267"/>
      <c r="B322" s="267"/>
      <c r="C322" s="433"/>
      <c r="D322" s="433"/>
      <c r="E322" s="433"/>
      <c r="F322" s="433"/>
      <c r="G322" s="267"/>
      <c r="H322" s="267"/>
      <c r="I322" s="267"/>
      <c r="J322" s="433"/>
      <c r="K322" s="433"/>
      <c r="L322" s="434"/>
      <c r="M322" s="267"/>
      <c r="N322" s="267"/>
      <c r="O322" s="267"/>
      <c r="P322" s="267"/>
      <c r="Q322" s="267"/>
      <c r="R322" s="267"/>
      <c r="S322" s="267"/>
      <c r="T322" s="267"/>
      <c r="U322" s="267"/>
      <c r="V322" s="267"/>
      <c r="W322" s="267"/>
      <c r="X322" s="267"/>
      <c r="Y322" s="267"/>
      <c r="Z322" s="267"/>
      <c r="AA322" s="267"/>
      <c r="AB322" s="267"/>
      <c r="AC322" s="267"/>
    </row>
    <row r="323" ht="13.5" customHeight="1">
      <c r="A323" s="267"/>
      <c r="B323" s="267"/>
      <c r="C323" s="433"/>
      <c r="D323" s="433"/>
      <c r="E323" s="433"/>
      <c r="F323" s="433"/>
      <c r="G323" s="267"/>
      <c r="H323" s="267"/>
      <c r="I323" s="267"/>
      <c r="J323" s="433"/>
      <c r="K323" s="433"/>
      <c r="L323" s="434"/>
      <c r="M323" s="267"/>
      <c r="N323" s="267"/>
      <c r="O323" s="267"/>
      <c r="P323" s="267"/>
      <c r="Q323" s="267"/>
      <c r="R323" s="267"/>
      <c r="S323" s="267"/>
      <c r="T323" s="267"/>
      <c r="U323" s="267"/>
      <c r="V323" s="267"/>
      <c r="W323" s="267"/>
      <c r="X323" s="267"/>
      <c r="Y323" s="267"/>
      <c r="Z323" s="267"/>
      <c r="AA323" s="267"/>
      <c r="AB323" s="267"/>
      <c r="AC323" s="267"/>
    </row>
    <row r="324" ht="13.5" customHeight="1">
      <c r="A324" s="267"/>
      <c r="B324" s="267"/>
      <c r="C324" s="433"/>
      <c r="D324" s="433"/>
      <c r="E324" s="433"/>
      <c r="F324" s="433"/>
      <c r="G324" s="267"/>
      <c r="H324" s="267"/>
      <c r="I324" s="267"/>
      <c r="J324" s="433"/>
      <c r="K324" s="433"/>
      <c r="L324" s="434"/>
      <c r="M324" s="267"/>
      <c r="N324" s="267"/>
      <c r="O324" s="267"/>
      <c r="P324" s="267"/>
      <c r="Q324" s="267"/>
      <c r="R324" s="267"/>
      <c r="S324" s="267"/>
      <c r="T324" s="267"/>
      <c r="U324" s="267"/>
      <c r="V324" s="267"/>
      <c r="W324" s="267"/>
      <c r="X324" s="267"/>
      <c r="Y324" s="267"/>
      <c r="Z324" s="267"/>
      <c r="AA324" s="267"/>
      <c r="AB324" s="267"/>
      <c r="AC324" s="267"/>
    </row>
    <row r="325" ht="13.5" customHeight="1">
      <c r="A325" s="267"/>
      <c r="B325" s="267"/>
      <c r="C325" s="433"/>
      <c r="D325" s="433"/>
      <c r="E325" s="433"/>
      <c r="F325" s="433"/>
      <c r="G325" s="267"/>
      <c r="H325" s="267"/>
      <c r="I325" s="267"/>
      <c r="J325" s="433"/>
      <c r="K325" s="433"/>
      <c r="L325" s="434"/>
      <c r="M325" s="267"/>
      <c r="N325" s="267"/>
      <c r="O325" s="267"/>
      <c r="P325" s="267"/>
      <c r="Q325" s="267"/>
      <c r="R325" s="267"/>
      <c r="S325" s="267"/>
      <c r="T325" s="267"/>
      <c r="U325" s="267"/>
      <c r="V325" s="267"/>
      <c r="W325" s="267"/>
      <c r="X325" s="267"/>
      <c r="Y325" s="267"/>
      <c r="Z325" s="267"/>
      <c r="AA325" s="267"/>
      <c r="AB325" s="267"/>
      <c r="AC325" s="267"/>
    </row>
    <row r="326" ht="13.5" customHeight="1">
      <c r="A326" s="267"/>
      <c r="B326" s="267"/>
      <c r="C326" s="433"/>
      <c r="D326" s="433"/>
      <c r="E326" s="433"/>
      <c r="F326" s="433"/>
      <c r="G326" s="267"/>
      <c r="H326" s="267"/>
      <c r="I326" s="267"/>
      <c r="J326" s="433"/>
      <c r="K326" s="433"/>
      <c r="L326" s="434"/>
      <c r="M326" s="267"/>
      <c r="N326" s="267"/>
      <c r="O326" s="267"/>
      <c r="P326" s="267"/>
      <c r="Q326" s="267"/>
      <c r="R326" s="267"/>
      <c r="S326" s="267"/>
      <c r="T326" s="267"/>
      <c r="U326" s="267"/>
      <c r="V326" s="267"/>
      <c r="W326" s="267"/>
      <c r="X326" s="267"/>
      <c r="Y326" s="267"/>
      <c r="Z326" s="267"/>
      <c r="AA326" s="267"/>
      <c r="AB326" s="267"/>
      <c r="AC326" s="267"/>
    </row>
    <row r="327" ht="13.5" customHeight="1">
      <c r="A327" s="267"/>
      <c r="B327" s="267"/>
      <c r="C327" s="433"/>
      <c r="D327" s="433"/>
      <c r="E327" s="433"/>
      <c r="F327" s="433"/>
      <c r="G327" s="267"/>
      <c r="H327" s="267"/>
      <c r="I327" s="267"/>
      <c r="J327" s="433"/>
      <c r="K327" s="433"/>
      <c r="L327" s="434"/>
      <c r="M327" s="267"/>
      <c r="N327" s="267"/>
      <c r="O327" s="267"/>
      <c r="P327" s="267"/>
      <c r="Q327" s="267"/>
      <c r="R327" s="267"/>
      <c r="S327" s="267"/>
      <c r="T327" s="267"/>
      <c r="U327" s="267"/>
      <c r="V327" s="267"/>
      <c r="W327" s="267"/>
      <c r="X327" s="267"/>
      <c r="Y327" s="267"/>
      <c r="Z327" s="267"/>
      <c r="AA327" s="267"/>
      <c r="AB327" s="267"/>
      <c r="AC327" s="267"/>
    </row>
    <row r="328" ht="13.5" customHeight="1">
      <c r="A328" s="267"/>
      <c r="B328" s="267"/>
      <c r="C328" s="433"/>
      <c r="D328" s="433"/>
      <c r="E328" s="433"/>
      <c r="F328" s="433"/>
      <c r="G328" s="267"/>
      <c r="H328" s="267"/>
      <c r="I328" s="267"/>
      <c r="J328" s="433"/>
      <c r="K328" s="433"/>
      <c r="L328" s="434"/>
      <c r="M328" s="267"/>
      <c r="N328" s="267"/>
      <c r="O328" s="267"/>
      <c r="P328" s="267"/>
      <c r="Q328" s="267"/>
      <c r="R328" s="267"/>
      <c r="S328" s="267"/>
      <c r="T328" s="267"/>
      <c r="U328" s="267"/>
      <c r="V328" s="267"/>
      <c r="W328" s="267"/>
      <c r="X328" s="267"/>
      <c r="Y328" s="267"/>
      <c r="Z328" s="267"/>
      <c r="AA328" s="267"/>
      <c r="AB328" s="267"/>
      <c r="AC328" s="267"/>
    </row>
    <row r="329" ht="13.5" customHeight="1">
      <c r="A329" s="267"/>
      <c r="B329" s="267"/>
      <c r="C329" s="433"/>
      <c r="D329" s="433"/>
      <c r="E329" s="433"/>
      <c r="F329" s="433"/>
      <c r="G329" s="267"/>
      <c r="H329" s="267"/>
      <c r="I329" s="267"/>
      <c r="J329" s="433"/>
      <c r="K329" s="433"/>
      <c r="L329" s="434"/>
      <c r="M329" s="267"/>
      <c r="N329" s="267"/>
      <c r="O329" s="267"/>
      <c r="P329" s="267"/>
      <c r="Q329" s="267"/>
      <c r="R329" s="267"/>
      <c r="S329" s="267"/>
      <c r="T329" s="267"/>
      <c r="U329" s="267"/>
      <c r="V329" s="267"/>
      <c r="W329" s="267"/>
      <c r="X329" s="267"/>
      <c r="Y329" s="267"/>
      <c r="Z329" s="267"/>
      <c r="AA329" s="267"/>
      <c r="AB329" s="267"/>
      <c r="AC329" s="267"/>
    </row>
    <row r="330" ht="13.5" customHeight="1">
      <c r="A330" s="267"/>
      <c r="B330" s="267"/>
      <c r="C330" s="433"/>
      <c r="D330" s="433"/>
      <c r="E330" s="433"/>
      <c r="F330" s="433"/>
      <c r="G330" s="267"/>
      <c r="H330" s="267"/>
      <c r="I330" s="267"/>
      <c r="J330" s="433"/>
      <c r="K330" s="433"/>
      <c r="L330" s="434"/>
      <c r="M330" s="267"/>
      <c r="N330" s="267"/>
      <c r="O330" s="267"/>
      <c r="P330" s="267"/>
      <c r="Q330" s="267"/>
      <c r="R330" s="267"/>
      <c r="S330" s="267"/>
      <c r="T330" s="267"/>
      <c r="U330" s="267"/>
      <c r="V330" s="267"/>
      <c r="W330" s="267"/>
      <c r="X330" s="267"/>
      <c r="Y330" s="267"/>
      <c r="Z330" s="267"/>
      <c r="AA330" s="267"/>
      <c r="AB330" s="267"/>
      <c r="AC330" s="267"/>
    </row>
    <row r="331" ht="13.5" customHeight="1">
      <c r="A331" s="267"/>
      <c r="B331" s="267"/>
      <c r="C331" s="433"/>
      <c r="D331" s="433"/>
      <c r="E331" s="433"/>
      <c r="F331" s="433"/>
      <c r="G331" s="267"/>
      <c r="H331" s="267"/>
      <c r="I331" s="267"/>
      <c r="J331" s="433"/>
      <c r="K331" s="433"/>
      <c r="L331" s="434"/>
      <c r="M331" s="267"/>
      <c r="N331" s="267"/>
      <c r="O331" s="267"/>
      <c r="P331" s="267"/>
      <c r="Q331" s="267"/>
      <c r="R331" s="267"/>
      <c r="S331" s="267"/>
      <c r="T331" s="267"/>
      <c r="U331" s="267"/>
      <c r="V331" s="267"/>
      <c r="W331" s="267"/>
      <c r="X331" s="267"/>
      <c r="Y331" s="267"/>
      <c r="Z331" s="267"/>
      <c r="AA331" s="267"/>
      <c r="AB331" s="267"/>
      <c r="AC331" s="267"/>
    </row>
    <row r="332" ht="13.5" customHeight="1">
      <c r="A332" s="267"/>
      <c r="B332" s="267"/>
      <c r="C332" s="433"/>
      <c r="D332" s="433"/>
      <c r="E332" s="433"/>
      <c r="F332" s="433"/>
      <c r="G332" s="267"/>
      <c r="H332" s="267"/>
      <c r="I332" s="267"/>
      <c r="J332" s="433"/>
      <c r="K332" s="433"/>
      <c r="L332" s="434"/>
      <c r="M332" s="267"/>
      <c r="N332" s="267"/>
      <c r="O332" s="267"/>
      <c r="P332" s="267"/>
      <c r="Q332" s="267"/>
      <c r="R332" s="267"/>
      <c r="S332" s="267"/>
      <c r="T332" s="267"/>
      <c r="U332" s="267"/>
      <c r="V332" s="267"/>
      <c r="W332" s="267"/>
      <c r="X332" s="267"/>
      <c r="Y332" s="267"/>
      <c r="Z332" s="267"/>
      <c r="AA332" s="267"/>
      <c r="AB332" s="267"/>
      <c r="AC332" s="267"/>
    </row>
    <row r="333" ht="13.5" customHeight="1">
      <c r="A333" s="267"/>
      <c r="B333" s="267"/>
      <c r="C333" s="433"/>
      <c r="D333" s="433"/>
      <c r="E333" s="433"/>
      <c r="F333" s="433"/>
      <c r="G333" s="267"/>
      <c r="H333" s="267"/>
      <c r="I333" s="267"/>
      <c r="J333" s="433"/>
      <c r="K333" s="433"/>
      <c r="L333" s="434"/>
      <c r="M333" s="267"/>
      <c r="N333" s="267"/>
      <c r="O333" s="267"/>
      <c r="P333" s="267"/>
      <c r="Q333" s="267"/>
      <c r="R333" s="267"/>
      <c r="S333" s="267"/>
      <c r="T333" s="267"/>
      <c r="U333" s="267"/>
      <c r="V333" s="267"/>
      <c r="W333" s="267"/>
      <c r="X333" s="267"/>
      <c r="Y333" s="267"/>
      <c r="Z333" s="267"/>
      <c r="AA333" s="267"/>
      <c r="AB333" s="267"/>
      <c r="AC333" s="267"/>
    </row>
    <row r="334" ht="13.5" customHeight="1">
      <c r="A334" s="267"/>
      <c r="B334" s="267"/>
      <c r="C334" s="433"/>
      <c r="D334" s="433"/>
      <c r="E334" s="433"/>
      <c r="F334" s="433"/>
      <c r="G334" s="267"/>
      <c r="H334" s="267"/>
      <c r="I334" s="267"/>
      <c r="J334" s="433"/>
      <c r="K334" s="433"/>
      <c r="L334" s="434"/>
      <c r="M334" s="267"/>
      <c r="N334" s="267"/>
      <c r="O334" s="267"/>
      <c r="P334" s="267"/>
      <c r="Q334" s="267"/>
      <c r="R334" s="267"/>
      <c r="S334" s="267"/>
      <c r="T334" s="267"/>
      <c r="U334" s="267"/>
      <c r="V334" s="267"/>
      <c r="W334" s="267"/>
      <c r="X334" s="267"/>
      <c r="Y334" s="267"/>
      <c r="Z334" s="267"/>
      <c r="AA334" s="267"/>
      <c r="AB334" s="267"/>
      <c r="AC334" s="267"/>
    </row>
    <row r="335" ht="13.5" customHeight="1">
      <c r="A335" s="267"/>
      <c r="B335" s="267"/>
      <c r="C335" s="433"/>
      <c r="D335" s="433"/>
      <c r="E335" s="433"/>
      <c r="F335" s="433"/>
      <c r="G335" s="267"/>
      <c r="H335" s="267"/>
      <c r="I335" s="267"/>
      <c r="J335" s="433"/>
      <c r="K335" s="433"/>
      <c r="L335" s="434"/>
      <c r="M335" s="267"/>
      <c r="N335" s="267"/>
      <c r="O335" s="267"/>
      <c r="P335" s="267"/>
      <c r="Q335" s="267"/>
      <c r="R335" s="267"/>
      <c r="S335" s="267"/>
      <c r="T335" s="267"/>
      <c r="U335" s="267"/>
      <c r="V335" s="267"/>
      <c r="W335" s="267"/>
      <c r="X335" s="267"/>
      <c r="Y335" s="267"/>
      <c r="Z335" s="267"/>
      <c r="AA335" s="267"/>
      <c r="AB335" s="267"/>
      <c r="AC335" s="267"/>
    </row>
    <row r="336" ht="13.5" customHeight="1">
      <c r="A336" s="267"/>
      <c r="B336" s="267"/>
      <c r="C336" s="433"/>
      <c r="D336" s="433"/>
      <c r="E336" s="433"/>
      <c r="F336" s="433"/>
      <c r="G336" s="267"/>
      <c r="H336" s="267"/>
      <c r="I336" s="267"/>
      <c r="J336" s="433"/>
      <c r="K336" s="433"/>
      <c r="L336" s="434"/>
      <c r="M336" s="267"/>
      <c r="N336" s="267"/>
      <c r="O336" s="267"/>
      <c r="P336" s="267"/>
      <c r="Q336" s="267"/>
      <c r="R336" s="267"/>
      <c r="S336" s="267"/>
      <c r="T336" s="267"/>
      <c r="U336" s="267"/>
      <c r="V336" s="267"/>
      <c r="W336" s="267"/>
      <c r="X336" s="267"/>
      <c r="Y336" s="267"/>
      <c r="Z336" s="267"/>
      <c r="AA336" s="267"/>
      <c r="AB336" s="267"/>
      <c r="AC336" s="267"/>
    </row>
    <row r="337" ht="13.5" customHeight="1">
      <c r="A337" s="267"/>
      <c r="B337" s="267"/>
      <c r="C337" s="433"/>
      <c r="D337" s="433"/>
      <c r="E337" s="433"/>
      <c r="F337" s="433"/>
      <c r="G337" s="267"/>
      <c r="H337" s="267"/>
      <c r="I337" s="267"/>
      <c r="J337" s="433"/>
      <c r="K337" s="433"/>
      <c r="L337" s="434"/>
      <c r="M337" s="267"/>
      <c r="N337" s="267"/>
      <c r="O337" s="267"/>
      <c r="P337" s="267"/>
      <c r="Q337" s="267"/>
      <c r="R337" s="267"/>
      <c r="S337" s="267"/>
      <c r="T337" s="267"/>
      <c r="U337" s="267"/>
      <c r="V337" s="267"/>
      <c r="W337" s="267"/>
      <c r="X337" s="267"/>
      <c r="Y337" s="267"/>
      <c r="Z337" s="267"/>
      <c r="AA337" s="267"/>
      <c r="AB337" s="267"/>
      <c r="AC337" s="267"/>
    </row>
    <row r="338" ht="13.5" customHeight="1">
      <c r="A338" s="267"/>
      <c r="B338" s="267"/>
      <c r="C338" s="433"/>
      <c r="D338" s="433"/>
      <c r="E338" s="433"/>
      <c r="F338" s="433"/>
      <c r="G338" s="267"/>
      <c r="H338" s="267"/>
      <c r="I338" s="267"/>
      <c r="J338" s="433"/>
      <c r="K338" s="433"/>
      <c r="L338" s="434"/>
      <c r="M338" s="267"/>
      <c r="N338" s="267"/>
      <c r="O338" s="267"/>
      <c r="P338" s="267"/>
      <c r="Q338" s="267"/>
      <c r="R338" s="267"/>
      <c r="S338" s="267"/>
      <c r="T338" s="267"/>
      <c r="U338" s="267"/>
      <c r="V338" s="267"/>
      <c r="W338" s="267"/>
      <c r="X338" s="267"/>
      <c r="Y338" s="267"/>
      <c r="Z338" s="267"/>
      <c r="AA338" s="267"/>
      <c r="AB338" s="267"/>
      <c r="AC338" s="267"/>
    </row>
    <row r="339" ht="13.5" customHeight="1">
      <c r="A339" s="267"/>
      <c r="B339" s="267"/>
      <c r="C339" s="433"/>
      <c r="D339" s="433"/>
      <c r="E339" s="433"/>
      <c r="F339" s="433"/>
      <c r="G339" s="267"/>
      <c r="H339" s="267"/>
      <c r="I339" s="267"/>
      <c r="J339" s="433"/>
      <c r="K339" s="433"/>
      <c r="L339" s="434"/>
      <c r="M339" s="267"/>
      <c r="N339" s="267"/>
      <c r="O339" s="267"/>
      <c r="P339" s="267"/>
      <c r="Q339" s="267"/>
      <c r="R339" s="267"/>
      <c r="S339" s="267"/>
      <c r="T339" s="267"/>
      <c r="U339" s="267"/>
      <c r="V339" s="267"/>
      <c r="W339" s="267"/>
      <c r="X339" s="267"/>
      <c r="Y339" s="267"/>
      <c r="Z339" s="267"/>
      <c r="AA339" s="267"/>
      <c r="AB339" s="267"/>
      <c r="AC339" s="267"/>
    </row>
    <row r="340" ht="13.5" customHeight="1">
      <c r="A340" s="267"/>
      <c r="B340" s="267"/>
      <c r="C340" s="433"/>
      <c r="D340" s="433"/>
      <c r="E340" s="433"/>
      <c r="F340" s="433"/>
      <c r="G340" s="267"/>
      <c r="H340" s="267"/>
      <c r="I340" s="267"/>
      <c r="J340" s="433"/>
      <c r="K340" s="433"/>
      <c r="L340" s="434"/>
      <c r="M340" s="267"/>
      <c r="N340" s="267"/>
      <c r="O340" s="267"/>
      <c r="P340" s="267"/>
      <c r="Q340" s="267"/>
      <c r="R340" s="267"/>
      <c r="S340" s="267"/>
      <c r="T340" s="267"/>
      <c r="U340" s="267"/>
      <c r="V340" s="267"/>
      <c r="W340" s="267"/>
      <c r="X340" s="267"/>
      <c r="Y340" s="267"/>
      <c r="Z340" s="267"/>
      <c r="AA340" s="267"/>
      <c r="AB340" s="267"/>
      <c r="AC340" s="267"/>
    </row>
    <row r="341" ht="13.5" customHeight="1">
      <c r="A341" s="267"/>
      <c r="B341" s="267"/>
      <c r="C341" s="433"/>
      <c r="D341" s="433"/>
      <c r="E341" s="433"/>
      <c r="F341" s="433"/>
      <c r="G341" s="267"/>
      <c r="H341" s="267"/>
      <c r="I341" s="267"/>
      <c r="J341" s="433"/>
      <c r="K341" s="433"/>
      <c r="L341" s="434"/>
      <c r="M341" s="267"/>
      <c r="N341" s="267"/>
      <c r="O341" s="267"/>
      <c r="P341" s="267"/>
      <c r="Q341" s="267"/>
      <c r="R341" s="267"/>
      <c r="S341" s="267"/>
      <c r="T341" s="267"/>
      <c r="U341" s="267"/>
      <c r="V341" s="267"/>
      <c r="W341" s="267"/>
      <c r="X341" s="267"/>
      <c r="Y341" s="267"/>
      <c r="Z341" s="267"/>
      <c r="AA341" s="267"/>
      <c r="AB341" s="267"/>
      <c r="AC341" s="267"/>
    </row>
    <row r="342" ht="13.5" customHeight="1">
      <c r="A342" s="267"/>
      <c r="B342" s="267"/>
      <c r="C342" s="433"/>
      <c r="D342" s="433"/>
      <c r="E342" s="433"/>
      <c r="F342" s="433"/>
      <c r="G342" s="267"/>
      <c r="H342" s="267"/>
      <c r="I342" s="267"/>
      <c r="J342" s="433"/>
      <c r="K342" s="433"/>
      <c r="L342" s="434"/>
      <c r="M342" s="267"/>
      <c r="N342" s="267"/>
      <c r="O342" s="267"/>
      <c r="P342" s="267"/>
      <c r="Q342" s="267"/>
      <c r="R342" s="267"/>
      <c r="S342" s="267"/>
      <c r="T342" s="267"/>
      <c r="U342" s="267"/>
      <c r="V342" s="267"/>
      <c r="W342" s="267"/>
      <c r="X342" s="267"/>
      <c r="Y342" s="267"/>
      <c r="Z342" s="267"/>
      <c r="AA342" s="267"/>
      <c r="AB342" s="267"/>
      <c r="AC342" s="267"/>
    </row>
    <row r="343" ht="13.5" customHeight="1">
      <c r="A343" s="267"/>
      <c r="B343" s="267"/>
      <c r="C343" s="433"/>
      <c r="D343" s="433"/>
      <c r="E343" s="433"/>
      <c r="F343" s="433"/>
      <c r="G343" s="267"/>
      <c r="H343" s="267"/>
      <c r="I343" s="267"/>
      <c r="J343" s="433"/>
      <c r="K343" s="433"/>
      <c r="L343" s="434"/>
      <c r="M343" s="267"/>
      <c r="N343" s="267"/>
      <c r="O343" s="267"/>
      <c r="P343" s="267"/>
      <c r="Q343" s="267"/>
      <c r="R343" s="267"/>
      <c r="S343" s="267"/>
      <c r="T343" s="267"/>
      <c r="U343" s="267"/>
      <c r="V343" s="267"/>
      <c r="W343" s="267"/>
      <c r="X343" s="267"/>
      <c r="Y343" s="267"/>
      <c r="Z343" s="267"/>
      <c r="AA343" s="267"/>
      <c r="AB343" s="267"/>
      <c r="AC343" s="267"/>
    </row>
    <row r="344" ht="13.5" customHeight="1">
      <c r="A344" s="267"/>
      <c r="B344" s="267"/>
      <c r="C344" s="433"/>
      <c r="D344" s="433"/>
      <c r="E344" s="433"/>
      <c r="F344" s="433"/>
      <c r="G344" s="267"/>
      <c r="H344" s="267"/>
      <c r="I344" s="267"/>
      <c r="J344" s="433"/>
      <c r="K344" s="433"/>
      <c r="L344" s="434"/>
      <c r="M344" s="267"/>
      <c r="N344" s="267"/>
      <c r="O344" s="267"/>
      <c r="P344" s="267"/>
      <c r="Q344" s="267"/>
      <c r="R344" s="267"/>
      <c r="S344" s="267"/>
      <c r="T344" s="267"/>
      <c r="U344" s="267"/>
      <c r="V344" s="267"/>
      <c r="W344" s="267"/>
      <c r="X344" s="267"/>
      <c r="Y344" s="267"/>
      <c r="Z344" s="267"/>
      <c r="AA344" s="267"/>
      <c r="AB344" s="267"/>
      <c r="AC344" s="267"/>
    </row>
    <row r="345" ht="13.5" customHeight="1">
      <c r="A345" s="267"/>
      <c r="B345" s="267"/>
      <c r="C345" s="433"/>
      <c r="D345" s="433"/>
      <c r="E345" s="433"/>
      <c r="F345" s="433"/>
      <c r="G345" s="267"/>
      <c r="H345" s="267"/>
      <c r="I345" s="267"/>
      <c r="J345" s="433"/>
      <c r="K345" s="433"/>
      <c r="L345" s="434"/>
      <c r="M345" s="267"/>
      <c r="N345" s="267"/>
      <c r="O345" s="267"/>
      <c r="P345" s="267"/>
      <c r="Q345" s="267"/>
      <c r="R345" s="267"/>
      <c r="S345" s="267"/>
      <c r="T345" s="267"/>
      <c r="U345" s="267"/>
      <c r="V345" s="267"/>
      <c r="W345" s="267"/>
      <c r="X345" s="267"/>
      <c r="Y345" s="267"/>
      <c r="Z345" s="267"/>
      <c r="AA345" s="267"/>
      <c r="AB345" s="267"/>
      <c r="AC345" s="267"/>
    </row>
    <row r="346" ht="13.5" customHeight="1">
      <c r="A346" s="267"/>
      <c r="B346" s="267"/>
      <c r="C346" s="433"/>
      <c r="D346" s="433"/>
      <c r="E346" s="433"/>
      <c r="F346" s="433"/>
      <c r="G346" s="267"/>
      <c r="H346" s="267"/>
      <c r="I346" s="267"/>
      <c r="J346" s="433"/>
      <c r="K346" s="433"/>
      <c r="L346" s="434"/>
      <c r="M346" s="267"/>
      <c r="N346" s="267"/>
      <c r="O346" s="267"/>
      <c r="P346" s="267"/>
      <c r="Q346" s="267"/>
      <c r="R346" s="267"/>
      <c r="S346" s="267"/>
      <c r="T346" s="267"/>
      <c r="U346" s="267"/>
      <c r="V346" s="267"/>
      <c r="W346" s="267"/>
      <c r="X346" s="267"/>
      <c r="Y346" s="267"/>
      <c r="Z346" s="267"/>
      <c r="AA346" s="267"/>
      <c r="AB346" s="267"/>
      <c r="AC346" s="267"/>
    </row>
    <row r="347" ht="13.5" customHeight="1">
      <c r="A347" s="267"/>
      <c r="B347" s="267"/>
      <c r="C347" s="433"/>
      <c r="D347" s="433"/>
      <c r="E347" s="433"/>
      <c r="F347" s="433"/>
      <c r="G347" s="267"/>
      <c r="H347" s="267"/>
      <c r="I347" s="267"/>
      <c r="J347" s="433"/>
      <c r="K347" s="433"/>
      <c r="L347" s="434"/>
      <c r="M347" s="267"/>
      <c r="N347" s="267"/>
      <c r="O347" s="267"/>
      <c r="P347" s="267"/>
      <c r="Q347" s="267"/>
      <c r="R347" s="267"/>
      <c r="S347" s="267"/>
      <c r="T347" s="267"/>
      <c r="U347" s="267"/>
      <c r="V347" s="267"/>
      <c r="W347" s="267"/>
      <c r="X347" s="267"/>
      <c r="Y347" s="267"/>
      <c r="Z347" s="267"/>
      <c r="AA347" s="267"/>
      <c r="AB347" s="267"/>
      <c r="AC347" s="267"/>
    </row>
    <row r="348" ht="13.5" customHeight="1">
      <c r="A348" s="267"/>
      <c r="B348" s="267"/>
      <c r="C348" s="433"/>
      <c r="D348" s="433"/>
      <c r="E348" s="433"/>
      <c r="F348" s="433"/>
      <c r="G348" s="267"/>
      <c r="H348" s="267"/>
      <c r="I348" s="267"/>
      <c r="J348" s="433"/>
      <c r="K348" s="433"/>
      <c r="L348" s="434"/>
      <c r="M348" s="267"/>
      <c r="N348" s="267"/>
      <c r="O348" s="267"/>
      <c r="P348" s="267"/>
      <c r="Q348" s="267"/>
      <c r="R348" s="267"/>
      <c r="S348" s="267"/>
      <c r="T348" s="267"/>
      <c r="U348" s="267"/>
      <c r="V348" s="267"/>
      <c r="W348" s="267"/>
      <c r="X348" s="267"/>
      <c r="Y348" s="267"/>
      <c r="Z348" s="267"/>
      <c r="AA348" s="267"/>
      <c r="AB348" s="267"/>
      <c r="AC348" s="267"/>
    </row>
    <row r="349" ht="13.5" customHeight="1">
      <c r="A349" s="267"/>
      <c r="B349" s="267"/>
      <c r="C349" s="433"/>
      <c r="D349" s="433"/>
      <c r="E349" s="433"/>
      <c r="F349" s="433"/>
      <c r="G349" s="267"/>
      <c r="H349" s="267"/>
      <c r="I349" s="267"/>
      <c r="J349" s="433"/>
      <c r="K349" s="433"/>
      <c r="L349" s="434"/>
      <c r="M349" s="267"/>
      <c r="N349" s="267"/>
      <c r="O349" s="267"/>
      <c r="P349" s="267"/>
      <c r="Q349" s="267"/>
      <c r="R349" s="267"/>
      <c r="S349" s="267"/>
      <c r="T349" s="267"/>
      <c r="U349" s="267"/>
      <c r="V349" s="267"/>
      <c r="W349" s="267"/>
      <c r="X349" s="267"/>
      <c r="Y349" s="267"/>
      <c r="Z349" s="267"/>
      <c r="AA349" s="267"/>
      <c r="AB349" s="267"/>
      <c r="AC349" s="267"/>
    </row>
    <row r="350" ht="13.5" customHeight="1">
      <c r="A350" s="267"/>
      <c r="B350" s="267"/>
      <c r="C350" s="433"/>
      <c r="D350" s="433"/>
      <c r="E350" s="433"/>
      <c r="F350" s="433"/>
      <c r="G350" s="267"/>
      <c r="H350" s="267"/>
      <c r="I350" s="267"/>
      <c r="J350" s="433"/>
      <c r="K350" s="433"/>
      <c r="L350" s="434"/>
      <c r="M350" s="267"/>
      <c r="N350" s="267"/>
      <c r="O350" s="267"/>
      <c r="P350" s="267"/>
      <c r="Q350" s="267"/>
      <c r="R350" s="267"/>
      <c r="S350" s="267"/>
      <c r="T350" s="267"/>
      <c r="U350" s="267"/>
      <c r="V350" s="267"/>
      <c r="W350" s="267"/>
      <c r="X350" s="267"/>
      <c r="Y350" s="267"/>
      <c r="Z350" s="267"/>
      <c r="AA350" s="267"/>
      <c r="AB350" s="267"/>
      <c r="AC350" s="267"/>
    </row>
    <row r="351" ht="13.5" customHeight="1">
      <c r="A351" s="267"/>
      <c r="B351" s="267"/>
      <c r="C351" s="433"/>
      <c r="D351" s="433"/>
      <c r="E351" s="433"/>
      <c r="F351" s="433"/>
      <c r="G351" s="267"/>
      <c r="H351" s="267"/>
      <c r="I351" s="267"/>
      <c r="J351" s="433"/>
      <c r="K351" s="433"/>
      <c r="L351" s="434"/>
      <c r="M351" s="267"/>
      <c r="N351" s="267"/>
      <c r="O351" s="267"/>
      <c r="P351" s="267"/>
      <c r="Q351" s="267"/>
      <c r="R351" s="267"/>
      <c r="S351" s="267"/>
      <c r="T351" s="267"/>
      <c r="U351" s="267"/>
      <c r="V351" s="267"/>
      <c r="W351" s="267"/>
      <c r="X351" s="267"/>
      <c r="Y351" s="267"/>
      <c r="Z351" s="267"/>
      <c r="AA351" s="267"/>
      <c r="AB351" s="267"/>
      <c r="AC351" s="267"/>
    </row>
    <row r="352" ht="13.5" customHeight="1">
      <c r="A352" s="267"/>
      <c r="B352" s="267"/>
      <c r="C352" s="433"/>
      <c r="D352" s="433"/>
      <c r="E352" s="433"/>
      <c r="F352" s="433"/>
      <c r="G352" s="267"/>
      <c r="H352" s="267"/>
      <c r="I352" s="267"/>
      <c r="J352" s="433"/>
      <c r="K352" s="433"/>
      <c r="L352" s="434"/>
      <c r="M352" s="267"/>
      <c r="N352" s="267"/>
      <c r="O352" s="267"/>
      <c r="P352" s="267"/>
      <c r="Q352" s="267"/>
      <c r="R352" s="267"/>
      <c r="S352" s="267"/>
      <c r="T352" s="267"/>
      <c r="U352" s="267"/>
      <c r="V352" s="267"/>
      <c r="W352" s="267"/>
      <c r="X352" s="267"/>
      <c r="Y352" s="267"/>
      <c r="Z352" s="267"/>
      <c r="AA352" s="267"/>
      <c r="AB352" s="267"/>
      <c r="AC352" s="267"/>
    </row>
    <row r="353" ht="13.5" customHeight="1">
      <c r="A353" s="267"/>
      <c r="B353" s="267"/>
      <c r="C353" s="433"/>
      <c r="D353" s="433"/>
      <c r="E353" s="433"/>
      <c r="F353" s="433"/>
      <c r="G353" s="267"/>
      <c r="H353" s="267"/>
      <c r="I353" s="267"/>
      <c r="J353" s="433"/>
      <c r="K353" s="433"/>
      <c r="L353" s="434"/>
      <c r="M353" s="267"/>
      <c r="N353" s="267"/>
      <c r="O353" s="267"/>
      <c r="P353" s="267"/>
      <c r="Q353" s="267"/>
      <c r="R353" s="267"/>
      <c r="S353" s="267"/>
      <c r="T353" s="267"/>
      <c r="U353" s="267"/>
      <c r="V353" s="267"/>
      <c r="W353" s="267"/>
      <c r="X353" s="267"/>
      <c r="Y353" s="267"/>
      <c r="Z353" s="267"/>
      <c r="AA353" s="267"/>
      <c r="AB353" s="267"/>
      <c r="AC353" s="267"/>
    </row>
    <row r="354" ht="13.5" customHeight="1">
      <c r="A354" s="267"/>
      <c r="B354" s="267"/>
      <c r="C354" s="433"/>
      <c r="D354" s="433"/>
      <c r="E354" s="433"/>
      <c r="F354" s="433"/>
      <c r="G354" s="267"/>
      <c r="H354" s="267"/>
      <c r="I354" s="267"/>
      <c r="J354" s="433"/>
      <c r="K354" s="433"/>
      <c r="L354" s="434"/>
      <c r="M354" s="267"/>
      <c r="N354" s="267"/>
      <c r="O354" s="267"/>
      <c r="P354" s="267"/>
      <c r="Q354" s="267"/>
      <c r="R354" s="267"/>
      <c r="S354" s="267"/>
      <c r="T354" s="267"/>
      <c r="U354" s="267"/>
      <c r="V354" s="267"/>
      <c r="W354" s="267"/>
      <c r="X354" s="267"/>
      <c r="Y354" s="267"/>
      <c r="Z354" s="267"/>
      <c r="AA354" s="267"/>
      <c r="AB354" s="267"/>
      <c r="AC354" s="267"/>
    </row>
    <row r="355" ht="13.5" customHeight="1">
      <c r="A355" s="267"/>
      <c r="B355" s="267"/>
      <c r="C355" s="433"/>
      <c r="D355" s="433"/>
      <c r="E355" s="433"/>
      <c r="F355" s="433"/>
      <c r="G355" s="267"/>
      <c r="H355" s="267"/>
      <c r="I355" s="267"/>
      <c r="J355" s="433"/>
      <c r="K355" s="433"/>
      <c r="L355" s="434"/>
      <c r="M355" s="267"/>
      <c r="N355" s="267"/>
      <c r="O355" s="267"/>
      <c r="P355" s="267"/>
      <c r="Q355" s="267"/>
      <c r="R355" s="267"/>
      <c r="S355" s="267"/>
      <c r="T355" s="267"/>
      <c r="U355" s="267"/>
      <c r="V355" s="267"/>
      <c r="W355" s="267"/>
      <c r="X355" s="267"/>
      <c r="Y355" s="267"/>
      <c r="Z355" s="267"/>
      <c r="AA355" s="267"/>
      <c r="AB355" s="267"/>
      <c r="AC355" s="267"/>
    </row>
    <row r="356" ht="13.5" customHeight="1">
      <c r="A356" s="267"/>
      <c r="B356" s="267"/>
      <c r="C356" s="433"/>
      <c r="D356" s="433"/>
      <c r="E356" s="433"/>
      <c r="F356" s="433"/>
      <c r="G356" s="267"/>
      <c r="H356" s="267"/>
      <c r="I356" s="267"/>
      <c r="J356" s="433"/>
      <c r="K356" s="433"/>
      <c r="L356" s="434"/>
      <c r="M356" s="267"/>
      <c r="N356" s="267"/>
      <c r="O356" s="267"/>
      <c r="P356" s="267"/>
      <c r="Q356" s="267"/>
      <c r="R356" s="267"/>
      <c r="S356" s="267"/>
      <c r="T356" s="267"/>
      <c r="U356" s="267"/>
      <c r="V356" s="267"/>
      <c r="W356" s="267"/>
      <c r="X356" s="267"/>
      <c r="Y356" s="267"/>
      <c r="Z356" s="267"/>
      <c r="AA356" s="267"/>
      <c r="AB356" s="267"/>
      <c r="AC356" s="267"/>
    </row>
    <row r="357" ht="13.5" customHeight="1">
      <c r="A357" s="267"/>
      <c r="B357" s="267"/>
      <c r="C357" s="433"/>
      <c r="D357" s="433"/>
      <c r="E357" s="433"/>
      <c r="F357" s="433"/>
      <c r="G357" s="267"/>
      <c r="H357" s="267"/>
      <c r="I357" s="267"/>
      <c r="J357" s="433"/>
      <c r="K357" s="433"/>
      <c r="L357" s="434"/>
      <c r="M357" s="267"/>
      <c r="N357" s="267"/>
      <c r="O357" s="267"/>
      <c r="P357" s="267"/>
      <c r="Q357" s="267"/>
      <c r="R357" s="267"/>
      <c r="S357" s="267"/>
      <c r="T357" s="267"/>
      <c r="U357" s="267"/>
      <c r="V357" s="267"/>
      <c r="W357" s="267"/>
      <c r="X357" s="267"/>
      <c r="Y357" s="267"/>
      <c r="Z357" s="267"/>
      <c r="AA357" s="267"/>
      <c r="AB357" s="267"/>
      <c r="AC357" s="267"/>
    </row>
    <row r="358" ht="13.5" customHeight="1">
      <c r="A358" s="267"/>
      <c r="B358" s="267"/>
      <c r="C358" s="433"/>
      <c r="D358" s="433"/>
      <c r="E358" s="433"/>
      <c r="F358" s="433"/>
      <c r="G358" s="267"/>
      <c r="H358" s="267"/>
      <c r="I358" s="267"/>
      <c r="J358" s="433"/>
      <c r="K358" s="433"/>
      <c r="L358" s="434"/>
      <c r="M358" s="267"/>
      <c r="N358" s="267"/>
      <c r="O358" s="267"/>
      <c r="P358" s="267"/>
      <c r="Q358" s="267"/>
      <c r="R358" s="267"/>
      <c r="S358" s="267"/>
      <c r="T358" s="267"/>
      <c r="U358" s="267"/>
      <c r="V358" s="267"/>
      <c r="W358" s="267"/>
      <c r="X358" s="267"/>
      <c r="Y358" s="267"/>
      <c r="Z358" s="267"/>
      <c r="AA358" s="267"/>
      <c r="AB358" s="267"/>
      <c r="AC358" s="267"/>
    </row>
    <row r="359" ht="13.5" customHeight="1">
      <c r="A359" s="267"/>
      <c r="B359" s="267"/>
      <c r="C359" s="433"/>
      <c r="D359" s="433"/>
      <c r="E359" s="433"/>
      <c r="F359" s="433"/>
      <c r="G359" s="267"/>
      <c r="H359" s="267"/>
      <c r="I359" s="267"/>
      <c r="J359" s="433"/>
      <c r="K359" s="433"/>
      <c r="L359" s="434"/>
      <c r="M359" s="267"/>
      <c r="N359" s="267"/>
      <c r="O359" s="267"/>
      <c r="P359" s="267"/>
      <c r="Q359" s="267"/>
      <c r="R359" s="267"/>
      <c r="S359" s="267"/>
      <c r="T359" s="267"/>
      <c r="U359" s="267"/>
      <c r="V359" s="267"/>
      <c r="W359" s="267"/>
      <c r="X359" s="267"/>
      <c r="Y359" s="267"/>
      <c r="Z359" s="267"/>
      <c r="AA359" s="267"/>
      <c r="AB359" s="267"/>
      <c r="AC359" s="267"/>
    </row>
    <row r="360" ht="13.5" customHeight="1">
      <c r="A360" s="267"/>
      <c r="B360" s="267"/>
      <c r="C360" s="433"/>
      <c r="D360" s="433"/>
      <c r="E360" s="433"/>
      <c r="F360" s="433"/>
      <c r="G360" s="267"/>
      <c r="H360" s="267"/>
      <c r="I360" s="267"/>
      <c r="J360" s="433"/>
      <c r="K360" s="433"/>
      <c r="L360" s="434"/>
      <c r="M360" s="267"/>
      <c r="N360" s="267"/>
      <c r="O360" s="267"/>
      <c r="P360" s="267"/>
      <c r="Q360" s="267"/>
      <c r="R360" s="267"/>
      <c r="S360" s="267"/>
      <c r="T360" s="267"/>
      <c r="U360" s="267"/>
      <c r="V360" s="267"/>
      <c r="W360" s="267"/>
      <c r="X360" s="267"/>
      <c r="Y360" s="267"/>
      <c r="Z360" s="267"/>
      <c r="AA360" s="267"/>
      <c r="AB360" s="267"/>
      <c r="AC360" s="267"/>
    </row>
    <row r="361" ht="13.5" customHeight="1">
      <c r="A361" s="267"/>
      <c r="B361" s="267"/>
      <c r="C361" s="433"/>
      <c r="D361" s="433"/>
      <c r="E361" s="433"/>
      <c r="F361" s="433"/>
      <c r="G361" s="267"/>
      <c r="H361" s="267"/>
      <c r="I361" s="267"/>
      <c r="J361" s="433"/>
      <c r="K361" s="433"/>
      <c r="L361" s="434"/>
      <c r="M361" s="267"/>
      <c r="N361" s="267"/>
      <c r="O361" s="267"/>
      <c r="P361" s="267"/>
      <c r="Q361" s="267"/>
      <c r="R361" s="267"/>
      <c r="S361" s="267"/>
      <c r="T361" s="267"/>
      <c r="U361" s="267"/>
      <c r="V361" s="267"/>
      <c r="W361" s="267"/>
      <c r="X361" s="267"/>
      <c r="Y361" s="267"/>
      <c r="Z361" s="267"/>
      <c r="AA361" s="267"/>
      <c r="AB361" s="267"/>
      <c r="AC361" s="267"/>
    </row>
    <row r="362" ht="13.5" customHeight="1">
      <c r="A362" s="267"/>
      <c r="B362" s="267"/>
      <c r="C362" s="433"/>
      <c r="D362" s="433"/>
      <c r="E362" s="433"/>
      <c r="F362" s="433"/>
      <c r="G362" s="267"/>
      <c r="H362" s="267"/>
      <c r="I362" s="267"/>
      <c r="J362" s="433"/>
      <c r="K362" s="433"/>
      <c r="L362" s="434"/>
      <c r="M362" s="267"/>
      <c r="N362" s="267"/>
      <c r="O362" s="267"/>
      <c r="P362" s="267"/>
      <c r="Q362" s="267"/>
      <c r="R362" s="267"/>
      <c r="S362" s="267"/>
      <c r="T362" s="267"/>
      <c r="U362" s="267"/>
      <c r="V362" s="267"/>
      <c r="W362" s="267"/>
      <c r="X362" s="267"/>
      <c r="Y362" s="267"/>
      <c r="Z362" s="267"/>
      <c r="AA362" s="267"/>
      <c r="AB362" s="267"/>
      <c r="AC362" s="267"/>
    </row>
    <row r="363" ht="13.5" customHeight="1">
      <c r="A363" s="267"/>
      <c r="B363" s="267"/>
      <c r="C363" s="433"/>
      <c r="D363" s="433"/>
      <c r="E363" s="433"/>
      <c r="F363" s="433"/>
      <c r="G363" s="267"/>
      <c r="H363" s="267"/>
      <c r="I363" s="267"/>
      <c r="J363" s="433"/>
      <c r="K363" s="433"/>
      <c r="L363" s="434"/>
      <c r="M363" s="267"/>
      <c r="N363" s="267"/>
      <c r="O363" s="267"/>
      <c r="P363" s="267"/>
      <c r="Q363" s="267"/>
      <c r="R363" s="267"/>
      <c r="S363" s="267"/>
      <c r="T363" s="267"/>
      <c r="U363" s="267"/>
      <c r="V363" s="267"/>
      <c r="W363" s="267"/>
      <c r="X363" s="267"/>
      <c r="Y363" s="267"/>
      <c r="Z363" s="267"/>
      <c r="AA363" s="267"/>
      <c r="AB363" s="267"/>
      <c r="AC363" s="267"/>
    </row>
    <row r="364" ht="13.5" customHeight="1">
      <c r="A364" s="267"/>
      <c r="B364" s="267"/>
      <c r="C364" s="433"/>
      <c r="D364" s="433"/>
      <c r="E364" s="433"/>
      <c r="F364" s="433"/>
      <c r="G364" s="267"/>
      <c r="H364" s="267"/>
      <c r="I364" s="267"/>
      <c r="J364" s="433"/>
      <c r="K364" s="433"/>
      <c r="L364" s="434"/>
      <c r="M364" s="267"/>
      <c r="N364" s="267"/>
      <c r="O364" s="267"/>
      <c r="P364" s="267"/>
      <c r="Q364" s="267"/>
      <c r="R364" s="267"/>
      <c r="S364" s="267"/>
      <c r="T364" s="267"/>
      <c r="U364" s="267"/>
      <c r="V364" s="267"/>
      <c r="W364" s="267"/>
      <c r="X364" s="267"/>
      <c r="Y364" s="267"/>
      <c r="Z364" s="267"/>
      <c r="AA364" s="267"/>
      <c r="AB364" s="267"/>
      <c r="AC364" s="267"/>
    </row>
    <row r="365" ht="13.5" customHeight="1">
      <c r="A365" s="267"/>
      <c r="B365" s="267"/>
      <c r="C365" s="433"/>
      <c r="D365" s="433"/>
      <c r="E365" s="433"/>
      <c r="F365" s="433"/>
      <c r="G365" s="267"/>
      <c r="H365" s="267"/>
      <c r="I365" s="267"/>
      <c r="J365" s="433"/>
      <c r="K365" s="433"/>
      <c r="L365" s="434"/>
      <c r="M365" s="267"/>
      <c r="N365" s="267"/>
      <c r="O365" s="267"/>
      <c r="P365" s="267"/>
      <c r="Q365" s="267"/>
      <c r="R365" s="267"/>
      <c r="S365" s="267"/>
      <c r="T365" s="267"/>
      <c r="U365" s="267"/>
      <c r="V365" s="267"/>
      <c r="W365" s="267"/>
      <c r="X365" s="267"/>
      <c r="Y365" s="267"/>
      <c r="Z365" s="267"/>
      <c r="AA365" s="267"/>
      <c r="AB365" s="267"/>
      <c r="AC365" s="267"/>
    </row>
    <row r="366" ht="13.5" customHeight="1">
      <c r="A366" s="267"/>
      <c r="B366" s="267"/>
      <c r="C366" s="433"/>
      <c r="D366" s="433"/>
      <c r="E366" s="433"/>
      <c r="F366" s="433"/>
      <c r="G366" s="267"/>
      <c r="H366" s="267"/>
      <c r="I366" s="267"/>
      <c r="J366" s="433"/>
      <c r="K366" s="433"/>
      <c r="L366" s="434"/>
      <c r="M366" s="267"/>
      <c r="N366" s="267"/>
      <c r="O366" s="267"/>
      <c r="P366" s="267"/>
      <c r="Q366" s="267"/>
      <c r="R366" s="267"/>
      <c r="S366" s="267"/>
      <c r="T366" s="267"/>
      <c r="U366" s="267"/>
      <c r="V366" s="267"/>
      <c r="W366" s="267"/>
      <c r="X366" s="267"/>
      <c r="Y366" s="267"/>
      <c r="Z366" s="267"/>
      <c r="AA366" s="267"/>
      <c r="AB366" s="267"/>
      <c r="AC366" s="267"/>
    </row>
    <row r="367" ht="13.5" customHeight="1">
      <c r="A367" s="267"/>
      <c r="B367" s="267"/>
      <c r="C367" s="433"/>
      <c r="D367" s="433"/>
      <c r="E367" s="433"/>
      <c r="F367" s="433"/>
      <c r="G367" s="267"/>
      <c r="H367" s="267"/>
      <c r="I367" s="267"/>
      <c r="J367" s="433"/>
      <c r="K367" s="433"/>
      <c r="L367" s="434"/>
      <c r="M367" s="267"/>
      <c r="N367" s="267"/>
      <c r="O367" s="267"/>
      <c r="P367" s="267"/>
      <c r="Q367" s="267"/>
      <c r="R367" s="267"/>
      <c r="S367" s="267"/>
      <c r="T367" s="267"/>
      <c r="U367" s="267"/>
      <c r="V367" s="267"/>
      <c r="W367" s="267"/>
      <c r="X367" s="267"/>
      <c r="Y367" s="267"/>
      <c r="Z367" s="267"/>
      <c r="AA367" s="267"/>
      <c r="AB367" s="267"/>
      <c r="AC367" s="267"/>
    </row>
    <row r="368" ht="13.5" customHeight="1">
      <c r="A368" s="267"/>
      <c r="B368" s="267"/>
      <c r="C368" s="433"/>
      <c r="D368" s="433"/>
      <c r="E368" s="433"/>
      <c r="F368" s="433"/>
      <c r="G368" s="267"/>
      <c r="H368" s="267"/>
      <c r="I368" s="267"/>
      <c r="J368" s="433"/>
      <c r="K368" s="433"/>
      <c r="L368" s="434"/>
      <c r="M368" s="267"/>
      <c r="N368" s="267"/>
      <c r="O368" s="267"/>
      <c r="P368" s="267"/>
      <c r="Q368" s="267"/>
      <c r="R368" s="267"/>
      <c r="S368" s="267"/>
      <c r="T368" s="267"/>
      <c r="U368" s="267"/>
      <c r="V368" s="267"/>
      <c r="W368" s="267"/>
      <c r="X368" s="267"/>
      <c r="Y368" s="267"/>
      <c r="Z368" s="267"/>
      <c r="AA368" s="267"/>
      <c r="AB368" s="267"/>
      <c r="AC368" s="267"/>
    </row>
    <row r="369" ht="13.5" customHeight="1">
      <c r="A369" s="267"/>
      <c r="B369" s="267"/>
      <c r="C369" s="433"/>
      <c r="D369" s="433"/>
      <c r="E369" s="433"/>
      <c r="F369" s="433"/>
      <c r="G369" s="267"/>
      <c r="H369" s="267"/>
      <c r="I369" s="267"/>
      <c r="J369" s="433"/>
      <c r="K369" s="433"/>
      <c r="L369" s="434"/>
      <c r="M369" s="267"/>
      <c r="N369" s="267"/>
      <c r="O369" s="267"/>
      <c r="P369" s="267"/>
      <c r="Q369" s="267"/>
      <c r="R369" s="267"/>
      <c r="S369" s="267"/>
      <c r="T369" s="267"/>
      <c r="U369" s="267"/>
      <c r="V369" s="267"/>
      <c r="W369" s="267"/>
      <c r="X369" s="267"/>
      <c r="Y369" s="267"/>
      <c r="Z369" s="267"/>
      <c r="AA369" s="267"/>
      <c r="AB369" s="267"/>
      <c r="AC369" s="267"/>
    </row>
    <row r="370" ht="13.5" customHeight="1">
      <c r="A370" s="267"/>
      <c r="B370" s="267"/>
      <c r="C370" s="433"/>
      <c r="D370" s="433"/>
      <c r="E370" s="433"/>
      <c r="F370" s="433"/>
      <c r="G370" s="267"/>
      <c r="H370" s="267"/>
      <c r="I370" s="267"/>
      <c r="J370" s="433"/>
      <c r="K370" s="433"/>
      <c r="L370" s="434"/>
      <c r="M370" s="267"/>
      <c r="N370" s="267"/>
      <c r="O370" s="267"/>
      <c r="P370" s="267"/>
      <c r="Q370" s="267"/>
      <c r="R370" s="267"/>
      <c r="S370" s="267"/>
      <c r="T370" s="267"/>
      <c r="U370" s="267"/>
      <c r="V370" s="267"/>
      <c r="W370" s="267"/>
      <c r="X370" s="267"/>
      <c r="Y370" s="267"/>
      <c r="Z370" s="267"/>
      <c r="AA370" s="267"/>
      <c r="AB370" s="267"/>
      <c r="AC370" s="267"/>
    </row>
    <row r="371" ht="13.5" customHeight="1">
      <c r="A371" s="267"/>
      <c r="B371" s="267"/>
      <c r="C371" s="433"/>
      <c r="D371" s="433"/>
      <c r="E371" s="433"/>
      <c r="F371" s="433"/>
      <c r="G371" s="267"/>
      <c r="H371" s="267"/>
      <c r="I371" s="267"/>
      <c r="J371" s="433"/>
      <c r="K371" s="433"/>
      <c r="L371" s="434"/>
      <c r="M371" s="267"/>
      <c r="N371" s="267"/>
      <c r="O371" s="267"/>
      <c r="P371" s="267"/>
      <c r="Q371" s="267"/>
      <c r="R371" s="267"/>
      <c r="S371" s="267"/>
      <c r="T371" s="267"/>
      <c r="U371" s="267"/>
      <c r="V371" s="267"/>
      <c r="W371" s="267"/>
      <c r="X371" s="267"/>
      <c r="Y371" s="267"/>
      <c r="Z371" s="267"/>
      <c r="AA371" s="267"/>
      <c r="AB371" s="267"/>
      <c r="AC371" s="267"/>
    </row>
    <row r="372" ht="13.5" customHeight="1">
      <c r="A372" s="267"/>
      <c r="B372" s="267"/>
      <c r="C372" s="433"/>
      <c r="D372" s="433"/>
      <c r="E372" s="433"/>
      <c r="F372" s="433"/>
      <c r="G372" s="267"/>
      <c r="H372" s="267"/>
      <c r="I372" s="267"/>
      <c r="J372" s="433"/>
      <c r="K372" s="433"/>
      <c r="L372" s="434"/>
      <c r="M372" s="267"/>
      <c r="N372" s="267"/>
      <c r="O372" s="267"/>
      <c r="P372" s="267"/>
      <c r="Q372" s="267"/>
      <c r="R372" s="267"/>
      <c r="S372" s="267"/>
      <c r="T372" s="267"/>
      <c r="U372" s="267"/>
      <c r="V372" s="267"/>
      <c r="W372" s="267"/>
      <c r="X372" s="267"/>
      <c r="Y372" s="267"/>
      <c r="Z372" s="267"/>
      <c r="AA372" s="267"/>
      <c r="AB372" s="267"/>
      <c r="AC372" s="267"/>
    </row>
    <row r="373" ht="13.5" customHeight="1">
      <c r="A373" s="267"/>
      <c r="B373" s="267"/>
      <c r="C373" s="433"/>
      <c r="D373" s="433"/>
      <c r="E373" s="433"/>
      <c r="F373" s="433"/>
      <c r="G373" s="267"/>
      <c r="H373" s="267"/>
      <c r="I373" s="267"/>
      <c r="J373" s="433"/>
      <c r="K373" s="433"/>
      <c r="L373" s="434"/>
      <c r="M373" s="267"/>
      <c r="N373" s="267"/>
      <c r="O373" s="267"/>
      <c r="P373" s="267"/>
      <c r="Q373" s="267"/>
      <c r="R373" s="267"/>
      <c r="S373" s="267"/>
      <c r="T373" s="267"/>
      <c r="U373" s="267"/>
      <c r="V373" s="267"/>
      <c r="W373" s="267"/>
      <c r="X373" s="267"/>
      <c r="Y373" s="267"/>
      <c r="Z373" s="267"/>
      <c r="AA373" s="267"/>
      <c r="AB373" s="267"/>
      <c r="AC373" s="267"/>
    </row>
    <row r="374" ht="13.5" customHeight="1">
      <c r="A374" s="267"/>
      <c r="B374" s="267"/>
      <c r="C374" s="433"/>
      <c r="D374" s="433"/>
      <c r="E374" s="433"/>
      <c r="F374" s="433"/>
      <c r="G374" s="267"/>
      <c r="H374" s="267"/>
      <c r="I374" s="267"/>
      <c r="J374" s="433"/>
      <c r="K374" s="433"/>
      <c r="L374" s="434"/>
      <c r="M374" s="267"/>
      <c r="N374" s="267"/>
      <c r="O374" s="267"/>
      <c r="P374" s="267"/>
      <c r="Q374" s="267"/>
      <c r="R374" s="267"/>
      <c r="S374" s="267"/>
      <c r="T374" s="267"/>
      <c r="U374" s="267"/>
      <c r="V374" s="267"/>
      <c r="W374" s="267"/>
      <c r="X374" s="267"/>
      <c r="Y374" s="267"/>
      <c r="Z374" s="267"/>
      <c r="AA374" s="267"/>
      <c r="AB374" s="267"/>
      <c r="AC374" s="267"/>
    </row>
    <row r="375" ht="13.5" customHeight="1">
      <c r="A375" s="267"/>
      <c r="B375" s="267"/>
      <c r="C375" s="433"/>
      <c r="D375" s="433"/>
      <c r="E375" s="433"/>
      <c r="F375" s="433"/>
      <c r="G375" s="267"/>
      <c r="H375" s="267"/>
      <c r="I375" s="267"/>
      <c r="J375" s="433"/>
      <c r="K375" s="433"/>
      <c r="L375" s="434"/>
      <c r="M375" s="267"/>
      <c r="N375" s="267"/>
      <c r="O375" s="267"/>
      <c r="P375" s="267"/>
      <c r="Q375" s="267"/>
      <c r="R375" s="267"/>
      <c r="S375" s="267"/>
      <c r="T375" s="267"/>
      <c r="U375" s="267"/>
      <c r="V375" s="267"/>
      <c r="W375" s="267"/>
      <c r="X375" s="267"/>
      <c r="Y375" s="267"/>
      <c r="Z375" s="267"/>
      <c r="AA375" s="267"/>
      <c r="AB375" s="267"/>
      <c r="AC375" s="267"/>
    </row>
    <row r="376" ht="13.5" customHeight="1">
      <c r="A376" s="267"/>
      <c r="B376" s="267"/>
      <c r="C376" s="433"/>
      <c r="D376" s="433"/>
      <c r="E376" s="433"/>
      <c r="F376" s="433"/>
      <c r="G376" s="267"/>
      <c r="H376" s="267"/>
      <c r="I376" s="267"/>
      <c r="J376" s="433"/>
      <c r="K376" s="433"/>
      <c r="L376" s="434"/>
      <c r="M376" s="267"/>
      <c r="N376" s="267"/>
      <c r="O376" s="267"/>
      <c r="P376" s="267"/>
      <c r="Q376" s="267"/>
      <c r="R376" s="267"/>
      <c r="S376" s="267"/>
      <c r="T376" s="267"/>
      <c r="U376" s="267"/>
      <c r="V376" s="267"/>
      <c r="W376" s="267"/>
      <c r="X376" s="267"/>
      <c r="Y376" s="267"/>
      <c r="Z376" s="267"/>
      <c r="AA376" s="267"/>
      <c r="AB376" s="267"/>
      <c r="AC376" s="267"/>
    </row>
    <row r="377" ht="13.5" customHeight="1">
      <c r="A377" s="267"/>
      <c r="B377" s="267"/>
      <c r="C377" s="433"/>
      <c r="D377" s="433"/>
      <c r="E377" s="433"/>
      <c r="F377" s="433"/>
      <c r="G377" s="267"/>
      <c r="H377" s="267"/>
      <c r="I377" s="267"/>
      <c r="J377" s="433"/>
      <c r="K377" s="433"/>
      <c r="L377" s="434"/>
      <c r="M377" s="267"/>
      <c r="N377" s="267"/>
      <c r="O377" s="267"/>
      <c r="P377" s="267"/>
      <c r="Q377" s="267"/>
      <c r="R377" s="267"/>
      <c r="S377" s="267"/>
      <c r="T377" s="267"/>
      <c r="U377" s="267"/>
      <c r="V377" s="267"/>
      <c r="W377" s="267"/>
      <c r="X377" s="267"/>
      <c r="Y377" s="267"/>
      <c r="Z377" s="267"/>
      <c r="AA377" s="267"/>
      <c r="AB377" s="267"/>
      <c r="AC377" s="267"/>
    </row>
    <row r="378" ht="13.5" customHeight="1">
      <c r="A378" s="267"/>
      <c r="B378" s="267"/>
      <c r="C378" s="433"/>
      <c r="D378" s="433"/>
      <c r="E378" s="433"/>
      <c r="F378" s="433"/>
      <c r="G378" s="267"/>
      <c r="H378" s="267"/>
      <c r="I378" s="267"/>
      <c r="J378" s="433"/>
      <c r="K378" s="433"/>
      <c r="L378" s="434"/>
      <c r="M378" s="267"/>
      <c r="N378" s="267"/>
      <c r="O378" s="267"/>
      <c r="P378" s="267"/>
      <c r="Q378" s="267"/>
      <c r="R378" s="267"/>
      <c r="S378" s="267"/>
      <c r="T378" s="267"/>
      <c r="U378" s="267"/>
      <c r="V378" s="267"/>
      <c r="W378" s="267"/>
      <c r="X378" s="267"/>
      <c r="Y378" s="267"/>
      <c r="Z378" s="267"/>
      <c r="AA378" s="267"/>
      <c r="AB378" s="267"/>
      <c r="AC378" s="267"/>
    </row>
    <row r="379" ht="13.5" customHeight="1">
      <c r="A379" s="267"/>
      <c r="B379" s="267"/>
      <c r="C379" s="433"/>
      <c r="D379" s="433"/>
      <c r="E379" s="433"/>
      <c r="F379" s="433"/>
      <c r="G379" s="267"/>
      <c r="H379" s="267"/>
      <c r="I379" s="267"/>
      <c r="J379" s="433"/>
      <c r="K379" s="433"/>
      <c r="L379" s="434"/>
      <c r="M379" s="267"/>
      <c r="N379" s="267"/>
      <c r="O379" s="267"/>
      <c r="P379" s="267"/>
      <c r="Q379" s="267"/>
      <c r="R379" s="267"/>
      <c r="S379" s="267"/>
      <c r="T379" s="267"/>
      <c r="U379" s="267"/>
      <c r="V379" s="267"/>
      <c r="W379" s="267"/>
      <c r="X379" s="267"/>
      <c r="Y379" s="267"/>
      <c r="Z379" s="267"/>
      <c r="AA379" s="267"/>
      <c r="AB379" s="267"/>
      <c r="AC379" s="267"/>
    </row>
    <row r="380" ht="13.5" customHeight="1">
      <c r="A380" s="267"/>
      <c r="B380" s="267"/>
      <c r="C380" s="433"/>
      <c r="D380" s="433"/>
      <c r="E380" s="433"/>
      <c r="F380" s="433"/>
      <c r="G380" s="267"/>
      <c r="H380" s="267"/>
      <c r="I380" s="267"/>
      <c r="J380" s="433"/>
      <c r="K380" s="433"/>
      <c r="L380" s="434"/>
      <c r="M380" s="267"/>
      <c r="N380" s="267"/>
      <c r="O380" s="267"/>
      <c r="P380" s="267"/>
      <c r="Q380" s="267"/>
      <c r="R380" s="267"/>
      <c r="S380" s="267"/>
      <c r="T380" s="267"/>
      <c r="U380" s="267"/>
      <c r="V380" s="267"/>
      <c r="W380" s="267"/>
      <c r="X380" s="267"/>
      <c r="Y380" s="267"/>
      <c r="Z380" s="267"/>
      <c r="AA380" s="267"/>
      <c r="AB380" s="267"/>
      <c r="AC380" s="267"/>
    </row>
    <row r="381" ht="13.5" customHeight="1">
      <c r="A381" s="267"/>
      <c r="B381" s="267"/>
      <c r="C381" s="433"/>
      <c r="D381" s="433"/>
      <c r="E381" s="433"/>
      <c r="F381" s="433"/>
      <c r="G381" s="267"/>
      <c r="H381" s="267"/>
      <c r="I381" s="267"/>
      <c r="J381" s="433"/>
      <c r="K381" s="433"/>
      <c r="L381" s="434"/>
      <c r="M381" s="267"/>
      <c r="N381" s="267"/>
      <c r="O381" s="267"/>
      <c r="P381" s="267"/>
      <c r="Q381" s="267"/>
      <c r="R381" s="267"/>
      <c r="S381" s="267"/>
      <c r="T381" s="267"/>
      <c r="U381" s="267"/>
      <c r="V381" s="267"/>
      <c r="W381" s="267"/>
      <c r="X381" s="267"/>
      <c r="Y381" s="267"/>
      <c r="Z381" s="267"/>
      <c r="AA381" s="267"/>
      <c r="AB381" s="267"/>
      <c r="AC381" s="267"/>
    </row>
    <row r="382" ht="13.5" customHeight="1">
      <c r="A382" s="267"/>
      <c r="B382" s="267"/>
      <c r="C382" s="433"/>
      <c r="D382" s="433"/>
      <c r="E382" s="433"/>
      <c r="F382" s="433"/>
      <c r="G382" s="267"/>
      <c r="H382" s="267"/>
      <c r="I382" s="267"/>
      <c r="J382" s="433"/>
      <c r="K382" s="433"/>
      <c r="L382" s="434"/>
      <c r="M382" s="267"/>
      <c r="N382" s="267"/>
      <c r="O382" s="267"/>
      <c r="P382" s="267"/>
      <c r="Q382" s="267"/>
      <c r="R382" s="267"/>
      <c r="S382" s="267"/>
      <c r="T382" s="267"/>
      <c r="U382" s="267"/>
      <c r="V382" s="267"/>
      <c r="W382" s="267"/>
      <c r="X382" s="267"/>
      <c r="Y382" s="267"/>
      <c r="Z382" s="267"/>
      <c r="AA382" s="267"/>
      <c r="AB382" s="267"/>
      <c r="AC382" s="267"/>
    </row>
    <row r="383" ht="13.5" customHeight="1">
      <c r="A383" s="267"/>
      <c r="B383" s="267"/>
      <c r="C383" s="433"/>
      <c r="D383" s="433"/>
      <c r="E383" s="433"/>
      <c r="F383" s="433"/>
      <c r="G383" s="267"/>
      <c r="H383" s="267"/>
      <c r="I383" s="267"/>
      <c r="J383" s="433"/>
      <c r="K383" s="433"/>
      <c r="L383" s="434"/>
      <c r="M383" s="267"/>
      <c r="N383" s="267"/>
      <c r="O383" s="267"/>
      <c r="P383" s="267"/>
      <c r="Q383" s="267"/>
      <c r="R383" s="267"/>
      <c r="S383" s="267"/>
      <c r="T383" s="267"/>
      <c r="U383" s="267"/>
      <c r="V383" s="267"/>
      <c r="W383" s="267"/>
      <c r="X383" s="267"/>
      <c r="Y383" s="267"/>
      <c r="Z383" s="267"/>
      <c r="AA383" s="267"/>
      <c r="AB383" s="267"/>
      <c r="AC383" s="267"/>
    </row>
    <row r="384" ht="13.5" customHeight="1">
      <c r="A384" s="267"/>
      <c r="B384" s="267"/>
      <c r="C384" s="433"/>
      <c r="D384" s="433"/>
      <c r="E384" s="433"/>
      <c r="F384" s="433"/>
      <c r="G384" s="267"/>
      <c r="H384" s="267"/>
      <c r="I384" s="267"/>
      <c r="J384" s="433"/>
      <c r="K384" s="433"/>
      <c r="L384" s="434"/>
      <c r="M384" s="267"/>
      <c r="N384" s="267"/>
      <c r="O384" s="267"/>
      <c r="P384" s="267"/>
      <c r="Q384" s="267"/>
      <c r="R384" s="267"/>
      <c r="S384" s="267"/>
      <c r="T384" s="267"/>
      <c r="U384" s="267"/>
      <c r="V384" s="267"/>
      <c r="W384" s="267"/>
      <c r="X384" s="267"/>
      <c r="Y384" s="267"/>
      <c r="Z384" s="267"/>
      <c r="AA384" s="267"/>
      <c r="AB384" s="267"/>
      <c r="AC384" s="267"/>
    </row>
    <row r="385" ht="13.5" customHeight="1">
      <c r="A385" s="267"/>
      <c r="B385" s="267"/>
      <c r="C385" s="433"/>
      <c r="D385" s="433"/>
      <c r="E385" s="433"/>
      <c r="F385" s="433"/>
      <c r="G385" s="267"/>
      <c r="H385" s="267"/>
      <c r="I385" s="267"/>
      <c r="J385" s="433"/>
      <c r="K385" s="433"/>
      <c r="L385" s="434"/>
      <c r="M385" s="267"/>
      <c r="N385" s="267"/>
      <c r="O385" s="267"/>
      <c r="P385" s="267"/>
      <c r="Q385" s="267"/>
      <c r="R385" s="267"/>
      <c r="S385" s="267"/>
      <c r="T385" s="267"/>
      <c r="U385" s="267"/>
      <c r="V385" s="267"/>
      <c r="W385" s="267"/>
      <c r="X385" s="267"/>
      <c r="Y385" s="267"/>
      <c r="Z385" s="267"/>
      <c r="AA385" s="267"/>
      <c r="AB385" s="267"/>
      <c r="AC385" s="267"/>
    </row>
    <row r="386" ht="13.5" customHeight="1">
      <c r="A386" s="267"/>
      <c r="B386" s="267"/>
      <c r="C386" s="433"/>
      <c r="D386" s="433"/>
      <c r="E386" s="433"/>
      <c r="F386" s="433"/>
      <c r="G386" s="267"/>
      <c r="H386" s="267"/>
      <c r="I386" s="267"/>
      <c r="J386" s="433"/>
      <c r="K386" s="433"/>
      <c r="L386" s="434"/>
      <c r="M386" s="267"/>
      <c r="N386" s="267"/>
      <c r="O386" s="267"/>
      <c r="P386" s="267"/>
      <c r="Q386" s="267"/>
      <c r="R386" s="267"/>
      <c r="S386" s="267"/>
      <c r="T386" s="267"/>
      <c r="U386" s="267"/>
      <c r="V386" s="267"/>
      <c r="W386" s="267"/>
      <c r="X386" s="267"/>
      <c r="Y386" s="267"/>
      <c r="Z386" s="267"/>
      <c r="AA386" s="267"/>
      <c r="AB386" s="267"/>
      <c r="AC386" s="267"/>
    </row>
    <row r="387" ht="13.5" customHeight="1">
      <c r="A387" s="267"/>
      <c r="B387" s="267"/>
      <c r="C387" s="433"/>
      <c r="D387" s="433"/>
      <c r="E387" s="433"/>
      <c r="F387" s="433"/>
      <c r="G387" s="267"/>
      <c r="H387" s="267"/>
      <c r="I387" s="267"/>
      <c r="J387" s="433"/>
      <c r="K387" s="433"/>
      <c r="L387" s="434"/>
      <c r="M387" s="267"/>
      <c r="N387" s="267"/>
      <c r="O387" s="267"/>
      <c r="P387" s="267"/>
      <c r="Q387" s="267"/>
      <c r="R387" s="267"/>
      <c r="S387" s="267"/>
      <c r="T387" s="267"/>
      <c r="U387" s="267"/>
      <c r="V387" s="267"/>
      <c r="W387" s="267"/>
      <c r="X387" s="267"/>
      <c r="Y387" s="267"/>
      <c r="Z387" s="267"/>
      <c r="AA387" s="267"/>
      <c r="AB387" s="267"/>
      <c r="AC387" s="267"/>
    </row>
    <row r="388" ht="13.5" customHeight="1">
      <c r="A388" s="267"/>
      <c r="B388" s="267"/>
      <c r="C388" s="433"/>
      <c r="D388" s="433"/>
      <c r="E388" s="433"/>
      <c r="F388" s="433"/>
      <c r="G388" s="267"/>
      <c r="H388" s="267"/>
      <c r="I388" s="267"/>
      <c r="J388" s="433"/>
      <c r="K388" s="433"/>
      <c r="L388" s="434"/>
      <c r="M388" s="267"/>
      <c r="N388" s="267"/>
      <c r="O388" s="267"/>
      <c r="P388" s="267"/>
      <c r="Q388" s="267"/>
      <c r="R388" s="267"/>
      <c r="S388" s="267"/>
      <c r="T388" s="267"/>
      <c r="U388" s="267"/>
      <c r="V388" s="267"/>
      <c r="W388" s="267"/>
      <c r="X388" s="267"/>
      <c r="Y388" s="267"/>
      <c r="Z388" s="267"/>
      <c r="AA388" s="267"/>
      <c r="AB388" s="267"/>
      <c r="AC388" s="267"/>
    </row>
    <row r="389" ht="13.5" customHeight="1">
      <c r="A389" s="267"/>
      <c r="B389" s="267"/>
      <c r="C389" s="433"/>
      <c r="D389" s="433"/>
      <c r="E389" s="433"/>
      <c r="F389" s="433"/>
      <c r="G389" s="267"/>
      <c r="H389" s="267"/>
      <c r="I389" s="267"/>
      <c r="J389" s="433"/>
      <c r="K389" s="433"/>
      <c r="L389" s="434"/>
      <c r="M389" s="267"/>
      <c r="N389" s="267"/>
      <c r="O389" s="267"/>
      <c r="P389" s="267"/>
      <c r="Q389" s="267"/>
      <c r="R389" s="267"/>
      <c r="S389" s="267"/>
      <c r="T389" s="267"/>
      <c r="U389" s="267"/>
      <c r="V389" s="267"/>
      <c r="W389" s="267"/>
      <c r="X389" s="267"/>
      <c r="Y389" s="267"/>
      <c r="Z389" s="267"/>
      <c r="AA389" s="267"/>
      <c r="AB389" s="267"/>
      <c r="AC389" s="267"/>
    </row>
    <row r="390" ht="13.5" customHeight="1">
      <c r="A390" s="267"/>
      <c r="B390" s="267"/>
      <c r="C390" s="433"/>
      <c r="D390" s="433"/>
      <c r="E390" s="433"/>
      <c r="F390" s="433"/>
      <c r="G390" s="267"/>
      <c r="H390" s="267"/>
      <c r="I390" s="267"/>
      <c r="J390" s="433"/>
      <c r="K390" s="433"/>
      <c r="L390" s="434"/>
      <c r="M390" s="267"/>
      <c r="N390" s="267"/>
      <c r="O390" s="267"/>
      <c r="P390" s="267"/>
      <c r="Q390" s="267"/>
      <c r="R390" s="267"/>
      <c r="S390" s="267"/>
      <c r="T390" s="267"/>
      <c r="U390" s="267"/>
      <c r="V390" s="267"/>
      <c r="W390" s="267"/>
      <c r="X390" s="267"/>
      <c r="Y390" s="267"/>
      <c r="Z390" s="267"/>
      <c r="AA390" s="267"/>
      <c r="AB390" s="267"/>
      <c r="AC390" s="267"/>
    </row>
    <row r="391" ht="13.5" customHeight="1">
      <c r="A391" s="267"/>
      <c r="B391" s="267"/>
      <c r="C391" s="433"/>
      <c r="D391" s="433"/>
      <c r="E391" s="433"/>
      <c r="F391" s="433"/>
      <c r="G391" s="267"/>
      <c r="H391" s="267"/>
      <c r="I391" s="267"/>
      <c r="J391" s="433"/>
      <c r="K391" s="433"/>
      <c r="L391" s="434"/>
      <c r="M391" s="267"/>
      <c r="N391" s="267"/>
      <c r="O391" s="267"/>
      <c r="P391" s="267"/>
      <c r="Q391" s="267"/>
      <c r="R391" s="267"/>
      <c r="S391" s="267"/>
      <c r="T391" s="267"/>
      <c r="U391" s="267"/>
      <c r="V391" s="267"/>
      <c r="W391" s="267"/>
      <c r="X391" s="267"/>
      <c r="Y391" s="267"/>
      <c r="Z391" s="267"/>
      <c r="AA391" s="267"/>
      <c r="AB391" s="267"/>
      <c r="AC391" s="267"/>
    </row>
    <row r="392" ht="13.5" customHeight="1">
      <c r="A392" s="267"/>
      <c r="B392" s="267"/>
      <c r="C392" s="433"/>
      <c r="D392" s="433"/>
      <c r="E392" s="433"/>
      <c r="F392" s="433"/>
      <c r="G392" s="267"/>
      <c r="H392" s="267"/>
      <c r="I392" s="267"/>
      <c r="J392" s="433"/>
      <c r="K392" s="433"/>
      <c r="L392" s="434"/>
      <c r="M392" s="267"/>
      <c r="N392" s="267"/>
      <c r="O392" s="267"/>
      <c r="P392" s="267"/>
      <c r="Q392" s="267"/>
      <c r="R392" s="267"/>
      <c r="S392" s="267"/>
      <c r="T392" s="267"/>
      <c r="U392" s="267"/>
      <c r="V392" s="267"/>
      <c r="W392" s="267"/>
      <c r="X392" s="267"/>
      <c r="Y392" s="267"/>
      <c r="Z392" s="267"/>
      <c r="AA392" s="267"/>
      <c r="AB392" s="267"/>
      <c r="AC392" s="267"/>
    </row>
    <row r="393" ht="13.5" customHeight="1">
      <c r="A393" s="267"/>
      <c r="B393" s="267"/>
      <c r="C393" s="433"/>
      <c r="D393" s="433"/>
      <c r="E393" s="433"/>
      <c r="F393" s="433"/>
      <c r="G393" s="267"/>
      <c r="H393" s="267"/>
      <c r="I393" s="267"/>
      <c r="J393" s="433"/>
      <c r="K393" s="433"/>
      <c r="L393" s="434"/>
      <c r="M393" s="267"/>
      <c r="N393" s="267"/>
      <c r="O393" s="267"/>
      <c r="P393" s="267"/>
      <c r="Q393" s="267"/>
      <c r="R393" s="267"/>
      <c r="S393" s="267"/>
      <c r="T393" s="267"/>
      <c r="U393" s="267"/>
      <c r="V393" s="267"/>
      <c r="W393" s="267"/>
      <c r="X393" s="267"/>
      <c r="Y393" s="267"/>
      <c r="Z393" s="267"/>
      <c r="AA393" s="267"/>
      <c r="AB393" s="267"/>
      <c r="AC393" s="267"/>
    </row>
    <row r="394" ht="13.5" customHeight="1">
      <c r="A394" s="267"/>
      <c r="B394" s="267"/>
      <c r="C394" s="433"/>
      <c r="D394" s="433"/>
      <c r="E394" s="433"/>
      <c r="F394" s="433"/>
      <c r="G394" s="267"/>
      <c r="H394" s="267"/>
      <c r="I394" s="267"/>
      <c r="J394" s="433"/>
      <c r="K394" s="433"/>
      <c r="L394" s="434"/>
      <c r="M394" s="267"/>
      <c r="N394" s="267"/>
      <c r="O394" s="267"/>
      <c r="P394" s="267"/>
      <c r="Q394" s="267"/>
      <c r="R394" s="267"/>
      <c r="S394" s="267"/>
      <c r="T394" s="267"/>
      <c r="U394" s="267"/>
      <c r="V394" s="267"/>
      <c r="W394" s="267"/>
      <c r="X394" s="267"/>
      <c r="Y394" s="267"/>
      <c r="Z394" s="267"/>
      <c r="AA394" s="267"/>
      <c r="AB394" s="267"/>
      <c r="AC394" s="267"/>
    </row>
    <row r="395" ht="13.5" customHeight="1">
      <c r="A395" s="267"/>
      <c r="B395" s="267"/>
      <c r="C395" s="433"/>
      <c r="D395" s="433"/>
      <c r="E395" s="433"/>
      <c r="F395" s="433"/>
      <c r="G395" s="267"/>
      <c r="H395" s="267"/>
      <c r="I395" s="267"/>
      <c r="J395" s="433"/>
      <c r="K395" s="433"/>
      <c r="L395" s="434"/>
      <c r="M395" s="267"/>
      <c r="N395" s="267"/>
      <c r="O395" s="267"/>
      <c r="P395" s="267"/>
      <c r="Q395" s="267"/>
      <c r="R395" s="267"/>
      <c r="S395" s="267"/>
      <c r="T395" s="267"/>
      <c r="U395" s="267"/>
      <c r="V395" s="267"/>
      <c r="W395" s="267"/>
      <c r="X395" s="267"/>
      <c r="Y395" s="267"/>
      <c r="Z395" s="267"/>
      <c r="AA395" s="267"/>
      <c r="AB395" s="267"/>
      <c r="AC395" s="267"/>
    </row>
    <row r="396" ht="13.5" customHeight="1">
      <c r="A396" s="267"/>
      <c r="B396" s="267"/>
      <c r="C396" s="433"/>
      <c r="D396" s="433"/>
      <c r="E396" s="433"/>
      <c r="F396" s="433"/>
      <c r="G396" s="267"/>
      <c r="H396" s="267"/>
      <c r="I396" s="267"/>
      <c r="J396" s="433"/>
      <c r="K396" s="433"/>
      <c r="L396" s="434"/>
      <c r="M396" s="267"/>
      <c r="N396" s="267"/>
      <c r="O396" s="267"/>
      <c r="P396" s="267"/>
      <c r="Q396" s="267"/>
      <c r="R396" s="267"/>
      <c r="S396" s="267"/>
      <c r="T396" s="267"/>
      <c r="U396" s="267"/>
      <c r="V396" s="267"/>
      <c r="W396" s="267"/>
      <c r="X396" s="267"/>
      <c r="Y396" s="267"/>
      <c r="Z396" s="267"/>
      <c r="AA396" s="267"/>
      <c r="AB396" s="267"/>
      <c r="AC396" s="267"/>
    </row>
    <row r="397" ht="13.5" customHeight="1">
      <c r="A397" s="267"/>
      <c r="B397" s="267"/>
      <c r="C397" s="433"/>
      <c r="D397" s="433"/>
      <c r="E397" s="433"/>
      <c r="F397" s="433"/>
      <c r="G397" s="267"/>
      <c r="H397" s="267"/>
      <c r="I397" s="267"/>
      <c r="J397" s="433"/>
      <c r="K397" s="433"/>
      <c r="L397" s="434"/>
      <c r="M397" s="267"/>
      <c r="N397" s="267"/>
      <c r="O397" s="267"/>
      <c r="P397" s="267"/>
      <c r="Q397" s="267"/>
      <c r="R397" s="267"/>
      <c r="S397" s="267"/>
      <c r="T397" s="267"/>
      <c r="U397" s="267"/>
      <c r="V397" s="267"/>
      <c r="W397" s="267"/>
      <c r="X397" s="267"/>
      <c r="Y397" s="267"/>
      <c r="Z397" s="267"/>
      <c r="AA397" s="267"/>
      <c r="AB397" s="267"/>
      <c r="AC397" s="267"/>
    </row>
    <row r="398" ht="13.5" customHeight="1">
      <c r="A398" s="267"/>
      <c r="B398" s="267"/>
      <c r="C398" s="433"/>
      <c r="D398" s="433"/>
      <c r="E398" s="433"/>
      <c r="F398" s="433"/>
      <c r="G398" s="267"/>
      <c r="H398" s="267"/>
      <c r="I398" s="267"/>
      <c r="J398" s="433"/>
      <c r="K398" s="433"/>
      <c r="L398" s="434"/>
      <c r="M398" s="267"/>
      <c r="N398" s="267"/>
      <c r="O398" s="267"/>
      <c r="P398" s="267"/>
      <c r="Q398" s="267"/>
      <c r="R398" s="267"/>
      <c r="S398" s="267"/>
      <c r="T398" s="267"/>
      <c r="U398" s="267"/>
      <c r="V398" s="267"/>
      <c r="W398" s="267"/>
      <c r="X398" s="267"/>
      <c r="Y398" s="267"/>
      <c r="Z398" s="267"/>
      <c r="AA398" s="267"/>
      <c r="AB398" s="267"/>
      <c r="AC398" s="267"/>
    </row>
    <row r="399" ht="13.5" customHeight="1">
      <c r="A399" s="267"/>
      <c r="B399" s="267"/>
      <c r="C399" s="433"/>
      <c r="D399" s="433"/>
      <c r="E399" s="433"/>
      <c r="F399" s="433"/>
      <c r="G399" s="267"/>
      <c r="H399" s="267"/>
      <c r="I399" s="267"/>
      <c r="J399" s="433"/>
      <c r="K399" s="433"/>
      <c r="L399" s="434"/>
      <c r="M399" s="267"/>
      <c r="N399" s="267"/>
      <c r="O399" s="267"/>
      <c r="P399" s="267"/>
      <c r="Q399" s="267"/>
      <c r="R399" s="267"/>
      <c r="S399" s="267"/>
      <c r="T399" s="267"/>
      <c r="U399" s="267"/>
      <c r="V399" s="267"/>
      <c r="W399" s="267"/>
      <c r="X399" s="267"/>
      <c r="Y399" s="267"/>
      <c r="Z399" s="267"/>
      <c r="AA399" s="267"/>
      <c r="AB399" s="267"/>
      <c r="AC399" s="267"/>
    </row>
    <row r="400" ht="13.5" customHeight="1">
      <c r="A400" s="267"/>
      <c r="B400" s="267"/>
      <c r="C400" s="433"/>
      <c r="D400" s="433"/>
      <c r="E400" s="433"/>
      <c r="F400" s="433"/>
      <c r="G400" s="267"/>
      <c r="H400" s="267"/>
      <c r="I400" s="267"/>
      <c r="J400" s="433"/>
      <c r="K400" s="433"/>
      <c r="L400" s="434"/>
      <c r="M400" s="267"/>
      <c r="N400" s="267"/>
      <c r="O400" s="267"/>
      <c r="P400" s="267"/>
      <c r="Q400" s="267"/>
      <c r="R400" s="267"/>
      <c r="S400" s="267"/>
      <c r="T400" s="267"/>
      <c r="U400" s="267"/>
      <c r="V400" s="267"/>
      <c r="W400" s="267"/>
      <c r="X400" s="267"/>
      <c r="Y400" s="267"/>
      <c r="Z400" s="267"/>
      <c r="AA400" s="267"/>
      <c r="AB400" s="267"/>
      <c r="AC400" s="267"/>
    </row>
    <row r="401" ht="13.5" customHeight="1">
      <c r="A401" s="267"/>
      <c r="B401" s="267"/>
      <c r="C401" s="433"/>
      <c r="D401" s="433"/>
      <c r="E401" s="433"/>
      <c r="F401" s="433"/>
      <c r="G401" s="267"/>
      <c r="H401" s="267"/>
      <c r="I401" s="267"/>
      <c r="J401" s="433"/>
      <c r="K401" s="433"/>
      <c r="L401" s="434"/>
      <c r="M401" s="267"/>
      <c r="N401" s="267"/>
      <c r="O401" s="267"/>
      <c r="P401" s="267"/>
      <c r="Q401" s="267"/>
      <c r="R401" s="267"/>
      <c r="S401" s="267"/>
      <c r="T401" s="267"/>
      <c r="U401" s="267"/>
      <c r="V401" s="267"/>
      <c r="W401" s="267"/>
      <c r="X401" s="267"/>
      <c r="Y401" s="267"/>
      <c r="Z401" s="267"/>
      <c r="AA401" s="267"/>
      <c r="AB401" s="267"/>
      <c r="AC401" s="267"/>
    </row>
    <row r="402" ht="13.5" customHeight="1">
      <c r="A402" s="267"/>
      <c r="B402" s="267"/>
      <c r="C402" s="433"/>
      <c r="D402" s="433"/>
      <c r="E402" s="433"/>
      <c r="F402" s="433"/>
      <c r="G402" s="267"/>
      <c r="H402" s="267"/>
      <c r="I402" s="267"/>
      <c r="J402" s="433"/>
      <c r="K402" s="433"/>
      <c r="L402" s="434"/>
      <c r="M402" s="267"/>
      <c r="N402" s="267"/>
      <c r="O402" s="267"/>
      <c r="P402" s="267"/>
      <c r="Q402" s="267"/>
      <c r="R402" s="267"/>
      <c r="S402" s="267"/>
      <c r="T402" s="267"/>
      <c r="U402" s="267"/>
      <c r="V402" s="267"/>
      <c r="W402" s="267"/>
      <c r="X402" s="267"/>
      <c r="Y402" s="267"/>
      <c r="Z402" s="267"/>
      <c r="AA402" s="267"/>
      <c r="AB402" s="267"/>
      <c r="AC402" s="267"/>
    </row>
    <row r="403" ht="13.5" customHeight="1">
      <c r="A403" s="267"/>
      <c r="B403" s="267"/>
      <c r="C403" s="433"/>
      <c r="D403" s="433"/>
      <c r="E403" s="433"/>
      <c r="F403" s="433"/>
      <c r="G403" s="267"/>
      <c r="H403" s="267"/>
      <c r="I403" s="267"/>
      <c r="J403" s="433"/>
      <c r="K403" s="433"/>
      <c r="L403" s="434"/>
      <c r="M403" s="267"/>
      <c r="N403" s="267"/>
      <c r="O403" s="267"/>
      <c r="P403" s="267"/>
      <c r="Q403" s="267"/>
      <c r="R403" s="267"/>
      <c r="S403" s="267"/>
      <c r="T403" s="267"/>
      <c r="U403" s="267"/>
      <c r="V403" s="267"/>
      <c r="W403" s="267"/>
      <c r="X403" s="267"/>
      <c r="Y403" s="267"/>
      <c r="Z403" s="267"/>
      <c r="AA403" s="267"/>
      <c r="AB403" s="267"/>
      <c r="AC403" s="267"/>
    </row>
    <row r="404" ht="13.5" customHeight="1">
      <c r="A404" s="267"/>
      <c r="B404" s="267"/>
      <c r="C404" s="433"/>
      <c r="D404" s="433"/>
      <c r="E404" s="433"/>
      <c r="F404" s="433"/>
      <c r="G404" s="267"/>
      <c r="H404" s="267"/>
      <c r="I404" s="267"/>
      <c r="J404" s="433"/>
      <c r="K404" s="433"/>
      <c r="L404" s="434"/>
      <c r="M404" s="267"/>
      <c r="N404" s="267"/>
      <c r="O404" s="267"/>
      <c r="P404" s="267"/>
      <c r="Q404" s="267"/>
      <c r="R404" s="267"/>
      <c r="S404" s="267"/>
      <c r="T404" s="267"/>
      <c r="U404" s="267"/>
      <c r="V404" s="267"/>
      <c r="W404" s="267"/>
      <c r="X404" s="267"/>
      <c r="Y404" s="267"/>
      <c r="Z404" s="267"/>
      <c r="AA404" s="267"/>
      <c r="AB404" s="267"/>
      <c r="AC404" s="267"/>
    </row>
    <row r="405" ht="13.5" customHeight="1">
      <c r="A405" s="267"/>
      <c r="B405" s="267"/>
      <c r="C405" s="433"/>
      <c r="D405" s="433"/>
      <c r="E405" s="433"/>
      <c r="F405" s="433"/>
      <c r="G405" s="267"/>
      <c r="H405" s="267"/>
      <c r="I405" s="267"/>
      <c r="J405" s="433"/>
      <c r="K405" s="433"/>
      <c r="L405" s="434"/>
      <c r="M405" s="267"/>
      <c r="N405" s="267"/>
      <c r="O405" s="267"/>
      <c r="P405" s="267"/>
      <c r="Q405" s="267"/>
      <c r="R405" s="267"/>
      <c r="S405" s="267"/>
      <c r="T405" s="267"/>
      <c r="U405" s="267"/>
      <c r="V405" s="267"/>
      <c r="W405" s="267"/>
      <c r="X405" s="267"/>
      <c r="Y405" s="267"/>
      <c r="Z405" s="267"/>
      <c r="AA405" s="267"/>
      <c r="AB405" s="267"/>
      <c r="AC405" s="267"/>
    </row>
    <row r="406" ht="13.5" customHeight="1">
      <c r="A406" s="267"/>
      <c r="B406" s="267"/>
      <c r="C406" s="433"/>
      <c r="D406" s="433"/>
      <c r="E406" s="433"/>
      <c r="F406" s="433"/>
      <c r="G406" s="267"/>
      <c r="H406" s="267"/>
      <c r="I406" s="267"/>
      <c r="J406" s="433"/>
      <c r="K406" s="433"/>
      <c r="L406" s="434"/>
      <c r="M406" s="267"/>
      <c r="N406" s="267"/>
      <c r="O406" s="267"/>
      <c r="P406" s="267"/>
      <c r="Q406" s="267"/>
      <c r="R406" s="267"/>
      <c r="S406" s="267"/>
      <c r="T406" s="267"/>
      <c r="U406" s="267"/>
      <c r="V406" s="267"/>
      <c r="W406" s="267"/>
      <c r="X406" s="267"/>
      <c r="Y406" s="267"/>
      <c r="Z406" s="267"/>
      <c r="AA406" s="267"/>
      <c r="AB406" s="267"/>
      <c r="AC406" s="267"/>
    </row>
    <row r="407" ht="13.5" customHeight="1">
      <c r="A407" s="267"/>
      <c r="B407" s="267"/>
      <c r="C407" s="433"/>
      <c r="D407" s="433"/>
      <c r="E407" s="433"/>
      <c r="F407" s="433"/>
      <c r="G407" s="267"/>
      <c r="H407" s="267"/>
      <c r="I407" s="267"/>
      <c r="J407" s="433"/>
      <c r="K407" s="433"/>
      <c r="L407" s="434"/>
      <c r="M407" s="267"/>
      <c r="N407" s="267"/>
      <c r="O407" s="267"/>
      <c r="P407" s="267"/>
      <c r="Q407" s="267"/>
      <c r="R407" s="267"/>
      <c r="S407" s="267"/>
      <c r="T407" s="267"/>
      <c r="U407" s="267"/>
      <c r="V407" s="267"/>
      <c r="W407" s="267"/>
      <c r="X407" s="267"/>
      <c r="Y407" s="267"/>
      <c r="Z407" s="267"/>
      <c r="AA407" s="267"/>
      <c r="AB407" s="267"/>
      <c r="AC407" s="267"/>
    </row>
    <row r="408" ht="13.5" customHeight="1">
      <c r="A408" s="267"/>
      <c r="B408" s="267"/>
      <c r="C408" s="433"/>
      <c r="D408" s="433"/>
      <c r="E408" s="433"/>
      <c r="F408" s="433"/>
      <c r="G408" s="267"/>
      <c r="H408" s="267"/>
      <c r="I408" s="267"/>
      <c r="J408" s="433"/>
      <c r="K408" s="433"/>
      <c r="L408" s="434"/>
      <c r="M408" s="267"/>
      <c r="N408" s="267"/>
      <c r="O408" s="267"/>
      <c r="P408" s="267"/>
      <c r="Q408" s="267"/>
      <c r="R408" s="267"/>
      <c r="S408" s="267"/>
      <c r="T408" s="267"/>
      <c r="U408" s="267"/>
      <c r="V408" s="267"/>
      <c r="W408" s="267"/>
      <c r="X408" s="267"/>
      <c r="Y408" s="267"/>
      <c r="Z408" s="267"/>
      <c r="AA408" s="267"/>
      <c r="AB408" s="267"/>
      <c r="AC408" s="267"/>
    </row>
    <row r="409" ht="13.5" customHeight="1">
      <c r="A409" s="267"/>
      <c r="B409" s="267"/>
      <c r="C409" s="433"/>
      <c r="D409" s="433"/>
      <c r="E409" s="433"/>
      <c r="F409" s="433"/>
      <c r="G409" s="267"/>
      <c r="H409" s="267"/>
      <c r="I409" s="267"/>
      <c r="J409" s="433"/>
      <c r="K409" s="433"/>
      <c r="L409" s="434"/>
      <c r="M409" s="267"/>
      <c r="N409" s="267"/>
      <c r="O409" s="267"/>
      <c r="P409" s="267"/>
      <c r="Q409" s="267"/>
      <c r="R409" s="267"/>
      <c r="S409" s="267"/>
      <c r="T409" s="267"/>
      <c r="U409" s="267"/>
      <c r="V409" s="267"/>
      <c r="W409" s="267"/>
      <c r="X409" s="267"/>
      <c r="Y409" s="267"/>
      <c r="Z409" s="267"/>
      <c r="AA409" s="267"/>
      <c r="AB409" s="267"/>
      <c r="AC409" s="267"/>
    </row>
    <row r="410" ht="13.5" customHeight="1">
      <c r="A410" s="267"/>
      <c r="B410" s="267"/>
      <c r="C410" s="433"/>
      <c r="D410" s="433"/>
      <c r="E410" s="433"/>
      <c r="F410" s="433"/>
      <c r="G410" s="267"/>
      <c r="H410" s="267"/>
      <c r="I410" s="267"/>
      <c r="J410" s="433"/>
      <c r="K410" s="433"/>
      <c r="L410" s="434"/>
      <c r="M410" s="267"/>
      <c r="N410" s="267"/>
      <c r="O410" s="267"/>
      <c r="P410" s="267"/>
      <c r="Q410" s="267"/>
      <c r="R410" s="267"/>
      <c r="S410" s="267"/>
      <c r="T410" s="267"/>
      <c r="U410" s="267"/>
      <c r="V410" s="267"/>
      <c r="W410" s="267"/>
      <c r="X410" s="267"/>
      <c r="Y410" s="267"/>
      <c r="Z410" s="267"/>
      <c r="AA410" s="267"/>
      <c r="AB410" s="267"/>
      <c r="AC410" s="267"/>
    </row>
    <row r="411" ht="13.5" customHeight="1">
      <c r="A411" s="267"/>
      <c r="B411" s="267"/>
      <c r="C411" s="433"/>
      <c r="D411" s="433"/>
      <c r="E411" s="433"/>
      <c r="F411" s="433"/>
      <c r="G411" s="267"/>
      <c r="H411" s="267"/>
      <c r="I411" s="267"/>
      <c r="J411" s="433"/>
      <c r="K411" s="433"/>
      <c r="L411" s="434"/>
      <c r="M411" s="267"/>
      <c r="N411" s="267"/>
      <c r="O411" s="267"/>
      <c r="P411" s="267"/>
      <c r="Q411" s="267"/>
      <c r="R411" s="267"/>
      <c r="S411" s="267"/>
      <c r="T411" s="267"/>
      <c r="U411" s="267"/>
      <c r="V411" s="267"/>
      <c r="W411" s="267"/>
      <c r="X411" s="267"/>
      <c r="Y411" s="267"/>
      <c r="Z411" s="267"/>
      <c r="AA411" s="267"/>
      <c r="AB411" s="267"/>
      <c r="AC411" s="267"/>
    </row>
    <row r="412" ht="13.5" customHeight="1">
      <c r="A412" s="267"/>
      <c r="B412" s="267"/>
      <c r="C412" s="433"/>
      <c r="D412" s="433"/>
      <c r="E412" s="433"/>
      <c r="F412" s="433"/>
      <c r="G412" s="267"/>
      <c r="H412" s="267"/>
      <c r="I412" s="267"/>
      <c r="J412" s="433"/>
      <c r="K412" s="433"/>
      <c r="L412" s="434"/>
      <c r="M412" s="267"/>
      <c r="N412" s="267"/>
      <c r="O412" s="267"/>
      <c r="P412" s="267"/>
      <c r="Q412" s="267"/>
      <c r="R412" s="267"/>
      <c r="S412" s="267"/>
      <c r="T412" s="267"/>
      <c r="U412" s="267"/>
      <c r="V412" s="267"/>
      <c r="W412" s="267"/>
      <c r="X412" s="267"/>
      <c r="Y412" s="267"/>
      <c r="Z412" s="267"/>
      <c r="AA412" s="267"/>
      <c r="AB412" s="267"/>
      <c r="AC412" s="267"/>
    </row>
    <row r="413" ht="13.5" customHeight="1">
      <c r="A413" s="267"/>
      <c r="B413" s="267"/>
      <c r="C413" s="433"/>
      <c r="D413" s="433"/>
      <c r="E413" s="433"/>
      <c r="F413" s="433"/>
      <c r="G413" s="267"/>
      <c r="H413" s="267"/>
      <c r="I413" s="267"/>
      <c r="J413" s="433"/>
      <c r="K413" s="433"/>
      <c r="L413" s="434"/>
      <c r="M413" s="267"/>
      <c r="N413" s="267"/>
      <c r="O413" s="267"/>
      <c r="P413" s="267"/>
      <c r="Q413" s="267"/>
      <c r="R413" s="267"/>
      <c r="S413" s="267"/>
      <c r="T413" s="267"/>
      <c r="U413" s="267"/>
      <c r="V413" s="267"/>
      <c r="W413" s="267"/>
      <c r="X413" s="267"/>
      <c r="Y413" s="267"/>
      <c r="Z413" s="267"/>
      <c r="AA413" s="267"/>
      <c r="AB413" s="267"/>
      <c r="AC413" s="267"/>
    </row>
    <row r="414" ht="13.5" customHeight="1">
      <c r="A414" s="267"/>
      <c r="B414" s="267"/>
      <c r="C414" s="433"/>
      <c r="D414" s="433"/>
      <c r="E414" s="433"/>
      <c r="F414" s="433"/>
      <c r="G414" s="267"/>
      <c r="H414" s="267"/>
      <c r="I414" s="267"/>
      <c r="J414" s="433"/>
      <c r="K414" s="433"/>
      <c r="L414" s="434"/>
      <c r="M414" s="267"/>
      <c r="N414" s="267"/>
      <c r="O414" s="267"/>
      <c r="P414" s="267"/>
      <c r="Q414" s="267"/>
      <c r="R414" s="267"/>
      <c r="S414" s="267"/>
      <c r="T414" s="267"/>
      <c r="U414" s="267"/>
      <c r="V414" s="267"/>
      <c r="W414" s="267"/>
      <c r="X414" s="267"/>
      <c r="Y414" s="267"/>
      <c r="Z414" s="267"/>
      <c r="AA414" s="267"/>
      <c r="AB414" s="267"/>
      <c r="AC414" s="267"/>
    </row>
    <row r="415" ht="13.5" customHeight="1">
      <c r="A415" s="267"/>
      <c r="B415" s="267"/>
      <c r="C415" s="433"/>
      <c r="D415" s="433"/>
      <c r="E415" s="433"/>
      <c r="F415" s="433"/>
      <c r="G415" s="267"/>
      <c r="H415" s="267"/>
      <c r="I415" s="267"/>
      <c r="J415" s="433"/>
      <c r="K415" s="433"/>
      <c r="L415" s="434"/>
      <c r="M415" s="267"/>
      <c r="N415" s="267"/>
      <c r="O415" s="267"/>
      <c r="P415" s="267"/>
      <c r="Q415" s="267"/>
      <c r="R415" s="267"/>
      <c r="S415" s="267"/>
      <c r="T415" s="267"/>
      <c r="U415" s="267"/>
      <c r="V415" s="267"/>
      <c r="W415" s="267"/>
      <c r="X415" s="267"/>
      <c r="Y415" s="267"/>
      <c r="Z415" s="267"/>
      <c r="AA415" s="267"/>
      <c r="AB415" s="267"/>
      <c r="AC415" s="267"/>
    </row>
    <row r="416" ht="13.5" customHeight="1">
      <c r="A416" s="267"/>
      <c r="B416" s="267"/>
      <c r="C416" s="433"/>
      <c r="D416" s="433"/>
      <c r="E416" s="433"/>
      <c r="F416" s="433"/>
      <c r="G416" s="267"/>
      <c r="H416" s="267"/>
      <c r="I416" s="267"/>
      <c r="J416" s="433"/>
      <c r="K416" s="433"/>
      <c r="L416" s="434"/>
      <c r="M416" s="267"/>
      <c r="N416" s="267"/>
      <c r="O416" s="267"/>
      <c r="P416" s="267"/>
      <c r="Q416" s="267"/>
      <c r="R416" s="267"/>
      <c r="S416" s="267"/>
      <c r="T416" s="267"/>
      <c r="U416" s="267"/>
      <c r="V416" s="267"/>
      <c r="W416" s="267"/>
      <c r="X416" s="267"/>
      <c r="Y416" s="267"/>
      <c r="Z416" s="267"/>
      <c r="AA416" s="267"/>
      <c r="AB416" s="267"/>
      <c r="AC416" s="267"/>
    </row>
    <row r="417" ht="13.5" customHeight="1">
      <c r="A417" s="267"/>
      <c r="B417" s="267"/>
      <c r="C417" s="433"/>
      <c r="D417" s="433"/>
      <c r="E417" s="433"/>
      <c r="F417" s="433"/>
      <c r="G417" s="267"/>
      <c r="H417" s="267"/>
      <c r="I417" s="267"/>
      <c r="J417" s="433"/>
      <c r="K417" s="433"/>
      <c r="L417" s="434"/>
      <c r="M417" s="267"/>
      <c r="N417" s="267"/>
      <c r="O417" s="267"/>
      <c r="P417" s="267"/>
      <c r="Q417" s="267"/>
      <c r="R417" s="267"/>
      <c r="S417" s="267"/>
      <c r="T417" s="267"/>
      <c r="U417" s="267"/>
      <c r="V417" s="267"/>
      <c r="W417" s="267"/>
      <c r="X417" s="267"/>
      <c r="Y417" s="267"/>
      <c r="Z417" s="267"/>
      <c r="AA417" s="267"/>
      <c r="AB417" s="267"/>
      <c r="AC417" s="267"/>
    </row>
    <row r="418" ht="13.5" customHeight="1">
      <c r="A418" s="267"/>
      <c r="B418" s="267"/>
      <c r="C418" s="433"/>
      <c r="D418" s="433"/>
      <c r="E418" s="433"/>
      <c r="F418" s="433"/>
      <c r="G418" s="267"/>
      <c r="H418" s="267"/>
      <c r="I418" s="267"/>
      <c r="J418" s="433"/>
      <c r="K418" s="433"/>
      <c r="L418" s="434"/>
      <c r="M418" s="267"/>
      <c r="N418" s="267"/>
      <c r="O418" s="267"/>
      <c r="P418" s="267"/>
      <c r="Q418" s="267"/>
      <c r="R418" s="267"/>
      <c r="S418" s="267"/>
      <c r="T418" s="267"/>
      <c r="U418" s="267"/>
      <c r="V418" s="267"/>
      <c r="W418" s="267"/>
      <c r="X418" s="267"/>
      <c r="Y418" s="267"/>
      <c r="Z418" s="267"/>
      <c r="AA418" s="267"/>
      <c r="AB418" s="267"/>
      <c r="AC418" s="267"/>
    </row>
    <row r="419" ht="13.5" customHeight="1">
      <c r="A419" s="267"/>
      <c r="B419" s="267"/>
      <c r="C419" s="433"/>
      <c r="D419" s="433"/>
      <c r="E419" s="433"/>
      <c r="F419" s="433"/>
      <c r="G419" s="267"/>
      <c r="H419" s="267"/>
      <c r="I419" s="267"/>
      <c r="J419" s="433"/>
      <c r="K419" s="433"/>
      <c r="L419" s="434"/>
      <c r="M419" s="267"/>
      <c r="N419" s="267"/>
      <c r="O419" s="267"/>
      <c r="P419" s="267"/>
      <c r="Q419" s="267"/>
      <c r="R419" s="267"/>
      <c r="S419" s="267"/>
      <c r="T419" s="267"/>
      <c r="U419" s="267"/>
      <c r="V419" s="267"/>
      <c r="W419" s="267"/>
      <c r="X419" s="267"/>
      <c r="Y419" s="267"/>
      <c r="Z419" s="267"/>
      <c r="AA419" s="267"/>
      <c r="AB419" s="267"/>
      <c r="AC419" s="267"/>
    </row>
    <row r="420" ht="13.5" customHeight="1">
      <c r="A420" s="267"/>
      <c r="B420" s="267"/>
      <c r="C420" s="433"/>
      <c r="D420" s="433"/>
      <c r="E420" s="433"/>
      <c r="F420" s="433"/>
      <c r="G420" s="267"/>
      <c r="H420" s="267"/>
      <c r="I420" s="267"/>
      <c r="J420" s="433"/>
      <c r="K420" s="433"/>
      <c r="L420" s="434"/>
      <c r="M420" s="267"/>
      <c r="N420" s="267"/>
      <c r="O420" s="267"/>
      <c r="P420" s="267"/>
      <c r="Q420" s="267"/>
      <c r="R420" s="267"/>
      <c r="S420" s="267"/>
      <c r="T420" s="267"/>
      <c r="U420" s="267"/>
      <c r="V420" s="267"/>
      <c r="W420" s="267"/>
      <c r="X420" s="267"/>
      <c r="Y420" s="267"/>
      <c r="Z420" s="267"/>
      <c r="AA420" s="267"/>
      <c r="AB420" s="267"/>
      <c r="AC420" s="267"/>
    </row>
    <row r="421" ht="13.5" customHeight="1">
      <c r="A421" s="267"/>
      <c r="B421" s="267"/>
      <c r="C421" s="433"/>
      <c r="D421" s="433"/>
      <c r="E421" s="433"/>
      <c r="F421" s="433"/>
      <c r="G421" s="267"/>
      <c r="H421" s="267"/>
      <c r="I421" s="267"/>
      <c r="J421" s="433"/>
      <c r="K421" s="433"/>
      <c r="L421" s="434"/>
      <c r="M421" s="267"/>
      <c r="N421" s="267"/>
      <c r="O421" s="267"/>
      <c r="P421" s="267"/>
      <c r="Q421" s="267"/>
      <c r="R421" s="267"/>
      <c r="S421" s="267"/>
      <c r="T421" s="267"/>
      <c r="U421" s="267"/>
      <c r="V421" s="267"/>
      <c r="W421" s="267"/>
      <c r="X421" s="267"/>
      <c r="Y421" s="267"/>
      <c r="Z421" s="267"/>
      <c r="AA421" s="267"/>
      <c r="AB421" s="267"/>
      <c r="AC421" s="267"/>
    </row>
    <row r="422" ht="13.5" customHeight="1">
      <c r="A422" s="267"/>
      <c r="B422" s="267"/>
      <c r="C422" s="433"/>
      <c r="D422" s="433"/>
      <c r="E422" s="433"/>
      <c r="F422" s="433"/>
      <c r="G422" s="267"/>
      <c r="H422" s="267"/>
      <c r="I422" s="267"/>
      <c r="J422" s="433"/>
      <c r="K422" s="433"/>
      <c r="L422" s="434"/>
      <c r="M422" s="267"/>
      <c r="N422" s="267"/>
      <c r="O422" s="267"/>
      <c r="P422" s="267"/>
      <c r="Q422" s="267"/>
      <c r="R422" s="267"/>
      <c r="S422" s="267"/>
      <c r="T422" s="267"/>
      <c r="U422" s="267"/>
      <c r="V422" s="267"/>
      <c r="W422" s="267"/>
      <c r="X422" s="267"/>
      <c r="Y422" s="267"/>
      <c r="Z422" s="267"/>
      <c r="AA422" s="267"/>
      <c r="AB422" s="267"/>
      <c r="AC422" s="267"/>
    </row>
    <row r="423" ht="13.5" customHeight="1">
      <c r="A423" s="267"/>
      <c r="B423" s="267"/>
      <c r="C423" s="433"/>
      <c r="D423" s="433"/>
      <c r="E423" s="433"/>
      <c r="F423" s="433"/>
      <c r="G423" s="267"/>
      <c r="H423" s="267"/>
      <c r="I423" s="267"/>
      <c r="J423" s="433"/>
      <c r="K423" s="433"/>
      <c r="L423" s="434"/>
      <c r="M423" s="267"/>
      <c r="N423" s="267"/>
      <c r="O423" s="267"/>
      <c r="P423" s="267"/>
      <c r="Q423" s="267"/>
      <c r="R423" s="267"/>
      <c r="S423" s="267"/>
      <c r="T423" s="267"/>
      <c r="U423" s="267"/>
      <c r="V423" s="267"/>
      <c r="W423" s="267"/>
      <c r="X423" s="267"/>
      <c r="Y423" s="267"/>
      <c r="Z423" s="267"/>
      <c r="AA423" s="267"/>
      <c r="AB423" s="267"/>
      <c r="AC423" s="267"/>
    </row>
    <row r="424" ht="13.5" customHeight="1">
      <c r="A424" s="267"/>
      <c r="B424" s="267"/>
      <c r="C424" s="433"/>
      <c r="D424" s="433"/>
      <c r="E424" s="433"/>
      <c r="F424" s="433"/>
      <c r="G424" s="267"/>
      <c r="H424" s="267"/>
      <c r="I424" s="267"/>
      <c r="J424" s="433"/>
      <c r="K424" s="433"/>
      <c r="L424" s="434"/>
      <c r="M424" s="267"/>
      <c r="N424" s="267"/>
      <c r="O424" s="267"/>
      <c r="P424" s="267"/>
      <c r="Q424" s="267"/>
      <c r="R424" s="267"/>
      <c r="S424" s="267"/>
      <c r="T424" s="267"/>
      <c r="U424" s="267"/>
      <c r="V424" s="267"/>
      <c r="W424" s="267"/>
      <c r="X424" s="267"/>
      <c r="Y424" s="267"/>
      <c r="Z424" s="267"/>
      <c r="AA424" s="267"/>
      <c r="AB424" s="267"/>
      <c r="AC424" s="267"/>
    </row>
    <row r="425" ht="13.5" customHeight="1">
      <c r="A425" s="267"/>
      <c r="B425" s="267"/>
      <c r="C425" s="433"/>
      <c r="D425" s="433"/>
      <c r="E425" s="433"/>
      <c r="F425" s="433"/>
      <c r="G425" s="267"/>
      <c r="H425" s="267"/>
      <c r="I425" s="267"/>
      <c r="J425" s="433"/>
      <c r="K425" s="433"/>
      <c r="L425" s="434"/>
      <c r="M425" s="267"/>
      <c r="N425" s="267"/>
      <c r="O425" s="267"/>
      <c r="P425" s="267"/>
      <c r="Q425" s="267"/>
      <c r="R425" s="267"/>
      <c r="S425" s="267"/>
      <c r="T425" s="267"/>
      <c r="U425" s="267"/>
      <c r="V425" s="267"/>
      <c r="W425" s="267"/>
      <c r="X425" s="267"/>
      <c r="Y425" s="267"/>
      <c r="Z425" s="267"/>
      <c r="AA425" s="267"/>
      <c r="AB425" s="267"/>
      <c r="AC425" s="267"/>
    </row>
    <row r="426" ht="13.5" customHeight="1">
      <c r="A426" s="267"/>
      <c r="B426" s="267"/>
      <c r="C426" s="433"/>
      <c r="D426" s="433"/>
      <c r="E426" s="433"/>
      <c r="F426" s="433"/>
      <c r="G426" s="267"/>
      <c r="H426" s="267"/>
      <c r="I426" s="267"/>
      <c r="J426" s="433"/>
      <c r="K426" s="433"/>
      <c r="L426" s="434"/>
      <c r="M426" s="267"/>
      <c r="N426" s="267"/>
      <c r="O426" s="267"/>
      <c r="P426" s="267"/>
      <c r="Q426" s="267"/>
      <c r="R426" s="267"/>
      <c r="S426" s="267"/>
      <c r="T426" s="267"/>
      <c r="U426" s="267"/>
      <c r="V426" s="267"/>
      <c r="W426" s="267"/>
      <c r="X426" s="267"/>
      <c r="Y426" s="267"/>
      <c r="Z426" s="267"/>
      <c r="AA426" s="267"/>
      <c r="AB426" s="267"/>
      <c r="AC426" s="267"/>
    </row>
    <row r="427" ht="13.5" customHeight="1">
      <c r="A427" s="267"/>
      <c r="B427" s="267"/>
      <c r="C427" s="433"/>
      <c r="D427" s="433"/>
      <c r="E427" s="433"/>
      <c r="F427" s="433"/>
      <c r="G427" s="267"/>
      <c r="H427" s="267"/>
      <c r="I427" s="267"/>
      <c r="J427" s="433"/>
      <c r="K427" s="433"/>
      <c r="L427" s="434"/>
      <c r="M427" s="267"/>
      <c r="N427" s="267"/>
      <c r="O427" s="267"/>
      <c r="P427" s="267"/>
      <c r="Q427" s="267"/>
      <c r="R427" s="267"/>
      <c r="S427" s="267"/>
      <c r="T427" s="267"/>
      <c r="U427" s="267"/>
      <c r="V427" s="267"/>
      <c r="W427" s="267"/>
      <c r="X427" s="267"/>
      <c r="Y427" s="267"/>
      <c r="Z427" s="267"/>
      <c r="AA427" s="267"/>
      <c r="AB427" s="267"/>
      <c r="AC427" s="267"/>
    </row>
    <row r="428" ht="13.5" customHeight="1">
      <c r="A428" s="267"/>
      <c r="B428" s="267"/>
      <c r="C428" s="433"/>
      <c r="D428" s="433"/>
      <c r="E428" s="433"/>
      <c r="F428" s="433"/>
      <c r="G428" s="267"/>
      <c r="H428" s="267"/>
      <c r="I428" s="267"/>
      <c r="J428" s="433"/>
      <c r="K428" s="433"/>
      <c r="L428" s="434"/>
      <c r="M428" s="267"/>
      <c r="N428" s="267"/>
      <c r="O428" s="267"/>
      <c r="P428" s="267"/>
      <c r="Q428" s="267"/>
      <c r="R428" s="267"/>
      <c r="S428" s="267"/>
      <c r="T428" s="267"/>
      <c r="U428" s="267"/>
      <c r="V428" s="267"/>
      <c r="W428" s="267"/>
      <c r="X428" s="267"/>
      <c r="Y428" s="267"/>
      <c r="Z428" s="267"/>
      <c r="AA428" s="267"/>
      <c r="AB428" s="267"/>
      <c r="AC428" s="267"/>
    </row>
    <row r="429" ht="13.5" customHeight="1">
      <c r="A429" s="267"/>
      <c r="B429" s="267"/>
      <c r="C429" s="433"/>
      <c r="D429" s="433"/>
      <c r="E429" s="433"/>
      <c r="F429" s="433"/>
      <c r="G429" s="267"/>
      <c r="H429" s="267"/>
      <c r="I429" s="267"/>
      <c r="J429" s="433"/>
      <c r="K429" s="433"/>
      <c r="L429" s="434"/>
      <c r="M429" s="267"/>
      <c r="N429" s="267"/>
      <c r="O429" s="267"/>
      <c r="P429" s="267"/>
      <c r="Q429" s="267"/>
      <c r="R429" s="267"/>
      <c r="S429" s="267"/>
      <c r="T429" s="267"/>
      <c r="U429" s="267"/>
      <c r="V429" s="267"/>
      <c r="W429" s="267"/>
      <c r="X429" s="267"/>
      <c r="Y429" s="267"/>
      <c r="Z429" s="267"/>
      <c r="AA429" s="267"/>
      <c r="AB429" s="267"/>
      <c r="AC429" s="267"/>
    </row>
    <row r="430" ht="13.5" customHeight="1">
      <c r="A430" s="267"/>
      <c r="B430" s="267"/>
      <c r="C430" s="433"/>
      <c r="D430" s="433"/>
      <c r="E430" s="433"/>
      <c r="F430" s="433"/>
      <c r="G430" s="267"/>
      <c r="H430" s="267"/>
      <c r="I430" s="267"/>
      <c r="J430" s="433"/>
      <c r="K430" s="433"/>
      <c r="L430" s="434"/>
      <c r="M430" s="267"/>
      <c r="N430" s="267"/>
      <c r="O430" s="267"/>
      <c r="P430" s="267"/>
      <c r="Q430" s="267"/>
      <c r="R430" s="267"/>
      <c r="S430" s="267"/>
      <c r="T430" s="267"/>
      <c r="U430" s="267"/>
      <c r="V430" s="267"/>
      <c r="W430" s="267"/>
      <c r="X430" s="267"/>
      <c r="Y430" s="267"/>
      <c r="Z430" s="267"/>
      <c r="AA430" s="267"/>
      <c r="AB430" s="267"/>
      <c r="AC430" s="267"/>
    </row>
    <row r="431" ht="13.5" customHeight="1">
      <c r="A431" s="267"/>
      <c r="B431" s="267"/>
      <c r="C431" s="433"/>
      <c r="D431" s="433"/>
      <c r="E431" s="433"/>
      <c r="F431" s="433"/>
      <c r="G431" s="267"/>
      <c r="H431" s="267"/>
      <c r="I431" s="267"/>
      <c r="J431" s="433"/>
      <c r="K431" s="433"/>
      <c r="L431" s="434"/>
      <c r="M431" s="267"/>
      <c r="N431" s="267"/>
      <c r="O431" s="267"/>
      <c r="P431" s="267"/>
      <c r="Q431" s="267"/>
      <c r="R431" s="267"/>
      <c r="S431" s="267"/>
      <c r="T431" s="267"/>
      <c r="U431" s="267"/>
      <c r="V431" s="267"/>
      <c r="W431" s="267"/>
      <c r="X431" s="267"/>
      <c r="Y431" s="267"/>
      <c r="Z431" s="267"/>
      <c r="AA431" s="267"/>
      <c r="AB431" s="267"/>
      <c r="AC431" s="267"/>
    </row>
    <row r="432" ht="13.5" customHeight="1">
      <c r="A432" s="267"/>
      <c r="B432" s="267"/>
      <c r="C432" s="433"/>
      <c r="D432" s="433"/>
      <c r="E432" s="433"/>
      <c r="F432" s="433"/>
      <c r="G432" s="267"/>
      <c r="H432" s="267"/>
      <c r="I432" s="267"/>
      <c r="J432" s="433"/>
      <c r="K432" s="433"/>
      <c r="L432" s="434"/>
      <c r="M432" s="267"/>
      <c r="N432" s="267"/>
      <c r="O432" s="267"/>
      <c r="P432" s="267"/>
      <c r="Q432" s="267"/>
      <c r="R432" s="267"/>
      <c r="S432" s="267"/>
      <c r="T432" s="267"/>
      <c r="U432" s="267"/>
      <c r="V432" s="267"/>
      <c r="W432" s="267"/>
      <c r="X432" s="267"/>
      <c r="Y432" s="267"/>
      <c r="Z432" s="267"/>
      <c r="AA432" s="267"/>
      <c r="AB432" s="267"/>
      <c r="AC432" s="267"/>
    </row>
    <row r="433" ht="13.5" customHeight="1">
      <c r="A433" s="267"/>
      <c r="B433" s="267"/>
      <c r="C433" s="433"/>
      <c r="D433" s="433"/>
      <c r="E433" s="433"/>
      <c r="F433" s="433"/>
      <c r="G433" s="267"/>
      <c r="H433" s="267"/>
      <c r="I433" s="267"/>
      <c r="J433" s="433"/>
      <c r="K433" s="433"/>
      <c r="L433" s="434"/>
      <c r="M433" s="267"/>
      <c r="N433" s="267"/>
      <c r="O433" s="267"/>
      <c r="P433" s="267"/>
      <c r="Q433" s="267"/>
      <c r="R433" s="267"/>
      <c r="S433" s="267"/>
      <c r="T433" s="267"/>
      <c r="U433" s="267"/>
      <c r="V433" s="267"/>
      <c r="W433" s="267"/>
      <c r="X433" s="267"/>
      <c r="Y433" s="267"/>
      <c r="Z433" s="267"/>
      <c r="AA433" s="267"/>
      <c r="AB433" s="267"/>
      <c r="AC433" s="267"/>
    </row>
    <row r="434" ht="13.5" customHeight="1">
      <c r="A434" s="267"/>
      <c r="B434" s="267"/>
      <c r="C434" s="433"/>
      <c r="D434" s="433"/>
      <c r="E434" s="433"/>
      <c r="F434" s="433"/>
      <c r="G434" s="267"/>
      <c r="H434" s="267"/>
      <c r="I434" s="267"/>
      <c r="J434" s="433"/>
      <c r="K434" s="433"/>
      <c r="L434" s="434"/>
      <c r="M434" s="267"/>
      <c r="N434" s="267"/>
      <c r="O434" s="267"/>
      <c r="P434" s="267"/>
      <c r="Q434" s="267"/>
      <c r="R434" s="267"/>
      <c r="S434" s="267"/>
      <c r="T434" s="267"/>
      <c r="U434" s="267"/>
      <c r="V434" s="267"/>
      <c r="W434" s="267"/>
      <c r="X434" s="267"/>
      <c r="Y434" s="267"/>
      <c r="Z434" s="267"/>
      <c r="AA434" s="267"/>
      <c r="AB434" s="267"/>
      <c r="AC434" s="267"/>
    </row>
    <row r="435" ht="13.5" customHeight="1">
      <c r="A435" s="267"/>
      <c r="B435" s="267"/>
      <c r="C435" s="433"/>
      <c r="D435" s="433"/>
      <c r="E435" s="433"/>
      <c r="F435" s="433"/>
      <c r="G435" s="267"/>
      <c r="H435" s="267"/>
      <c r="I435" s="267"/>
      <c r="J435" s="433"/>
      <c r="K435" s="433"/>
      <c r="L435" s="434"/>
      <c r="M435" s="267"/>
      <c r="N435" s="267"/>
      <c r="O435" s="267"/>
      <c r="P435" s="267"/>
      <c r="Q435" s="267"/>
      <c r="R435" s="267"/>
      <c r="S435" s="267"/>
      <c r="T435" s="267"/>
      <c r="U435" s="267"/>
      <c r="V435" s="267"/>
      <c r="W435" s="267"/>
      <c r="X435" s="267"/>
      <c r="Y435" s="267"/>
      <c r="Z435" s="267"/>
      <c r="AA435" s="267"/>
      <c r="AB435" s="267"/>
      <c r="AC435" s="267"/>
    </row>
    <row r="436" ht="13.5" customHeight="1">
      <c r="A436" s="267"/>
      <c r="B436" s="267"/>
      <c r="C436" s="433"/>
      <c r="D436" s="433"/>
      <c r="E436" s="433"/>
      <c r="F436" s="433"/>
      <c r="G436" s="267"/>
      <c r="H436" s="267"/>
      <c r="I436" s="267"/>
      <c r="J436" s="433"/>
      <c r="K436" s="433"/>
      <c r="L436" s="434"/>
      <c r="M436" s="267"/>
      <c r="N436" s="267"/>
      <c r="O436" s="267"/>
      <c r="P436" s="267"/>
      <c r="Q436" s="267"/>
      <c r="R436" s="267"/>
      <c r="S436" s="267"/>
      <c r="T436" s="267"/>
      <c r="U436" s="267"/>
      <c r="V436" s="267"/>
      <c r="W436" s="267"/>
      <c r="X436" s="267"/>
      <c r="Y436" s="267"/>
      <c r="Z436" s="267"/>
      <c r="AA436" s="267"/>
      <c r="AB436" s="267"/>
      <c r="AC436" s="267"/>
    </row>
    <row r="437" ht="13.5" customHeight="1">
      <c r="A437" s="267"/>
      <c r="B437" s="267"/>
      <c r="C437" s="433"/>
      <c r="D437" s="433"/>
      <c r="E437" s="433"/>
      <c r="F437" s="433"/>
      <c r="G437" s="267"/>
      <c r="H437" s="267"/>
      <c r="I437" s="267"/>
      <c r="J437" s="433"/>
      <c r="K437" s="433"/>
      <c r="L437" s="434"/>
      <c r="M437" s="267"/>
      <c r="N437" s="267"/>
      <c r="O437" s="267"/>
      <c r="P437" s="267"/>
      <c r="Q437" s="267"/>
      <c r="R437" s="267"/>
      <c r="S437" s="267"/>
      <c r="T437" s="267"/>
      <c r="U437" s="267"/>
      <c r="V437" s="267"/>
      <c r="W437" s="267"/>
      <c r="X437" s="267"/>
      <c r="Y437" s="267"/>
      <c r="Z437" s="267"/>
      <c r="AA437" s="267"/>
      <c r="AB437" s="267"/>
      <c r="AC437" s="267"/>
    </row>
    <row r="438" ht="13.5" customHeight="1">
      <c r="A438" s="267"/>
      <c r="B438" s="267"/>
      <c r="C438" s="433"/>
      <c r="D438" s="433"/>
      <c r="E438" s="433"/>
      <c r="F438" s="433"/>
      <c r="G438" s="267"/>
      <c r="H438" s="267"/>
      <c r="I438" s="267"/>
      <c r="J438" s="433"/>
      <c r="K438" s="433"/>
      <c r="L438" s="434"/>
      <c r="M438" s="267"/>
      <c r="N438" s="267"/>
      <c r="O438" s="267"/>
      <c r="P438" s="267"/>
      <c r="Q438" s="267"/>
      <c r="R438" s="267"/>
      <c r="S438" s="267"/>
      <c r="T438" s="267"/>
      <c r="U438" s="267"/>
      <c r="V438" s="267"/>
      <c r="W438" s="267"/>
      <c r="X438" s="267"/>
      <c r="Y438" s="267"/>
      <c r="Z438" s="267"/>
      <c r="AA438" s="267"/>
      <c r="AB438" s="267"/>
      <c r="AC438" s="267"/>
    </row>
    <row r="439" ht="13.5" customHeight="1">
      <c r="A439" s="267"/>
      <c r="B439" s="267"/>
      <c r="C439" s="433"/>
      <c r="D439" s="433"/>
      <c r="E439" s="433"/>
      <c r="F439" s="433"/>
      <c r="G439" s="267"/>
      <c r="H439" s="267"/>
      <c r="I439" s="267"/>
      <c r="J439" s="433"/>
      <c r="K439" s="433"/>
      <c r="L439" s="434"/>
      <c r="M439" s="267"/>
      <c r="N439" s="267"/>
      <c r="O439" s="267"/>
      <c r="P439" s="267"/>
      <c r="Q439" s="267"/>
      <c r="R439" s="267"/>
      <c r="S439" s="267"/>
      <c r="T439" s="267"/>
      <c r="U439" s="267"/>
      <c r="V439" s="267"/>
      <c r="W439" s="267"/>
      <c r="X439" s="267"/>
      <c r="Y439" s="267"/>
      <c r="Z439" s="267"/>
      <c r="AA439" s="267"/>
      <c r="AB439" s="267"/>
      <c r="AC439" s="267"/>
    </row>
    <row r="440" ht="13.5" customHeight="1">
      <c r="A440" s="267"/>
      <c r="B440" s="267"/>
      <c r="C440" s="433"/>
      <c r="D440" s="433"/>
      <c r="E440" s="433"/>
      <c r="F440" s="433"/>
      <c r="G440" s="267"/>
      <c r="H440" s="267"/>
      <c r="I440" s="267"/>
      <c r="J440" s="433"/>
      <c r="K440" s="433"/>
      <c r="L440" s="434"/>
      <c r="M440" s="267"/>
      <c r="N440" s="267"/>
      <c r="O440" s="267"/>
      <c r="P440" s="267"/>
      <c r="Q440" s="267"/>
      <c r="R440" s="267"/>
      <c r="S440" s="267"/>
      <c r="T440" s="267"/>
      <c r="U440" s="267"/>
      <c r="V440" s="267"/>
      <c r="W440" s="267"/>
      <c r="X440" s="267"/>
      <c r="Y440" s="267"/>
      <c r="Z440" s="267"/>
      <c r="AA440" s="267"/>
      <c r="AB440" s="267"/>
      <c r="AC440" s="267"/>
    </row>
    <row r="441" ht="13.5" customHeight="1">
      <c r="A441" s="267"/>
      <c r="B441" s="267"/>
      <c r="C441" s="433"/>
      <c r="D441" s="433"/>
      <c r="E441" s="433"/>
      <c r="F441" s="433"/>
      <c r="G441" s="267"/>
      <c r="H441" s="267"/>
      <c r="I441" s="267"/>
      <c r="J441" s="433"/>
      <c r="K441" s="433"/>
      <c r="L441" s="434"/>
      <c r="M441" s="267"/>
      <c r="N441" s="267"/>
      <c r="O441" s="267"/>
      <c r="P441" s="267"/>
      <c r="Q441" s="267"/>
      <c r="R441" s="267"/>
      <c r="S441" s="267"/>
      <c r="T441" s="267"/>
      <c r="U441" s="267"/>
      <c r="V441" s="267"/>
      <c r="W441" s="267"/>
      <c r="X441" s="267"/>
      <c r="Y441" s="267"/>
      <c r="Z441" s="267"/>
      <c r="AA441" s="267"/>
      <c r="AB441" s="267"/>
      <c r="AC441" s="267"/>
    </row>
    <row r="442" ht="13.5" customHeight="1">
      <c r="A442" s="267"/>
      <c r="B442" s="267"/>
      <c r="C442" s="433"/>
      <c r="D442" s="433"/>
      <c r="E442" s="433"/>
      <c r="F442" s="433"/>
      <c r="G442" s="267"/>
      <c r="H442" s="267"/>
      <c r="I442" s="267"/>
      <c r="J442" s="433"/>
      <c r="K442" s="433"/>
      <c r="L442" s="434"/>
      <c r="M442" s="267"/>
      <c r="N442" s="267"/>
      <c r="O442" s="267"/>
      <c r="P442" s="267"/>
      <c r="Q442" s="267"/>
      <c r="R442" s="267"/>
      <c r="S442" s="267"/>
      <c r="T442" s="267"/>
      <c r="U442" s="267"/>
      <c r="V442" s="267"/>
      <c r="W442" s="267"/>
      <c r="X442" s="267"/>
      <c r="Y442" s="267"/>
      <c r="Z442" s="267"/>
      <c r="AA442" s="267"/>
      <c r="AB442" s="267"/>
      <c r="AC442" s="267"/>
    </row>
    <row r="443" ht="13.5" customHeight="1">
      <c r="A443" s="267"/>
      <c r="B443" s="267"/>
      <c r="C443" s="433"/>
      <c r="D443" s="433"/>
      <c r="E443" s="433"/>
      <c r="F443" s="433"/>
      <c r="G443" s="267"/>
      <c r="H443" s="267"/>
      <c r="I443" s="267"/>
      <c r="J443" s="433"/>
      <c r="K443" s="433"/>
      <c r="L443" s="434"/>
      <c r="M443" s="267"/>
      <c r="N443" s="267"/>
      <c r="O443" s="267"/>
      <c r="P443" s="267"/>
      <c r="Q443" s="267"/>
      <c r="R443" s="267"/>
      <c r="S443" s="267"/>
      <c r="T443" s="267"/>
      <c r="U443" s="267"/>
      <c r="V443" s="267"/>
      <c r="W443" s="267"/>
      <c r="X443" s="267"/>
      <c r="Y443" s="267"/>
      <c r="Z443" s="267"/>
      <c r="AA443" s="267"/>
      <c r="AB443" s="267"/>
      <c r="AC443" s="267"/>
    </row>
    <row r="444" ht="13.5" customHeight="1">
      <c r="A444" s="267"/>
      <c r="B444" s="267"/>
      <c r="C444" s="433"/>
      <c r="D444" s="433"/>
      <c r="E444" s="433"/>
      <c r="F444" s="433"/>
      <c r="G444" s="267"/>
      <c r="H444" s="267"/>
      <c r="I444" s="267"/>
      <c r="J444" s="433"/>
      <c r="K444" s="433"/>
      <c r="L444" s="434"/>
      <c r="M444" s="267"/>
      <c r="N444" s="267"/>
      <c r="O444" s="267"/>
      <c r="P444" s="267"/>
      <c r="Q444" s="267"/>
      <c r="R444" s="267"/>
      <c r="S444" s="267"/>
      <c r="T444" s="267"/>
      <c r="U444" s="267"/>
      <c r="V444" s="267"/>
      <c r="W444" s="267"/>
      <c r="X444" s="267"/>
      <c r="Y444" s="267"/>
      <c r="Z444" s="267"/>
      <c r="AA444" s="267"/>
      <c r="AB444" s="267"/>
      <c r="AC444" s="267"/>
    </row>
    <row r="445" ht="13.5" customHeight="1">
      <c r="A445" s="267"/>
      <c r="B445" s="267"/>
      <c r="C445" s="433"/>
      <c r="D445" s="433"/>
      <c r="E445" s="433"/>
      <c r="F445" s="433"/>
      <c r="G445" s="267"/>
      <c r="H445" s="267"/>
      <c r="I445" s="267"/>
      <c r="J445" s="433"/>
      <c r="K445" s="433"/>
      <c r="L445" s="434"/>
      <c r="M445" s="267"/>
      <c r="N445" s="267"/>
      <c r="O445" s="267"/>
      <c r="P445" s="267"/>
      <c r="Q445" s="267"/>
      <c r="R445" s="267"/>
      <c r="S445" s="267"/>
      <c r="T445" s="267"/>
      <c r="U445" s="267"/>
      <c r="V445" s="267"/>
      <c r="W445" s="267"/>
      <c r="X445" s="267"/>
      <c r="Y445" s="267"/>
      <c r="Z445" s="267"/>
      <c r="AA445" s="267"/>
      <c r="AB445" s="267"/>
      <c r="AC445" s="267"/>
    </row>
    <row r="446" ht="13.5" customHeight="1">
      <c r="A446" s="267"/>
      <c r="B446" s="267"/>
      <c r="C446" s="433"/>
      <c r="D446" s="433"/>
      <c r="E446" s="433"/>
      <c r="F446" s="433"/>
      <c r="G446" s="267"/>
      <c r="H446" s="267"/>
      <c r="I446" s="267"/>
      <c r="J446" s="433"/>
      <c r="K446" s="433"/>
      <c r="L446" s="434"/>
      <c r="M446" s="267"/>
      <c r="N446" s="267"/>
      <c r="O446" s="267"/>
      <c r="P446" s="267"/>
      <c r="Q446" s="267"/>
      <c r="R446" s="267"/>
      <c r="S446" s="267"/>
      <c r="T446" s="267"/>
      <c r="U446" s="267"/>
      <c r="V446" s="267"/>
      <c r="W446" s="267"/>
      <c r="X446" s="267"/>
      <c r="Y446" s="267"/>
      <c r="Z446" s="267"/>
      <c r="AA446" s="267"/>
      <c r="AB446" s="267"/>
      <c r="AC446" s="267"/>
    </row>
    <row r="447" ht="13.5" customHeight="1">
      <c r="A447" s="267"/>
      <c r="B447" s="267"/>
      <c r="C447" s="433"/>
      <c r="D447" s="433"/>
      <c r="E447" s="433"/>
      <c r="F447" s="433"/>
      <c r="G447" s="267"/>
      <c r="H447" s="267"/>
      <c r="I447" s="267"/>
      <c r="J447" s="433"/>
      <c r="K447" s="433"/>
      <c r="L447" s="434"/>
      <c r="M447" s="267"/>
      <c r="N447" s="267"/>
      <c r="O447" s="267"/>
      <c r="P447" s="267"/>
      <c r="Q447" s="267"/>
      <c r="R447" s="267"/>
      <c r="S447" s="267"/>
      <c r="T447" s="267"/>
      <c r="U447" s="267"/>
      <c r="V447" s="267"/>
      <c r="W447" s="267"/>
      <c r="X447" s="267"/>
      <c r="Y447" s="267"/>
      <c r="Z447" s="267"/>
      <c r="AA447" s="267"/>
      <c r="AB447" s="267"/>
      <c r="AC447" s="267"/>
    </row>
    <row r="448" ht="13.5" customHeight="1">
      <c r="A448" s="267"/>
      <c r="B448" s="267"/>
      <c r="C448" s="433"/>
      <c r="D448" s="433"/>
      <c r="E448" s="433"/>
      <c r="F448" s="433"/>
      <c r="G448" s="267"/>
      <c r="H448" s="267"/>
      <c r="I448" s="267"/>
      <c r="J448" s="433"/>
      <c r="K448" s="433"/>
      <c r="L448" s="434"/>
      <c r="M448" s="267"/>
      <c r="N448" s="267"/>
      <c r="O448" s="267"/>
      <c r="P448" s="267"/>
      <c r="Q448" s="267"/>
      <c r="R448" s="267"/>
      <c r="S448" s="267"/>
      <c r="T448" s="267"/>
      <c r="U448" s="267"/>
      <c r="V448" s="267"/>
      <c r="W448" s="267"/>
      <c r="X448" s="267"/>
      <c r="Y448" s="267"/>
      <c r="Z448" s="267"/>
      <c r="AA448" s="267"/>
      <c r="AB448" s="267"/>
      <c r="AC448" s="267"/>
    </row>
    <row r="449" ht="13.5" customHeight="1">
      <c r="A449" s="267"/>
      <c r="B449" s="267"/>
      <c r="C449" s="433"/>
      <c r="D449" s="433"/>
      <c r="E449" s="433"/>
      <c r="F449" s="433"/>
      <c r="G449" s="267"/>
      <c r="H449" s="267"/>
      <c r="I449" s="267"/>
      <c r="J449" s="433"/>
      <c r="K449" s="433"/>
      <c r="L449" s="434"/>
      <c r="M449" s="267"/>
      <c r="N449" s="267"/>
      <c r="O449" s="267"/>
      <c r="P449" s="267"/>
      <c r="Q449" s="267"/>
      <c r="R449" s="267"/>
      <c r="S449" s="267"/>
      <c r="T449" s="267"/>
      <c r="U449" s="267"/>
      <c r="V449" s="267"/>
      <c r="W449" s="267"/>
      <c r="X449" s="267"/>
      <c r="Y449" s="267"/>
      <c r="Z449" s="267"/>
      <c r="AA449" s="267"/>
      <c r="AB449" s="267"/>
      <c r="AC449" s="267"/>
    </row>
    <row r="450" ht="13.5" customHeight="1">
      <c r="A450" s="267"/>
      <c r="B450" s="267"/>
      <c r="C450" s="433"/>
      <c r="D450" s="433"/>
      <c r="E450" s="433"/>
      <c r="F450" s="433"/>
      <c r="G450" s="267"/>
      <c r="H450" s="267"/>
      <c r="I450" s="267"/>
      <c r="J450" s="433"/>
      <c r="K450" s="433"/>
      <c r="L450" s="434"/>
      <c r="M450" s="267"/>
      <c r="N450" s="267"/>
      <c r="O450" s="267"/>
      <c r="P450" s="267"/>
      <c r="Q450" s="267"/>
      <c r="R450" s="267"/>
      <c r="S450" s="267"/>
      <c r="T450" s="267"/>
      <c r="U450" s="267"/>
      <c r="V450" s="267"/>
      <c r="W450" s="267"/>
      <c r="X450" s="267"/>
      <c r="Y450" s="267"/>
      <c r="Z450" s="267"/>
      <c r="AA450" s="267"/>
      <c r="AB450" s="267"/>
      <c r="AC450" s="267"/>
    </row>
    <row r="451" ht="13.5" customHeight="1">
      <c r="A451" s="267"/>
      <c r="B451" s="267"/>
      <c r="C451" s="433"/>
      <c r="D451" s="433"/>
      <c r="E451" s="433"/>
      <c r="F451" s="433"/>
      <c r="G451" s="267"/>
      <c r="H451" s="267"/>
      <c r="I451" s="267"/>
      <c r="J451" s="433"/>
      <c r="K451" s="433"/>
      <c r="L451" s="434"/>
      <c r="M451" s="267"/>
      <c r="N451" s="267"/>
      <c r="O451" s="267"/>
      <c r="P451" s="267"/>
      <c r="Q451" s="267"/>
      <c r="R451" s="267"/>
      <c r="S451" s="267"/>
      <c r="T451" s="267"/>
      <c r="U451" s="267"/>
      <c r="V451" s="267"/>
      <c r="W451" s="267"/>
      <c r="X451" s="267"/>
      <c r="Y451" s="267"/>
      <c r="Z451" s="267"/>
      <c r="AA451" s="267"/>
      <c r="AB451" s="267"/>
      <c r="AC451" s="267"/>
    </row>
    <row r="452" ht="13.5" customHeight="1">
      <c r="A452" s="267"/>
      <c r="B452" s="267"/>
      <c r="C452" s="433"/>
      <c r="D452" s="433"/>
      <c r="E452" s="433"/>
      <c r="F452" s="433"/>
      <c r="G452" s="267"/>
      <c r="H452" s="267"/>
      <c r="I452" s="267"/>
      <c r="J452" s="433"/>
      <c r="K452" s="433"/>
      <c r="L452" s="434"/>
      <c r="M452" s="267"/>
      <c r="N452" s="267"/>
      <c r="O452" s="267"/>
      <c r="P452" s="267"/>
      <c r="Q452" s="267"/>
      <c r="R452" s="267"/>
      <c r="S452" s="267"/>
      <c r="T452" s="267"/>
      <c r="U452" s="267"/>
      <c r="V452" s="267"/>
      <c r="W452" s="267"/>
      <c r="X452" s="267"/>
      <c r="Y452" s="267"/>
      <c r="Z452" s="267"/>
      <c r="AA452" s="267"/>
      <c r="AB452" s="267"/>
      <c r="AC452" s="267"/>
    </row>
    <row r="453" ht="13.5" customHeight="1">
      <c r="A453" s="267"/>
      <c r="B453" s="267"/>
      <c r="C453" s="433"/>
      <c r="D453" s="433"/>
      <c r="E453" s="433"/>
      <c r="F453" s="433"/>
      <c r="G453" s="267"/>
      <c r="H453" s="267"/>
      <c r="I453" s="267"/>
      <c r="J453" s="433"/>
      <c r="K453" s="433"/>
      <c r="L453" s="434"/>
      <c r="M453" s="267"/>
      <c r="N453" s="267"/>
      <c r="O453" s="267"/>
      <c r="P453" s="267"/>
      <c r="Q453" s="267"/>
      <c r="R453" s="267"/>
      <c r="S453" s="267"/>
      <c r="T453" s="267"/>
      <c r="U453" s="267"/>
      <c r="V453" s="267"/>
      <c r="W453" s="267"/>
      <c r="X453" s="267"/>
      <c r="Y453" s="267"/>
      <c r="Z453" s="267"/>
      <c r="AA453" s="267"/>
      <c r="AB453" s="267"/>
      <c r="AC453" s="267"/>
    </row>
    <row r="454" ht="13.5" customHeight="1">
      <c r="A454" s="267"/>
      <c r="B454" s="267"/>
      <c r="C454" s="433"/>
      <c r="D454" s="433"/>
      <c r="E454" s="433"/>
      <c r="F454" s="433"/>
      <c r="G454" s="267"/>
      <c r="H454" s="267"/>
      <c r="I454" s="267"/>
      <c r="J454" s="433"/>
      <c r="K454" s="433"/>
      <c r="L454" s="434"/>
      <c r="M454" s="267"/>
      <c r="N454" s="267"/>
      <c r="O454" s="267"/>
      <c r="P454" s="267"/>
      <c r="Q454" s="267"/>
      <c r="R454" s="267"/>
      <c r="S454" s="267"/>
      <c r="T454" s="267"/>
      <c r="U454" s="267"/>
      <c r="V454" s="267"/>
      <c r="W454" s="267"/>
      <c r="X454" s="267"/>
      <c r="Y454" s="267"/>
      <c r="Z454" s="267"/>
      <c r="AA454" s="267"/>
      <c r="AB454" s="267"/>
      <c r="AC454" s="267"/>
    </row>
    <row r="455" ht="13.5" customHeight="1">
      <c r="A455" s="267"/>
      <c r="B455" s="267"/>
      <c r="C455" s="433"/>
      <c r="D455" s="433"/>
      <c r="E455" s="433"/>
      <c r="F455" s="433"/>
      <c r="G455" s="267"/>
      <c r="H455" s="267"/>
      <c r="I455" s="267"/>
      <c r="J455" s="433"/>
      <c r="K455" s="433"/>
      <c r="L455" s="434"/>
      <c r="M455" s="267"/>
      <c r="N455" s="267"/>
      <c r="O455" s="267"/>
      <c r="P455" s="267"/>
      <c r="Q455" s="267"/>
      <c r="R455" s="267"/>
      <c r="S455" s="267"/>
      <c r="T455" s="267"/>
      <c r="U455" s="267"/>
      <c r="V455" s="267"/>
      <c r="W455" s="267"/>
      <c r="X455" s="267"/>
      <c r="Y455" s="267"/>
      <c r="Z455" s="267"/>
      <c r="AA455" s="267"/>
      <c r="AB455" s="267"/>
      <c r="AC455" s="267"/>
    </row>
    <row r="456" ht="13.5" customHeight="1">
      <c r="A456" s="267"/>
      <c r="B456" s="267"/>
      <c r="C456" s="433"/>
      <c r="D456" s="433"/>
      <c r="E456" s="433"/>
      <c r="F456" s="433"/>
      <c r="G456" s="267"/>
      <c r="H456" s="267"/>
      <c r="I456" s="267"/>
      <c r="J456" s="433"/>
      <c r="K456" s="433"/>
      <c r="L456" s="434"/>
      <c r="M456" s="267"/>
      <c r="N456" s="267"/>
      <c r="O456" s="267"/>
      <c r="P456" s="267"/>
      <c r="Q456" s="267"/>
      <c r="R456" s="267"/>
      <c r="S456" s="267"/>
      <c r="T456" s="267"/>
      <c r="U456" s="267"/>
      <c r="V456" s="267"/>
      <c r="W456" s="267"/>
      <c r="X456" s="267"/>
      <c r="Y456" s="267"/>
      <c r="Z456" s="267"/>
      <c r="AA456" s="267"/>
      <c r="AB456" s="267"/>
      <c r="AC456" s="267"/>
    </row>
    <row r="457" ht="13.5" customHeight="1">
      <c r="A457" s="267"/>
      <c r="B457" s="267"/>
      <c r="C457" s="433"/>
      <c r="D457" s="433"/>
      <c r="E457" s="433"/>
      <c r="F457" s="433"/>
      <c r="G457" s="267"/>
      <c r="H457" s="267"/>
      <c r="I457" s="267"/>
      <c r="J457" s="433"/>
      <c r="K457" s="433"/>
      <c r="L457" s="434"/>
      <c r="M457" s="267"/>
      <c r="N457" s="267"/>
      <c r="O457" s="267"/>
      <c r="P457" s="267"/>
      <c r="Q457" s="267"/>
      <c r="R457" s="267"/>
      <c r="S457" s="267"/>
      <c r="T457" s="267"/>
      <c r="U457" s="267"/>
      <c r="V457" s="267"/>
      <c r="W457" s="267"/>
      <c r="X457" s="267"/>
      <c r="Y457" s="267"/>
      <c r="Z457" s="267"/>
      <c r="AA457" s="267"/>
      <c r="AB457" s="267"/>
      <c r="AC457" s="267"/>
    </row>
    <row r="458" ht="13.5" customHeight="1">
      <c r="A458" s="267"/>
      <c r="B458" s="267"/>
      <c r="C458" s="433"/>
      <c r="D458" s="433"/>
      <c r="E458" s="433"/>
      <c r="F458" s="433"/>
      <c r="G458" s="267"/>
      <c r="H458" s="267"/>
      <c r="I458" s="267"/>
      <c r="J458" s="433"/>
      <c r="K458" s="433"/>
      <c r="L458" s="434"/>
      <c r="M458" s="267"/>
      <c r="N458" s="267"/>
      <c r="O458" s="267"/>
      <c r="P458" s="267"/>
      <c r="Q458" s="267"/>
      <c r="R458" s="267"/>
      <c r="S458" s="267"/>
      <c r="T458" s="267"/>
      <c r="U458" s="267"/>
      <c r="V458" s="267"/>
      <c r="W458" s="267"/>
      <c r="X458" s="267"/>
      <c r="Y458" s="267"/>
      <c r="Z458" s="267"/>
      <c r="AA458" s="267"/>
      <c r="AB458" s="267"/>
      <c r="AC458" s="267"/>
    </row>
    <row r="459" ht="13.5" customHeight="1">
      <c r="A459" s="267"/>
      <c r="B459" s="267"/>
      <c r="C459" s="433"/>
      <c r="D459" s="433"/>
      <c r="E459" s="433"/>
      <c r="F459" s="433"/>
      <c r="G459" s="267"/>
      <c r="H459" s="267"/>
      <c r="I459" s="267"/>
      <c r="J459" s="433"/>
      <c r="K459" s="433"/>
      <c r="L459" s="434"/>
      <c r="M459" s="267"/>
      <c r="N459" s="267"/>
      <c r="O459" s="267"/>
      <c r="P459" s="267"/>
      <c r="Q459" s="267"/>
      <c r="R459" s="267"/>
      <c r="S459" s="267"/>
      <c r="T459" s="267"/>
      <c r="U459" s="267"/>
      <c r="V459" s="267"/>
      <c r="W459" s="267"/>
      <c r="X459" s="267"/>
      <c r="Y459" s="267"/>
      <c r="Z459" s="267"/>
      <c r="AA459" s="267"/>
      <c r="AB459" s="267"/>
      <c r="AC459" s="267"/>
    </row>
    <row r="460" ht="13.5" customHeight="1">
      <c r="A460" s="267"/>
      <c r="B460" s="267"/>
      <c r="C460" s="433"/>
      <c r="D460" s="433"/>
      <c r="E460" s="433"/>
      <c r="F460" s="433"/>
      <c r="G460" s="267"/>
      <c r="H460" s="267"/>
      <c r="I460" s="267"/>
      <c r="J460" s="433"/>
      <c r="K460" s="433"/>
      <c r="L460" s="434"/>
      <c r="M460" s="267"/>
      <c r="N460" s="267"/>
      <c r="O460" s="267"/>
      <c r="P460" s="267"/>
      <c r="Q460" s="267"/>
      <c r="R460" s="267"/>
      <c r="S460" s="267"/>
      <c r="T460" s="267"/>
      <c r="U460" s="267"/>
      <c r="V460" s="267"/>
      <c r="W460" s="267"/>
      <c r="X460" s="267"/>
      <c r="Y460" s="267"/>
      <c r="Z460" s="267"/>
      <c r="AA460" s="267"/>
      <c r="AB460" s="267"/>
      <c r="AC460" s="267"/>
    </row>
    <row r="461" ht="13.5" customHeight="1">
      <c r="A461" s="267"/>
      <c r="B461" s="267"/>
      <c r="C461" s="433"/>
      <c r="D461" s="433"/>
      <c r="E461" s="433"/>
      <c r="F461" s="433"/>
      <c r="G461" s="267"/>
      <c r="H461" s="267"/>
      <c r="I461" s="267"/>
      <c r="J461" s="433"/>
      <c r="K461" s="433"/>
      <c r="L461" s="434"/>
      <c r="M461" s="267"/>
      <c r="N461" s="267"/>
      <c r="O461" s="267"/>
      <c r="P461" s="267"/>
      <c r="Q461" s="267"/>
      <c r="R461" s="267"/>
      <c r="S461" s="267"/>
      <c r="T461" s="267"/>
      <c r="U461" s="267"/>
      <c r="V461" s="267"/>
      <c r="W461" s="267"/>
      <c r="X461" s="267"/>
      <c r="Y461" s="267"/>
      <c r="Z461" s="267"/>
      <c r="AA461" s="267"/>
      <c r="AB461" s="267"/>
      <c r="AC461" s="267"/>
    </row>
    <row r="462" ht="13.5" customHeight="1">
      <c r="A462" s="267"/>
      <c r="B462" s="267"/>
      <c r="C462" s="433"/>
      <c r="D462" s="433"/>
      <c r="E462" s="433"/>
      <c r="F462" s="433"/>
      <c r="G462" s="267"/>
      <c r="H462" s="267"/>
      <c r="I462" s="267"/>
      <c r="J462" s="433"/>
      <c r="K462" s="433"/>
      <c r="L462" s="434"/>
      <c r="M462" s="267"/>
      <c r="N462" s="267"/>
      <c r="O462" s="267"/>
      <c r="P462" s="267"/>
      <c r="Q462" s="267"/>
      <c r="R462" s="267"/>
      <c r="S462" s="267"/>
      <c r="T462" s="267"/>
      <c r="U462" s="267"/>
      <c r="V462" s="267"/>
      <c r="W462" s="267"/>
      <c r="X462" s="267"/>
      <c r="Y462" s="267"/>
      <c r="Z462" s="267"/>
      <c r="AA462" s="267"/>
      <c r="AB462" s="267"/>
      <c r="AC462" s="267"/>
    </row>
    <row r="463" ht="13.5" customHeight="1">
      <c r="A463" s="267"/>
      <c r="B463" s="267"/>
      <c r="C463" s="433"/>
      <c r="D463" s="433"/>
      <c r="E463" s="433"/>
      <c r="F463" s="433"/>
      <c r="G463" s="267"/>
      <c r="H463" s="267"/>
      <c r="I463" s="267"/>
      <c r="J463" s="433"/>
      <c r="K463" s="433"/>
      <c r="L463" s="434"/>
      <c r="M463" s="267"/>
      <c r="N463" s="267"/>
      <c r="O463" s="267"/>
      <c r="P463" s="267"/>
      <c r="Q463" s="267"/>
      <c r="R463" s="267"/>
      <c r="S463" s="267"/>
      <c r="T463" s="267"/>
      <c r="U463" s="267"/>
      <c r="V463" s="267"/>
      <c r="W463" s="267"/>
      <c r="X463" s="267"/>
      <c r="Y463" s="267"/>
      <c r="Z463" s="267"/>
      <c r="AA463" s="267"/>
      <c r="AB463" s="267"/>
      <c r="AC463" s="267"/>
    </row>
    <row r="464" ht="13.5" customHeight="1">
      <c r="A464" s="267"/>
      <c r="B464" s="267"/>
      <c r="C464" s="433"/>
      <c r="D464" s="433"/>
      <c r="E464" s="433"/>
      <c r="F464" s="433"/>
      <c r="G464" s="267"/>
      <c r="H464" s="267"/>
      <c r="I464" s="267"/>
      <c r="J464" s="433"/>
      <c r="K464" s="433"/>
      <c r="L464" s="434"/>
      <c r="M464" s="267"/>
      <c r="N464" s="267"/>
      <c r="O464" s="267"/>
      <c r="P464" s="267"/>
      <c r="Q464" s="267"/>
      <c r="R464" s="267"/>
      <c r="S464" s="267"/>
      <c r="T464" s="267"/>
      <c r="U464" s="267"/>
      <c r="V464" s="267"/>
      <c r="W464" s="267"/>
      <c r="X464" s="267"/>
      <c r="Y464" s="267"/>
      <c r="Z464" s="267"/>
      <c r="AA464" s="267"/>
      <c r="AB464" s="267"/>
      <c r="AC464" s="267"/>
    </row>
    <row r="465" ht="13.5" customHeight="1">
      <c r="A465" s="267"/>
      <c r="B465" s="267"/>
      <c r="C465" s="433"/>
      <c r="D465" s="433"/>
      <c r="E465" s="433"/>
      <c r="F465" s="433"/>
      <c r="G465" s="267"/>
      <c r="H465" s="267"/>
      <c r="I465" s="267"/>
      <c r="J465" s="433"/>
      <c r="K465" s="433"/>
      <c r="L465" s="434"/>
      <c r="M465" s="267"/>
      <c r="N465" s="267"/>
      <c r="O465" s="267"/>
      <c r="P465" s="267"/>
      <c r="Q465" s="267"/>
      <c r="R465" s="267"/>
      <c r="S465" s="267"/>
      <c r="T465" s="267"/>
      <c r="U465" s="267"/>
      <c r="V465" s="267"/>
      <c r="W465" s="267"/>
      <c r="X465" s="267"/>
      <c r="Y465" s="267"/>
      <c r="Z465" s="267"/>
      <c r="AA465" s="267"/>
      <c r="AB465" s="267"/>
      <c r="AC465" s="267"/>
    </row>
    <row r="466" ht="13.5" customHeight="1">
      <c r="A466" s="267"/>
      <c r="B466" s="267"/>
      <c r="C466" s="433"/>
      <c r="D466" s="433"/>
      <c r="E466" s="433"/>
      <c r="F466" s="433"/>
      <c r="G466" s="267"/>
      <c r="H466" s="267"/>
      <c r="I466" s="267"/>
      <c r="J466" s="433"/>
      <c r="K466" s="433"/>
      <c r="L466" s="434"/>
      <c r="M466" s="267"/>
      <c r="N466" s="267"/>
      <c r="O466" s="267"/>
      <c r="P466" s="267"/>
      <c r="Q466" s="267"/>
      <c r="R466" s="267"/>
      <c r="S466" s="267"/>
      <c r="T466" s="267"/>
      <c r="U466" s="267"/>
      <c r="V466" s="267"/>
      <c r="W466" s="267"/>
      <c r="X466" s="267"/>
      <c r="Y466" s="267"/>
      <c r="Z466" s="267"/>
      <c r="AA466" s="267"/>
      <c r="AB466" s="267"/>
      <c r="AC466" s="267"/>
    </row>
    <row r="467" ht="13.5" customHeight="1">
      <c r="A467" s="267"/>
      <c r="B467" s="267"/>
      <c r="C467" s="433"/>
      <c r="D467" s="433"/>
      <c r="E467" s="433"/>
      <c r="F467" s="433"/>
      <c r="G467" s="267"/>
      <c r="H467" s="267"/>
      <c r="I467" s="267"/>
      <c r="J467" s="433"/>
      <c r="K467" s="433"/>
      <c r="L467" s="434"/>
      <c r="M467" s="267"/>
      <c r="N467" s="267"/>
      <c r="O467" s="267"/>
      <c r="P467" s="267"/>
      <c r="Q467" s="267"/>
      <c r="R467" s="267"/>
      <c r="S467" s="267"/>
      <c r="T467" s="267"/>
      <c r="U467" s="267"/>
      <c r="V467" s="267"/>
      <c r="W467" s="267"/>
      <c r="X467" s="267"/>
      <c r="Y467" s="267"/>
      <c r="Z467" s="267"/>
      <c r="AA467" s="267"/>
      <c r="AB467" s="267"/>
      <c r="AC467" s="267"/>
    </row>
    <row r="468" ht="13.5" customHeight="1">
      <c r="A468" s="267"/>
      <c r="B468" s="267"/>
      <c r="C468" s="433"/>
      <c r="D468" s="433"/>
      <c r="E468" s="433"/>
      <c r="F468" s="433"/>
      <c r="G468" s="267"/>
      <c r="H468" s="267"/>
      <c r="I468" s="267"/>
      <c r="J468" s="433"/>
      <c r="K468" s="433"/>
      <c r="L468" s="434"/>
      <c r="M468" s="267"/>
      <c r="N468" s="267"/>
      <c r="O468" s="267"/>
      <c r="P468" s="267"/>
      <c r="Q468" s="267"/>
      <c r="R468" s="267"/>
      <c r="S468" s="267"/>
      <c r="T468" s="267"/>
      <c r="U468" s="267"/>
      <c r="V468" s="267"/>
      <c r="W468" s="267"/>
      <c r="X468" s="267"/>
      <c r="Y468" s="267"/>
      <c r="Z468" s="267"/>
      <c r="AA468" s="267"/>
      <c r="AB468" s="267"/>
      <c r="AC468" s="267"/>
    </row>
    <row r="469" ht="13.5" customHeight="1">
      <c r="A469" s="267"/>
      <c r="B469" s="267"/>
      <c r="C469" s="433"/>
      <c r="D469" s="433"/>
      <c r="E469" s="433"/>
      <c r="F469" s="433"/>
      <c r="G469" s="267"/>
      <c r="H469" s="267"/>
      <c r="I469" s="267"/>
      <c r="J469" s="433"/>
      <c r="K469" s="433"/>
      <c r="L469" s="434"/>
      <c r="M469" s="267"/>
      <c r="N469" s="267"/>
      <c r="O469" s="267"/>
      <c r="P469" s="267"/>
      <c r="Q469" s="267"/>
      <c r="R469" s="267"/>
      <c r="S469" s="267"/>
      <c r="T469" s="267"/>
      <c r="U469" s="267"/>
      <c r="V469" s="267"/>
      <c r="W469" s="267"/>
      <c r="X469" s="267"/>
      <c r="Y469" s="267"/>
      <c r="Z469" s="267"/>
      <c r="AA469" s="267"/>
      <c r="AB469" s="267"/>
      <c r="AC469" s="267"/>
    </row>
    <row r="470" ht="13.5" customHeight="1">
      <c r="A470" s="267"/>
      <c r="B470" s="267"/>
      <c r="C470" s="433"/>
      <c r="D470" s="433"/>
      <c r="E470" s="433"/>
      <c r="F470" s="433"/>
      <c r="G470" s="267"/>
      <c r="H470" s="267"/>
      <c r="I470" s="267"/>
      <c r="J470" s="433"/>
      <c r="K470" s="433"/>
      <c r="L470" s="434"/>
      <c r="M470" s="267"/>
      <c r="N470" s="267"/>
      <c r="O470" s="267"/>
      <c r="P470" s="267"/>
      <c r="Q470" s="267"/>
      <c r="R470" s="267"/>
      <c r="S470" s="267"/>
      <c r="T470" s="267"/>
      <c r="U470" s="267"/>
      <c r="V470" s="267"/>
      <c r="W470" s="267"/>
      <c r="X470" s="267"/>
      <c r="Y470" s="267"/>
      <c r="Z470" s="267"/>
      <c r="AA470" s="267"/>
      <c r="AB470" s="267"/>
      <c r="AC470" s="267"/>
    </row>
    <row r="471" ht="13.5" customHeight="1">
      <c r="A471" s="267"/>
      <c r="B471" s="267"/>
      <c r="C471" s="433"/>
      <c r="D471" s="433"/>
      <c r="E471" s="433"/>
      <c r="F471" s="433"/>
      <c r="G471" s="267"/>
      <c r="H471" s="267"/>
      <c r="I471" s="267"/>
      <c r="J471" s="433"/>
      <c r="K471" s="433"/>
      <c r="L471" s="434"/>
      <c r="M471" s="267"/>
      <c r="N471" s="267"/>
      <c r="O471" s="267"/>
      <c r="P471" s="267"/>
      <c r="Q471" s="267"/>
      <c r="R471" s="267"/>
      <c r="S471" s="267"/>
      <c r="T471" s="267"/>
      <c r="U471" s="267"/>
      <c r="V471" s="267"/>
      <c r="W471" s="267"/>
      <c r="X471" s="267"/>
      <c r="Y471" s="267"/>
      <c r="Z471" s="267"/>
      <c r="AA471" s="267"/>
      <c r="AB471" s="267"/>
      <c r="AC471" s="267"/>
    </row>
    <row r="472" ht="13.5" customHeight="1">
      <c r="A472" s="267"/>
      <c r="B472" s="267"/>
      <c r="C472" s="433"/>
      <c r="D472" s="433"/>
      <c r="E472" s="433"/>
      <c r="F472" s="433"/>
      <c r="G472" s="267"/>
      <c r="H472" s="267"/>
      <c r="I472" s="267"/>
      <c r="J472" s="433"/>
      <c r="K472" s="433"/>
      <c r="L472" s="434"/>
      <c r="M472" s="267"/>
      <c r="N472" s="267"/>
      <c r="O472" s="267"/>
      <c r="P472" s="267"/>
      <c r="Q472" s="267"/>
      <c r="R472" s="267"/>
      <c r="S472" s="267"/>
      <c r="T472" s="267"/>
      <c r="U472" s="267"/>
      <c r="V472" s="267"/>
      <c r="W472" s="267"/>
      <c r="X472" s="267"/>
      <c r="Y472" s="267"/>
      <c r="Z472" s="267"/>
      <c r="AA472" s="267"/>
      <c r="AB472" s="267"/>
      <c r="AC472" s="267"/>
    </row>
    <row r="473" ht="13.5" customHeight="1">
      <c r="A473" s="267"/>
      <c r="B473" s="267"/>
      <c r="C473" s="433"/>
      <c r="D473" s="433"/>
      <c r="E473" s="433"/>
      <c r="F473" s="433"/>
      <c r="G473" s="267"/>
      <c r="H473" s="267"/>
      <c r="I473" s="267"/>
      <c r="J473" s="433"/>
      <c r="K473" s="433"/>
      <c r="L473" s="434"/>
      <c r="M473" s="267"/>
      <c r="N473" s="267"/>
      <c r="O473" s="267"/>
      <c r="P473" s="267"/>
      <c r="Q473" s="267"/>
      <c r="R473" s="267"/>
      <c r="S473" s="267"/>
      <c r="T473" s="267"/>
      <c r="U473" s="267"/>
      <c r="V473" s="267"/>
      <c r="W473" s="267"/>
      <c r="X473" s="267"/>
      <c r="Y473" s="267"/>
      <c r="Z473" s="267"/>
      <c r="AA473" s="267"/>
      <c r="AB473" s="267"/>
      <c r="AC473" s="267"/>
    </row>
    <row r="474" ht="13.5" customHeight="1">
      <c r="A474" s="267"/>
      <c r="B474" s="267"/>
      <c r="C474" s="433"/>
      <c r="D474" s="433"/>
      <c r="E474" s="433"/>
      <c r="F474" s="433"/>
      <c r="G474" s="267"/>
      <c r="H474" s="267"/>
      <c r="I474" s="267"/>
      <c r="J474" s="433"/>
      <c r="K474" s="433"/>
      <c r="L474" s="434"/>
      <c r="M474" s="267"/>
      <c r="N474" s="267"/>
      <c r="O474" s="267"/>
      <c r="P474" s="267"/>
      <c r="Q474" s="267"/>
      <c r="R474" s="267"/>
      <c r="S474" s="267"/>
      <c r="T474" s="267"/>
      <c r="U474" s="267"/>
      <c r="V474" s="267"/>
      <c r="W474" s="267"/>
      <c r="X474" s="267"/>
      <c r="Y474" s="267"/>
      <c r="Z474" s="267"/>
      <c r="AA474" s="267"/>
      <c r="AB474" s="267"/>
      <c r="AC474" s="267"/>
    </row>
    <row r="475" ht="13.5" customHeight="1">
      <c r="A475" s="267"/>
      <c r="B475" s="267"/>
      <c r="C475" s="433"/>
      <c r="D475" s="433"/>
      <c r="E475" s="433"/>
      <c r="F475" s="433"/>
      <c r="G475" s="267"/>
      <c r="H475" s="267"/>
      <c r="I475" s="267"/>
      <c r="J475" s="433"/>
      <c r="K475" s="433"/>
      <c r="L475" s="434"/>
      <c r="M475" s="267"/>
      <c r="N475" s="267"/>
      <c r="O475" s="267"/>
      <c r="P475" s="267"/>
      <c r="Q475" s="267"/>
      <c r="R475" s="267"/>
      <c r="S475" s="267"/>
      <c r="T475" s="267"/>
      <c r="U475" s="267"/>
      <c r="V475" s="267"/>
      <c r="W475" s="267"/>
      <c r="X475" s="267"/>
      <c r="Y475" s="267"/>
      <c r="Z475" s="267"/>
      <c r="AA475" s="267"/>
      <c r="AB475" s="267"/>
      <c r="AC475" s="267"/>
    </row>
    <row r="476" ht="13.5" customHeight="1">
      <c r="A476" s="267"/>
      <c r="B476" s="267"/>
      <c r="C476" s="433"/>
      <c r="D476" s="433"/>
      <c r="E476" s="433"/>
      <c r="F476" s="433"/>
      <c r="G476" s="267"/>
      <c r="H476" s="267"/>
      <c r="I476" s="267"/>
      <c r="J476" s="433"/>
      <c r="K476" s="433"/>
      <c r="L476" s="434"/>
      <c r="M476" s="267"/>
      <c r="N476" s="267"/>
      <c r="O476" s="267"/>
      <c r="P476" s="267"/>
      <c r="Q476" s="267"/>
      <c r="R476" s="267"/>
      <c r="S476" s="267"/>
      <c r="T476" s="267"/>
      <c r="U476" s="267"/>
      <c r="V476" s="267"/>
      <c r="W476" s="267"/>
      <c r="X476" s="267"/>
      <c r="Y476" s="267"/>
      <c r="Z476" s="267"/>
      <c r="AA476" s="267"/>
      <c r="AB476" s="267"/>
      <c r="AC476" s="267"/>
    </row>
    <row r="477" ht="13.5" customHeight="1">
      <c r="A477" s="267"/>
      <c r="B477" s="267"/>
      <c r="C477" s="433"/>
      <c r="D477" s="433"/>
      <c r="E477" s="433"/>
      <c r="F477" s="433"/>
      <c r="G477" s="267"/>
      <c r="H477" s="267"/>
      <c r="I477" s="267"/>
      <c r="J477" s="433"/>
      <c r="K477" s="433"/>
      <c r="L477" s="434"/>
      <c r="M477" s="267"/>
      <c r="N477" s="267"/>
      <c r="O477" s="267"/>
      <c r="P477" s="267"/>
      <c r="Q477" s="267"/>
      <c r="R477" s="267"/>
      <c r="S477" s="267"/>
      <c r="T477" s="267"/>
      <c r="U477" s="267"/>
      <c r="V477" s="267"/>
      <c r="W477" s="267"/>
      <c r="X477" s="267"/>
      <c r="Y477" s="267"/>
      <c r="Z477" s="267"/>
      <c r="AA477" s="267"/>
      <c r="AB477" s="267"/>
      <c r="AC477" s="267"/>
    </row>
    <row r="478" ht="13.5" customHeight="1">
      <c r="A478" s="267"/>
      <c r="B478" s="267"/>
      <c r="C478" s="433"/>
      <c r="D478" s="433"/>
      <c r="E478" s="433"/>
      <c r="F478" s="433"/>
      <c r="G478" s="267"/>
      <c r="H478" s="267"/>
      <c r="I478" s="267"/>
      <c r="J478" s="433"/>
      <c r="K478" s="433"/>
      <c r="L478" s="434"/>
      <c r="M478" s="267"/>
      <c r="N478" s="267"/>
      <c r="O478" s="267"/>
      <c r="P478" s="267"/>
      <c r="Q478" s="267"/>
      <c r="R478" s="267"/>
      <c r="S478" s="267"/>
      <c r="T478" s="267"/>
      <c r="U478" s="267"/>
      <c r="V478" s="267"/>
      <c r="W478" s="267"/>
      <c r="X478" s="267"/>
      <c r="Y478" s="267"/>
      <c r="Z478" s="267"/>
      <c r="AA478" s="267"/>
      <c r="AB478" s="267"/>
      <c r="AC478" s="267"/>
    </row>
    <row r="479" ht="13.5" customHeight="1">
      <c r="A479" s="267"/>
      <c r="B479" s="267"/>
      <c r="C479" s="433"/>
      <c r="D479" s="433"/>
      <c r="E479" s="433"/>
      <c r="F479" s="433"/>
      <c r="G479" s="267"/>
      <c r="H479" s="267"/>
      <c r="I479" s="267"/>
      <c r="J479" s="433"/>
      <c r="K479" s="433"/>
      <c r="L479" s="434"/>
      <c r="M479" s="267"/>
      <c r="N479" s="267"/>
      <c r="O479" s="267"/>
      <c r="P479" s="267"/>
      <c r="Q479" s="267"/>
      <c r="R479" s="267"/>
      <c r="S479" s="267"/>
      <c r="T479" s="267"/>
      <c r="U479" s="267"/>
      <c r="V479" s="267"/>
      <c r="W479" s="267"/>
      <c r="X479" s="267"/>
      <c r="Y479" s="267"/>
      <c r="Z479" s="267"/>
      <c r="AA479" s="267"/>
      <c r="AB479" s="267"/>
      <c r="AC479" s="267"/>
    </row>
    <row r="480" ht="13.5" customHeight="1">
      <c r="A480" s="267"/>
      <c r="B480" s="267"/>
      <c r="C480" s="433"/>
      <c r="D480" s="433"/>
      <c r="E480" s="433"/>
      <c r="F480" s="433"/>
      <c r="G480" s="267"/>
      <c r="H480" s="267"/>
      <c r="I480" s="267"/>
      <c r="J480" s="433"/>
      <c r="K480" s="433"/>
      <c r="L480" s="434"/>
      <c r="M480" s="267"/>
      <c r="N480" s="267"/>
      <c r="O480" s="267"/>
      <c r="P480" s="267"/>
      <c r="Q480" s="267"/>
      <c r="R480" s="267"/>
      <c r="S480" s="267"/>
      <c r="T480" s="267"/>
      <c r="U480" s="267"/>
      <c r="V480" s="267"/>
      <c r="W480" s="267"/>
      <c r="X480" s="267"/>
      <c r="Y480" s="267"/>
      <c r="Z480" s="267"/>
      <c r="AA480" s="267"/>
      <c r="AB480" s="267"/>
      <c r="AC480" s="267"/>
    </row>
    <row r="481" ht="13.5" customHeight="1">
      <c r="A481" s="267"/>
      <c r="B481" s="267"/>
      <c r="C481" s="433"/>
      <c r="D481" s="433"/>
      <c r="E481" s="433"/>
      <c r="F481" s="433"/>
      <c r="G481" s="267"/>
      <c r="H481" s="267"/>
      <c r="I481" s="267"/>
      <c r="J481" s="433"/>
      <c r="K481" s="433"/>
      <c r="L481" s="434"/>
      <c r="M481" s="267"/>
      <c r="N481" s="267"/>
      <c r="O481" s="267"/>
      <c r="P481" s="267"/>
      <c r="Q481" s="267"/>
      <c r="R481" s="267"/>
      <c r="S481" s="267"/>
      <c r="T481" s="267"/>
      <c r="U481" s="267"/>
      <c r="V481" s="267"/>
      <c r="W481" s="267"/>
      <c r="X481" s="267"/>
      <c r="Y481" s="267"/>
      <c r="Z481" s="267"/>
      <c r="AA481" s="267"/>
      <c r="AB481" s="267"/>
      <c r="AC481" s="267"/>
    </row>
    <row r="482" ht="13.5" customHeight="1">
      <c r="A482" s="267"/>
      <c r="B482" s="267"/>
      <c r="C482" s="433"/>
      <c r="D482" s="433"/>
      <c r="E482" s="433"/>
      <c r="F482" s="433"/>
      <c r="G482" s="267"/>
      <c r="H482" s="267"/>
      <c r="I482" s="267"/>
      <c r="J482" s="433"/>
      <c r="K482" s="433"/>
      <c r="L482" s="434"/>
      <c r="M482" s="267"/>
      <c r="N482" s="267"/>
      <c r="O482" s="267"/>
      <c r="P482" s="267"/>
      <c r="Q482" s="267"/>
      <c r="R482" s="267"/>
      <c r="S482" s="267"/>
      <c r="T482" s="267"/>
      <c r="U482" s="267"/>
      <c r="V482" s="267"/>
      <c r="W482" s="267"/>
      <c r="X482" s="267"/>
      <c r="Y482" s="267"/>
      <c r="Z482" s="267"/>
      <c r="AA482" s="267"/>
      <c r="AB482" s="267"/>
      <c r="AC482" s="267"/>
    </row>
    <row r="483" ht="13.5" customHeight="1">
      <c r="A483" s="267"/>
      <c r="B483" s="267"/>
      <c r="C483" s="433"/>
      <c r="D483" s="433"/>
      <c r="E483" s="433"/>
      <c r="F483" s="433"/>
      <c r="G483" s="267"/>
      <c r="H483" s="267"/>
      <c r="I483" s="267"/>
      <c r="J483" s="433"/>
      <c r="K483" s="433"/>
      <c r="L483" s="434"/>
      <c r="M483" s="267"/>
      <c r="N483" s="267"/>
      <c r="O483" s="267"/>
      <c r="P483" s="267"/>
      <c r="Q483" s="267"/>
      <c r="R483" s="267"/>
      <c r="S483" s="267"/>
      <c r="T483" s="267"/>
      <c r="U483" s="267"/>
      <c r="V483" s="267"/>
      <c r="W483" s="267"/>
      <c r="X483" s="267"/>
      <c r="Y483" s="267"/>
      <c r="Z483" s="267"/>
      <c r="AA483" s="267"/>
      <c r="AB483" s="267"/>
      <c r="AC483" s="267"/>
    </row>
    <row r="484" ht="13.5" customHeight="1">
      <c r="A484" s="267"/>
      <c r="B484" s="267"/>
      <c r="C484" s="433"/>
      <c r="D484" s="433"/>
      <c r="E484" s="433"/>
      <c r="F484" s="433"/>
      <c r="G484" s="267"/>
      <c r="H484" s="267"/>
      <c r="I484" s="267"/>
      <c r="J484" s="433"/>
      <c r="K484" s="433"/>
      <c r="L484" s="434"/>
      <c r="M484" s="267"/>
      <c r="N484" s="267"/>
      <c r="O484" s="267"/>
      <c r="P484" s="267"/>
      <c r="Q484" s="267"/>
      <c r="R484" s="267"/>
      <c r="S484" s="267"/>
      <c r="T484" s="267"/>
      <c r="U484" s="267"/>
      <c r="V484" s="267"/>
      <c r="W484" s="267"/>
      <c r="X484" s="267"/>
      <c r="Y484" s="267"/>
      <c r="Z484" s="267"/>
      <c r="AA484" s="267"/>
      <c r="AB484" s="267"/>
      <c r="AC484" s="267"/>
    </row>
    <row r="485" ht="13.5" customHeight="1">
      <c r="A485" s="267"/>
      <c r="B485" s="267"/>
      <c r="C485" s="433"/>
      <c r="D485" s="433"/>
      <c r="E485" s="433"/>
      <c r="F485" s="433"/>
      <c r="G485" s="267"/>
      <c r="H485" s="267"/>
      <c r="I485" s="267"/>
      <c r="J485" s="433"/>
      <c r="K485" s="433"/>
      <c r="L485" s="434"/>
      <c r="M485" s="267"/>
      <c r="N485" s="267"/>
      <c r="O485" s="267"/>
      <c r="P485" s="267"/>
      <c r="Q485" s="267"/>
      <c r="R485" s="267"/>
      <c r="S485" s="267"/>
      <c r="T485" s="267"/>
      <c r="U485" s="267"/>
      <c r="V485" s="267"/>
      <c r="W485" s="267"/>
      <c r="X485" s="267"/>
      <c r="Y485" s="267"/>
      <c r="Z485" s="267"/>
      <c r="AA485" s="267"/>
      <c r="AB485" s="267"/>
      <c r="AC485" s="267"/>
    </row>
    <row r="486" ht="13.5" customHeight="1">
      <c r="A486" s="267"/>
      <c r="B486" s="267"/>
      <c r="C486" s="433"/>
      <c r="D486" s="433"/>
      <c r="E486" s="433"/>
      <c r="F486" s="433"/>
      <c r="G486" s="267"/>
      <c r="H486" s="267"/>
      <c r="I486" s="267"/>
      <c r="J486" s="433"/>
      <c r="K486" s="433"/>
      <c r="L486" s="434"/>
      <c r="M486" s="267"/>
      <c r="N486" s="267"/>
      <c r="O486" s="267"/>
      <c r="P486" s="267"/>
      <c r="Q486" s="267"/>
      <c r="R486" s="267"/>
      <c r="S486" s="267"/>
      <c r="T486" s="267"/>
      <c r="U486" s="267"/>
      <c r="V486" s="267"/>
      <c r="W486" s="267"/>
      <c r="X486" s="267"/>
      <c r="Y486" s="267"/>
      <c r="Z486" s="267"/>
      <c r="AA486" s="267"/>
      <c r="AB486" s="267"/>
      <c r="AC486" s="267"/>
    </row>
    <row r="487" ht="13.5" customHeight="1">
      <c r="A487" s="267"/>
      <c r="B487" s="267"/>
      <c r="C487" s="433"/>
      <c r="D487" s="433"/>
      <c r="E487" s="433"/>
      <c r="F487" s="433"/>
      <c r="G487" s="267"/>
      <c r="H487" s="267"/>
      <c r="I487" s="267"/>
      <c r="J487" s="433"/>
      <c r="K487" s="433"/>
      <c r="L487" s="434"/>
      <c r="M487" s="267"/>
      <c r="N487" s="267"/>
      <c r="O487" s="267"/>
      <c r="P487" s="267"/>
      <c r="Q487" s="267"/>
      <c r="R487" s="267"/>
      <c r="S487" s="267"/>
      <c r="T487" s="267"/>
      <c r="U487" s="267"/>
      <c r="V487" s="267"/>
      <c r="W487" s="267"/>
      <c r="X487" s="267"/>
      <c r="Y487" s="267"/>
      <c r="Z487" s="267"/>
      <c r="AA487" s="267"/>
      <c r="AB487" s="267"/>
      <c r="AC487" s="267"/>
    </row>
    <row r="488" ht="13.5" customHeight="1">
      <c r="A488" s="267"/>
      <c r="B488" s="267"/>
      <c r="C488" s="433"/>
      <c r="D488" s="433"/>
      <c r="E488" s="433"/>
      <c r="F488" s="433"/>
      <c r="G488" s="267"/>
      <c r="H488" s="267"/>
      <c r="I488" s="267"/>
      <c r="J488" s="433"/>
      <c r="K488" s="433"/>
      <c r="L488" s="434"/>
      <c r="M488" s="267"/>
      <c r="N488" s="267"/>
      <c r="O488" s="267"/>
      <c r="P488" s="267"/>
      <c r="Q488" s="267"/>
      <c r="R488" s="267"/>
      <c r="S488" s="267"/>
      <c r="T488" s="267"/>
      <c r="U488" s="267"/>
      <c r="V488" s="267"/>
      <c r="W488" s="267"/>
      <c r="X488" s="267"/>
      <c r="Y488" s="267"/>
      <c r="Z488" s="267"/>
      <c r="AA488" s="267"/>
      <c r="AB488" s="267"/>
      <c r="AC488" s="267"/>
    </row>
    <row r="489" ht="13.5" customHeight="1">
      <c r="A489" s="267"/>
      <c r="B489" s="267"/>
      <c r="C489" s="433"/>
      <c r="D489" s="433"/>
      <c r="E489" s="433"/>
      <c r="F489" s="433"/>
      <c r="G489" s="267"/>
      <c r="H489" s="267"/>
      <c r="I489" s="267"/>
      <c r="J489" s="433"/>
      <c r="K489" s="433"/>
      <c r="L489" s="434"/>
      <c r="M489" s="267"/>
      <c r="N489" s="267"/>
      <c r="O489" s="267"/>
      <c r="P489" s="267"/>
      <c r="Q489" s="267"/>
      <c r="R489" s="267"/>
      <c r="S489" s="267"/>
      <c r="T489" s="267"/>
      <c r="U489" s="267"/>
      <c r="V489" s="267"/>
      <c r="W489" s="267"/>
      <c r="X489" s="267"/>
      <c r="Y489" s="267"/>
      <c r="Z489" s="267"/>
      <c r="AA489" s="267"/>
      <c r="AB489" s="267"/>
      <c r="AC489" s="267"/>
    </row>
    <row r="490" ht="13.5" customHeight="1">
      <c r="A490" s="267"/>
      <c r="B490" s="267"/>
      <c r="C490" s="433"/>
      <c r="D490" s="433"/>
      <c r="E490" s="433"/>
      <c r="F490" s="433"/>
      <c r="G490" s="267"/>
      <c r="H490" s="267"/>
      <c r="I490" s="267"/>
      <c r="J490" s="433"/>
      <c r="K490" s="433"/>
      <c r="L490" s="434"/>
      <c r="M490" s="267"/>
      <c r="N490" s="267"/>
      <c r="O490" s="267"/>
      <c r="P490" s="267"/>
      <c r="Q490" s="267"/>
      <c r="R490" s="267"/>
      <c r="S490" s="267"/>
      <c r="T490" s="267"/>
      <c r="U490" s="267"/>
      <c r="V490" s="267"/>
      <c r="W490" s="267"/>
      <c r="X490" s="267"/>
      <c r="Y490" s="267"/>
      <c r="Z490" s="267"/>
      <c r="AA490" s="267"/>
      <c r="AB490" s="267"/>
      <c r="AC490" s="267"/>
    </row>
    <row r="491" ht="13.5" customHeight="1">
      <c r="A491" s="267"/>
      <c r="B491" s="267"/>
      <c r="C491" s="433"/>
      <c r="D491" s="433"/>
      <c r="E491" s="433"/>
      <c r="F491" s="433"/>
      <c r="G491" s="267"/>
      <c r="H491" s="267"/>
      <c r="I491" s="267"/>
      <c r="J491" s="433"/>
      <c r="K491" s="433"/>
      <c r="L491" s="434"/>
      <c r="M491" s="267"/>
      <c r="N491" s="267"/>
      <c r="O491" s="267"/>
      <c r="P491" s="267"/>
      <c r="Q491" s="267"/>
      <c r="R491" s="267"/>
      <c r="S491" s="267"/>
      <c r="T491" s="267"/>
      <c r="U491" s="267"/>
      <c r="V491" s="267"/>
      <c r="W491" s="267"/>
      <c r="X491" s="267"/>
      <c r="Y491" s="267"/>
      <c r="Z491" s="267"/>
      <c r="AA491" s="267"/>
      <c r="AB491" s="267"/>
      <c r="AC491" s="267"/>
    </row>
    <row r="492" ht="13.5" customHeight="1">
      <c r="A492" s="267"/>
      <c r="B492" s="267"/>
      <c r="C492" s="433"/>
      <c r="D492" s="433"/>
      <c r="E492" s="433"/>
      <c r="F492" s="433"/>
      <c r="G492" s="267"/>
      <c r="H492" s="267"/>
      <c r="I492" s="267"/>
      <c r="J492" s="433"/>
      <c r="K492" s="433"/>
      <c r="L492" s="434"/>
      <c r="M492" s="267"/>
      <c r="N492" s="267"/>
      <c r="O492" s="267"/>
      <c r="P492" s="267"/>
      <c r="Q492" s="267"/>
      <c r="R492" s="267"/>
      <c r="S492" s="267"/>
      <c r="T492" s="267"/>
      <c r="U492" s="267"/>
      <c r="V492" s="267"/>
      <c r="W492" s="267"/>
      <c r="X492" s="267"/>
      <c r="Y492" s="267"/>
      <c r="Z492" s="267"/>
      <c r="AA492" s="267"/>
      <c r="AB492" s="267"/>
      <c r="AC492" s="267"/>
    </row>
    <row r="493" ht="13.5" customHeight="1">
      <c r="A493" s="267"/>
      <c r="B493" s="267"/>
      <c r="C493" s="433"/>
      <c r="D493" s="433"/>
      <c r="E493" s="433"/>
      <c r="F493" s="433"/>
      <c r="G493" s="267"/>
      <c r="H493" s="267"/>
      <c r="I493" s="267"/>
      <c r="J493" s="433"/>
      <c r="K493" s="433"/>
      <c r="L493" s="434"/>
      <c r="M493" s="267"/>
      <c r="N493" s="267"/>
      <c r="O493" s="267"/>
      <c r="P493" s="267"/>
      <c r="Q493" s="267"/>
      <c r="R493" s="267"/>
      <c r="S493" s="267"/>
      <c r="T493" s="267"/>
      <c r="U493" s="267"/>
      <c r="V493" s="267"/>
      <c r="W493" s="267"/>
      <c r="X493" s="267"/>
      <c r="Y493" s="267"/>
      <c r="Z493" s="267"/>
      <c r="AA493" s="267"/>
      <c r="AB493" s="267"/>
      <c r="AC493" s="267"/>
    </row>
    <row r="494" ht="13.5" customHeight="1">
      <c r="A494" s="267"/>
      <c r="B494" s="267"/>
      <c r="C494" s="433"/>
      <c r="D494" s="433"/>
      <c r="E494" s="433"/>
      <c r="F494" s="433"/>
      <c r="G494" s="267"/>
      <c r="H494" s="267"/>
      <c r="I494" s="267"/>
      <c r="J494" s="433"/>
      <c r="K494" s="433"/>
      <c r="L494" s="434"/>
      <c r="M494" s="267"/>
      <c r="N494" s="267"/>
      <c r="O494" s="267"/>
      <c r="P494" s="267"/>
      <c r="Q494" s="267"/>
      <c r="R494" s="267"/>
      <c r="S494" s="267"/>
      <c r="T494" s="267"/>
      <c r="U494" s="267"/>
      <c r="V494" s="267"/>
      <c r="W494" s="267"/>
      <c r="X494" s="267"/>
      <c r="Y494" s="267"/>
      <c r="Z494" s="267"/>
      <c r="AA494" s="267"/>
      <c r="AB494" s="267"/>
      <c r="AC494" s="267"/>
    </row>
    <row r="495" ht="13.5" customHeight="1">
      <c r="A495" s="267"/>
      <c r="B495" s="267"/>
      <c r="C495" s="433"/>
      <c r="D495" s="433"/>
      <c r="E495" s="433"/>
      <c r="F495" s="433"/>
      <c r="G495" s="267"/>
      <c r="H495" s="267"/>
      <c r="I495" s="267"/>
      <c r="J495" s="433"/>
      <c r="K495" s="433"/>
      <c r="L495" s="434"/>
      <c r="M495" s="267"/>
      <c r="N495" s="267"/>
      <c r="O495" s="267"/>
      <c r="P495" s="267"/>
      <c r="Q495" s="267"/>
      <c r="R495" s="267"/>
      <c r="S495" s="267"/>
      <c r="T495" s="267"/>
      <c r="U495" s="267"/>
      <c r="V495" s="267"/>
      <c r="W495" s="267"/>
      <c r="X495" s="267"/>
      <c r="Y495" s="267"/>
      <c r="Z495" s="267"/>
      <c r="AA495" s="267"/>
      <c r="AB495" s="267"/>
      <c r="AC495" s="267"/>
    </row>
    <row r="496" ht="13.5" customHeight="1">
      <c r="A496" s="267"/>
      <c r="B496" s="267"/>
      <c r="C496" s="433"/>
      <c r="D496" s="433"/>
      <c r="E496" s="433"/>
      <c r="F496" s="433"/>
      <c r="G496" s="267"/>
      <c r="H496" s="267"/>
      <c r="I496" s="267"/>
      <c r="J496" s="433"/>
      <c r="K496" s="433"/>
      <c r="L496" s="434"/>
      <c r="M496" s="267"/>
      <c r="N496" s="267"/>
      <c r="O496" s="267"/>
      <c r="P496" s="267"/>
      <c r="Q496" s="267"/>
      <c r="R496" s="267"/>
      <c r="S496" s="267"/>
      <c r="T496" s="267"/>
      <c r="U496" s="267"/>
      <c r="V496" s="267"/>
      <c r="W496" s="267"/>
      <c r="X496" s="267"/>
      <c r="Y496" s="267"/>
      <c r="Z496" s="267"/>
      <c r="AA496" s="267"/>
      <c r="AB496" s="267"/>
      <c r="AC496" s="267"/>
    </row>
    <row r="497" ht="13.5" customHeight="1">
      <c r="A497" s="267"/>
      <c r="B497" s="267"/>
      <c r="C497" s="433"/>
      <c r="D497" s="433"/>
      <c r="E497" s="433"/>
      <c r="F497" s="433"/>
      <c r="G497" s="267"/>
      <c r="H497" s="267"/>
      <c r="I497" s="267"/>
      <c r="J497" s="433"/>
      <c r="K497" s="433"/>
      <c r="L497" s="434"/>
      <c r="M497" s="267"/>
      <c r="N497" s="267"/>
      <c r="O497" s="267"/>
      <c r="P497" s="267"/>
      <c r="Q497" s="267"/>
      <c r="R497" s="267"/>
      <c r="S497" s="267"/>
      <c r="T497" s="267"/>
      <c r="U497" s="267"/>
      <c r="V497" s="267"/>
      <c r="W497" s="267"/>
      <c r="X497" s="267"/>
      <c r="Y497" s="267"/>
      <c r="Z497" s="267"/>
      <c r="AA497" s="267"/>
      <c r="AB497" s="267"/>
      <c r="AC497" s="267"/>
    </row>
    <row r="498" ht="13.5" customHeight="1">
      <c r="A498" s="267"/>
      <c r="B498" s="267"/>
      <c r="C498" s="433"/>
      <c r="D498" s="433"/>
      <c r="E498" s="433"/>
      <c r="F498" s="433"/>
      <c r="G498" s="267"/>
      <c r="H498" s="267"/>
      <c r="I498" s="267"/>
      <c r="J498" s="433"/>
      <c r="K498" s="433"/>
      <c r="L498" s="434"/>
      <c r="M498" s="267"/>
      <c r="N498" s="267"/>
      <c r="O498" s="267"/>
      <c r="P498" s="267"/>
      <c r="Q498" s="267"/>
      <c r="R498" s="267"/>
      <c r="S498" s="267"/>
      <c r="T498" s="267"/>
      <c r="U498" s="267"/>
      <c r="V498" s="267"/>
      <c r="W498" s="267"/>
      <c r="X498" s="267"/>
      <c r="Y498" s="267"/>
      <c r="Z498" s="267"/>
      <c r="AA498" s="267"/>
      <c r="AB498" s="267"/>
      <c r="AC498" s="267"/>
    </row>
    <row r="499" ht="13.5" customHeight="1">
      <c r="A499" s="267"/>
      <c r="B499" s="267"/>
      <c r="C499" s="433"/>
      <c r="D499" s="433"/>
      <c r="E499" s="433"/>
      <c r="F499" s="433"/>
      <c r="G499" s="267"/>
      <c r="H499" s="267"/>
      <c r="I499" s="267"/>
      <c r="J499" s="433"/>
      <c r="K499" s="433"/>
      <c r="L499" s="434"/>
      <c r="M499" s="267"/>
      <c r="N499" s="267"/>
      <c r="O499" s="267"/>
      <c r="P499" s="267"/>
      <c r="Q499" s="267"/>
      <c r="R499" s="267"/>
      <c r="S499" s="267"/>
      <c r="T499" s="267"/>
      <c r="U499" s="267"/>
      <c r="V499" s="267"/>
      <c r="W499" s="267"/>
      <c r="X499" s="267"/>
      <c r="Y499" s="267"/>
      <c r="Z499" s="267"/>
      <c r="AA499" s="267"/>
      <c r="AB499" s="267"/>
      <c r="AC499" s="267"/>
    </row>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58">
    <mergeCell ref="H101:H102"/>
    <mergeCell ref="I101:I102"/>
    <mergeCell ref="J101:J102"/>
    <mergeCell ref="K101:K102"/>
    <mergeCell ref="B144:K144"/>
    <mergeCell ref="B145:L145"/>
    <mergeCell ref="B146:L146"/>
    <mergeCell ref="B147:L147"/>
    <mergeCell ref="B148:L148"/>
    <mergeCell ref="E89:M89"/>
    <mergeCell ref="W89:AE89"/>
    <mergeCell ref="A2:L2"/>
    <mergeCell ref="A3:M8"/>
    <mergeCell ref="A9:L36"/>
    <mergeCell ref="A37:B37"/>
    <mergeCell ref="A38:L85"/>
    <mergeCell ref="A87:L87"/>
    <mergeCell ref="A88:M88"/>
    <mergeCell ref="E90:M91"/>
    <mergeCell ref="E92:M92"/>
    <mergeCell ref="E93:M93"/>
    <mergeCell ref="E94:M94"/>
    <mergeCell ref="E95:M95"/>
    <mergeCell ref="E96:M96"/>
    <mergeCell ref="E97:M97"/>
    <mergeCell ref="F101:F102"/>
    <mergeCell ref="G101:G102"/>
    <mergeCell ref="L101:L102"/>
    <mergeCell ref="M101:M102"/>
    <mergeCell ref="E98:M98"/>
    <mergeCell ref="E99:M99"/>
    <mergeCell ref="A101:A102"/>
    <mergeCell ref="B101:B102"/>
    <mergeCell ref="C101:C102"/>
    <mergeCell ref="D101:D102"/>
    <mergeCell ref="E101:E102"/>
    <mergeCell ref="A158:L158"/>
    <mergeCell ref="C159:F159"/>
    <mergeCell ref="J159:K159"/>
    <mergeCell ref="A160:L160"/>
    <mergeCell ref="L179:M179"/>
    <mergeCell ref="L180:M180"/>
    <mergeCell ref="L172:M172"/>
    <mergeCell ref="L173:M173"/>
    <mergeCell ref="L174:M174"/>
    <mergeCell ref="L175:M175"/>
    <mergeCell ref="L176:M176"/>
    <mergeCell ref="L177:M177"/>
    <mergeCell ref="L178:M178"/>
    <mergeCell ref="L181:M181"/>
    <mergeCell ref="L182:M182"/>
    <mergeCell ref="L165:M165"/>
    <mergeCell ref="L166:M166"/>
    <mergeCell ref="L167:M167"/>
    <mergeCell ref="L168:M168"/>
    <mergeCell ref="L169:M169"/>
    <mergeCell ref="L170:M170"/>
    <mergeCell ref="L171:M171"/>
    <mergeCell ref="J153:K153"/>
    <mergeCell ref="J154:K154"/>
    <mergeCell ref="J155:K155"/>
    <mergeCell ref="J156:K156"/>
    <mergeCell ref="J157:K157"/>
    <mergeCell ref="A150:L150"/>
    <mergeCell ref="E151:F151"/>
    <mergeCell ref="J151:K151"/>
    <mergeCell ref="E152:F152"/>
    <mergeCell ref="J152:K152"/>
    <mergeCell ref="E153:F153"/>
    <mergeCell ref="E154:F154"/>
    <mergeCell ref="A161:A162"/>
    <mergeCell ref="B161:B162"/>
    <mergeCell ref="C161:C162"/>
    <mergeCell ref="D161:D162"/>
    <mergeCell ref="E161:E162"/>
    <mergeCell ref="F161:F162"/>
    <mergeCell ref="G161:G162"/>
    <mergeCell ref="H161:H162"/>
    <mergeCell ref="I161:I162"/>
    <mergeCell ref="J161:M161"/>
    <mergeCell ref="L162:M162"/>
    <mergeCell ref="G163:H163"/>
    <mergeCell ref="L163:M163"/>
    <mergeCell ref="L164:M164"/>
    <mergeCell ref="G164:H164"/>
    <mergeCell ref="G165:H165"/>
    <mergeCell ref="G166:H166"/>
    <mergeCell ref="G168:H168"/>
    <mergeCell ref="G169:H169"/>
    <mergeCell ref="G170:H170"/>
    <mergeCell ref="G171:H171"/>
    <mergeCell ref="G173:H173"/>
    <mergeCell ref="G174:H174"/>
    <mergeCell ref="G175:H175"/>
    <mergeCell ref="G176:H176"/>
    <mergeCell ref="G177:H177"/>
    <mergeCell ref="G178:H178"/>
    <mergeCell ref="G179:H179"/>
    <mergeCell ref="L186:M186"/>
    <mergeCell ref="L187:M187"/>
    <mergeCell ref="G209:I209"/>
    <mergeCell ref="G210:I210"/>
    <mergeCell ref="A229:M240"/>
    <mergeCell ref="A241:M251"/>
    <mergeCell ref="A252:M253"/>
    <mergeCell ref="A254:M271"/>
    <mergeCell ref="A272:M298"/>
    <mergeCell ref="A299:M301"/>
    <mergeCell ref="G202:H202"/>
    <mergeCell ref="G203:H203"/>
    <mergeCell ref="G204:H204"/>
    <mergeCell ref="G205:H205"/>
    <mergeCell ref="G206:H206"/>
    <mergeCell ref="G207:H207"/>
    <mergeCell ref="G208:H208"/>
    <mergeCell ref="G181:H181"/>
    <mergeCell ref="G182:H182"/>
    <mergeCell ref="G183:H183"/>
    <mergeCell ref="L183:M183"/>
    <mergeCell ref="G184:H184"/>
    <mergeCell ref="L184:M184"/>
    <mergeCell ref="L185:M185"/>
    <mergeCell ref="L189:M189"/>
    <mergeCell ref="L190:M190"/>
    <mergeCell ref="L191:M191"/>
    <mergeCell ref="G185:H185"/>
    <mergeCell ref="G186:H186"/>
    <mergeCell ref="G187:H187"/>
    <mergeCell ref="G188:H188"/>
    <mergeCell ref="L188:M188"/>
    <mergeCell ref="G189:H189"/>
    <mergeCell ref="G190:H190"/>
    <mergeCell ref="G192:H192"/>
    <mergeCell ref="L192:M192"/>
    <mergeCell ref="G193:H193"/>
    <mergeCell ref="L193:M193"/>
    <mergeCell ref="G194:H194"/>
    <mergeCell ref="L194:M194"/>
    <mergeCell ref="G195:H195"/>
    <mergeCell ref="G197:H197"/>
    <mergeCell ref="L197:M197"/>
    <mergeCell ref="G198:H198"/>
    <mergeCell ref="L198:M198"/>
    <mergeCell ref="G201:H201"/>
    <mergeCell ref="L201:M201"/>
    <mergeCell ref="L202:M202"/>
    <mergeCell ref="L206:M206"/>
    <mergeCell ref="L207:M207"/>
    <mergeCell ref="L208:M208"/>
    <mergeCell ref="L209:M209"/>
    <mergeCell ref="L210:M210"/>
    <mergeCell ref="L195:M195"/>
    <mergeCell ref="L196:M196"/>
    <mergeCell ref="L199:M199"/>
    <mergeCell ref="L200:M200"/>
    <mergeCell ref="L203:M203"/>
    <mergeCell ref="L204:M204"/>
    <mergeCell ref="L205:M20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6" width="7.63"/>
    <col customWidth="1" min="7" max="7" width="8.0"/>
    <col customWidth="1" min="8" max="8" width="7.25"/>
    <col customWidth="1" min="9" max="9" width="7.88"/>
    <col customWidth="1" min="10" max="11" width="7.63"/>
    <col customWidth="1" min="12" max="12" width="9.75"/>
    <col customWidth="1" min="13" max="24" width="12.63"/>
  </cols>
  <sheetData>
    <row r="1" ht="13.5" customHeight="1">
      <c r="A1" s="263"/>
      <c r="B1" s="437"/>
      <c r="C1" s="264"/>
      <c r="D1" s="264"/>
      <c r="E1" s="265"/>
      <c r="F1" s="265"/>
      <c r="G1" s="263"/>
      <c r="H1" s="263"/>
      <c r="I1" s="263"/>
      <c r="J1" s="266"/>
      <c r="K1" s="266"/>
      <c r="L1" s="263"/>
    </row>
    <row r="2" ht="13.5" customHeight="1">
      <c r="A2" s="263"/>
      <c r="B2" s="437"/>
      <c r="C2" s="264"/>
      <c r="D2" s="264"/>
      <c r="E2" s="265"/>
      <c r="F2" s="265"/>
      <c r="G2" s="263"/>
      <c r="H2" s="263"/>
      <c r="I2" s="263"/>
      <c r="J2" s="266"/>
      <c r="K2" s="266"/>
      <c r="L2" s="263"/>
    </row>
    <row r="3" ht="13.5" customHeight="1">
      <c r="A3" s="263"/>
      <c r="B3" s="437"/>
      <c r="C3" s="264"/>
      <c r="D3" s="264"/>
      <c r="E3" s="265"/>
      <c r="F3" s="265"/>
      <c r="G3" s="263"/>
      <c r="H3" s="263"/>
      <c r="I3" s="263"/>
      <c r="J3" s="266"/>
      <c r="K3" s="266"/>
      <c r="L3" s="263"/>
    </row>
    <row r="4" ht="13.5" customHeight="1">
      <c r="A4" s="263"/>
      <c r="B4" s="437"/>
      <c r="C4" s="264"/>
      <c r="D4" s="264"/>
      <c r="E4" s="265"/>
      <c r="F4" s="265"/>
      <c r="G4" s="263"/>
      <c r="H4" s="263"/>
      <c r="I4" s="263"/>
      <c r="J4" s="266"/>
      <c r="K4" s="266"/>
      <c r="L4" s="263"/>
    </row>
    <row r="5" ht="13.5" customHeight="1">
      <c r="A5" s="268" t="s">
        <v>28</v>
      </c>
      <c r="B5" s="438" t="s">
        <v>222</v>
      </c>
      <c r="C5" s="270" t="s">
        <v>737</v>
      </c>
      <c r="D5" s="270" t="s">
        <v>674</v>
      </c>
      <c r="E5" s="270" t="s">
        <v>675</v>
      </c>
      <c r="F5" s="270" t="s">
        <v>676</v>
      </c>
      <c r="G5" s="269" t="s">
        <v>737</v>
      </c>
      <c r="H5" s="269" t="s">
        <v>674</v>
      </c>
      <c r="I5" s="269" t="s">
        <v>676</v>
      </c>
      <c r="J5" s="270" t="s">
        <v>34</v>
      </c>
      <c r="K5" s="270" t="s">
        <v>678</v>
      </c>
      <c r="L5" s="269" t="s">
        <v>679</v>
      </c>
    </row>
    <row r="6" ht="13.5" customHeight="1">
      <c r="A6" s="53"/>
      <c r="B6" s="54"/>
      <c r="C6" s="54"/>
      <c r="D6" s="54"/>
      <c r="E6" s="54"/>
      <c r="F6" s="54"/>
      <c r="G6" s="54"/>
      <c r="H6" s="54"/>
      <c r="I6" s="54"/>
      <c r="J6" s="54"/>
      <c r="K6" s="54"/>
      <c r="L6" s="54"/>
    </row>
    <row r="7" ht="13.5" customHeight="1">
      <c r="A7" s="273"/>
      <c r="B7" s="274" t="s">
        <v>681</v>
      </c>
      <c r="C7" s="275"/>
      <c r="D7" s="275"/>
      <c r="E7" s="275"/>
      <c r="F7" s="275"/>
      <c r="G7" s="276"/>
      <c r="H7" s="276"/>
      <c r="I7" s="276"/>
      <c r="J7" s="275"/>
      <c r="K7" s="275"/>
      <c r="L7" s="277"/>
    </row>
    <row r="8" ht="13.5" customHeight="1">
      <c r="A8" s="281"/>
      <c r="B8" s="274" t="s">
        <v>825</v>
      </c>
      <c r="C8" s="282"/>
      <c r="D8" s="282"/>
      <c r="E8" s="282"/>
      <c r="F8" s="282"/>
      <c r="G8" s="274"/>
      <c r="H8" s="274"/>
      <c r="I8" s="274"/>
      <c r="J8" s="282"/>
      <c r="K8" s="282"/>
      <c r="L8" s="283"/>
    </row>
    <row r="9" ht="13.5" customHeight="1">
      <c r="A9" s="285"/>
      <c r="B9" s="439" t="str">
        <f>Luxury!I25</f>
        <v>Supply and installation of Open unit - Inner 1mm with BWP ply frame and Smooth finish laminate</v>
      </c>
      <c r="C9" s="287">
        <v>4.0</v>
      </c>
      <c r="D9" s="287">
        <v>7.25</v>
      </c>
      <c r="E9" s="288">
        <f>C9*D9</f>
        <v>29</v>
      </c>
      <c r="F9" s="287" t="s">
        <v>683</v>
      </c>
      <c r="G9" s="289">
        <f t="shared" ref="G9:H9" si="1">C9*300</f>
        <v>1200</v>
      </c>
      <c r="H9" s="289">
        <f t="shared" si="1"/>
        <v>2175</v>
      </c>
      <c r="I9" s="289" t="s">
        <v>684</v>
      </c>
      <c r="J9" s="290">
        <f>Luxury!O25</f>
        <v>2237.5</v>
      </c>
      <c r="K9" s="290">
        <v>1.0</v>
      </c>
      <c r="L9" s="291">
        <f>K9*J9*E9</f>
        <v>64887.5</v>
      </c>
      <c r="M9" s="293"/>
      <c r="N9" s="293"/>
      <c r="O9" s="293"/>
      <c r="P9" s="293"/>
      <c r="Q9" s="293"/>
      <c r="R9" s="293"/>
      <c r="S9" s="293"/>
      <c r="T9" s="293"/>
      <c r="U9" s="293"/>
      <c r="V9" s="293"/>
      <c r="W9" s="293"/>
      <c r="X9" s="293"/>
    </row>
    <row r="10" ht="13.5" customHeight="1">
      <c r="A10" s="281"/>
      <c r="B10" s="274" t="s">
        <v>827</v>
      </c>
      <c r="C10" s="282"/>
      <c r="D10" s="282"/>
      <c r="E10" s="282"/>
      <c r="F10" s="282"/>
      <c r="G10" s="274"/>
      <c r="H10" s="274"/>
      <c r="I10" s="274"/>
      <c r="J10" s="282"/>
      <c r="K10" s="282"/>
      <c r="L10" s="283"/>
      <c r="M10" s="293"/>
      <c r="N10" s="293"/>
      <c r="O10" s="293"/>
      <c r="P10" s="293"/>
      <c r="Q10" s="293"/>
      <c r="R10" s="293"/>
      <c r="S10" s="293"/>
      <c r="T10" s="293"/>
      <c r="U10" s="293"/>
      <c r="V10" s="293"/>
      <c r="W10" s="293"/>
      <c r="X10" s="293"/>
    </row>
    <row r="11" ht="13.5" customHeight="1">
      <c r="A11" s="285"/>
      <c r="B11" s="439" t="str">
        <f>Luxury!I17</f>
        <v>Supply and installation of Base storage - Inner 1mm unit with BWP Carcass, Black/Silver Aluminium Profile with Clear/Tinted Glass Shutter, Smooth laminate and soft close hinges  </v>
      </c>
      <c r="C11" s="287">
        <v>4.0</v>
      </c>
      <c r="D11" s="287">
        <v>7.25</v>
      </c>
      <c r="E11" s="288">
        <f>C11*D11</f>
        <v>29</v>
      </c>
      <c r="F11" s="287" t="s">
        <v>683</v>
      </c>
      <c r="G11" s="289">
        <f t="shared" ref="G11:H11" si="2">C11*300</f>
        <v>1200</v>
      </c>
      <c r="H11" s="289">
        <f t="shared" si="2"/>
        <v>2175</v>
      </c>
      <c r="I11" s="289" t="s">
        <v>684</v>
      </c>
      <c r="J11" s="290">
        <f>Luxury!O17</f>
        <v>3343.75</v>
      </c>
      <c r="K11" s="290">
        <v>1.0</v>
      </c>
      <c r="L11" s="291">
        <f>K11*J11*E11</f>
        <v>96968.75</v>
      </c>
      <c r="M11" s="293"/>
      <c r="N11" s="293"/>
      <c r="O11" s="293"/>
      <c r="P11" s="293"/>
      <c r="Q11" s="293"/>
      <c r="R11" s="293"/>
      <c r="S11" s="293"/>
      <c r="T11" s="293"/>
      <c r="U11" s="293"/>
      <c r="V11" s="293"/>
      <c r="W11" s="293"/>
      <c r="X11" s="293"/>
    </row>
    <row r="12" ht="13.5" customHeight="1">
      <c r="A12" s="281"/>
      <c r="B12" s="274" t="s">
        <v>829</v>
      </c>
      <c r="C12" s="282"/>
      <c r="D12" s="282"/>
      <c r="E12" s="282"/>
      <c r="F12" s="282"/>
      <c r="G12" s="274"/>
      <c r="H12" s="274"/>
      <c r="I12" s="274"/>
      <c r="J12" s="282"/>
      <c r="K12" s="282"/>
      <c r="L12" s="283"/>
      <c r="M12" s="293"/>
      <c r="N12" s="293"/>
      <c r="O12" s="293"/>
      <c r="P12" s="293"/>
      <c r="Q12" s="293"/>
      <c r="R12" s="293"/>
      <c r="S12" s="293"/>
      <c r="T12" s="293"/>
      <c r="U12" s="293"/>
      <c r="V12" s="293"/>
      <c r="W12" s="293"/>
      <c r="X12" s="293"/>
    </row>
    <row r="13" ht="13.5" customHeight="1">
      <c r="A13" s="294"/>
      <c r="B13" s="439" t="str">
        <f>Luxury!I116</f>
        <v>Supply and installation of Wall Panel with BWP Ply Frame, Designer laminate </v>
      </c>
      <c r="C13" s="287">
        <v>13.5</v>
      </c>
      <c r="D13" s="287">
        <v>5.5</v>
      </c>
      <c r="E13" s="288">
        <f t="shared" ref="E13:E16" si="4">C13*D13</f>
        <v>74.25</v>
      </c>
      <c r="F13" s="287" t="s">
        <v>683</v>
      </c>
      <c r="G13" s="289">
        <f t="shared" ref="G13:H13" si="3">C13*300</f>
        <v>4050</v>
      </c>
      <c r="H13" s="289">
        <f t="shared" si="3"/>
        <v>1650</v>
      </c>
      <c r="I13" s="296" t="s">
        <v>684</v>
      </c>
      <c r="J13" s="290">
        <f>Luxury!O116</f>
        <v>1593.75</v>
      </c>
      <c r="K13" s="297">
        <v>1.0</v>
      </c>
      <c r="L13" s="291">
        <f t="shared" ref="L13:L16" si="6">K13*J13*E13</f>
        <v>118335.9375</v>
      </c>
      <c r="M13" s="293"/>
      <c r="N13" s="293"/>
      <c r="O13" s="293"/>
      <c r="P13" s="293"/>
      <c r="Q13" s="293"/>
      <c r="R13" s="293"/>
      <c r="S13" s="293"/>
      <c r="T13" s="293"/>
      <c r="U13" s="293"/>
      <c r="V13" s="293"/>
      <c r="W13" s="293"/>
      <c r="X13" s="293"/>
    </row>
    <row r="14" ht="13.5" customHeight="1">
      <c r="A14" s="285"/>
      <c r="B14" s="439" t="str">
        <f>Luxury!I70</f>
        <v>Supply and installation of Base storage unit  with BWP Carcass, HDHMR Boilo Shutter, MR+ finish laminate and soft close hinges  </v>
      </c>
      <c r="C14" s="287">
        <v>11.0</v>
      </c>
      <c r="D14" s="287">
        <v>1.5</v>
      </c>
      <c r="E14" s="288">
        <f t="shared" si="4"/>
        <v>16.5</v>
      </c>
      <c r="F14" s="287" t="s">
        <v>683</v>
      </c>
      <c r="G14" s="289">
        <f t="shared" ref="G14:H14" si="5">C14*300</f>
        <v>3300</v>
      </c>
      <c r="H14" s="289">
        <f t="shared" si="5"/>
        <v>450</v>
      </c>
      <c r="I14" s="289" t="s">
        <v>684</v>
      </c>
      <c r="J14" s="290">
        <f>Luxury!O70</f>
        <v>2362.5</v>
      </c>
      <c r="K14" s="290">
        <v>1.0</v>
      </c>
      <c r="L14" s="291">
        <f t="shared" si="6"/>
        <v>38981.25</v>
      </c>
      <c r="M14" s="441" t="s">
        <v>882</v>
      </c>
      <c r="N14" s="293"/>
      <c r="O14" s="293"/>
      <c r="P14" s="293"/>
      <c r="Q14" s="293"/>
      <c r="R14" s="293"/>
      <c r="S14" s="293"/>
      <c r="T14" s="293"/>
      <c r="U14" s="293"/>
      <c r="V14" s="293"/>
      <c r="W14" s="293"/>
      <c r="X14" s="293"/>
    </row>
    <row r="15" ht="13.5" customHeight="1">
      <c r="A15" s="285"/>
      <c r="B15" s="439" t="str">
        <f>Luxury!I76</f>
        <v>Supply and installation of Base storage unit with BWP Carcass, Black/Silver Aluminium Profile with Clear/Tinted Glass Shutter, MR+ laminate and soft close hinges  </v>
      </c>
      <c r="C15" s="287">
        <v>2.75</v>
      </c>
      <c r="D15" s="287">
        <v>1.5</v>
      </c>
      <c r="E15" s="288">
        <f t="shared" si="4"/>
        <v>4.125</v>
      </c>
      <c r="F15" s="287" t="s">
        <v>683</v>
      </c>
      <c r="G15" s="289">
        <f t="shared" ref="G15:H15" si="7">C15*300</f>
        <v>825</v>
      </c>
      <c r="H15" s="289">
        <f t="shared" si="7"/>
        <v>450</v>
      </c>
      <c r="I15" s="289" t="s">
        <v>684</v>
      </c>
      <c r="J15" s="290">
        <f>Luxury!O76</f>
        <v>3031.25</v>
      </c>
      <c r="K15" s="290">
        <v>1.0</v>
      </c>
      <c r="L15" s="291">
        <f t="shared" si="6"/>
        <v>12503.90625</v>
      </c>
      <c r="N15" s="293"/>
      <c r="O15" s="293"/>
      <c r="P15" s="293"/>
      <c r="Q15" s="293"/>
      <c r="R15" s="293"/>
      <c r="S15" s="293"/>
      <c r="T15" s="293"/>
      <c r="U15" s="293"/>
      <c r="V15" s="293"/>
      <c r="W15" s="293"/>
      <c r="X15" s="293"/>
    </row>
    <row r="16" ht="13.5" customHeight="1">
      <c r="A16" s="285"/>
      <c r="B16" s="439" t="str">
        <f>Luxury!I76</f>
        <v>Supply and installation of Base storage unit with BWP Carcass, Black/Silver Aluminium Profile with Clear/Tinted Glass Shutter, MR+ laminate and soft close hinges  </v>
      </c>
      <c r="C16" s="287">
        <v>1.75</v>
      </c>
      <c r="D16" s="287">
        <v>7.0</v>
      </c>
      <c r="E16" s="288">
        <f t="shared" si="4"/>
        <v>12.25</v>
      </c>
      <c r="F16" s="287" t="s">
        <v>683</v>
      </c>
      <c r="G16" s="289">
        <f t="shared" ref="G16:H16" si="8">C16*300</f>
        <v>525</v>
      </c>
      <c r="H16" s="289">
        <f t="shared" si="8"/>
        <v>2100</v>
      </c>
      <c r="I16" s="289" t="s">
        <v>684</v>
      </c>
      <c r="J16" s="290">
        <f>Luxury!O76</f>
        <v>3031.25</v>
      </c>
      <c r="K16" s="290">
        <v>1.0</v>
      </c>
      <c r="L16" s="291">
        <f t="shared" si="6"/>
        <v>37132.8125</v>
      </c>
      <c r="N16" s="293"/>
      <c r="O16" s="293"/>
      <c r="P16" s="293"/>
      <c r="Q16" s="293"/>
      <c r="R16" s="293"/>
      <c r="S16" s="293"/>
      <c r="T16" s="293"/>
      <c r="U16" s="293"/>
      <c r="V16" s="293"/>
      <c r="W16" s="293"/>
      <c r="X16" s="293"/>
    </row>
    <row r="17" ht="13.5" customHeight="1">
      <c r="A17" s="281"/>
      <c r="B17" s="274" t="s">
        <v>833</v>
      </c>
      <c r="C17" s="282"/>
      <c r="D17" s="282"/>
      <c r="E17" s="282"/>
      <c r="F17" s="282"/>
      <c r="G17" s="274"/>
      <c r="H17" s="274"/>
      <c r="I17" s="274"/>
      <c r="J17" s="282"/>
      <c r="K17" s="282"/>
      <c r="L17" s="283"/>
      <c r="M17" s="293"/>
      <c r="N17" s="293"/>
      <c r="O17" s="293"/>
      <c r="P17" s="293"/>
      <c r="Q17" s="293"/>
      <c r="R17" s="293"/>
      <c r="S17" s="293"/>
      <c r="T17" s="293"/>
      <c r="U17" s="293"/>
      <c r="V17" s="293"/>
      <c r="W17" s="293"/>
      <c r="X17" s="293"/>
    </row>
    <row r="18" ht="13.5" customHeight="1">
      <c r="A18" s="285"/>
      <c r="B18" s="439" t="str">
        <f>Luxury!I76</f>
        <v>Supply and installation of Base storage unit with BWP Carcass, Black/Silver Aluminium Profile with Clear/Tinted Glass Shutter, MR+ laminate and soft close hinges  </v>
      </c>
      <c r="C18" s="287">
        <v>3.25</v>
      </c>
      <c r="D18" s="287">
        <v>6.75</v>
      </c>
      <c r="E18" s="288">
        <f t="shared" ref="E18:E21" si="10">C18*D18</f>
        <v>21.9375</v>
      </c>
      <c r="F18" s="287" t="s">
        <v>683</v>
      </c>
      <c r="G18" s="289">
        <f t="shared" ref="G18:H18" si="9">C18*300</f>
        <v>975</v>
      </c>
      <c r="H18" s="289">
        <f t="shared" si="9"/>
        <v>2025</v>
      </c>
      <c r="I18" s="289" t="s">
        <v>684</v>
      </c>
      <c r="J18" s="290">
        <f>Luxury!O76</f>
        <v>3031.25</v>
      </c>
      <c r="K18" s="290">
        <v>1.0</v>
      </c>
      <c r="L18" s="291">
        <f t="shared" ref="L18:L21" si="12">K18*J18*E18</f>
        <v>66498.04688</v>
      </c>
      <c r="M18" s="441" t="s">
        <v>882</v>
      </c>
      <c r="N18" s="293"/>
      <c r="O18" s="293"/>
      <c r="P18" s="293"/>
      <c r="Q18" s="293"/>
      <c r="R18" s="293"/>
      <c r="S18" s="293"/>
      <c r="T18" s="293"/>
      <c r="U18" s="293"/>
      <c r="V18" s="293"/>
      <c r="W18" s="293"/>
      <c r="X18" s="293"/>
    </row>
    <row r="19" ht="13.5" customHeight="1">
      <c r="A19" s="285"/>
      <c r="B19" s="439" t="str">
        <f>Luxury!I91</f>
        <v>Supply and installation of Loft Frame and Shutter unit with BWP Frame, HDHMR Boilo Shutter, MR+ laminate and Soft Close hinges  </v>
      </c>
      <c r="C19" s="287">
        <v>7.5</v>
      </c>
      <c r="D19" s="287">
        <v>6.75</v>
      </c>
      <c r="E19" s="288">
        <f t="shared" si="10"/>
        <v>50.625</v>
      </c>
      <c r="F19" s="287" t="s">
        <v>683</v>
      </c>
      <c r="G19" s="289">
        <f t="shared" ref="G19:H19" si="11">C19*300</f>
        <v>2250</v>
      </c>
      <c r="H19" s="289">
        <f t="shared" si="11"/>
        <v>2025</v>
      </c>
      <c r="I19" s="289" t="s">
        <v>684</v>
      </c>
      <c r="J19" s="290">
        <f>Luxury!O91</f>
        <v>1416.25</v>
      </c>
      <c r="K19" s="290">
        <v>1.0</v>
      </c>
      <c r="L19" s="291">
        <f t="shared" si="12"/>
        <v>71697.65625</v>
      </c>
      <c r="N19" s="293"/>
      <c r="O19" s="293"/>
      <c r="P19" s="293"/>
      <c r="Q19" s="293"/>
      <c r="R19" s="293"/>
      <c r="S19" s="293"/>
      <c r="T19" s="293"/>
      <c r="U19" s="293"/>
      <c r="V19" s="293"/>
      <c r="W19" s="293"/>
      <c r="X19" s="293"/>
    </row>
    <row r="20" ht="13.5" customHeight="1">
      <c r="A20" s="285"/>
      <c r="B20" s="439" t="str">
        <f>Luxury!I92</f>
        <v>Supply and installation of Ledge with 25mm Ledge BWP and MR+ Laminate</v>
      </c>
      <c r="C20" s="287">
        <v>3.5</v>
      </c>
      <c r="D20" s="287">
        <v>1.5</v>
      </c>
      <c r="E20" s="288">
        <f t="shared" si="10"/>
        <v>5.25</v>
      </c>
      <c r="F20" s="287" t="s">
        <v>683</v>
      </c>
      <c r="G20" s="289">
        <f t="shared" ref="G20:H20" si="13">C20*300</f>
        <v>1050</v>
      </c>
      <c r="H20" s="289">
        <f t="shared" si="13"/>
        <v>450</v>
      </c>
      <c r="I20" s="289" t="s">
        <v>684</v>
      </c>
      <c r="J20" s="290">
        <f>Luxury!O92</f>
        <v>1312.5</v>
      </c>
      <c r="K20" s="290">
        <v>3.0</v>
      </c>
      <c r="L20" s="291">
        <f t="shared" si="12"/>
        <v>20671.875</v>
      </c>
      <c r="N20" s="293"/>
      <c r="O20" s="293"/>
      <c r="P20" s="293"/>
      <c r="Q20" s="293"/>
      <c r="R20" s="293"/>
      <c r="S20" s="293"/>
      <c r="T20" s="293"/>
      <c r="U20" s="293"/>
      <c r="V20" s="293"/>
      <c r="W20" s="293"/>
      <c r="X20" s="293"/>
    </row>
    <row r="21" ht="13.5" customHeight="1">
      <c r="A21" s="285"/>
      <c r="B21" s="439" t="str">
        <f>Luxury!I96</f>
        <v>Supply and installation of Wall Panel with BWP Ply Frame, MR+ laminate </v>
      </c>
      <c r="C21" s="287">
        <v>3.0</v>
      </c>
      <c r="D21" s="287">
        <v>2.5</v>
      </c>
      <c r="E21" s="288">
        <f t="shared" si="10"/>
        <v>7.5</v>
      </c>
      <c r="F21" s="287" t="s">
        <v>683</v>
      </c>
      <c r="G21" s="289">
        <f t="shared" ref="G21:H21" si="14">C21*300</f>
        <v>900</v>
      </c>
      <c r="H21" s="289">
        <f t="shared" si="14"/>
        <v>750</v>
      </c>
      <c r="I21" s="289" t="s">
        <v>684</v>
      </c>
      <c r="J21" s="290">
        <f>Luxury!O96</f>
        <v>1531.25</v>
      </c>
      <c r="K21" s="290">
        <v>1.0</v>
      </c>
      <c r="L21" s="291">
        <f t="shared" si="12"/>
        <v>11484.375</v>
      </c>
      <c r="N21" s="293"/>
      <c r="O21" s="293"/>
      <c r="P21" s="293"/>
      <c r="Q21" s="293"/>
      <c r="R21" s="293"/>
      <c r="S21" s="293"/>
      <c r="T21" s="293"/>
      <c r="U21" s="293"/>
      <c r="V21" s="293"/>
      <c r="W21" s="293"/>
      <c r="X21" s="293"/>
    </row>
    <row r="22" ht="13.5" customHeight="1">
      <c r="A22" s="298"/>
      <c r="B22" s="274" t="s">
        <v>688</v>
      </c>
      <c r="C22" s="299"/>
      <c r="D22" s="299"/>
      <c r="E22" s="300"/>
      <c r="F22" s="299"/>
      <c r="G22" s="301"/>
      <c r="H22" s="301"/>
      <c r="I22" s="301"/>
      <c r="J22" s="302"/>
      <c r="K22" s="302"/>
      <c r="L22" s="303"/>
    </row>
    <row r="23" ht="13.5" customHeight="1">
      <c r="A23" s="285"/>
      <c r="B23" s="439" t="str">
        <f>Luxury!I123</f>
        <v>Supply and installation of Base storage unit with BWP Carcass, HDHMR Boilo Shutter, Acrylic laminate and soft close hinges  </v>
      </c>
      <c r="C23" s="287">
        <v>8.25</v>
      </c>
      <c r="D23" s="287">
        <v>3.0</v>
      </c>
      <c r="E23" s="288">
        <f t="shared" ref="E23:E33" si="16">C23*D23</f>
        <v>24.75</v>
      </c>
      <c r="F23" s="287" t="s">
        <v>683</v>
      </c>
      <c r="G23" s="289">
        <f t="shared" ref="G23:H23" si="15">C23*300</f>
        <v>2475</v>
      </c>
      <c r="H23" s="289">
        <f t="shared" si="15"/>
        <v>900</v>
      </c>
      <c r="I23" s="289" t="s">
        <v>684</v>
      </c>
      <c r="J23" s="290">
        <f>Luxury!O123</f>
        <v>2518.75</v>
      </c>
      <c r="K23" s="290">
        <v>1.0</v>
      </c>
      <c r="L23" s="291">
        <f t="shared" ref="L23:L33" si="18">K23*J23*E23</f>
        <v>62339.0625</v>
      </c>
    </row>
    <row r="24" ht="13.5" customHeight="1">
      <c r="A24" s="285"/>
      <c r="B24" s="439" t="str">
        <f>Luxury!I65</f>
        <v>Supply and installation of Jam Panel with BWP Ply Frame, Glossy Finish laminate </v>
      </c>
      <c r="C24" s="287">
        <v>14.75</v>
      </c>
      <c r="D24" s="287">
        <v>1.0</v>
      </c>
      <c r="E24" s="288">
        <f t="shared" si="16"/>
        <v>14.75</v>
      </c>
      <c r="F24" s="287" t="s">
        <v>683</v>
      </c>
      <c r="G24" s="289">
        <f t="shared" ref="G24:H24" si="17">C24*300</f>
        <v>4425</v>
      </c>
      <c r="H24" s="289">
        <f t="shared" si="17"/>
        <v>300</v>
      </c>
      <c r="I24" s="289" t="s">
        <v>684</v>
      </c>
      <c r="J24" s="290">
        <f>Luxury!O63</f>
        <v>1468.75</v>
      </c>
      <c r="K24" s="290">
        <v>1.0</v>
      </c>
      <c r="L24" s="291">
        <f t="shared" si="18"/>
        <v>21664.0625</v>
      </c>
      <c r="M24" s="442" t="s">
        <v>899</v>
      </c>
      <c r="N24" s="293"/>
      <c r="O24" s="293"/>
      <c r="P24" s="293"/>
      <c r="Q24" s="293"/>
      <c r="R24" s="293"/>
      <c r="S24" s="293"/>
      <c r="T24" s="293"/>
      <c r="U24" s="293"/>
      <c r="V24" s="293"/>
      <c r="W24" s="293"/>
      <c r="X24" s="293"/>
    </row>
    <row r="25" ht="13.5" customHeight="1">
      <c r="A25" s="285"/>
      <c r="B25" s="439" t="str">
        <f>Luxury!I123</f>
        <v>Supply and installation of Base storage unit with BWP Carcass, HDHMR Boilo Shutter, Acrylic laminate and soft close hinges  </v>
      </c>
      <c r="C25" s="287">
        <v>22.5</v>
      </c>
      <c r="D25" s="287">
        <v>3.0</v>
      </c>
      <c r="E25" s="288">
        <f t="shared" si="16"/>
        <v>67.5</v>
      </c>
      <c r="F25" s="287" t="s">
        <v>683</v>
      </c>
      <c r="G25" s="289">
        <f t="shared" ref="G25:H25" si="19">C25*300</f>
        <v>6750</v>
      </c>
      <c r="H25" s="289">
        <f t="shared" si="19"/>
        <v>900</v>
      </c>
      <c r="I25" s="289" t="s">
        <v>684</v>
      </c>
      <c r="J25" s="290">
        <f>Luxury!O123</f>
        <v>2518.75</v>
      </c>
      <c r="K25" s="290">
        <v>1.0</v>
      </c>
      <c r="L25" s="291">
        <f t="shared" si="18"/>
        <v>170015.625</v>
      </c>
    </row>
    <row r="26" ht="13.5" customHeight="1">
      <c r="A26" s="285"/>
      <c r="B26" s="439" t="str">
        <f>Luxury!I71</f>
        <v>Supply and installation of Wall storage unit  with BWP Carcass, HDHMR Boilo Shutter, MR+ finish laminate and soft close hinges  </v>
      </c>
      <c r="C26" s="287">
        <v>12.25</v>
      </c>
      <c r="D26" s="287">
        <v>2.25</v>
      </c>
      <c r="E26" s="288">
        <f t="shared" si="16"/>
        <v>27.5625</v>
      </c>
      <c r="F26" s="287" t="s">
        <v>683</v>
      </c>
      <c r="G26" s="289">
        <f t="shared" ref="G26:H26" si="20">C26*300</f>
        <v>3675</v>
      </c>
      <c r="H26" s="289">
        <f t="shared" si="20"/>
        <v>675</v>
      </c>
      <c r="I26" s="289" t="s">
        <v>684</v>
      </c>
      <c r="J26" s="290">
        <f>Luxury!O70</f>
        <v>2362.5</v>
      </c>
      <c r="K26" s="290">
        <v>1.0</v>
      </c>
      <c r="L26" s="291">
        <f t="shared" si="18"/>
        <v>65116.40625</v>
      </c>
      <c r="M26" s="3" t="s">
        <v>900</v>
      </c>
    </row>
    <row r="27" ht="13.5" customHeight="1">
      <c r="A27" s="285"/>
      <c r="B27" s="439" t="str">
        <f>Luxury!I77</f>
        <v>Supply and installation of Wall storage unit with BWP Carcass, Black/Silver Aluminium Profile with Clear/Tinted Glass Shutter, MR+ laminate and soft close hinges  </v>
      </c>
      <c r="C27" s="287">
        <v>1.25</v>
      </c>
      <c r="D27" s="287">
        <v>4.25</v>
      </c>
      <c r="E27" s="288">
        <f t="shared" si="16"/>
        <v>5.3125</v>
      </c>
      <c r="F27" s="287" t="s">
        <v>683</v>
      </c>
      <c r="G27" s="289">
        <f t="shared" ref="G27:H27" si="21">C27*300</f>
        <v>375</v>
      </c>
      <c r="H27" s="289">
        <f t="shared" si="21"/>
        <v>1275</v>
      </c>
      <c r="I27" s="289" t="s">
        <v>684</v>
      </c>
      <c r="J27" s="290">
        <f>Luxury!O76</f>
        <v>3031.25</v>
      </c>
      <c r="K27" s="290">
        <v>1.0</v>
      </c>
      <c r="L27" s="291">
        <f t="shared" si="18"/>
        <v>16103.51563</v>
      </c>
    </row>
    <row r="28" ht="13.5" customHeight="1">
      <c r="A28" s="285"/>
      <c r="B28" s="439" t="str">
        <f>Luxury!I77</f>
        <v>Supply and installation of Wall storage unit with BWP Carcass, Black/Silver Aluminium Profile with Clear/Tinted Glass Shutter, MR+ laminate and soft close hinges  </v>
      </c>
      <c r="C28" s="287">
        <v>5.5</v>
      </c>
      <c r="D28" s="287">
        <v>2.25</v>
      </c>
      <c r="E28" s="288">
        <f t="shared" si="16"/>
        <v>12.375</v>
      </c>
      <c r="F28" s="287" t="s">
        <v>683</v>
      </c>
      <c r="G28" s="289">
        <f t="shared" ref="G28:H28" si="22">C28*300</f>
        <v>1650</v>
      </c>
      <c r="H28" s="289">
        <f t="shared" si="22"/>
        <v>675</v>
      </c>
      <c r="I28" s="289" t="s">
        <v>684</v>
      </c>
      <c r="J28" s="290">
        <f>Luxury!O76</f>
        <v>3031.25</v>
      </c>
      <c r="K28" s="290">
        <v>1.0</v>
      </c>
      <c r="L28" s="291">
        <f t="shared" si="18"/>
        <v>37511.71875</v>
      </c>
      <c r="N28" s="293"/>
      <c r="O28" s="293"/>
      <c r="P28" s="293"/>
      <c r="Q28" s="293"/>
      <c r="R28" s="293"/>
      <c r="S28" s="293"/>
      <c r="T28" s="293"/>
      <c r="U28" s="293"/>
      <c r="V28" s="293"/>
      <c r="W28" s="293"/>
      <c r="X28" s="293"/>
    </row>
    <row r="29" ht="13.5" customHeight="1">
      <c r="A29" s="285"/>
      <c r="B29" s="439" t="str">
        <f>Luxury!I125</f>
        <v>Supply and installation of Tall storage unit with BWP Carcass, HDHMR Boilo Shutter, Acrylic laminate and soft close hinges  </v>
      </c>
      <c r="C29" s="287">
        <v>5.75</v>
      </c>
      <c r="D29" s="287">
        <v>7.25</v>
      </c>
      <c r="E29" s="288">
        <f t="shared" si="16"/>
        <v>41.6875</v>
      </c>
      <c r="F29" s="287" t="s">
        <v>683</v>
      </c>
      <c r="G29" s="289">
        <f t="shared" ref="G29:H29" si="23">C29*300</f>
        <v>1725</v>
      </c>
      <c r="H29" s="289">
        <f t="shared" si="23"/>
        <v>2175</v>
      </c>
      <c r="I29" s="289" t="s">
        <v>684</v>
      </c>
      <c r="J29" s="290">
        <f>Luxury!O123</f>
        <v>2518.75</v>
      </c>
      <c r="K29" s="290">
        <v>1.0</v>
      </c>
      <c r="L29" s="291">
        <f t="shared" si="18"/>
        <v>105000.3906</v>
      </c>
      <c r="M29" s="293"/>
      <c r="N29" s="293"/>
      <c r="O29" s="293"/>
      <c r="P29" s="293"/>
      <c r="Q29" s="293"/>
      <c r="R29" s="293"/>
      <c r="S29" s="293"/>
      <c r="T29" s="293"/>
      <c r="U29" s="293"/>
      <c r="V29" s="293"/>
      <c r="W29" s="293"/>
      <c r="X29" s="293"/>
    </row>
    <row r="30" ht="13.5" customHeight="1">
      <c r="A30" s="306"/>
      <c r="B30" s="439" t="str">
        <f>Luxury!I57</f>
        <v>Supply and installation of Loft Frame and Shutter unit with BWP Frame, HDHMR Boilo Shutter, Glossy finish laminate and Soft Close hinges  </v>
      </c>
      <c r="C30" s="287">
        <v>14.75</v>
      </c>
      <c r="D30" s="287">
        <v>2.5</v>
      </c>
      <c r="E30" s="288">
        <f t="shared" si="16"/>
        <v>36.875</v>
      </c>
      <c r="F30" s="287" t="s">
        <v>683</v>
      </c>
      <c r="G30" s="289">
        <f t="shared" ref="G30:H30" si="24">C30*300</f>
        <v>4425</v>
      </c>
      <c r="H30" s="289">
        <f t="shared" si="24"/>
        <v>750</v>
      </c>
      <c r="I30" s="289" t="s">
        <v>684</v>
      </c>
      <c r="J30" s="290">
        <f>Luxury!O57</f>
        <v>1353.75</v>
      </c>
      <c r="K30" s="290">
        <v>1.0</v>
      </c>
      <c r="L30" s="291">
        <f t="shared" si="18"/>
        <v>49919.53125</v>
      </c>
      <c r="M30" s="3" t="s">
        <v>901</v>
      </c>
    </row>
    <row r="31" ht="13.5" customHeight="1">
      <c r="A31" s="306"/>
      <c r="B31" s="439" t="str">
        <f>Luxury!I57</f>
        <v>Supply and installation of Loft Frame and Shutter unit with BWP Frame, HDHMR Boilo Shutter, Glossy finish laminate and Soft Close hinges  </v>
      </c>
      <c r="C31" s="287">
        <v>2.75</v>
      </c>
      <c r="D31" s="287">
        <v>7.25</v>
      </c>
      <c r="E31" s="288">
        <f t="shared" si="16"/>
        <v>19.9375</v>
      </c>
      <c r="F31" s="287" t="s">
        <v>683</v>
      </c>
      <c r="G31" s="289">
        <f t="shared" ref="G31:H31" si="25">C31*300</f>
        <v>825</v>
      </c>
      <c r="H31" s="289">
        <f t="shared" si="25"/>
        <v>2175</v>
      </c>
      <c r="I31" s="289" t="s">
        <v>684</v>
      </c>
      <c r="J31" s="290">
        <f>Luxury!O57</f>
        <v>1353.75</v>
      </c>
      <c r="K31" s="290">
        <v>1.0</v>
      </c>
      <c r="L31" s="291">
        <f t="shared" si="18"/>
        <v>26990.39063</v>
      </c>
      <c r="N31" s="293"/>
      <c r="O31" s="293"/>
      <c r="P31" s="293"/>
      <c r="Q31" s="293"/>
      <c r="R31" s="293"/>
      <c r="S31" s="293"/>
      <c r="T31" s="293"/>
      <c r="U31" s="293"/>
      <c r="V31" s="293"/>
      <c r="W31" s="293"/>
      <c r="X31" s="293"/>
    </row>
    <row r="32" ht="13.5" customHeight="1">
      <c r="A32" s="285"/>
      <c r="B32" s="439" t="str">
        <f>Luxury!I76</f>
        <v>Supply and installation of Base storage unit with BWP Carcass, Black/Silver Aluminium Profile with Clear/Tinted Glass Shutter, MR+ laminate and soft close hinges  </v>
      </c>
      <c r="C32" s="287">
        <v>3.0</v>
      </c>
      <c r="D32" s="287">
        <v>7.25</v>
      </c>
      <c r="E32" s="288">
        <f t="shared" si="16"/>
        <v>21.75</v>
      </c>
      <c r="F32" s="287" t="s">
        <v>683</v>
      </c>
      <c r="G32" s="289">
        <f t="shared" ref="G32:H32" si="26">C32*300</f>
        <v>900</v>
      </c>
      <c r="H32" s="289">
        <f t="shared" si="26"/>
        <v>2175</v>
      </c>
      <c r="I32" s="289" t="s">
        <v>684</v>
      </c>
      <c r="J32" s="290">
        <f>Luxury!O76</f>
        <v>3031.25</v>
      </c>
      <c r="K32" s="290">
        <v>1.0</v>
      </c>
      <c r="L32" s="291">
        <f t="shared" si="18"/>
        <v>65929.6875</v>
      </c>
      <c r="M32" s="293"/>
      <c r="N32" s="293"/>
      <c r="O32" s="293"/>
      <c r="P32" s="293"/>
      <c r="Q32" s="293"/>
      <c r="R32" s="293"/>
      <c r="S32" s="293"/>
      <c r="T32" s="293"/>
      <c r="U32" s="293"/>
      <c r="V32" s="293"/>
      <c r="W32" s="293"/>
      <c r="X32" s="293"/>
    </row>
    <row r="33" ht="13.5" customHeight="1">
      <c r="A33" s="306"/>
      <c r="B33" s="439" t="str">
        <f>Luxury!I67</f>
        <v>Supply and installation of Base Panel with BWP Ply Frame, Glossy Finish laminate </v>
      </c>
      <c r="C33" s="287">
        <v>3.5</v>
      </c>
      <c r="D33" s="287">
        <v>1.0</v>
      </c>
      <c r="E33" s="288">
        <f t="shared" si="16"/>
        <v>3.5</v>
      </c>
      <c r="F33" s="287" t="s">
        <v>683</v>
      </c>
      <c r="G33" s="289">
        <f t="shared" ref="G33:H33" si="27">C33*300</f>
        <v>1050</v>
      </c>
      <c r="H33" s="289">
        <f t="shared" si="27"/>
        <v>300</v>
      </c>
      <c r="I33" s="289" t="s">
        <v>684</v>
      </c>
      <c r="J33" s="290">
        <f>Luxury!O63</f>
        <v>1468.75</v>
      </c>
      <c r="K33" s="290">
        <v>1.0</v>
      </c>
      <c r="L33" s="291">
        <f t="shared" si="18"/>
        <v>5140.625</v>
      </c>
      <c r="M33" s="3" t="s">
        <v>899</v>
      </c>
    </row>
    <row r="34" ht="13.5" customHeight="1">
      <c r="A34" s="281"/>
      <c r="B34" s="274" t="s">
        <v>692</v>
      </c>
      <c r="C34" s="308"/>
      <c r="D34" s="308"/>
      <c r="E34" s="308"/>
      <c r="F34" s="308"/>
      <c r="G34" s="283"/>
      <c r="H34" s="283"/>
      <c r="I34" s="283"/>
      <c r="J34" s="308"/>
      <c r="K34" s="308"/>
      <c r="L34" s="283"/>
    </row>
    <row r="35" ht="13.5" customHeight="1">
      <c r="A35" s="285"/>
      <c r="B35" s="439" t="str">
        <f>Luxury!I106</f>
        <v>Supply and installation of Wardrobe  with BWP Carcass, HDHMR Boilo Shutter, Designer finish laminate and soft close hinges  </v>
      </c>
      <c r="C35" s="287">
        <v>7.25</v>
      </c>
      <c r="D35" s="287">
        <v>8.75</v>
      </c>
      <c r="E35" s="288">
        <f t="shared" ref="E35:E40" si="29">C35*D35</f>
        <v>63.4375</v>
      </c>
      <c r="F35" s="287" t="s">
        <v>683</v>
      </c>
      <c r="G35" s="289">
        <f t="shared" ref="G35:H35" si="28">C35*300</f>
        <v>2175</v>
      </c>
      <c r="H35" s="289">
        <f t="shared" si="28"/>
        <v>2625</v>
      </c>
      <c r="I35" s="289" t="s">
        <v>684</v>
      </c>
      <c r="J35" s="290">
        <f>Luxury!O103</f>
        <v>2425</v>
      </c>
      <c r="K35" s="290">
        <v>1.0</v>
      </c>
      <c r="L35" s="291">
        <f t="shared" ref="L35:L40" si="31">K35*J35*E35</f>
        <v>153835.9375</v>
      </c>
      <c r="M35" s="293"/>
      <c r="N35" s="293"/>
      <c r="O35" s="293"/>
      <c r="P35" s="293"/>
      <c r="Q35" s="293"/>
      <c r="R35" s="293"/>
      <c r="S35" s="293"/>
      <c r="T35" s="293"/>
      <c r="U35" s="293"/>
      <c r="V35" s="293"/>
      <c r="W35" s="293"/>
      <c r="X35" s="293"/>
    </row>
    <row r="36" ht="13.5" customHeight="1">
      <c r="A36" s="285"/>
      <c r="B36" s="439" t="str">
        <f>Luxury!I105</f>
        <v>Supply and installation of Tall storage unit  with BWP Carcass, HDHMR Boilo Shutter, Designer finish laminate and soft close hinges  </v>
      </c>
      <c r="C36" s="287">
        <v>2.0</v>
      </c>
      <c r="D36" s="287">
        <v>7.0</v>
      </c>
      <c r="E36" s="288">
        <f t="shared" si="29"/>
        <v>14</v>
      </c>
      <c r="F36" s="287" t="s">
        <v>683</v>
      </c>
      <c r="G36" s="289">
        <f t="shared" ref="G36:H36" si="30">C36*300</f>
        <v>600</v>
      </c>
      <c r="H36" s="289">
        <f t="shared" si="30"/>
        <v>2100</v>
      </c>
      <c r="I36" s="289" t="s">
        <v>684</v>
      </c>
      <c r="J36" s="290">
        <f>Luxury!O103</f>
        <v>2425</v>
      </c>
      <c r="K36" s="290">
        <v>1.0</v>
      </c>
      <c r="L36" s="291">
        <f t="shared" si="31"/>
        <v>33950</v>
      </c>
    </row>
    <row r="37" ht="13.5" customHeight="1">
      <c r="A37" s="285"/>
      <c r="B37" s="439" t="str">
        <f>Luxury!I116</f>
        <v>Supply and installation of Wall Panel with BWP Ply Frame, Designer laminate </v>
      </c>
      <c r="C37" s="287">
        <v>6.5</v>
      </c>
      <c r="D37" s="287">
        <v>1.0</v>
      </c>
      <c r="E37" s="288">
        <f t="shared" si="29"/>
        <v>6.5</v>
      </c>
      <c r="F37" s="287" t="s">
        <v>683</v>
      </c>
      <c r="G37" s="289">
        <f t="shared" ref="G37:H37" si="32">C37*300</f>
        <v>1950</v>
      </c>
      <c r="H37" s="289">
        <f t="shared" si="32"/>
        <v>300</v>
      </c>
      <c r="I37" s="289" t="s">
        <v>684</v>
      </c>
      <c r="J37" s="290">
        <f>Luxury!O116</f>
        <v>1593.75</v>
      </c>
      <c r="K37" s="290">
        <v>1.0</v>
      </c>
      <c r="L37" s="291">
        <f t="shared" si="31"/>
        <v>10359.375</v>
      </c>
      <c r="M37" s="293"/>
      <c r="N37" s="293"/>
      <c r="O37" s="293"/>
      <c r="P37" s="293"/>
      <c r="Q37" s="293"/>
      <c r="R37" s="293"/>
      <c r="S37" s="293"/>
      <c r="T37" s="293"/>
      <c r="U37" s="293"/>
      <c r="V37" s="293"/>
      <c r="W37" s="293"/>
      <c r="X37" s="293"/>
    </row>
    <row r="38" ht="13.5" customHeight="1">
      <c r="A38" s="285"/>
      <c r="B38" s="439" t="str">
        <f>Luxury!I114</f>
        <v>Supply and installation of Ledge with 50mm Ledge BWP and Designer Laminate</v>
      </c>
      <c r="C38" s="287">
        <v>9.0</v>
      </c>
      <c r="D38" s="287">
        <v>1.0</v>
      </c>
      <c r="E38" s="288">
        <f t="shared" si="29"/>
        <v>9</v>
      </c>
      <c r="F38" s="287" t="s">
        <v>683</v>
      </c>
      <c r="G38" s="289">
        <f t="shared" ref="G38:H38" si="33">C38*300</f>
        <v>2700</v>
      </c>
      <c r="H38" s="289">
        <f t="shared" si="33"/>
        <v>300</v>
      </c>
      <c r="I38" s="289" t="s">
        <v>684</v>
      </c>
      <c r="J38" s="290">
        <f>Luxury!O114</f>
        <v>1562.5</v>
      </c>
      <c r="K38" s="290">
        <v>1.0</v>
      </c>
      <c r="L38" s="291">
        <f t="shared" si="31"/>
        <v>14062.5</v>
      </c>
      <c r="M38" s="293"/>
      <c r="N38" s="293"/>
      <c r="O38" s="293"/>
      <c r="P38" s="293"/>
      <c r="Q38" s="293"/>
      <c r="R38" s="293"/>
      <c r="S38" s="293"/>
      <c r="T38" s="293"/>
      <c r="U38" s="293"/>
      <c r="V38" s="293"/>
      <c r="W38" s="293"/>
      <c r="X38" s="293"/>
    </row>
    <row r="39" ht="13.5" customHeight="1">
      <c r="A39" s="306"/>
      <c r="B39" s="439" t="str">
        <f>Luxury!I6</f>
        <v>Supply and installation of Wardrobe  with BWP Carcass, HDHMR Boilo Shutter, Smooth finish laminate and soft close hinges  </v>
      </c>
      <c r="C39" s="287">
        <v>8.5</v>
      </c>
      <c r="D39" s="287">
        <v>8.25</v>
      </c>
      <c r="E39" s="288">
        <f t="shared" si="29"/>
        <v>70.125</v>
      </c>
      <c r="F39" s="287" t="s">
        <v>683</v>
      </c>
      <c r="G39" s="289">
        <f t="shared" ref="G39:H39" si="34">C39*300</f>
        <v>2550</v>
      </c>
      <c r="H39" s="289">
        <f t="shared" si="34"/>
        <v>2475</v>
      </c>
      <c r="I39" s="289" t="s">
        <v>684</v>
      </c>
      <c r="J39" s="290">
        <f>Luxury!O3</f>
        <v>2237.5</v>
      </c>
      <c r="K39" s="290">
        <v>1.0</v>
      </c>
      <c r="L39" s="291">
        <f t="shared" si="31"/>
        <v>156904.6875</v>
      </c>
      <c r="M39" s="293"/>
      <c r="N39" s="293"/>
      <c r="O39" s="293"/>
      <c r="P39" s="293"/>
      <c r="Q39" s="293"/>
      <c r="R39" s="293"/>
      <c r="S39" s="293"/>
      <c r="T39" s="293"/>
      <c r="U39" s="293"/>
      <c r="V39" s="293"/>
      <c r="W39" s="293"/>
      <c r="X39" s="293"/>
    </row>
    <row r="40" ht="13.5" customHeight="1">
      <c r="A40" s="306"/>
      <c r="B40" s="439" t="str">
        <f>Luxury!I103</f>
        <v>Supply and installation of Base storage unit  with BWP Carcass, HDHMR Boilo Shutter, Designer laminate and soft close hinges  </v>
      </c>
      <c r="C40" s="287">
        <v>8.5</v>
      </c>
      <c r="D40" s="287">
        <v>2.0</v>
      </c>
      <c r="E40" s="288">
        <f t="shared" si="29"/>
        <v>17</v>
      </c>
      <c r="F40" s="287" t="s">
        <v>683</v>
      </c>
      <c r="G40" s="289">
        <f t="shared" ref="G40:H40" si="35">C40*300</f>
        <v>2550</v>
      </c>
      <c r="H40" s="289">
        <f t="shared" si="35"/>
        <v>600</v>
      </c>
      <c r="I40" s="289" t="s">
        <v>684</v>
      </c>
      <c r="J40" s="290">
        <f>Luxury!O103</f>
        <v>2425</v>
      </c>
      <c r="K40" s="290">
        <v>1.0</v>
      </c>
      <c r="L40" s="291">
        <f t="shared" si="31"/>
        <v>41225</v>
      </c>
      <c r="M40" s="293"/>
      <c r="N40" s="293"/>
      <c r="O40" s="293"/>
      <c r="P40" s="293"/>
      <c r="Q40" s="293"/>
      <c r="R40" s="293"/>
      <c r="S40" s="293"/>
      <c r="T40" s="293"/>
      <c r="U40" s="293"/>
      <c r="V40" s="293"/>
      <c r="W40" s="293"/>
      <c r="X40" s="293"/>
    </row>
    <row r="41" ht="13.5" customHeight="1">
      <c r="A41" s="281"/>
      <c r="B41" s="274" t="s">
        <v>853</v>
      </c>
      <c r="C41" s="308"/>
      <c r="D41" s="308"/>
      <c r="E41" s="308"/>
      <c r="F41" s="308"/>
      <c r="G41" s="283"/>
      <c r="H41" s="283"/>
      <c r="I41" s="283"/>
      <c r="J41" s="308"/>
      <c r="K41" s="308"/>
      <c r="L41" s="283"/>
    </row>
    <row r="42" ht="13.5" customHeight="1">
      <c r="A42" s="285"/>
      <c r="B42" s="439" t="str">
        <f>Luxury!I27</f>
        <v>Supply and installation of Ledge with 25mm Ledge BWP and Smooth Laminate</v>
      </c>
      <c r="C42" s="287">
        <v>8.0</v>
      </c>
      <c r="D42" s="287">
        <v>2.0</v>
      </c>
      <c r="E42" s="288">
        <f t="shared" ref="E42:E48" si="37">C42*D42</f>
        <v>16</v>
      </c>
      <c r="F42" s="287" t="s">
        <v>683</v>
      </c>
      <c r="G42" s="289">
        <f t="shared" ref="G42:H42" si="36">C42*300</f>
        <v>2400</v>
      </c>
      <c r="H42" s="289">
        <f t="shared" si="36"/>
        <v>600</v>
      </c>
      <c r="I42" s="289" t="s">
        <v>684</v>
      </c>
      <c r="J42" s="290">
        <f>Luxury!O27</f>
        <v>1187.5</v>
      </c>
      <c r="K42" s="290">
        <v>1.0</v>
      </c>
      <c r="L42" s="291">
        <f t="shared" ref="L42:L48" si="39">K42*J42*E42</f>
        <v>19000</v>
      </c>
      <c r="M42" s="293"/>
      <c r="N42" s="293"/>
      <c r="O42" s="293"/>
      <c r="P42" s="293"/>
      <c r="Q42" s="293"/>
      <c r="R42" s="293"/>
      <c r="S42" s="293"/>
      <c r="T42" s="293"/>
      <c r="U42" s="293"/>
      <c r="V42" s="293"/>
      <c r="W42" s="293"/>
      <c r="X42" s="293"/>
    </row>
    <row r="43" ht="13.5" customHeight="1">
      <c r="A43" s="285"/>
      <c r="B43" s="439" t="str">
        <f>Luxury!I25</f>
        <v>Supply and installation of Open unit - Inner 1mm with BWP ply frame and Smooth finish laminate</v>
      </c>
      <c r="C43" s="287">
        <v>5.5</v>
      </c>
      <c r="D43" s="287">
        <v>1.0</v>
      </c>
      <c r="E43" s="288">
        <f t="shared" si="37"/>
        <v>5.5</v>
      </c>
      <c r="F43" s="287" t="s">
        <v>683</v>
      </c>
      <c r="G43" s="289">
        <f t="shared" ref="G43:H43" si="38">C43*300</f>
        <v>1650</v>
      </c>
      <c r="H43" s="289">
        <f t="shared" si="38"/>
        <v>300</v>
      </c>
      <c r="I43" s="289" t="s">
        <v>684</v>
      </c>
      <c r="J43" s="290">
        <f>Luxury!O25</f>
        <v>2237.5</v>
      </c>
      <c r="K43" s="290">
        <v>1.0</v>
      </c>
      <c r="L43" s="291">
        <f t="shared" si="39"/>
        <v>12306.25</v>
      </c>
      <c r="M43" s="293"/>
      <c r="N43" s="293"/>
      <c r="O43" s="293"/>
      <c r="P43" s="293"/>
      <c r="Q43" s="293"/>
      <c r="R43" s="293"/>
      <c r="S43" s="293"/>
      <c r="T43" s="293"/>
      <c r="U43" s="293"/>
      <c r="V43" s="293"/>
      <c r="W43" s="293"/>
      <c r="X43" s="293"/>
    </row>
    <row r="44" ht="13.5" customHeight="1">
      <c r="A44" s="285"/>
      <c r="B44" s="439" t="str">
        <f>Luxury!I4</f>
        <v>Supply and installation of Wall storage unit  with BWP Carcass, HDHMR Boilo Shutter, Smooth finish laminate and soft close hinges  </v>
      </c>
      <c r="C44" s="287">
        <v>5.5</v>
      </c>
      <c r="D44" s="287">
        <v>3.0</v>
      </c>
      <c r="E44" s="288">
        <f t="shared" si="37"/>
        <v>16.5</v>
      </c>
      <c r="F44" s="287" t="s">
        <v>683</v>
      </c>
      <c r="G44" s="289">
        <f t="shared" ref="G44:H44" si="40">C44*300</f>
        <v>1650</v>
      </c>
      <c r="H44" s="289">
        <f t="shared" si="40"/>
        <v>900</v>
      </c>
      <c r="I44" s="289" t="s">
        <v>684</v>
      </c>
      <c r="J44" s="290">
        <f>Luxury!O3</f>
        <v>2237.5</v>
      </c>
      <c r="K44" s="290">
        <v>1.0</v>
      </c>
      <c r="L44" s="291">
        <f t="shared" si="39"/>
        <v>36918.75</v>
      </c>
      <c r="M44" s="293"/>
      <c r="N44" s="293"/>
      <c r="O44" s="293"/>
      <c r="P44" s="293"/>
      <c r="Q44" s="293"/>
      <c r="R44" s="293"/>
      <c r="S44" s="293"/>
      <c r="T44" s="293"/>
      <c r="U44" s="293"/>
      <c r="V44" s="293"/>
      <c r="W44" s="293"/>
      <c r="X44" s="293"/>
    </row>
    <row r="45" ht="13.5" customHeight="1">
      <c r="A45" s="285"/>
      <c r="B45" s="439" t="str">
        <f>Luxury!I3</f>
        <v>Supply and installation of Base storage unit  with BWP Carcass, HDHMR Boilo Shutter, Smooth Finish laminate and soft close hinges  </v>
      </c>
      <c r="C45" s="287">
        <v>1.75</v>
      </c>
      <c r="D45" s="287">
        <v>2.75</v>
      </c>
      <c r="E45" s="288">
        <f t="shared" si="37"/>
        <v>4.8125</v>
      </c>
      <c r="F45" s="287" t="s">
        <v>683</v>
      </c>
      <c r="G45" s="289">
        <f t="shared" ref="G45:H45" si="41">C45*300</f>
        <v>525</v>
      </c>
      <c r="H45" s="289">
        <f t="shared" si="41"/>
        <v>825</v>
      </c>
      <c r="I45" s="289" t="s">
        <v>684</v>
      </c>
      <c r="J45" s="290">
        <f>Luxury!O3</f>
        <v>2237.5</v>
      </c>
      <c r="K45" s="290">
        <v>1.0</v>
      </c>
      <c r="L45" s="291">
        <f t="shared" si="39"/>
        <v>10767.96875</v>
      </c>
      <c r="M45" s="293"/>
      <c r="N45" s="293"/>
      <c r="O45" s="293"/>
      <c r="P45" s="293"/>
      <c r="Q45" s="293"/>
      <c r="R45" s="293"/>
      <c r="S45" s="293"/>
      <c r="T45" s="293"/>
      <c r="U45" s="293"/>
      <c r="V45" s="293"/>
      <c r="W45" s="293"/>
      <c r="X45" s="293"/>
    </row>
    <row r="46" ht="13.5" customHeight="1">
      <c r="A46" s="306"/>
      <c r="B46" s="439" t="str">
        <f>Luxury!I26</f>
        <v>Supply and installation of Loft Frame and Shutter unit with BWP Frame, HDHMR Boilo Shutter, Smooth laminate and Soft Close hinges  </v>
      </c>
      <c r="C46" s="287">
        <v>10.5</v>
      </c>
      <c r="D46" s="287">
        <v>2.5</v>
      </c>
      <c r="E46" s="288">
        <f t="shared" si="37"/>
        <v>26.25</v>
      </c>
      <c r="F46" s="287" t="s">
        <v>683</v>
      </c>
      <c r="G46" s="289">
        <f t="shared" ref="G46:H46" si="42">C46*300</f>
        <v>3150</v>
      </c>
      <c r="H46" s="289">
        <f t="shared" si="42"/>
        <v>750</v>
      </c>
      <c r="I46" s="289" t="s">
        <v>684</v>
      </c>
      <c r="J46" s="290">
        <f>Luxury!O26</f>
        <v>1291.25</v>
      </c>
      <c r="K46" s="290">
        <v>1.0</v>
      </c>
      <c r="L46" s="291">
        <f t="shared" si="39"/>
        <v>33895.3125</v>
      </c>
      <c r="M46" s="293"/>
      <c r="N46" s="293"/>
      <c r="O46" s="293"/>
      <c r="P46" s="293"/>
      <c r="Q46" s="293"/>
      <c r="R46" s="293"/>
      <c r="S46" s="293"/>
      <c r="T46" s="293"/>
      <c r="U46" s="293"/>
      <c r="V46" s="293"/>
      <c r="W46" s="293"/>
      <c r="X46" s="293"/>
    </row>
    <row r="47" ht="13.5" customHeight="1">
      <c r="A47" s="306"/>
      <c r="B47" s="439" t="str">
        <f>Luxury!I25</f>
        <v>Supply and installation of Open unit - Inner 1mm with BWP ply frame and Smooth finish laminate</v>
      </c>
      <c r="C47" s="287">
        <v>10.5</v>
      </c>
      <c r="D47" s="287">
        <v>7.0</v>
      </c>
      <c r="E47" s="288">
        <f t="shared" si="37"/>
        <v>73.5</v>
      </c>
      <c r="F47" s="287" t="s">
        <v>683</v>
      </c>
      <c r="G47" s="289">
        <f t="shared" ref="G47:H47" si="43">C47*300</f>
        <v>3150</v>
      </c>
      <c r="H47" s="289">
        <f t="shared" si="43"/>
        <v>2100</v>
      </c>
      <c r="I47" s="289" t="s">
        <v>684</v>
      </c>
      <c r="J47" s="290">
        <f>Luxury!O25</f>
        <v>2237.5</v>
      </c>
      <c r="K47" s="290">
        <v>1.0</v>
      </c>
      <c r="L47" s="291">
        <f t="shared" si="39"/>
        <v>164456.25</v>
      </c>
      <c r="M47" s="293"/>
      <c r="N47" s="293"/>
      <c r="O47" s="293"/>
      <c r="P47" s="293"/>
      <c r="Q47" s="293"/>
      <c r="R47" s="293"/>
      <c r="S47" s="293"/>
      <c r="T47" s="293"/>
      <c r="U47" s="293"/>
      <c r="V47" s="293"/>
      <c r="W47" s="293"/>
      <c r="X47" s="293"/>
    </row>
    <row r="48" ht="13.5" customHeight="1">
      <c r="A48" s="285"/>
      <c r="B48" s="439" t="str">
        <f>Luxury!I32</f>
        <v>Supply and installation of Wall Panel with BWP Ply Frame, Smooth Finish laminate </v>
      </c>
      <c r="C48" s="287">
        <v>2.0</v>
      </c>
      <c r="D48" s="287">
        <v>5.5</v>
      </c>
      <c r="E48" s="288">
        <f t="shared" si="37"/>
        <v>11</v>
      </c>
      <c r="F48" s="287" t="s">
        <v>683</v>
      </c>
      <c r="G48" s="289">
        <f t="shared" ref="G48:H48" si="44">C48*300</f>
        <v>600</v>
      </c>
      <c r="H48" s="289">
        <f t="shared" si="44"/>
        <v>1650</v>
      </c>
      <c r="I48" s="289" t="s">
        <v>684</v>
      </c>
      <c r="J48" s="290">
        <f>Luxury!O32</f>
        <v>1406.25</v>
      </c>
      <c r="K48" s="290">
        <v>1.0</v>
      </c>
      <c r="L48" s="291">
        <f t="shared" si="39"/>
        <v>15468.75</v>
      </c>
      <c r="M48" s="293"/>
      <c r="N48" s="293"/>
      <c r="O48" s="293"/>
      <c r="P48" s="293"/>
      <c r="Q48" s="293"/>
      <c r="R48" s="293"/>
      <c r="S48" s="293"/>
      <c r="T48" s="293"/>
      <c r="U48" s="293"/>
      <c r="V48" s="293"/>
      <c r="W48" s="293"/>
      <c r="X48" s="293"/>
    </row>
    <row r="49" ht="13.5" customHeight="1">
      <c r="A49" s="306"/>
      <c r="B49" s="309" t="s">
        <v>701</v>
      </c>
      <c r="C49" s="299"/>
      <c r="D49" s="299"/>
      <c r="E49" s="300"/>
      <c r="F49" s="299"/>
      <c r="G49" s="310"/>
      <c r="H49" s="310"/>
      <c r="I49" s="310"/>
      <c r="J49" s="302"/>
      <c r="K49" s="302"/>
      <c r="L49" s="312">
        <v>10000.0</v>
      </c>
    </row>
    <row r="50" ht="13.5" customHeight="1">
      <c r="A50" s="298"/>
      <c r="B50" s="313" t="s">
        <v>702</v>
      </c>
      <c r="C50" s="94"/>
      <c r="D50" s="94"/>
      <c r="E50" s="94"/>
      <c r="F50" s="94"/>
      <c r="G50" s="94"/>
      <c r="H50" s="94"/>
      <c r="I50" s="94"/>
      <c r="J50" s="94"/>
      <c r="K50" s="95"/>
      <c r="L50" s="314">
        <f>SUM(L8:L48)</f>
        <v>1868043.906</v>
      </c>
    </row>
    <row r="51" ht="13.5" customHeight="1">
      <c r="A51" s="298"/>
      <c r="B51" s="313" t="s">
        <v>705</v>
      </c>
      <c r="C51" s="443"/>
      <c r="D51" s="443"/>
      <c r="E51" s="443"/>
      <c r="F51" s="443"/>
      <c r="G51" s="443"/>
      <c r="H51" s="443"/>
      <c r="I51" s="443"/>
      <c r="J51" s="443"/>
      <c r="K51" s="443"/>
      <c r="L51" s="314">
        <f>L50*18%</f>
        <v>336247.9031</v>
      </c>
    </row>
    <row r="52" ht="13.5" customHeight="1">
      <c r="A52" s="321"/>
      <c r="B52" s="322" t="s">
        <v>706</v>
      </c>
      <c r="C52" s="444"/>
      <c r="D52" s="444"/>
      <c r="E52" s="444"/>
      <c r="F52" s="444"/>
      <c r="G52" s="444"/>
      <c r="H52" s="444"/>
      <c r="I52" s="444"/>
      <c r="J52" s="444"/>
      <c r="K52" s="444"/>
      <c r="L52" s="314">
        <f>L50+L51</f>
        <v>2204291.809</v>
      </c>
    </row>
    <row r="53" ht="13.5" customHeight="1">
      <c r="A53" s="325"/>
      <c r="B53" s="325"/>
      <c r="C53" s="445"/>
      <c r="D53" s="445"/>
      <c r="E53" s="446"/>
      <c r="F53" s="446"/>
      <c r="G53" s="328"/>
      <c r="H53" s="329"/>
      <c r="I53" s="330"/>
      <c r="J53" s="446"/>
      <c r="K53" s="446"/>
      <c r="L53" s="331"/>
    </row>
    <row r="54" ht="13.5" customHeight="1">
      <c r="A54" s="325"/>
      <c r="B54" s="325"/>
      <c r="C54" s="326"/>
      <c r="D54" s="326"/>
      <c r="E54" s="327"/>
      <c r="F54" s="327"/>
      <c r="G54" s="328"/>
      <c r="H54" s="329"/>
      <c r="I54" s="330"/>
      <c r="J54" s="327"/>
      <c r="K54" s="327"/>
      <c r="L54" s="331"/>
    </row>
    <row r="55" ht="13.5" customHeight="1">
      <c r="A55" s="325"/>
      <c r="B55" s="325"/>
      <c r="C55" s="326"/>
      <c r="D55" s="326"/>
      <c r="E55" s="327"/>
      <c r="F55" s="327"/>
      <c r="G55" s="328"/>
      <c r="H55" s="329"/>
      <c r="I55" s="330"/>
      <c r="J55" s="327"/>
      <c r="K55" s="327"/>
      <c r="L55" s="331"/>
    </row>
    <row r="56" ht="13.5" customHeight="1">
      <c r="A56" s="267"/>
      <c r="B56" s="267"/>
      <c r="C56" s="433"/>
      <c r="D56" s="433"/>
      <c r="E56" s="433"/>
      <c r="F56" s="433"/>
      <c r="G56" s="267"/>
      <c r="H56" s="267"/>
      <c r="I56" s="267"/>
      <c r="J56" s="433"/>
      <c r="K56" s="433"/>
      <c r="L56" s="434"/>
    </row>
    <row r="57" ht="13.5" customHeight="1">
      <c r="A57" s="267"/>
      <c r="B57" s="267"/>
      <c r="C57" s="433"/>
      <c r="D57" s="433"/>
      <c r="E57" s="433"/>
      <c r="F57" s="433"/>
      <c r="G57" s="267"/>
      <c r="H57" s="267"/>
      <c r="I57" s="267"/>
      <c r="J57" s="433"/>
      <c r="K57" s="433"/>
      <c r="L57" s="434"/>
    </row>
    <row r="58" ht="13.5" customHeight="1">
      <c r="A58" s="267"/>
      <c r="B58" s="267"/>
      <c r="C58" s="433"/>
      <c r="D58" s="433"/>
      <c r="E58" s="433"/>
      <c r="F58" s="433"/>
      <c r="G58" s="267"/>
      <c r="H58" s="267"/>
      <c r="I58" s="267"/>
      <c r="J58" s="433"/>
      <c r="K58" s="433"/>
      <c r="L58" s="434"/>
    </row>
    <row r="59" ht="13.5" customHeight="1">
      <c r="A59" s="267"/>
      <c r="B59" s="267"/>
      <c r="C59" s="433"/>
      <c r="D59" s="433"/>
      <c r="E59" s="433"/>
      <c r="F59" s="433"/>
      <c r="G59" s="267"/>
      <c r="H59" s="267"/>
      <c r="I59" s="267"/>
      <c r="J59" s="433"/>
      <c r="K59" s="433"/>
      <c r="L59" s="434"/>
    </row>
    <row r="60" ht="13.5" customHeight="1">
      <c r="A60" s="267"/>
      <c r="B60" s="267"/>
      <c r="C60" s="433"/>
      <c r="D60" s="433"/>
      <c r="E60" s="433"/>
      <c r="F60" s="433"/>
      <c r="G60" s="267"/>
      <c r="H60" s="267"/>
      <c r="I60" s="267"/>
      <c r="J60" s="433"/>
      <c r="K60" s="433"/>
      <c r="L60" s="434"/>
    </row>
    <row r="61" ht="13.5" customHeight="1">
      <c r="A61" s="267"/>
      <c r="B61" s="267"/>
      <c r="C61" s="433"/>
      <c r="D61" s="433"/>
      <c r="E61" s="433"/>
      <c r="F61" s="433"/>
      <c r="G61" s="267"/>
      <c r="H61" s="267"/>
      <c r="I61" s="267"/>
      <c r="J61" s="433"/>
      <c r="K61" s="433"/>
      <c r="L61" s="434"/>
    </row>
    <row r="62" ht="13.5" customHeight="1">
      <c r="A62" s="267"/>
      <c r="B62" s="267"/>
      <c r="C62" s="433"/>
      <c r="D62" s="433"/>
      <c r="E62" s="433"/>
      <c r="F62" s="433"/>
      <c r="G62" s="267"/>
      <c r="H62" s="267"/>
      <c r="I62" s="267"/>
      <c r="J62" s="433"/>
      <c r="K62" s="433"/>
      <c r="L62" s="434"/>
    </row>
    <row r="63" ht="13.5" customHeight="1">
      <c r="A63" s="267"/>
      <c r="B63" s="267"/>
      <c r="C63" s="433"/>
      <c r="D63" s="433"/>
      <c r="E63" s="433"/>
      <c r="F63" s="433"/>
      <c r="G63" s="267"/>
      <c r="H63" s="267"/>
      <c r="I63" s="267"/>
      <c r="J63" s="433"/>
      <c r="K63" s="433"/>
      <c r="L63" s="434"/>
    </row>
    <row r="64" ht="13.5" customHeight="1">
      <c r="A64" s="267"/>
      <c r="B64" s="267"/>
      <c r="C64" s="433"/>
      <c r="D64" s="433"/>
      <c r="E64" s="433"/>
      <c r="F64" s="433"/>
      <c r="G64" s="267"/>
      <c r="H64" s="267"/>
      <c r="I64" s="267"/>
      <c r="J64" s="433"/>
      <c r="K64" s="433"/>
      <c r="L64" s="434"/>
    </row>
    <row r="65" ht="13.5" customHeight="1">
      <c r="A65" s="267"/>
      <c r="B65" s="267"/>
      <c r="C65" s="433"/>
      <c r="D65" s="433"/>
      <c r="E65" s="433"/>
      <c r="F65" s="433"/>
      <c r="G65" s="267"/>
      <c r="H65" s="267"/>
      <c r="I65" s="267"/>
      <c r="J65" s="433"/>
      <c r="K65" s="433"/>
      <c r="L65" s="434"/>
    </row>
    <row r="66" ht="13.5" customHeight="1">
      <c r="A66" s="267"/>
      <c r="B66" s="267"/>
      <c r="C66" s="433"/>
      <c r="D66" s="433"/>
      <c r="E66" s="433"/>
      <c r="F66" s="433"/>
      <c r="G66" s="267"/>
      <c r="H66" s="267"/>
      <c r="I66" s="267"/>
      <c r="J66" s="433"/>
      <c r="K66" s="433"/>
      <c r="L66" s="434"/>
    </row>
    <row r="67" ht="13.5" customHeight="1">
      <c r="A67" s="267"/>
      <c r="B67" s="267"/>
      <c r="C67" s="433"/>
      <c r="D67" s="433"/>
      <c r="E67" s="433"/>
      <c r="F67" s="433"/>
      <c r="G67" s="267"/>
      <c r="H67" s="267"/>
      <c r="I67" s="267"/>
      <c r="J67" s="433"/>
      <c r="K67" s="433"/>
      <c r="L67" s="434"/>
    </row>
    <row r="68" ht="13.5" customHeight="1">
      <c r="A68" s="267"/>
      <c r="B68" s="267"/>
      <c r="C68" s="433"/>
      <c r="D68" s="433"/>
      <c r="E68" s="433"/>
      <c r="F68" s="433"/>
      <c r="G68" s="267"/>
      <c r="H68" s="267"/>
      <c r="I68" s="267"/>
      <c r="J68" s="433"/>
      <c r="K68" s="433"/>
      <c r="L68" s="434"/>
    </row>
    <row r="69" ht="13.5" customHeight="1">
      <c r="A69" s="267"/>
      <c r="B69" s="267"/>
      <c r="C69" s="433"/>
      <c r="D69" s="433"/>
      <c r="E69" s="433"/>
      <c r="F69" s="433"/>
      <c r="G69" s="267"/>
      <c r="H69" s="267"/>
      <c r="I69" s="267"/>
      <c r="J69" s="433"/>
      <c r="K69" s="433"/>
      <c r="L69" s="434"/>
    </row>
    <row r="70" ht="13.5" customHeight="1">
      <c r="A70" s="267"/>
      <c r="B70" s="267"/>
      <c r="C70" s="433"/>
      <c r="D70" s="433"/>
      <c r="E70" s="433"/>
      <c r="F70" s="433"/>
      <c r="G70" s="267"/>
      <c r="H70" s="267"/>
      <c r="I70" s="267"/>
      <c r="J70" s="433"/>
      <c r="K70" s="433"/>
      <c r="L70" s="434"/>
    </row>
    <row r="71" ht="13.5" customHeight="1">
      <c r="A71" s="267"/>
      <c r="B71" s="267"/>
      <c r="C71" s="433"/>
      <c r="D71" s="433"/>
      <c r="E71" s="433"/>
      <c r="F71" s="433"/>
      <c r="G71" s="267"/>
      <c r="H71" s="267"/>
      <c r="I71" s="267"/>
      <c r="J71" s="433"/>
      <c r="K71" s="433"/>
      <c r="L71" s="434"/>
    </row>
    <row r="72" ht="13.5" customHeight="1">
      <c r="A72" s="267"/>
      <c r="B72" s="267"/>
      <c r="C72" s="433"/>
      <c r="D72" s="433"/>
      <c r="E72" s="433"/>
      <c r="F72" s="433"/>
      <c r="G72" s="267"/>
      <c r="H72" s="267"/>
      <c r="I72" s="267"/>
      <c r="J72" s="433"/>
      <c r="K72" s="433"/>
      <c r="L72" s="434"/>
    </row>
    <row r="73" ht="13.5" customHeight="1">
      <c r="A73" s="267"/>
      <c r="B73" s="267"/>
      <c r="C73" s="433"/>
      <c r="D73" s="433"/>
      <c r="E73" s="433"/>
      <c r="F73" s="433"/>
      <c r="G73" s="267"/>
      <c r="H73" s="267"/>
      <c r="I73" s="267"/>
      <c r="J73" s="433"/>
      <c r="K73" s="433"/>
      <c r="L73" s="434"/>
    </row>
    <row r="74" ht="13.5" customHeight="1">
      <c r="A74" s="267"/>
      <c r="B74" s="267"/>
      <c r="C74" s="433"/>
      <c r="D74" s="433"/>
      <c r="E74" s="433"/>
      <c r="F74" s="433"/>
      <c r="G74" s="267"/>
      <c r="H74" s="267"/>
      <c r="I74" s="267"/>
      <c r="J74" s="433"/>
      <c r="K74" s="433"/>
      <c r="L74" s="434"/>
    </row>
    <row r="75" ht="13.5" customHeight="1">
      <c r="A75" s="267"/>
      <c r="B75" s="267"/>
      <c r="C75" s="433"/>
      <c r="D75" s="433"/>
      <c r="E75" s="433"/>
      <c r="F75" s="433"/>
      <c r="G75" s="267"/>
      <c r="H75" s="267"/>
      <c r="I75" s="267"/>
      <c r="J75" s="433"/>
      <c r="K75" s="433"/>
      <c r="L75" s="434"/>
    </row>
    <row r="76" ht="13.5" customHeight="1">
      <c r="A76" s="267"/>
      <c r="B76" s="267"/>
      <c r="C76" s="433"/>
      <c r="D76" s="433"/>
      <c r="E76" s="433"/>
      <c r="F76" s="433"/>
      <c r="G76" s="267"/>
      <c r="H76" s="267"/>
      <c r="I76" s="267"/>
      <c r="J76" s="433"/>
      <c r="K76" s="433"/>
      <c r="L76" s="434"/>
    </row>
    <row r="77" ht="13.5" customHeight="1">
      <c r="A77" s="267"/>
      <c r="B77" s="267"/>
      <c r="C77" s="433"/>
      <c r="D77" s="433"/>
      <c r="E77" s="433"/>
      <c r="F77" s="433"/>
      <c r="G77" s="267"/>
      <c r="H77" s="267"/>
      <c r="I77" s="267"/>
      <c r="J77" s="433"/>
      <c r="K77" s="433"/>
      <c r="L77" s="434"/>
    </row>
    <row r="78" ht="13.5" customHeight="1">
      <c r="A78" s="267"/>
      <c r="B78" s="267"/>
      <c r="C78" s="433"/>
      <c r="D78" s="433"/>
      <c r="E78" s="433"/>
      <c r="F78" s="433"/>
      <c r="G78" s="267"/>
      <c r="H78" s="267"/>
      <c r="I78" s="267"/>
      <c r="J78" s="433"/>
      <c r="K78" s="433"/>
      <c r="L78" s="434"/>
    </row>
    <row r="79" ht="13.5" customHeight="1">
      <c r="A79" s="267"/>
      <c r="B79" s="267"/>
      <c r="C79" s="433"/>
      <c r="D79" s="433"/>
      <c r="E79" s="433"/>
      <c r="F79" s="433"/>
      <c r="G79" s="267"/>
      <c r="H79" s="267"/>
      <c r="I79" s="267"/>
      <c r="J79" s="433"/>
      <c r="K79" s="433"/>
      <c r="L79" s="434"/>
    </row>
    <row r="80" ht="13.5" customHeight="1">
      <c r="A80" s="267"/>
      <c r="B80" s="267"/>
      <c r="C80" s="433"/>
      <c r="D80" s="433"/>
      <c r="E80" s="433"/>
      <c r="F80" s="433"/>
      <c r="G80" s="267"/>
      <c r="H80" s="267"/>
      <c r="I80" s="267"/>
      <c r="J80" s="433"/>
      <c r="K80" s="433"/>
      <c r="L80" s="434"/>
    </row>
    <row r="81" ht="13.5" customHeight="1">
      <c r="A81" s="267"/>
      <c r="B81" s="267"/>
      <c r="C81" s="433"/>
      <c r="D81" s="433"/>
      <c r="E81" s="433"/>
      <c r="F81" s="433"/>
      <c r="G81" s="267"/>
      <c r="H81" s="267"/>
      <c r="I81" s="267"/>
      <c r="J81" s="433"/>
      <c r="K81" s="433"/>
      <c r="L81" s="434"/>
    </row>
    <row r="82" ht="13.5" customHeight="1">
      <c r="A82" s="267"/>
      <c r="B82" s="267"/>
      <c r="C82" s="433"/>
      <c r="D82" s="433"/>
      <c r="E82" s="433"/>
      <c r="F82" s="433"/>
      <c r="G82" s="267"/>
      <c r="H82" s="267"/>
      <c r="I82" s="267"/>
      <c r="J82" s="433"/>
      <c r="K82" s="433"/>
      <c r="L82" s="434"/>
    </row>
    <row r="83" ht="13.5" customHeight="1">
      <c r="A83" s="267"/>
      <c r="B83" s="267"/>
      <c r="C83" s="433"/>
      <c r="D83" s="433"/>
      <c r="E83" s="433"/>
      <c r="F83" s="433"/>
      <c r="G83" s="267"/>
      <c r="H83" s="267"/>
      <c r="I83" s="267"/>
      <c r="J83" s="433"/>
      <c r="K83" s="433"/>
      <c r="L83" s="434"/>
    </row>
    <row r="84" ht="13.5" customHeight="1">
      <c r="A84" s="267"/>
      <c r="B84" s="267"/>
      <c r="C84" s="433"/>
      <c r="D84" s="433"/>
      <c r="E84" s="433"/>
      <c r="F84" s="433"/>
      <c r="G84" s="267"/>
      <c r="H84" s="267"/>
      <c r="I84" s="267"/>
      <c r="J84" s="433"/>
      <c r="K84" s="433"/>
      <c r="L84" s="434"/>
    </row>
    <row r="85" ht="13.5" customHeight="1">
      <c r="A85" s="267"/>
      <c r="B85" s="267"/>
      <c r="C85" s="433"/>
      <c r="D85" s="433"/>
      <c r="E85" s="433"/>
      <c r="F85" s="433"/>
      <c r="G85" s="267"/>
      <c r="H85" s="267"/>
      <c r="I85" s="267"/>
      <c r="J85" s="433"/>
      <c r="K85" s="433"/>
      <c r="L85" s="434"/>
    </row>
    <row r="86" ht="13.5" customHeight="1">
      <c r="A86" s="267"/>
      <c r="B86" s="267"/>
      <c r="C86" s="433"/>
      <c r="D86" s="433"/>
      <c r="E86" s="433"/>
      <c r="F86" s="433"/>
      <c r="G86" s="267"/>
      <c r="H86" s="267"/>
      <c r="I86" s="267"/>
      <c r="J86" s="433"/>
      <c r="K86" s="433"/>
      <c r="L86" s="434"/>
    </row>
    <row r="87" ht="13.5" customHeight="1">
      <c r="A87" s="267"/>
      <c r="B87" s="267"/>
      <c r="C87" s="433"/>
      <c r="D87" s="433"/>
      <c r="E87" s="433"/>
      <c r="F87" s="433"/>
      <c r="G87" s="267"/>
      <c r="H87" s="267"/>
      <c r="I87" s="267"/>
      <c r="J87" s="433"/>
      <c r="K87" s="433"/>
      <c r="L87" s="434"/>
    </row>
    <row r="88" ht="13.5" customHeight="1">
      <c r="A88" s="267"/>
      <c r="B88" s="267"/>
      <c r="C88" s="433"/>
      <c r="D88" s="433"/>
      <c r="E88" s="433"/>
      <c r="F88" s="433"/>
      <c r="G88" s="267"/>
      <c r="H88" s="267"/>
      <c r="I88" s="267"/>
      <c r="J88" s="433"/>
      <c r="K88" s="433"/>
      <c r="L88" s="434"/>
    </row>
    <row r="89" ht="13.5" customHeight="1">
      <c r="A89" s="267"/>
      <c r="B89" s="267"/>
      <c r="C89" s="433"/>
      <c r="D89" s="433"/>
      <c r="E89" s="433"/>
      <c r="F89" s="433"/>
      <c r="G89" s="267"/>
      <c r="H89" s="267"/>
      <c r="I89" s="267"/>
      <c r="J89" s="433"/>
      <c r="K89" s="433"/>
      <c r="L89" s="434"/>
    </row>
    <row r="90" ht="13.5" customHeight="1">
      <c r="A90" s="267"/>
      <c r="B90" s="267"/>
      <c r="C90" s="433"/>
      <c r="D90" s="433"/>
      <c r="E90" s="433"/>
      <c r="F90" s="433"/>
      <c r="G90" s="267"/>
      <c r="H90" s="267"/>
      <c r="I90" s="267"/>
      <c r="J90" s="433"/>
      <c r="K90" s="433"/>
      <c r="L90" s="434"/>
    </row>
    <row r="91" ht="13.5" customHeight="1">
      <c r="A91" s="267"/>
      <c r="B91" s="267"/>
      <c r="C91" s="433"/>
      <c r="D91" s="433"/>
      <c r="E91" s="433"/>
      <c r="F91" s="433"/>
      <c r="G91" s="267"/>
      <c r="H91" s="267"/>
      <c r="I91" s="267"/>
      <c r="J91" s="433"/>
      <c r="K91" s="433"/>
      <c r="L91" s="434"/>
    </row>
    <row r="92" ht="13.5" customHeight="1">
      <c r="A92" s="267"/>
      <c r="B92" s="267"/>
      <c r="C92" s="433"/>
      <c r="D92" s="433"/>
      <c r="E92" s="433"/>
      <c r="F92" s="433"/>
      <c r="G92" s="267"/>
      <c r="H92" s="267"/>
      <c r="I92" s="267"/>
      <c r="J92" s="433"/>
      <c r="K92" s="433"/>
      <c r="L92" s="434"/>
    </row>
    <row r="93" ht="13.5" customHeight="1">
      <c r="A93" s="267"/>
      <c r="B93" s="267"/>
      <c r="C93" s="433"/>
      <c r="D93" s="433"/>
      <c r="E93" s="433"/>
      <c r="F93" s="433"/>
      <c r="G93" s="267"/>
      <c r="H93" s="267"/>
      <c r="I93" s="267"/>
      <c r="J93" s="433"/>
      <c r="K93" s="433"/>
      <c r="L93" s="434"/>
    </row>
    <row r="94" ht="13.5" customHeight="1">
      <c r="A94" s="267"/>
      <c r="B94" s="267"/>
      <c r="C94" s="433"/>
      <c r="D94" s="433"/>
      <c r="E94" s="433"/>
      <c r="F94" s="433"/>
      <c r="G94" s="267"/>
      <c r="H94" s="267"/>
      <c r="I94" s="267"/>
      <c r="J94" s="433"/>
      <c r="K94" s="433"/>
      <c r="L94" s="434"/>
    </row>
    <row r="95" ht="13.5" customHeight="1">
      <c r="A95" s="267"/>
      <c r="B95" s="267"/>
      <c r="C95" s="433"/>
      <c r="D95" s="433"/>
      <c r="E95" s="433"/>
      <c r="F95" s="433"/>
      <c r="G95" s="267"/>
      <c r="H95" s="267"/>
      <c r="I95" s="267"/>
      <c r="J95" s="433"/>
      <c r="K95" s="433"/>
      <c r="L95" s="434"/>
    </row>
    <row r="96" ht="13.5" customHeight="1">
      <c r="A96" s="267"/>
      <c r="B96" s="267"/>
      <c r="C96" s="433"/>
      <c r="D96" s="433"/>
      <c r="E96" s="433"/>
      <c r="F96" s="433"/>
      <c r="G96" s="267"/>
      <c r="H96" s="267"/>
      <c r="I96" s="267"/>
      <c r="J96" s="433"/>
      <c r="K96" s="433"/>
      <c r="L96" s="434"/>
    </row>
    <row r="97" ht="13.5" customHeight="1">
      <c r="A97" s="267"/>
      <c r="B97" s="267"/>
      <c r="C97" s="433"/>
      <c r="D97" s="433"/>
      <c r="E97" s="433"/>
      <c r="F97" s="433"/>
      <c r="G97" s="267"/>
      <c r="H97" s="267"/>
      <c r="I97" s="267"/>
      <c r="J97" s="433"/>
      <c r="K97" s="433"/>
      <c r="L97" s="434"/>
    </row>
    <row r="98" ht="13.5" customHeight="1">
      <c r="A98" s="267"/>
      <c r="B98" s="267"/>
      <c r="C98" s="433"/>
      <c r="D98" s="433"/>
      <c r="E98" s="433"/>
      <c r="F98" s="433"/>
      <c r="G98" s="267"/>
      <c r="H98" s="267"/>
      <c r="I98" s="267"/>
      <c r="J98" s="433"/>
      <c r="K98" s="433"/>
      <c r="L98" s="434"/>
    </row>
    <row r="99" ht="13.5" customHeight="1">
      <c r="A99" s="267"/>
      <c r="B99" s="267"/>
      <c r="C99" s="433"/>
      <c r="D99" s="433"/>
      <c r="E99" s="433"/>
      <c r="F99" s="433"/>
      <c r="G99" s="267"/>
      <c r="H99" s="267"/>
      <c r="I99" s="267"/>
      <c r="J99" s="433"/>
      <c r="K99" s="433"/>
      <c r="L99" s="434"/>
    </row>
    <row r="100" ht="13.5" customHeight="1">
      <c r="A100" s="267"/>
      <c r="B100" s="267"/>
      <c r="C100" s="433"/>
      <c r="D100" s="433"/>
      <c r="E100" s="433"/>
      <c r="F100" s="433"/>
      <c r="G100" s="267"/>
      <c r="H100" s="267"/>
      <c r="I100" s="267"/>
      <c r="J100" s="433"/>
      <c r="K100" s="433"/>
      <c r="L100" s="434"/>
    </row>
    <row r="101" ht="13.5" customHeight="1">
      <c r="A101" s="267"/>
      <c r="B101" s="267"/>
      <c r="C101" s="433"/>
      <c r="D101" s="433"/>
      <c r="E101" s="433"/>
      <c r="F101" s="433"/>
      <c r="G101" s="267"/>
      <c r="H101" s="267"/>
      <c r="I101" s="267"/>
      <c r="J101" s="433"/>
      <c r="K101" s="433"/>
      <c r="L101" s="434"/>
    </row>
    <row r="102" ht="13.5" customHeight="1">
      <c r="A102" s="267"/>
      <c r="B102" s="267"/>
      <c r="C102" s="433"/>
      <c r="D102" s="433"/>
      <c r="E102" s="433"/>
      <c r="F102" s="433"/>
      <c r="G102" s="267"/>
      <c r="H102" s="267"/>
      <c r="I102" s="267"/>
      <c r="J102" s="433"/>
      <c r="K102" s="433"/>
      <c r="L102" s="434"/>
    </row>
    <row r="103" ht="13.5" customHeight="1">
      <c r="A103" s="267"/>
      <c r="B103" s="267"/>
      <c r="C103" s="433"/>
      <c r="D103" s="433"/>
      <c r="E103" s="433"/>
      <c r="F103" s="433"/>
      <c r="G103" s="267"/>
      <c r="H103" s="267"/>
      <c r="I103" s="267"/>
      <c r="J103" s="433"/>
      <c r="K103" s="433"/>
      <c r="L103" s="434"/>
    </row>
    <row r="104" ht="13.5" customHeight="1">
      <c r="A104" s="267"/>
      <c r="B104" s="267"/>
      <c r="C104" s="433"/>
      <c r="D104" s="433"/>
      <c r="E104" s="433"/>
      <c r="F104" s="433"/>
      <c r="G104" s="267"/>
      <c r="H104" s="267"/>
      <c r="I104" s="267"/>
      <c r="J104" s="433"/>
      <c r="K104" s="433"/>
      <c r="L104" s="434"/>
    </row>
    <row r="105" ht="13.5" customHeight="1">
      <c r="A105" s="267"/>
      <c r="B105" s="267"/>
      <c r="C105" s="433"/>
      <c r="D105" s="433"/>
      <c r="E105" s="433"/>
      <c r="F105" s="433"/>
      <c r="G105" s="267"/>
      <c r="H105" s="267"/>
      <c r="I105" s="267"/>
      <c r="J105" s="433"/>
      <c r="K105" s="433"/>
      <c r="L105" s="434"/>
    </row>
    <row r="106" ht="13.5" customHeight="1">
      <c r="A106" s="267"/>
      <c r="B106" s="267"/>
      <c r="C106" s="433"/>
      <c r="D106" s="433"/>
      <c r="E106" s="433"/>
      <c r="F106" s="433"/>
      <c r="G106" s="267"/>
      <c r="H106" s="267"/>
      <c r="I106" s="267"/>
      <c r="J106" s="433"/>
      <c r="K106" s="433"/>
      <c r="L106" s="434"/>
    </row>
    <row r="107" ht="13.5" customHeight="1">
      <c r="A107" s="267"/>
      <c r="B107" s="267"/>
      <c r="C107" s="433"/>
      <c r="D107" s="433"/>
      <c r="E107" s="433"/>
      <c r="F107" s="433"/>
      <c r="G107" s="267"/>
      <c r="H107" s="267"/>
      <c r="I107" s="267"/>
      <c r="J107" s="433"/>
      <c r="K107" s="433"/>
      <c r="L107" s="434"/>
    </row>
    <row r="108" ht="13.5" customHeight="1">
      <c r="A108" s="267"/>
      <c r="B108" s="267"/>
      <c r="C108" s="433"/>
      <c r="D108" s="433"/>
      <c r="E108" s="433"/>
      <c r="F108" s="433"/>
      <c r="G108" s="267"/>
      <c r="H108" s="267"/>
      <c r="I108" s="267"/>
      <c r="J108" s="433"/>
      <c r="K108" s="433"/>
      <c r="L108" s="434"/>
    </row>
    <row r="109" ht="13.5" customHeight="1">
      <c r="A109" s="267"/>
      <c r="B109" s="267"/>
      <c r="C109" s="433"/>
      <c r="D109" s="433"/>
      <c r="E109" s="433"/>
      <c r="F109" s="433"/>
      <c r="G109" s="267"/>
      <c r="H109" s="267"/>
      <c r="I109" s="267"/>
      <c r="J109" s="433"/>
      <c r="K109" s="433"/>
      <c r="L109" s="434"/>
    </row>
    <row r="110" ht="13.5" customHeight="1">
      <c r="A110" s="267"/>
      <c r="B110" s="267"/>
      <c r="C110" s="433"/>
      <c r="D110" s="433"/>
      <c r="E110" s="433"/>
      <c r="F110" s="433"/>
      <c r="G110" s="267"/>
      <c r="H110" s="267"/>
      <c r="I110" s="267"/>
      <c r="J110" s="433"/>
      <c r="K110" s="433"/>
      <c r="L110" s="434"/>
    </row>
    <row r="111" ht="13.5" customHeight="1">
      <c r="A111" s="267"/>
      <c r="B111" s="267"/>
      <c r="C111" s="433"/>
      <c r="D111" s="433"/>
      <c r="E111" s="433"/>
      <c r="F111" s="433"/>
      <c r="G111" s="267"/>
      <c r="H111" s="267"/>
      <c r="I111" s="267"/>
      <c r="J111" s="433"/>
      <c r="K111" s="433"/>
      <c r="L111" s="434"/>
    </row>
    <row r="112" ht="13.5" customHeight="1">
      <c r="A112" s="267"/>
      <c r="B112" s="267"/>
      <c r="C112" s="433"/>
      <c r="D112" s="433"/>
      <c r="E112" s="433"/>
      <c r="F112" s="433"/>
      <c r="G112" s="267"/>
      <c r="H112" s="267"/>
      <c r="I112" s="267"/>
      <c r="J112" s="433"/>
      <c r="K112" s="433"/>
      <c r="L112" s="434"/>
    </row>
    <row r="113" ht="13.5" customHeight="1">
      <c r="A113" s="267"/>
      <c r="B113" s="267"/>
      <c r="C113" s="433"/>
      <c r="D113" s="433"/>
      <c r="E113" s="433"/>
      <c r="F113" s="433"/>
      <c r="G113" s="267"/>
      <c r="H113" s="267"/>
      <c r="I113" s="267"/>
      <c r="J113" s="433"/>
      <c r="K113" s="433"/>
      <c r="L113" s="434"/>
    </row>
    <row r="114" ht="13.5" customHeight="1">
      <c r="A114" s="267"/>
      <c r="B114" s="267"/>
      <c r="C114" s="433"/>
      <c r="D114" s="433"/>
      <c r="E114" s="433"/>
      <c r="F114" s="433"/>
      <c r="G114" s="267"/>
      <c r="H114" s="267"/>
      <c r="I114" s="267"/>
      <c r="J114" s="433"/>
      <c r="K114" s="433"/>
      <c r="L114" s="434"/>
    </row>
    <row r="115" ht="13.5" customHeight="1">
      <c r="A115" s="267"/>
      <c r="B115" s="267"/>
      <c r="C115" s="433"/>
      <c r="D115" s="433"/>
      <c r="E115" s="433"/>
      <c r="F115" s="433"/>
      <c r="G115" s="267"/>
      <c r="H115" s="267"/>
      <c r="I115" s="267"/>
      <c r="J115" s="433"/>
      <c r="K115" s="433"/>
      <c r="L115" s="434"/>
    </row>
    <row r="116" ht="13.5" customHeight="1">
      <c r="A116" s="267"/>
      <c r="B116" s="267"/>
      <c r="C116" s="433"/>
      <c r="D116" s="433"/>
      <c r="E116" s="433"/>
      <c r="F116" s="433"/>
      <c r="G116" s="267"/>
      <c r="H116" s="267"/>
      <c r="I116" s="267"/>
      <c r="J116" s="433"/>
      <c r="K116" s="433"/>
      <c r="L116" s="434"/>
    </row>
    <row r="117" ht="13.5" customHeight="1">
      <c r="A117" s="267"/>
      <c r="B117" s="267"/>
      <c r="C117" s="433"/>
      <c r="D117" s="433"/>
      <c r="E117" s="433"/>
      <c r="F117" s="433"/>
      <c r="G117" s="267"/>
      <c r="H117" s="267"/>
      <c r="I117" s="267"/>
      <c r="J117" s="433"/>
      <c r="K117" s="433"/>
      <c r="L117" s="434"/>
    </row>
    <row r="118" ht="13.5" customHeight="1">
      <c r="A118" s="267"/>
      <c r="B118" s="267"/>
      <c r="C118" s="433"/>
      <c r="D118" s="433"/>
      <c r="E118" s="433"/>
      <c r="F118" s="433"/>
      <c r="G118" s="267"/>
      <c r="H118" s="267"/>
      <c r="I118" s="267"/>
      <c r="J118" s="433"/>
      <c r="K118" s="433"/>
      <c r="L118" s="434"/>
    </row>
    <row r="119" ht="13.5" customHeight="1">
      <c r="A119" s="267"/>
      <c r="B119" s="267"/>
      <c r="C119" s="433"/>
      <c r="D119" s="433"/>
      <c r="E119" s="433"/>
      <c r="F119" s="433"/>
      <c r="G119" s="267"/>
      <c r="H119" s="267"/>
      <c r="I119" s="267"/>
      <c r="J119" s="433"/>
      <c r="K119" s="433"/>
      <c r="L119" s="434"/>
    </row>
    <row r="120" ht="13.5" customHeight="1">
      <c r="A120" s="267"/>
      <c r="B120" s="267"/>
      <c r="C120" s="433"/>
      <c r="D120" s="433"/>
      <c r="E120" s="433"/>
      <c r="F120" s="433"/>
      <c r="G120" s="267"/>
      <c r="H120" s="267"/>
      <c r="I120" s="267"/>
      <c r="J120" s="433"/>
      <c r="K120" s="433"/>
      <c r="L120" s="434"/>
    </row>
    <row r="121" ht="13.5" customHeight="1">
      <c r="A121" s="267"/>
      <c r="B121" s="267"/>
      <c r="C121" s="433"/>
      <c r="D121" s="433"/>
      <c r="E121" s="433"/>
      <c r="F121" s="433"/>
      <c r="G121" s="267"/>
      <c r="H121" s="267"/>
      <c r="I121" s="267"/>
      <c r="J121" s="433"/>
      <c r="K121" s="433"/>
      <c r="L121" s="434"/>
    </row>
    <row r="122" ht="13.5" customHeight="1">
      <c r="A122" s="267"/>
      <c r="B122" s="267"/>
      <c r="C122" s="433"/>
      <c r="D122" s="433"/>
      <c r="E122" s="433"/>
      <c r="F122" s="433"/>
      <c r="G122" s="267"/>
      <c r="H122" s="267"/>
      <c r="I122" s="267"/>
      <c r="J122" s="433"/>
      <c r="K122" s="433"/>
      <c r="L122" s="434"/>
    </row>
    <row r="123" ht="13.5" customHeight="1">
      <c r="A123" s="267"/>
      <c r="B123" s="267"/>
      <c r="C123" s="433"/>
      <c r="D123" s="433"/>
      <c r="E123" s="433"/>
      <c r="F123" s="433"/>
      <c r="G123" s="267"/>
      <c r="H123" s="267"/>
      <c r="I123" s="267"/>
      <c r="J123" s="433"/>
      <c r="K123" s="433"/>
      <c r="L123" s="434"/>
    </row>
    <row r="124" ht="13.5" customHeight="1">
      <c r="A124" s="267"/>
      <c r="B124" s="267"/>
      <c r="C124" s="433"/>
      <c r="D124" s="433"/>
      <c r="E124" s="433"/>
      <c r="F124" s="433"/>
      <c r="G124" s="267"/>
      <c r="H124" s="267"/>
      <c r="I124" s="267"/>
      <c r="J124" s="433"/>
      <c r="K124" s="433"/>
      <c r="L124" s="434"/>
    </row>
    <row r="125" ht="13.5" customHeight="1">
      <c r="A125" s="267"/>
      <c r="B125" s="267"/>
      <c r="C125" s="433"/>
      <c r="D125" s="433"/>
      <c r="E125" s="433"/>
      <c r="F125" s="433"/>
      <c r="G125" s="267"/>
      <c r="H125" s="267"/>
      <c r="I125" s="267"/>
      <c r="J125" s="433"/>
      <c r="K125" s="433"/>
      <c r="L125" s="434"/>
    </row>
    <row r="126" ht="13.5" customHeight="1">
      <c r="A126" s="267"/>
      <c r="B126" s="267"/>
      <c r="C126" s="433"/>
      <c r="D126" s="433"/>
      <c r="E126" s="433"/>
      <c r="F126" s="433"/>
      <c r="G126" s="267"/>
      <c r="H126" s="267"/>
      <c r="I126" s="267"/>
      <c r="J126" s="433"/>
      <c r="K126" s="433"/>
      <c r="L126" s="434"/>
    </row>
    <row r="127" ht="13.5" customHeight="1">
      <c r="A127" s="267"/>
      <c r="B127" s="267"/>
      <c r="C127" s="433"/>
      <c r="D127" s="433"/>
      <c r="E127" s="433"/>
      <c r="F127" s="433"/>
      <c r="G127" s="267"/>
      <c r="H127" s="267"/>
      <c r="I127" s="267"/>
      <c r="J127" s="433"/>
      <c r="K127" s="433"/>
      <c r="L127" s="434"/>
    </row>
    <row r="128" ht="13.5" customHeight="1">
      <c r="A128" s="267"/>
      <c r="B128" s="267"/>
      <c r="C128" s="433"/>
      <c r="D128" s="433"/>
      <c r="E128" s="433"/>
      <c r="F128" s="433"/>
      <c r="G128" s="267"/>
      <c r="H128" s="267"/>
      <c r="I128" s="267"/>
      <c r="J128" s="433"/>
      <c r="K128" s="433"/>
      <c r="L128" s="434"/>
    </row>
    <row r="129" ht="13.5" customHeight="1">
      <c r="A129" s="267"/>
      <c r="B129" s="267"/>
      <c r="C129" s="433"/>
      <c r="D129" s="433"/>
      <c r="E129" s="433"/>
      <c r="F129" s="433"/>
      <c r="G129" s="267"/>
      <c r="H129" s="267"/>
      <c r="I129" s="267"/>
      <c r="J129" s="433"/>
      <c r="K129" s="433"/>
      <c r="L129" s="434"/>
    </row>
    <row r="130" ht="13.5" customHeight="1">
      <c r="A130" s="267"/>
      <c r="B130" s="267"/>
      <c r="C130" s="433"/>
      <c r="D130" s="433"/>
      <c r="E130" s="433"/>
      <c r="F130" s="433"/>
      <c r="G130" s="267"/>
      <c r="H130" s="267"/>
      <c r="I130" s="267"/>
      <c r="J130" s="433"/>
      <c r="K130" s="433"/>
      <c r="L130" s="434"/>
    </row>
    <row r="131" ht="13.5" customHeight="1">
      <c r="A131" s="267"/>
      <c r="B131" s="267"/>
      <c r="C131" s="433"/>
      <c r="D131" s="433"/>
      <c r="E131" s="433"/>
      <c r="F131" s="433"/>
      <c r="G131" s="267"/>
      <c r="H131" s="267"/>
      <c r="I131" s="267"/>
      <c r="J131" s="433"/>
      <c r="K131" s="433"/>
      <c r="L131" s="434"/>
    </row>
    <row r="132" ht="13.5" customHeight="1">
      <c r="A132" s="267"/>
      <c r="B132" s="267"/>
      <c r="C132" s="433"/>
      <c r="D132" s="433"/>
      <c r="E132" s="433"/>
      <c r="F132" s="433"/>
      <c r="G132" s="267"/>
      <c r="H132" s="267"/>
      <c r="I132" s="267"/>
      <c r="J132" s="433"/>
      <c r="K132" s="433"/>
      <c r="L132" s="434"/>
    </row>
    <row r="133" ht="13.5" customHeight="1">
      <c r="A133" s="267"/>
      <c r="B133" s="267"/>
      <c r="C133" s="433"/>
      <c r="D133" s="433"/>
      <c r="E133" s="433"/>
      <c r="F133" s="433"/>
      <c r="G133" s="267"/>
      <c r="H133" s="267"/>
      <c r="I133" s="267"/>
      <c r="J133" s="433"/>
      <c r="K133" s="433"/>
      <c r="L133" s="434"/>
    </row>
    <row r="134" ht="13.5" customHeight="1">
      <c r="A134" s="267"/>
      <c r="B134" s="267"/>
      <c r="C134" s="433"/>
      <c r="D134" s="433"/>
      <c r="E134" s="433"/>
      <c r="F134" s="433"/>
      <c r="G134" s="267"/>
      <c r="H134" s="267"/>
      <c r="I134" s="267"/>
      <c r="J134" s="433"/>
      <c r="K134" s="433"/>
      <c r="L134" s="434"/>
    </row>
    <row r="135" ht="13.5" customHeight="1">
      <c r="A135" s="267"/>
      <c r="B135" s="267"/>
      <c r="C135" s="433"/>
      <c r="D135" s="433"/>
      <c r="E135" s="433"/>
      <c r="F135" s="433"/>
      <c r="G135" s="267"/>
      <c r="H135" s="267"/>
      <c r="I135" s="267"/>
      <c r="J135" s="433"/>
      <c r="K135" s="433"/>
      <c r="L135" s="434"/>
    </row>
    <row r="136" ht="13.5" customHeight="1">
      <c r="A136" s="267"/>
      <c r="B136" s="267"/>
      <c r="C136" s="433"/>
      <c r="D136" s="433"/>
      <c r="E136" s="433"/>
      <c r="F136" s="433"/>
      <c r="G136" s="267"/>
      <c r="H136" s="267"/>
      <c r="I136" s="267"/>
      <c r="J136" s="433"/>
      <c r="K136" s="433"/>
      <c r="L136" s="434"/>
    </row>
    <row r="137" ht="13.5" customHeight="1">
      <c r="A137" s="267"/>
      <c r="B137" s="267"/>
      <c r="C137" s="433"/>
      <c r="D137" s="433"/>
      <c r="E137" s="433"/>
      <c r="F137" s="433"/>
      <c r="G137" s="267"/>
      <c r="H137" s="267"/>
      <c r="I137" s="267"/>
      <c r="J137" s="433"/>
      <c r="K137" s="433"/>
      <c r="L137" s="434"/>
    </row>
    <row r="138" ht="13.5" customHeight="1">
      <c r="A138" s="267"/>
      <c r="B138" s="267"/>
      <c r="C138" s="433"/>
      <c r="D138" s="433"/>
      <c r="E138" s="433"/>
      <c r="F138" s="433"/>
      <c r="G138" s="267"/>
      <c r="H138" s="267"/>
      <c r="I138" s="267"/>
      <c r="J138" s="433"/>
      <c r="K138" s="433"/>
      <c r="L138" s="434"/>
    </row>
    <row r="139" ht="13.5" customHeight="1">
      <c r="A139" s="267"/>
      <c r="B139" s="267"/>
      <c r="C139" s="433"/>
      <c r="D139" s="433"/>
      <c r="E139" s="433"/>
      <c r="F139" s="433"/>
      <c r="G139" s="267"/>
      <c r="H139" s="267"/>
      <c r="I139" s="267"/>
      <c r="J139" s="433"/>
      <c r="K139" s="433"/>
      <c r="L139" s="434"/>
    </row>
    <row r="140" ht="13.5" customHeight="1">
      <c r="A140" s="267"/>
      <c r="B140" s="267"/>
      <c r="C140" s="433"/>
      <c r="D140" s="433"/>
      <c r="E140" s="433"/>
      <c r="F140" s="433"/>
      <c r="G140" s="267"/>
      <c r="H140" s="267"/>
      <c r="I140" s="267"/>
      <c r="J140" s="433"/>
      <c r="K140" s="433"/>
      <c r="L140" s="434"/>
    </row>
    <row r="141" ht="13.5" customHeight="1">
      <c r="A141" s="267"/>
      <c r="B141" s="267"/>
      <c r="C141" s="433"/>
      <c r="D141" s="433"/>
      <c r="E141" s="433"/>
      <c r="F141" s="433"/>
      <c r="G141" s="267"/>
      <c r="H141" s="267"/>
      <c r="I141" s="267"/>
      <c r="J141" s="433"/>
      <c r="K141" s="433"/>
      <c r="L141" s="434"/>
    </row>
    <row r="142" ht="13.5" customHeight="1">
      <c r="A142" s="267"/>
      <c r="B142" s="267"/>
      <c r="C142" s="433"/>
      <c r="D142" s="433"/>
      <c r="E142" s="433"/>
      <c r="F142" s="433"/>
      <c r="G142" s="267"/>
      <c r="H142" s="267"/>
      <c r="I142" s="267"/>
      <c r="J142" s="433"/>
      <c r="K142" s="433"/>
      <c r="L142" s="434"/>
    </row>
    <row r="143" ht="13.5" customHeight="1">
      <c r="A143" s="267"/>
      <c r="B143" s="267"/>
      <c r="C143" s="433"/>
      <c r="D143" s="433"/>
      <c r="E143" s="433"/>
      <c r="F143" s="433"/>
      <c r="G143" s="267"/>
      <c r="H143" s="267"/>
      <c r="I143" s="267"/>
      <c r="J143" s="433"/>
      <c r="K143" s="433"/>
      <c r="L143" s="434"/>
    </row>
    <row r="144" ht="13.5" customHeight="1">
      <c r="A144" s="267"/>
      <c r="B144" s="267"/>
      <c r="C144" s="433"/>
      <c r="D144" s="433"/>
      <c r="E144" s="433"/>
      <c r="F144" s="433"/>
      <c r="G144" s="267"/>
      <c r="H144" s="267"/>
      <c r="I144" s="267"/>
      <c r="J144" s="433"/>
      <c r="K144" s="433"/>
      <c r="L144" s="434"/>
    </row>
    <row r="145" ht="13.5" customHeight="1">
      <c r="A145" s="267"/>
      <c r="B145" s="267"/>
      <c r="C145" s="433"/>
      <c r="D145" s="433"/>
      <c r="E145" s="433"/>
      <c r="F145" s="433"/>
      <c r="G145" s="267"/>
      <c r="H145" s="267"/>
      <c r="I145" s="267"/>
      <c r="J145" s="433"/>
      <c r="K145" s="433"/>
      <c r="L145" s="434"/>
    </row>
    <row r="146" ht="13.5" customHeight="1">
      <c r="A146" s="267"/>
      <c r="B146" s="267"/>
      <c r="C146" s="433"/>
      <c r="D146" s="433"/>
      <c r="E146" s="433"/>
      <c r="F146" s="433"/>
      <c r="G146" s="267"/>
      <c r="H146" s="267"/>
      <c r="I146" s="267"/>
      <c r="J146" s="433"/>
      <c r="K146" s="433"/>
      <c r="L146" s="434"/>
    </row>
    <row r="147" ht="13.5" customHeight="1">
      <c r="A147" s="267"/>
      <c r="B147" s="267"/>
      <c r="C147" s="433"/>
      <c r="D147" s="433"/>
      <c r="E147" s="433"/>
      <c r="F147" s="433"/>
      <c r="G147" s="267"/>
      <c r="H147" s="267"/>
      <c r="I147" s="267"/>
      <c r="J147" s="433"/>
      <c r="K147" s="433"/>
      <c r="L147" s="434"/>
    </row>
    <row r="148" ht="13.5" customHeight="1">
      <c r="A148" s="267"/>
      <c r="B148" s="267"/>
      <c r="C148" s="433"/>
      <c r="D148" s="433"/>
      <c r="E148" s="433"/>
      <c r="F148" s="433"/>
      <c r="G148" s="267"/>
      <c r="H148" s="267"/>
      <c r="I148" s="267"/>
      <c r="J148" s="433"/>
      <c r="K148" s="433"/>
      <c r="L148" s="434"/>
    </row>
    <row r="149" ht="13.5" customHeight="1">
      <c r="A149" s="267"/>
      <c r="B149" s="267"/>
      <c r="C149" s="433"/>
      <c r="D149" s="433"/>
      <c r="E149" s="433"/>
      <c r="F149" s="433"/>
      <c r="G149" s="267"/>
      <c r="H149" s="267"/>
      <c r="I149" s="267"/>
      <c r="J149" s="433"/>
      <c r="K149" s="433"/>
      <c r="L149" s="434"/>
    </row>
    <row r="150" ht="13.5" customHeight="1">
      <c r="A150" s="267"/>
      <c r="B150" s="267"/>
      <c r="C150" s="433"/>
      <c r="D150" s="433"/>
      <c r="E150" s="433"/>
      <c r="F150" s="433"/>
      <c r="G150" s="267"/>
      <c r="H150" s="267"/>
      <c r="I150" s="267"/>
      <c r="J150" s="433"/>
      <c r="K150" s="433"/>
      <c r="L150" s="434"/>
    </row>
    <row r="151" ht="13.5" customHeight="1">
      <c r="A151" s="267"/>
      <c r="B151" s="267"/>
      <c r="C151" s="433"/>
      <c r="D151" s="433"/>
      <c r="E151" s="433"/>
      <c r="F151" s="433"/>
      <c r="G151" s="267"/>
      <c r="H151" s="267"/>
      <c r="I151" s="267"/>
      <c r="J151" s="433"/>
      <c r="K151" s="433"/>
      <c r="L151" s="434"/>
    </row>
    <row r="152" ht="13.5" customHeight="1">
      <c r="A152" s="267"/>
      <c r="B152" s="267"/>
      <c r="C152" s="433"/>
      <c r="D152" s="433"/>
      <c r="E152" s="433"/>
      <c r="F152" s="433"/>
      <c r="G152" s="267"/>
      <c r="H152" s="267"/>
      <c r="I152" s="267"/>
      <c r="J152" s="433"/>
      <c r="K152" s="433"/>
      <c r="L152" s="434"/>
    </row>
    <row r="153" ht="13.5" customHeight="1">
      <c r="A153" s="267"/>
      <c r="B153" s="267"/>
      <c r="C153" s="433"/>
      <c r="D153" s="433"/>
      <c r="E153" s="433"/>
      <c r="F153" s="433"/>
      <c r="G153" s="267"/>
      <c r="H153" s="267"/>
      <c r="I153" s="267"/>
      <c r="J153" s="433"/>
      <c r="K153" s="433"/>
      <c r="L153" s="434"/>
    </row>
    <row r="154" ht="13.5" customHeight="1">
      <c r="A154" s="267"/>
      <c r="B154" s="267"/>
      <c r="C154" s="433"/>
      <c r="D154" s="433"/>
      <c r="E154" s="433"/>
      <c r="F154" s="433"/>
      <c r="G154" s="267"/>
      <c r="H154" s="267"/>
      <c r="I154" s="267"/>
      <c r="J154" s="433"/>
      <c r="K154" s="433"/>
      <c r="L154" s="434"/>
    </row>
    <row r="155" ht="13.5" customHeight="1">
      <c r="A155" s="267"/>
      <c r="B155" s="267"/>
      <c r="C155" s="433"/>
      <c r="D155" s="433"/>
      <c r="E155" s="433"/>
      <c r="F155" s="433"/>
      <c r="G155" s="267"/>
      <c r="H155" s="267"/>
      <c r="I155" s="267"/>
      <c r="J155" s="433"/>
      <c r="K155" s="433"/>
      <c r="L155" s="434"/>
    </row>
    <row r="156" ht="13.5" customHeight="1">
      <c r="A156" s="267"/>
      <c r="B156" s="267"/>
      <c r="C156" s="433"/>
      <c r="D156" s="433"/>
      <c r="E156" s="433"/>
      <c r="F156" s="433"/>
      <c r="G156" s="267"/>
      <c r="H156" s="267"/>
      <c r="I156" s="267"/>
      <c r="J156" s="433"/>
      <c r="K156" s="433"/>
      <c r="L156" s="434"/>
    </row>
    <row r="157" ht="13.5" customHeight="1">
      <c r="A157" s="267"/>
      <c r="B157" s="267"/>
      <c r="C157" s="433"/>
      <c r="D157" s="433"/>
      <c r="E157" s="433"/>
      <c r="F157" s="433"/>
      <c r="G157" s="267"/>
      <c r="H157" s="267"/>
      <c r="I157" s="267"/>
      <c r="J157" s="433"/>
      <c r="K157" s="433"/>
      <c r="L157" s="434"/>
    </row>
    <row r="158" ht="13.5" customHeight="1">
      <c r="A158" s="267"/>
      <c r="B158" s="267"/>
      <c r="C158" s="433"/>
      <c r="D158" s="433"/>
      <c r="E158" s="433"/>
      <c r="F158" s="433"/>
      <c r="G158" s="267"/>
      <c r="H158" s="267"/>
      <c r="I158" s="267"/>
      <c r="J158" s="433"/>
      <c r="K158" s="433"/>
      <c r="L158" s="434"/>
    </row>
    <row r="159" ht="13.5" customHeight="1">
      <c r="A159" s="267"/>
      <c r="B159" s="267"/>
      <c r="C159" s="433"/>
      <c r="D159" s="433"/>
      <c r="E159" s="433"/>
      <c r="F159" s="433"/>
      <c r="G159" s="267"/>
      <c r="H159" s="267"/>
      <c r="I159" s="267"/>
      <c r="J159" s="433"/>
      <c r="K159" s="433"/>
      <c r="L159" s="434"/>
    </row>
    <row r="160" ht="13.5" customHeight="1">
      <c r="A160" s="267"/>
      <c r="B160" s="267"/>
      <c r="C160" s="433"/>
      <c r="D160" s="433"/>
      <c r="E160" s="433"/>
      <c r="F160" s="433"/>
      <c r="G160" s="267"/>
      <c r="H160" s="267"/>
      <c r="I160" s="267"/>
      <c r="J160" s="433"/>
      <c r="K160" s="433"/>
      <c r="L160" s="434"/>
    </row>
    <row r="161" ht="13.5" customHeight="1">
      <c r="A161" s="267"/>
      <c r="B161" s="267"/>
      <c r="C161" s="433"/>
      <c r="D161" s="433"/>
      <c r="E161" s="433"/>
      <c r="F161" s="433"/>
      <c r="G161" s="267"/>
      <c r="H161" s="267"/>
      <c r="I161" s="267"/>
      <c r="J161" s="433"/>
      <c r="K161" s="433"/>
      <c r="L161" s="434"/>
    </row>
    <row r="162" ht="13.5" customHeight="1">
      <c r="A162" s="267"/>
      <c r="B162" s="267"/>
      <c r="C162" s="433"/>
      <c r="D162" s="433"/>
      <c r="E162" s="433"/>
      <c r="F162" s="433"/>
      <c r="G162" s="267"/>
      <c r="H162" s="267"/>
      <c r="I162" s="267"/>
      <c r="J162" s="433"/>
      <c r="K162" s="433"/>
      <c r="L162" s="434"/>
    </row>
    <row r="163" ht="13.5" customHeight="1">
      <c r="A163" s="267"/>
      <c r="B163" s="267"/>
      <c r="C163" s="433"/>
      <c r="D163" s="433"/>
      <c r="E163" s="433"/>
      <c r="F163" s="433"/>
      <c r="G163" s="267"/>
      <c r="H163" s="267"/>
      <c r="I163" s="267"/>
      <c r="J163" s="433"/>
      <c r="K163" s="433"/>
      <c r="L163" s="434"/>
    </row>
    <row r="164" ht="13.5" customHeight="1">
      <c r="A164" s="267"/>
      <c r="B164" s="267"/>
      <c r="C164" s="433"/>
      <c r="D164" s="433"/>
      <c r="E164" s="433"/>
      <c r="F164" s="433"/>
      <c r="G164" s="267"/>
      <c r="H164" s="267"/>
      <c r="I164" s="267"/>
      <c r="J164" s="433"/>
      <c r="K164" s="433"/>
      <c r="L164" s="434"/>
    </row>
    <row r="165" ht="13.5" customHeight="1">
      <c r="A165" s="267"/>
      <c r="B165" s="267"/>
      <c r="C165" s="433"/>
      <c r="D165" s="433"/>
      <c r="E165" s="433"/>
      <c r="F165" s="433"/>
      <c r="G165" s="267"/>
      <c r="H165" s="267"/>
      <c r="I165" s="267"/>
      <c r="J165" s="433"/>
      <c r="K165" s="433"/>
      <c r="L165" s="434"/>
    </row>
    <row r="166" ht="13.5" customHeight="1">
      <c r="A166" s="267"/>
      <c r="B166" s="267"/>
      <c r="C166" s="433"/>
      <c r="D166" s="433"/>
      <c r="E166" s="433"/>
      <c r="F166" s="433"/>
      <c r="G166" s="267"/>
      <c r="H166" s="267"/>
      <c r="I166" s="267"/>
      <c r="J166" s="433"/>
      <c r="K166" s="433"/>
      <c r="L166" s="434"/>
    </row>
    <row r="167" ht="13.5" customHeight="1">
      <c r="A167" s="267"/>
      <c r="B167" s="267"/>
      <c r="C167" s="433"/>
      <c r="D167" s="433"/>
      <c r="E167" s="433"/>
      <c r="F167" s="433"/>
      <c r="G167" s="267"/>
      <c r="H167" s="267"/>
      <c r="I167" s="267"/>
      <c r="J167" s="433"/>
      <c r="K167" s="433"/>
      <c r="L167" s="434"/>
    </row>
    <row r="168" ht="13.5" customHeight="1">
      <c r="A168" s="267"/>
      <c r="B168" s="267"/>
      <c r="C168" s="433"/>
      <c r="D168" s="433"/>
      <c r="E168" s="433"/>
      <c r="F168" s="433"/>
      <c r="G168" s="267"/>
      <c r="H168" s="267"/>
      <c r="I168" s="267"/>
      <c r="J168" s="433"/>
      <c r="K168" s="433"/>
      <c r="L168" s="434"/>
    </row>
    <row r="169" ht="13.5" customHeight="1">
      <c r="A169" s="267"/>
      <c r="B169" s="267"/>
      <c r="C169" s="433"/>
      <c r="D169" s="433"/>
      <c r="E169" s="433"/>
      <c r="F169" s="433"/>
      <c r="G169" s="267"/>
      <c r="H169" s="267"/>
      <c r="I169" s="267"/>
      <c r="J169" s="433"/>
      <c r="K169" s="433"/>
      <c r="L169" s="434"/>
    </row>
    <row r="170" ht="13.5" customHeight="1">
      <c r="A170" s="267"/>
      <c r="B170" s="267"/>
      <c r="C170" s="433"/>
      <c r="D170" s="433"/>
      <c r="E170" s="433"/>
      <c r="F170" s="433"/>
      <c r="G170" s="267"/>
      <c r="H170" s="267"/>
      <c r="I170" s="267"/>
      <c r="J170" s="433"/>
      <c r="K170" s="433"/>
      <c r="L170" s="434"/>
    </row>
    <row r="171" ht="13.5" customHeight="1">
      <c r="A171" s="267"/>
      <c r="B171" s="267"/>
      <c r="C171" s="433"/>
      <c r="D171" s="433"/>
      <c r="E171" s="433"/>
      <c r="F171" s="433"/>
      <c r="G171" s="267"/>
      <c r="H171" s="267"/>
      <c r="I171" s="267"/>
      <c r="J171" s="433"/>
      <c r="K171" s="433"/>
      <c r="L171" s="434"/>
    </row>
    <row r="172" ht="13.5" customHeight="1">
      <c r="A172" s="267"/>
      <c r="B172" s="267"/>
      <c r="C172" s="433"/>
      <c r="D172" s="433"/>
      <c r="E172" s="433"/>
      <c r="F172" s="433"/>
      <c r="G172" s="267"/>
      <c r="H172" s="267"/>
      <c r="I172" s="267"/>
      <c r="J172" s="433"/>
      <c r="K172" s="433"/>
      <c r="L172" s="434"/>
    </row>
    <row r="173" ht="13.5" customHeight="1">
      <c r="A173" s="267"/>
      <c r="B173" s="267"/>
      <c r="C173" s="433"/>
      <c r="D173" s="433"/>
      <c r="E173" s="433"/>
      <c r="F173" s="433"/>
      <c r="G173" s="267"/>
      <c r="H173" s="267"/>
      <c r="I173" s="267"/>
      <c r="J173" s="433"/>
      <c r="K173" s="433"/>
      <c r="L173" s="434"/>
    </row>
    <row r="174" ht="13.5" customHeight="1">
      <c r="A174" s="267"/>
      <c r="B174" s="267"/>
      <c r="C174" s="433"/>
      <c r="D174" s="433"/>
      <c r="E174" s="433"/>
      <c r="F174" s="433"/>
      <c r="G174" s="267"/>
      <c r="H174" s="267"/>
      <c r="I174" s="267"/>
      <c r="J174" s="433"/>
      <c r="K174" s="433"/>
      <c r="L174" s="434"/>
    </row>
    <row r="175" ht="13.5" customHeight="1">
      <c r="A175" s="267"/>
      <c r="B175" s="267"/>
      <c r="C175" s="433"/>
      <c r="D175" s="433"/>
      <c r="E175" s="433"/>
      <c r="F175" s="433"/>
      <c r="G175" s="267"/>
      <c r="H175" s="267"/>
      <c r="I175" s="267"/>
      <c r="J175" s="433"/>
      <c r="K175" s="433"/>
      <c r="L175" s="434"/>
    </row>
    <row r="176" ht="13.5" customHeight="1">
      <c r="A176" s="267"/>
      <c r="B176" s="267"/>
      <c r="C176" s="433"/>
      <c r="D176" s="433"/>
      <c r="E176" s="433"/>
      <c r="F176" s="433"/>
      <c r="G176" s="267"/>
      <c r="H176" s="267"/>
      <c r="I176" s="267"/>
      <c r="J176" s="433"/>
      <c r="K176" s="433"/>
      <c r="L176" s="434"/>
    </row>
    <row r="177" ht="13.5" customHeight="1">
      <c r="A177" s="267"/>
      <c r="B177" s="267"/>
      <c r="C177" s="433"/>
      <c r="D177" s="433"/>
      <c r="E177" s="433"/>
      <c r="F177" s="433"/>
      <c r="G177" s="267"/>
      <c r="H177" s="267"/>
      <c r="I177" s="267"/>
      <c r="J177" s="433"/>
      <c r="K177" s="433"/>
      <c r="L177" s="434"/>
    </row>
    <row r="178" ht="13.5" customHeight="1">
      <c r="A178" s="267"/>
      <c r="B178" s="267"/>
      <c r="C178" s="433"/>
      <c r="D178" s="433"/>
      <c r="E178" s="433"/>
      <c r="F178" s="433"/>
      <c r="G178" s="267"/>
      <c r="H178" s="267"/>
      <c r="I178" s="267"/>
      <c r="J178" s="433"/>
      <c r="K178" s="433"/>
      <c r="L178" s="434"/>
    </row>
    <row r="179" ht="13.5" customHeight="1">
      <c r="A179" s="267"/>
      <c r="B179" s="267"/>
      <c r="C179" s="433"/>
      <c r="D179" s="433"/>
      <c r="E179" s="433"/>
      <c r="F179" s="433"/>
      <c r="G179" s="267"/>
      <c r="H179" s="267"/>
      <c r="I179" s="267"/>
      <c r="J179" s="433"/>
      <c r="K179" s="433"/>
      <c r="L179" s="434"/>
    </row>
    <row r="180" ht="13.5" customHeight="1">
      <c r="A180" s="267"/>
      <c r="B180" s="267"/>
      <c r="C180" s="433"/>
      <c r="D180" s="433"/>
      <c r="E180" s="433"/>
      <c r="F180" s="433"/>
      <c r="G180" s="267"/>
      <c r="H180" s="267"/>
      <c r="I180" s="267"/>
      <c r="J180" s="433"/>
      <c r="K180" s="433"/>
      <c r="L180" s="434"/>
    </row>
    <row r="181" ht="13.5" customHeight="1">
      <c r="A181" s="267"/>
      <c r="B181" s="267"/>
      <c r="C181" s="433"/>
      <c r="D181" s="433"/>
      <c r="E181" s="433"/>
      <c r="F181" s="433"/>
      <c r="G181" s="267"/>
      <c r="H181" s="267"/>
      <c r="I181" s="267"/>
      <c r="J181" s="433"/>
      <c r="K181" s="433"/>
      <c r="L181" s="434"/>
    </row>
    <row r="182" ht="13.5" customHeight="1">
      <c r="A182" s="267"/>
      <c r="B182" s="267"/>
      <c r="C182" s="433"/>
      <c r="D182" s="433"/>
      <c r="E182" s="433"/>
      <c r="F182" s="433"/>
      <c r="G182" s="267"/>
      <c r="H182" s="267"/>
      <c r="I182" s="267"/>
      <c r="J182" s="433"/>
      <c r="K182" s="433"/>
      <c r="L182" s="434"/>
    </row>
    <row r="183" ht="13.5" customHeight="1">
      <c r="A183" s="267"/>
      <c r="B183" s="267"/>
      <c r="C183" s="433"/>
      <c r="D183" s="433"/>
      <c r="E183" s="433"/>
      <c r="F183" s="433"/>
      <c r="G183" s="267"/>
      <c r="H183" s="267"/>
      <c r="I183" s="267"/>
      <c r="J183" s="433"/>
      <c r="K183" s="433"/>
      <c r="L183" s="434"/>
    </row>
    <row r="184" ht="13.5" customHeight="1">
      <c r="A184" s="267"/>
      <c r="B184" s="267"/>
      <c r="C184" s="433"/>
      <c r="D184" s="433"/>
      <c r="E184" s="433"/>
      <c r="F184" s="433"/>
      <c r="G184" s="267"/>
      <c r="H184" s="267"/>
      <c r="I184" s="267"/>
      <c r="J184" s="433"/>
      <c r="K184" s="433"/>
      <c r="L184" s="434"/>
    </row>
    <row r="185" ht="13.5" customHeight="1">
      <c r="A185" s="267"/>
      <c r="B185" s="267"/>
      <c r="C185" s="433"/>
      <c r="D185" s="433"/>
      <c r="E185" s="433"/>
      <c r="F185" s="433"/>
      <c r="G185" s="267"/>
      <c r="H185" s="267"/>
      <c r="I185" s="267"/>
      <c r="J185" s="433"/>
      <c r="K185" s="433"/>
      <c r="L185" s="434"/>
    </row>
    <row r="186" ht="13.5" customHeight="1">
      <c r="A186" s="267"/>
      <c r="B186" s="267"/>
      <c r="C186" s="433"/>
      <c r="D186" s="433"/>
      <c r="E186" s="433"/>
      <c r="F186" s="433"/>
      <c r="G186" s="267"/>
      <c r="H186" s="267"/>
      <c r="I186" s="267"/>
      <c r="J186" s="433"/>
      <c r="K186" s="433"/>
      <c r="L186" s="434"/>
    </row>
    <row r="187" ht="13.5" customHeight="1">
      <c r="A187" s="267"/>
      <c r="B187" s="267"/>
      <c r="C187" s="433"/>
      <c r="D187" s="433"/>
      <c r="E187" s="433"/>
      <c r="F187" s="433"/>
      <c r="G187" s="267"/>
      <c r="H187" s="267"/>
      <c r="I187" s="267"/>
      <c r="J187" s="433"/>
      <c r="K187" s="433"/>
      <c r="L187" s="434"/>
    </row>
    <row r="188" ht="13.5" customHeight="1">
      <c r="A188" s="267"/>
      <c r="B188" s="267"/>
      <c r="C188" s="433"/>
      <c r="D188" s="433"/>
      <c r="E188" s="433"/>
      <c r="F188" s="433"/>
      <c r="G188" s="267"/>
      <c r="H188" s="267"/>
      <c r="I188" s="267"/>
      <c r="J188" s="433"/>
      <c r="K188" s="433"/>
      <c r="L188" s="434"/>
    </row>
    <row r="189" ht="13.5" customHeight="1">
      <c r="A189" s="267"/>
      <c r="B189" s="267"/>
      <c r="C189" s="433"/>
      <c r="D189" s="433"/>
      <c r="E189" s="433"/>
      <c r="F189" s="433"/>
      <c r="G189" s="267"/>
      <c r="H189" s="267"/>
      <c r="I189" s="267"/>
      <c r="J189" s="433"/>
      <c r="K189" s="433"/>
      <c r="L189" s="434"/>
    </row>
    <row r="190" ht="13.5" customHeight="1">
      <c r="A190" s="267"/>
      <c r="B190" s="267"/>
      <c r="C190" s="433"/>
      <c r="D190" s="433"/>
      <c r="E190" s="433"/>
      <c r="F190" s="433"/>
      <c r="G190" s="267"/>
      <c r="H190" s="267"/>
      <c r="I190" s="267"/>
      <c r="J190" s="433"/>
      <c r="K190" s="433"/>
      <c r="L190" s="434"/>
    </row>
    <row r="191" ht="13.5" customHeight="1">
      <c r="A191" s="267"/>
      <c r="B191" s="267"/>
      <c r="C191" s="433"/>
      <c r="D191" s="433"/>
      <c r="E191" s="433"/>
      <c r="F191" s="433"/>
      <c r="G191" s="267"/>
      <c r="H191" s="267"/>
      <c r="I191" s="267"/>
      <c r="J191" s="433"/>
      <c r="K191" s="433"/>
      <c r="L191" s="434"/>
    </row>
    <row r="192" ht="13.5" customHeight="1">
      <c r="A192" s="267"/>
      <c r="B192" s="267"/>
      <c r="C192" s="433"/>
      <c r="D192" s="433"/>
      <c r="E192" s="433"/>
      <c r="F192" s="433"/>
      <c r="G192" s="267"/>
      <c r="H192" s="267"/>
      <c r="I192" s="267"/>
      <c r="J192" s="433"/>
      <c r="K192" s="433"/>
      <c r="L192" s="434"/>
    </row>
    <row r="193" ht="13.5" customHeight="1">
      <c r="A193" s="267"/>
      <c r="B193" s="267"/>
      <c r="C193" s="433"/>
      <c r="D193" s="433"/>
      <c r="E193" s="433"/>
      <c r="F193" s="433"/>
      <c r="G193" s="267"/>
      <c r="H193" s="267"/>
      <c r="I193" s="267"/>
      <c r="J193" s="433"/>
      <c r="K193" s="433"/>
      <c r="L193" s="434"/>
    </row>
    <row r="194" ht="13.5" customHeight="1">
      <c r="A194" s="267"/>
      <c r="B194" s="267"/>
      <c r="C194" s="433"/>
      <c r="D194" s="433"/>
      <c r="E194" s="433"/>
      <c r="F194" s="433"/>
      <c r="G194" s="267"/>
      <c r="H194" s="267"/>
      <c r="I194" s="267"/>
      <c r="J194" s="433"/>
      <c r="K194" s="433"/>
      <c r="L194" s="434"/>
    </row>
    <row r="195" ht="13.5" customHeight="1">
      <c r="A195" s="267"/>
      <c r="B195" s="267"/>
      <c r="C195" s="433"/>
      <c r="D195" s="433"/>
      <c r="E195" s="433"/>
      <c r="F195" s="433"/>
      <c r="G195" s="267"/>
      <c r="H195" s="267"/>
      <c r="I195" s="267"/>
      <c r="J195" s="433"/>
      <c r="K195" s="433"/>
      <c r="L195" s="434"/>
    </row>
    <row r="196" ht="13.5" customHeight="1">
      <c r="A196" s="267"/>
      <c r="B196" s="267"/>
      <c r="C196" s="433"/>
      <c r="D196" s="433"/>
      <c r="E196" s="433"/>
      <c r="F196" s="433"/>
      <c r="G196" s="267"/>
      <c r="H196" s="267"/>
      <c r="I196" s="267"/>
      <c r="J196" s="433"/>
      <c r="K196" s="433"/>
      <c r="L196" s="434"/>
    </row>
    <row r="197" ht="13.5" customHeight="1">
      <c r="A197" s="267"/>
      <c r="B197" s="267"/>
      <c r="C197" s="433"/>
      <c r="D197" s="433"/>
      <c r="E197" s="433"/>
      <c r="F197" s="433"/>
      <c r="G197" s="267"/>
      <c r="H197" s="267"/>
      <c r="I197" s="267"/>
      <c r="J197" s="433"/>
      <c r="K197" s="433"/>
      <c r="L197" s="434"/>
    </row>
    <row r="198" ht="13.5" customHeight="1">
      <c r="A198" s="267"/>
      <c r="B198" s="267"/>
      <c r="C198" s="433"/>
      <c r="D198" s="433"/>
      <c r="E198" s="433"/>
      <c r="F198" s="433"/>
      <c r="G198" s="267"/>
      <c r="H198" s="267"/>
      <c r="I198" s="267"/>
      <c r="J198" s="433"/>
      <c r="K198" s="433"/>
      <c r="L198" s="434"/>
    </row>
    <row r="199" ht="13.5" customHeight="1">
      <c r="A199" s="267"/>
      <c r="B199" s="267"/>
      <c r="C199" s="433"/>
      <c r="D199" s="433"/>
      <c r="E199" s="433"/>
      <c r="F199" s="433"/>
      <c r="G199" s="267"/>
      <c r="H199" s="267"/>
      <c r="I199" s="267"/>
      <c r="J199" s="433"/>
      <c r="K199" s="433"/>
      <c r="L199" s="434"/>
    </row>
    <row r="200" ht="13.5" customHeight="1">
      <c r="A200" s="267"/>
      <c r="B200" s="267"/>
      <c r="C200" s="433"/>
      <c r="D200" s="433"/>
      <c r="E200" s="433"/>
      <c r="F200" s="433"/>
      <c r="G200" s="267"/>
      <c r="H200" s="267"/>
      <c r="I200" s="267"/>
      <c r="J200" s="433"/>
      <c r="K200" s="433"/>
      <c r="L200" s="434"/>
    </row>
    <row r="201" ht="13.5" customHeight="1">
      <c r="A201" s="267"/>
      <c r="B201" s="267"/>
      <c r="C201" s="433"/>
      <c r="D201" s="433"/>
      <c r="E201" s="433"/>
      <c r="F201" s="433"/>
      <c r="G201" s="267"/>
      <c r="H201" s="267"/>
      <c r="I201" s="267"/>
      <c r="J201" s="433"/>
      <c r="K201" s="433"/>
      <c r="L201" s="434"/>
    </row>
    <row r="202" ht="13.5" customHeight="1">
      <c r="A202" s="267"/>
      <c r="B202" s="267"/>
      <c r="C202" s="433"/>
      <c r="D202" s="433"/>
      <c r="E202" s="433"/>
      <c r="F202" s="433"/>
      <c r="G202" s="267"/>
      <c r="H202" s="267"/>
      <c r="I202" s="267"/>
      <c r="J202" s="433"/>
      <c r="K202" s="433"/>
      <c r="L202" s="434"/>
    </row>
    <row r="203" ht="13.5" customHeight="1">
      <c r="A203" s="267"/>
      <c r="B203" s="267"/>
      <c r="C203" s="433"/>
      <c r="D203" s="433"/>
      <c r="E203" s="433"/>
      <c r="F203" s="433"/>
      <c r="G203" s="267"/>
      <c r="H203" s="267"/>
      <c r="I203" s="267"/>
      <c r="J203" s="433"/>
      <c r="K203" s="433"/>
      <c r="L203" s="434"/>
    </row>
    <row r="204" ht="13.5" customHeight="1">
      <c r="A204" s="267"/>
      <c r="B204" s="267"/>
      <c r="C204" s="433"/>
      <c r="D204" s="433"/>
      <c r="E204" s="433"/>
      <c r="F204" s="433"/>
      <c r="G204" s="267"/>
      <c r="H204" s="267"/>
      <c r="I204" s="267"/>
      <c r="J204" s="433"/>
      <c r="K204" s="433"/>
      <c r="L204" s="434"/>
    </row>
    <row r="205" ht="13.5" customHeight="1">
      <c r="A205" s="267"/>
      <c r="B205" s="267"/>
      <c r="C205" s="433"/>
      <c r="D205" s="433"/>
      <c r="E205" s="433"/>
      <c r="F205" s="433"/>
      <c r="G205" s="267"/>
      <c r="H205" s="267"/>
      <c r="I205" s="267"/>
      <c r="J205" s="433"/>
      <c r="K205" s="433"/>
      <c r="L205" s="434"/>
    </row>
    <row r="206" ht="13.5" customHeight="1">
      <c r="A206" s="267"/>
      <c r="B206" s="267"/>
      <c r="C206" s="433"/>
      <c r="D206" s="433"/>
      <c r="E206" s="433"/>
      <c r="F206" s="433"/>
      <c r="G206" s="267"/>
      <c r="H206" s="267"/>
      <c r="I206" s="267"/>
      <c r="J206" s="433"/>
      <c r="K206" s="433"/>
      <c r="L206" s="434"/>
    </row>
    <row r="207" ht="13.5" customHeight="1">
      <c r="A207" s="267"/>
      <c r="B207" s="267"/>
      <c r="C207" s="433"/>
      <c r="D207" s="433"/>
      <c r="E207" s="433"/>
      <c r="F207" s="433"/>
      <c r="G207" s="267"/>
      <c r="H207" s="267"/>
      <c r="I207" s="267"/>
      <c r="J207" s="433"/>
      <c r="K207" s="433"/>
      <c r="L207" s="434"/>
    </row>
    <row r="208" ht="13.5" customHeight="1">
      <c r="A208" s="267"/>
      <c r="B208" s="267"/>
      <c r="C208" s="433"/>
      <c r="D208" s="433"/>
      <c r="E208" s="433"/>
      <c r="F208" s="433"/>
      <c r="G208" s="267"/>
      <c r="H208" s="267"/>
      <c r="I208" s="267"/>
      <c r="J208" s="433"/>
      <c r="K208" s="433"/>
      <c r="L208" s="434"/>
    </row>
    <row r="209" ht="13.5" customHeight="1">
      <c r="A209" s="267"/>
      <c r="B209" s="267"/>
      <c r="C209" s="433"/>
      <c r="D209" s="433"/>
      <c r="E209" s="433"/>
      <c r="F209" s="433"/>
      <c r="G209" s="267"/>
      <c r="H209" s="267"/>
      <c r="I209" s="267"/>
      <c r="J209" s="433"/>
      <c r="K209" s="433"/>
      <c r="L209" s="434"/>
    </row>
    <row r="210" ht="13.5" customHeight="1">
      <c r="A210" s="267"/>
      <c r="B210" s="267"/>
      <c r="C210" s="433"/>
      <c r="D210" s="433"/>
      <c r="E210" s="433"/>
      <c r="F210" s="433"/>
      <c r="G210" s="267"/>
      <c r="H210" s="267"/>
      <c r="I210" s="267"/>
      <c r="J210" s="433"/>
      <c r="K210" s="433"/>
      <c r="L210" s="434"/>
    </row>
    <row r="211" ht="13.5" customHeight="1">
      <c r="A211" s="267"/>
      <c r="B211" s="267"/>
      <c r="C211" s="433"/>
      <c r="D211" s="433"/>
      <c r="E211" s="433"/>
      <c r="F211" s="433"/>
      <c r="G211" s="267"/>
      <c r="H211" s="267"/>
      <c r="I211" s="267"/>
      <c r="J211" s="433"/>
      <c r="K211" s="433"/>
      <c r="L211" s="434"/>
    </row>
    <row r="212" ht="13.5" customHeight="1">
      <c r="A212" s="267"/>
      <c r="B212" s="267"/>
      <c r="C212" s="433"/>
      <c r="D212" s="433"/>
      <c r="E212" s="433"/>
      <c r="F212" s="433"/>
      <c r="G212" s="267"/>
      <c r="H212" s="267"/>
      <c r="I212" s="267"/>
      <c r="J212" s="433"/>
      <c r="K212" s="433"/>
      <c r="L212" s="434"/>
    </row>
    <row r="213" ht="13.5" customHeight="1">
      <c r="A213" s="267"/>
      <c r="B213" s="267"/>
      <c r="C213" s="433"/>
      <c r="D213" s="433"/>
      <c r="E213" s="433"/>
      <c r="F213" s="433"/>
      <c r="G213" s="267"/>
      <c r="H213" s="267"/>
      <c r="I213" s="267"/>
      <c r="J213" s="433"/>
      <c r="K213" s="433"/>
      <c r="L213" s="434"/>
    </row>
    <row r="214" ht="13.5" customHeight="1">
      <c r="A214" s="267"/>
      <c r="B214" s="267"/>
      <c r="C214" s="433"/>
      <c r="D214" s="433"/>
      <c r="E214" s="433"/>
      <c r="F214" s="433"/>
      <c r="G214" s="267"/>
      <c r="H214" s="267"/>
      <c r="I214" s="267"/>
      <c r="J214" s="433"/>
      <c r="K214" s="433"/>
      <c r="L214" s="434"/>
    </row>
    <row r="215" ht="13.5" customHeight="1">
      <c r="A215" s="267"/>
      <c r="B215" s="267"/>
      <c r="C215" s="433"/>
      <c r="D215" s="433"/>
      <c r="E215" s="433"/>
      <c r="F215" s="433"/>
      <c r="G215" s="267"/>
      <c r="H215" s="267"/>
      <c r="I215" s="267"/>
      <c r="J215" s="433"/>
      <c r="K215" s="433"/>
      <c r="L215" s="434"/>
    </row>
    <row r="216" ht="13.5" customHeight="1">
      <c r="A216" s="267"/>
      <c r="B216" s="267"/>
      <c r="C216" s="433"/>
      <c r="D216" s="433"/>
      <c r="E216" s="433"/>
      <c r="F216" s="433"/>
      <c r="G216" s="267"/>
      <c r="H216" s="267"/>
      <c r="I216" s="267"/>
      <c r="J216" s="433"/>
      <c r="K216" s="433"/>
      <c r="L216" s="434"/>
    </row>
    <row r="217" ht="13.5" customHeight="1">
      <c r="A217" s="267"/>
      <c r="B217" s="267"/>
      <c r="C217" s="433"/>
      <c r="D217" s="433"/>
      <c r="E217" s="433"/>
      <c r="F217" s="433"/>
      <c r="G217" s="267"/>
      <c r="H217" s="267"/>
      <c r="I217" s="267"/>
      <c r="J217" s="433"/>
      <c r="K217" s="433"/>
      <c r="L217" s="434"/>
    </row>
    <row r="218" ht="13.5" customHeight="1">
      <c r="A218" s="267"/>
      <c r="B218" s="267"/>
      <c r="C218" s="433"/>
      <c r="D218" s="433"/>
      <c r="E218" s="433"/>
      <c r="F218" s="433"/>
      <c r="G218" s="267"/>
      <c r="H218" s="267"/>
      <c r="I218" s="267"/>
      <c r="J218" s="433"/>
      <c r="K218" s="433"/>
      <c r="L218" s="434"/>
    </row>
    <row r="219" ht="13.5" customHeight="1">
      <c r="A219" s="267"/>
      <c r="B219" s="267"/>
      <c r="C219" s="433"/>
      <c r="D219" s="433"/>
      <c r="E219" s="433"/>
      <c r="F219" s="433"/>
      <c r="G219" s="267"/>
      <c r="H219" s="267"/>
      <c r="I219" s="267"/>
      <c r="J219" s="433"/>
      <c r="K219" s="433"/>
      <c r="L219" s="434"/>
    </row>
    <row r="220" ht="13.5" customHeight="1">
      <c r="A220" s="267"/>
      <c r="B220" s="267"/>
      <c r="C220" s="433"/>
      <c r="D220" s="433"/>
      <c r="E220" s="433"/>
      <c r="F220" s="433"/>
      <c r="G220" s="267"/>
      <c r="H220" s="267"/>
      <c r="I220" s="267"/>
      <c r="J220" s="433"/>
      <c r="K220" s="433"/>
      <c r="L220" s="434"/>
    </row>
    <row r="221" ht="13.5" customHeight="1">
      <c r="A221" s="267"/>
      <c r="B221" s="267"/>
      <c r="C221" s="433"/>
      <c r="D221" s="433"/>
      <c r="E221" s="433"/>
      <c r="F221" s="433"/>
      <c r="G221" s="267"/>
      <c r="H221" s="267"/>
      <c r="I221" s="267"/>
      <c r="J221" s="433"/>
      <c r="K221" s="433"/>
      <c r="L221" s="434"/>
    </row>
    <row r="222" ht="13.5" customHeight="1">
      <c r="B222" s="447"/>
    </row>
    <row r="223" ht="13.5" customHeight="1">
      <c r="B223" s="447"/>
    </row>
    <row r="224" ht="13.5" customHeight="1">
      <c r="B224" s="447"/>
    </row>
    <row r="225" ht="13.5" customHeight="1">
      <c r="B225" s="447"/>
    </row>
    <row r="226" ht="13.5" customHeight="1">
      <c r="B226" s="447"/>
    </row>
    <row r="227" ht="13.5" customHeight="1">
      <c r="B227" s="447"/>
    </row>
    <row r="228" ht="13.5" customHeight="1">
      <c r="B228" s="447"/>
    </row>
    <row r="229" ht="13.5" customHeight="1">
      <c r="B229" s="447"/>
    </row>
    <row r="230" ht="13.5" customHeight="1">
      <c r="B230" s="447"/>
    </row>
    <row r="231" ht="13.5" customHeight="1">
      <c r="B231" s="447"/>
    </row>
    <row r="232" ht="13.5" customHeight="1">
      <c r="B232" s="447"/>
    </row>
    <row r="233" ht="13.5" customHeight="1">
      <c r="B233" s="447"/>
    </row>
    <row r="234" ht="13.5" customHeight="1">
      <c r="B234" s="447"/>
    </row>
    <row r="235" ht="13.5" customHeight="1">
      <c r="B235" s="447"/>
    </row>
    <row r="236" ht="13.5" customHeight="1">
      <c r="B236" s="447"/>
    </row>
    <row r="237" ht="13.5" customHeight="1">
      <c r="B237" s="447"/>
    </row>
    <row r="238" ht="13.5" customHeight="1">
      <c r="B238" s="447"/>
    </row>
    <row r="239" ht="13.5" customHeight="1">
      <c r="B239" s="447"/>
    </row>
    <row r="240" ht="13.5" customHeight="1">
      <c r="B240" s="447"/>
    </row>
    <row r="241" ht="13.5" customHeight="1">
      <c r="B241" s="447"/>
    </row>
    <row r="242" ht="13.5" customHeight="1">
      <c r="B242" s="447"/>
    </row>
    <row r="243" ht="13.5" customHeight="1">
      <c r="B243" s="447"/>
    </row>
    <row r="244" ht="13.5" customHeight="1">
      <c r="B244" s="447"/>
    </row>
    <row r="245" ht="13.5" customHeight="1">
      <c r="B245" s="447"/>
    </row>
    <row r="246" ht="13.5" customHeight="1">
      <c r="B246" s="447"/>
    </row>
    <row r="247" ht="13.5" customHeight="1">
      <c r="B247" s="447"/>
    </row>
    <row r="248" ht="13.5" customHeight="1">
      <c r="B248" s="447"/>
    </row>
    <row r="249" ht="13.5" customHeight="1">
      <c r="B249" s="447"/>
    </row>
    <row r="250" ht="13.5" customHeight="1">
      <c r="B250" s="447"/>
    </row>
    <row r="251" ht="13.5" customHeight="1">
      <c r="B251" s="447"/>
    </row>
    <row r="252" ht="13.5" customHeight="1">
      <c r="B252" s="447"/>
    </row>
    <row r="253" ht="13.5" customHeight="1">
      <c r="B253" s="447"/>
    </row>
    <row r="254" ht="13.5" customHeight="1">
      <c r="B254" s="447"/>
    </row>
    <row r="255" ht="13.5" customHeight="1">
      <c r="B255" s="447"/>
    </row>
    <row r="256" ht="13.5" customHeight="1">
      <c r="B256" s="447"/>
    </row>
    <row r="257" ht="13.5" customHeight="1">
      <c r="B257" s="447"/>
    </row>
    <row r="258" ht="13.5" customHeight="1">
      <c r="B258" s="447"/>
    </row>
    <row r="259" ht="13.5" customHeight="1">
      <c r="B259" s="447"/>
    </row>
    <row r="260" ht="13.5" customHeight="1">
      <c r="B260" s="447"/>
    </row>
    <row r="261" ht="13.5" customHeight="1">
      <c r="B261" s="447"/>
    </row>
    <row r="262" ht="13.5" customHeight="1">
      <c r="B262" s="447"/>
    </row>
    <row r="263" ht="13.5" customHeight="1">
      <c r="B263" s="447"/>
    </row>
    <row r="264" ht="13.5" customHeight="1">
      <c r="B264" s="447"/>
    </row>
    <row r="265" ht="13.5" customHeight="1">
      <c r="B265" s="447"/>
    </row>
    <row r="266" ht="13.5" customHeight="1">
      <c r="B266" s="447"/>
    </row>
    <row r="267" ht="13.5" customHeight="1">
      <c r="B267" s="447"/>
    </row>
    <row r="268" ht="13.5" customHeight="1">
      <c r="B268" s="447"/>
    </row>
    <row r="269" ht="13.5" customHeight="1">
      <c r="B269" s="447"/>
    </row>
    <row r="270" ht="13.5" customHeight="1">
      <c r="B270" s="447"/>
    </row>
    <row r="271" ht="13.5" customHeight="1">
      <c r="B271" s="447"/>
    </row>
    <row r="272" ht="13.5" customHeight="1">
      <c r="B272" s="447"/>
    </row>
    <row r="273" ht="13.5" customHeight="1">
      <c r="B273" s="447"/>
    </row>
    <row r="274" ht="13.5" customHeight="1">
      <c r="B274" s="447"/>
    </row>
    <row r="275" ht="13.5" customHeight="1">
      <c r="B275" s="447"/>
    </row>
    <row r="276" ht="13.5" customHeight="1">
      <c r="B276" s="447"/>
    </row>
    <row r="277" ht="13.5" customHeight="1">
      <c r="B277" s="447"/>
    </row>
    <row r="278" ht="13.5" customHeight="1">
      <c r="B278" s="447"/>
    </row>
    <row r="279" ht="13.5" customHeight="1">
      <c r="B279" s="447"/>
    </row>
    <row r="280" ht="13.5" customHeight="1">
      <c r="B280" s="447"/>
    </row>
    <row r="281" ht="13.5" customHeight="1">
      <c r="B281" s="447"/>
    </row>
    <row r="282" ht="13.5" customHeight="1">
      <c r="B282" s="447"/>
    </row>
    <row r="283" ht="13.5" customHeight="1">
      <c r="B283" s="447"/>
    </row>
    <row r="284" ht="13.5" customHeight="1">
      <c r="B284" s="447"/>
    </row>
    <row r="285" ht="13.5" customHeight="1">
      <c r="B285" s="447"/>
    </row>
    <row r="286" ht="13.5" customHeight="1">
      <c r="B286" s="447"/>
    </row>
    <row r="287" ht="13.5" customHeight="1">
      <c r="B287" s="447"/>
    </row>
    <row r="288" ht="13.5" customHeight="1">
      <c r="B288" s="447"/>
    </row>
    <row r="289" ht="13.5" customHeight="1">
      <c r="B289" s="447"/>
    </row>
    <row r="290" ht="13.5" customHeight="1">
      <c r="B290" s="447"/>
    </row>
    <row r="291" ht="13.5" customHeight="1">
      <c r="B291" s="447"/>
    </row>
    <row r="292" ht="13.5" customHeight="1">
      <c r="B292" s="447"/>
    </row>
    <row r="293" ht="13.5" customHeight="1">
      <c r="B293" s="447"/>
    </row>
    <row r="294" ht="13.5" customHeight="1">
      <c r="B294" s="447"/>
    </row>
    <row r="295" ht="13.5" customHeight="1">
      <c r="B295" s="447"/>
    </row>
    <row r="296" ht="13.5" customHeight="1">
      <c r="B296" s="447"/>
    </row>
    <row r="297" ht="13.5" customHeight="1">
      <c r="B297" s="447"/>
    </row>
    <row r="298" ht="13.5" customHeight="1">
      <c r="B298" s="447"/>
    </row>
    <row r="299" ht="13.5" customHeight="1">
      <c r="B299" s="447"/>
    </row>
    <row r="300" ht="13.5" customHeight="1">
      <c r="B300" s="447"/>
    </row>
    <row r="301" ht="13.5" customHeight="1">
      <c r="B301" s="447"/>
    </row>
    <row r="302" ht="13.5" customHeight="1">
      <c r="B302" s="447"/>
    </row>
    <row r="303" ht="13.5" customHeight="1">
      <c r="B303" s="447"/>
    </row>
    <row r="304" ht="13.5" customHeight="1">
      <c r="B304" s="447"/>
    </row>
    <row r="305" ht="13.5" customHeight="1">
      <c r="B305" s="447"/>
    </row>
    <row r="306" ht="13.5" customHeight="1">
      <c r="B306" s="447"/>
    </row>
    <row r="307" ht="13.5" customHeight="1">
      <c r="B307" s="447"/>
    </row>
    <row r="308" ht="13.5" customHeight="1">
      <c r="B308" s="447"/>
    </row>
    <row r="309" ht="13.5" customHeight="1">
      <c r="B309" s="447"/>
    </row>
    <row r="310" ht="13.5" customHeight="1">
      <c r="B310" s="447"/>
    </row>
    <row r="311" ht="13.5" customHeight="1">
      <c r="B311" s="447"/>
    </row>
    <row r="312" ht="13.5" customHeight="1">
      <c r="B312" s="447"/>
    </row>
    <row r="313" ht="13.5" customHeight="1">
      <c r="B313" s="447"/>
    </row>
    <row r="314" ht="13.5" customHeight="1">
      <c r="B314" s="447"/>
    </row>
    <row r="315" ht="13.5" customHeight="1">
      <c r="B315" s="447"/>
    </row>
    <row r="316" ht="13.5" customHeight="1">
      <c r="B316" s="447"/>
    </row>
    <row r="317" ht="13.5" customHeight="1">
      <c r="B317" s="447"/>
    </row>
    <row r="318" ht="13.5" customHeight="1">
      <c r="B318" s="447"/>
    </row>
    <row r="319" ht="13.5" customHeight="1">
      <c r="B319" s="447"/>
    </row>
    <row r="320" ht="13.5" customHeight="1">
      <c r="B320" s="447"/>
    </row>
    <row r="321" ht="13.5" customHeight="1">
      <c r="B321" s="447"/>
    </row>
    <row r="322" ht="13.5" customHeight="1">
      <c r="B322" s="447"/>
    </row>
    <row r="323" ht="13.5" customHeight="1">
      <c r="B323" s="447"/>
    </row>
    <row r="324" ht="13.5" customHeight="1">
      <c r="B324" s="447"/>
    </row>
    <row r="325" ht="13.5" customHeight="1">
      <c r="B325" s="447"/>
    </row>
    <row r="326" ht="13.5" customHeight="1">
      <c r="B326" s="447"/>
    </row>
    <row r="327" ht="13.5" customHeight="1">
      <c r="B327" s="447"/>
    </row>
    <row r="328" ht="13.5" customHeight="1">
      <c r="B328" s="447"/>
    </row>
    <row r="329" ht="13.5" customHeight="1">
      <c r="B329" s="447"/>
    </row>
    <row r="330" ht="13.5" customHeight="1">
      <c r="B330" s="447"/>
    </row>
    <row r="331" ht="13.5" customHeight="1">
      <c r="B331" s="447"/>
    </row>
    <row r="332" ht="13.5" customHeight="1">
      <c r="B332" s="447"/>
    </row>
    <row r="333" ht="13.5" customHeight="1">
      <c r="B333" s="447"/>
    </row>
    <row r="334" ht="13.5" customHeight="1">
      <c r="B334" s="447"/>
    </row>
    <row r="335" ht="13.5" customHeight="1">
      <c r="B335" s="447"/>
    </row>
    <row r="336" ht="13.5" customHeight="1">
      <c r="B336" s="447"/>
    </row>
    <row r="337" ht="13.5" customHeight="1">
      <c r="B337" s="447"/>
    </row>
    <row r="338" ht="13.5" customHeight="1">
      <c r="B338" s="447"/>
    </row>
    <row r="339" ht="13.5" customHeight="1">
      <c r="B339" s="447"/>
    </row>
    <row r="340" ht="13.5" customHeight="1">
      <c r="B340" s="447"/>
    </row>
    <row r="341" ht="13.5" customHeight="1">
      <c r="B341" s="447"/>
    </row>
    <row r="342" ht="13.5" customHeight="1">
      <c r="B342" s="447"/>
    </row>
    <row r="343" ht="13.5" customHeight="1">
      <c r="B343" s="447"/>
    </row>
    <row r="344" ht="13.5" customHeight="1">
      <c r="B344" s="447"/>
    </row>
    <row r="345" ht="13.5" customHeight="1">
      <c r="B345" s="447"/>
    </row>
    <row r="346" ht="13.5" customHeight="1">
      <c r="B346" s="447"/>
    </row>
    <row r="347" ht="13.5" customHeight="1">
      <c r="B347" s="447"/>
    </row>
    <row r="348" ht="13.5" customHeight="1">
      <c r="B348" s="447"/>
    </row>
    <row r="349" ht="13.5" customHeight="1">
      <c r="B349" s="447"/>
    </row>
    <row r="350" ht="13.5" customHeight="1">
      <c r="B350" s="447"/>
    </row>
    <row r="351" ht="13.5" customHeight="1">
      <c r="B351" s="447"/>
    </row>
    <row r="352" ht="13.5" customHeight="1">
      <c r="B352" s="447"/>
    </row>
    <row r="353" ht="13.5" customHeight="1">
      <c r="B353" s="447"/>
    </row>
    <row r="354" ht="13.5" customHeight="1">
      <c r="B354" s="447"/>
    </row>
    <row r="355" ht="13.5" customHeight="1">
      <c r="B355" s="447"/>
    </row>
    <row r="356" ht="13.5" customHeight="1">
      <c r="B356" s="447"/>
    </row>
    <row r="357" ht="13.5" customHeight="1">
      <c r="B357" s="447"/>
    </row>
    <row r="358" ht="13.5" customHeight="1">
      <c r="B358" s="447"/>
    </row>
    <row r="359" ht="13.5" customHeight="1">
      <c r="B359" s="447"/>
    </row>
    <row r="360" ht="13.5" customHeight="1">
      <c r="B360" s="447"/>
    </row>
    <row r="361" ht="13.5" customHeight="1">
      <c r="B361" s="447"/>
    </row>
    <row r="362" ht="13.5" customHeight="1">
      <c r="B362" s="447"/>
    </row>
    <row r="363" ht="13.5" customHeight="1">
      <c r="B363" s="447"/>
    </row>
    <row r="364" ht="13.5" customHeight="1">
      <c r="B364" s="447"/>
    </row>
    <row r="365" ht="13.5" customHeight="1">
      <c r="B365" s="447"/>
    </row>
    <row r="366" ht="13.5" customHeight="1">
      <c r="B366" s="447"/>
    </row>
    <row r="367" ht="13.5" customHeight="1">
      <c r="B367" s="447"/>
    </row>
    <row r="368" ht="13.5" customHeight="1">
      <c r="B368" s="447"/>
    </row>
    <row r="369" ht="13.5" customHeight="1">
      <c r="B369" s="447"/>
    </row>
    <row r="370" ht="13.5" customHeight="1">
      <c r="B370" s="447"/>
    </row>
    <row r="371" ht="13.5" customHeight="1">
      <c r="B371" s="447"/>
    </row>
    <row r="372" ht="13.5" customHeight="1">
      <c r="B372" s="447"/>
    </row>
    <row r="373" ht="13.5" customHeight="1">
      <c r="B373" s="447"/>
    </row>
    <row r="374" ht="13.5" customHeight="1">
      <c r="B374" s="447"/>
    </row>
    <row r="375" ht="13.5" customHeight="1">
      <c r="B375" s="447"/>
    </row>
    <row r="376" ht="13.5" customHeight="1">
      <c r="B376" s="447"/>
    </row>
    <row r="377" ht="13.5" customHeight="1">
      <c r="B377" s="447"/>
    </row>
    <row r="378" ht="13.5" customHeight="1">
      <c r="B378" s="447"/>
    </row>
    <row r="379" ht="13.5" customHeight="1">
      <c r="B379" s="447"/>
    </row>
    <row r="380" ht="13.5" customHeight="1">
      <c r="B380" s="447"/>
    </row>
    <row r="381" ht="13.5" customHeight="1">
      <c r="B381" s="447"/>
    </row>
    <row r="382" ht="13.5" customHeight="1">
      <c r="B382" s="447"/>
    </row>
    <row r="383" ht="13.5" customHeight="1">
      <c r="B383" s="447"/>
    </row>
    <row r="384" ht="13.5" customHeight="1">
      <c r="B384" s="447"/>
    </row>
    <row r="385" ht="13.5" customHeight="1">
      <c r="B385" s="447"/>
    </row>
    <row r="386" ht="13.5" customHeight="1">
      <c r="B386" s="447"/>
    </row>
    <row r="387" ht="13.5" customHeight="1">
      <c r="B387" s="447"/>
    </row>
    <row r="388" ht="13.5" customHeight="1">
      <c r="B388" s="447"/>
    </row>
    <row r="389" ht="13.5" customHeight="1">
      <c r="B389" s="447"/>
    </row>
    <row r="390" ht="13.5" customHeight="1">
      <c r="B390" s="447"/>
    </row>
    <row r="391" ht="13.5" customHeight="1">
      <c r="B391" s="447"/>
    </row>
    <row r="392" ht="13.5" customHeight="1">
      <c r="B392" s="447"/>
    </row>
    <row r="393" ht="13.5" customHeight="1">
      <c r="B393" s="447"/>
    </row>
    <row r="394" ht="13.5" customHeight="1">
      <c r="B394" s="447"/>
    </row>
    <row r="395" ht="13.5" customHeight="1">
      <c r="B395" s="447"/>
    </row>
    <row r="396" ht="13.5" customHeight="1">
      <c r="B396" s="447"/>
    </row>
    <row r="397" ht="13.5" customHeight="1">
      <c r="B397" s="447"/>
    </row>
    <row r="398" ht="13.5" customHeight="1">
      <c r="B398" s="447"/>
    </row>
    <row r="399" ht="13.5" customHeight="1">
      <c r="B399" s="447"/>
    </row>
    <row r="400" ht="13.5" customHeight="1">
      <c r="B400" s="447"/>
    </row>
    <row r="401" ht="13.5" customHeight="1">
      <c r="B401" s="447"/>
    </row>
    <row r="402" ht="13.5" customHeight="1">
      <c r="B402" s="447"/>
    </row>
    <row r="403" ht="13.5" customHeight="1">
      <c r="B403" s="447"/>
    </row>
    <row r="404" ht="13.5" customHeight="1">
      <c r="B404" s="447"/>
    </row>
    <row r="405" ht="13.5" customHeight="1">
      <c r="B405" s="447"/>
    </row>
    <row r="406" ht="13.5" customHeight="1">
      <c r="B406" s="447"/>
    </row>
    <row r="407" ht="13.5" customHeight="1">
      <c r="B407" s="447"/>
    </row>
    <row r="408" ht="13.5" customHeight="1">
      <c r="B408" s="447"/>
    </row>
    <row r="409" ht="13.5" customHeight="1">
      <c r="B409" s="447"/>
    </row>
    <row r="410" ht="13.5" customHeight="1">
      <c r="B410" s="447"/>
    </row>
    <row r="411" ht="13.5" customHeight="1">
      <c r="B411" s="447"/>
    </row>
    <row r="412" ht="13.5" customHeight="1">
      <c r="B412" s="447"/>
    </row>
    <row r="413" ht="13.5" customHeight="1">
      <c r="B413" s="447"/>
    </row>
    <row r="414" ht="13.5" customHeight="1">
      <c r="B414" s="447"/>
    </row>
    <row r="415" ht="13.5" customHeight="1">
      <c r="B415" s="447"/>
    </row>
    <row r="416" ht="13.5" customHeight="1">
      <c r="B416" s="447"/>
    </row>
    <row r="417" ht="13.5" customHeight="1">
      <c r="B417" s="447"/>
    </row>
    <row r="418" ht="13.5" customHeight="1">
      <c r="B418" s="447"/>
    </row>
    <row r="419" ht="13.5" customHeight="1">
      <c r="B419" s="447"/>
    </row>
    <row r="420" ht="13.5" customHeight="1">
      <c r="B420" s="447"/>
    </row>
    <row r="421" ht="13.5" customHeight="1">
      <c r="B421" s="447"/>
    </row>
    <row r="422" ht="13.5" customHeight="1">
      <c r="B422" s="447"/>
    </row>
    <row r="423" ht="13.5" customHeight="1">
      <c r="B423" s="447"/>
    </row>
    <row r="424" ht="13.5" customHeight="1">
      <c r="B424" s="447"/>
    </row>
    <row r="425" ht="13.5" customHeight="1">
      <c r="B425" s="447"/>
    </row>
    <row r="426" ht="13.5" customHeight="1">
      <c r="B426" s="447"/>
    </row>
    <row r="427" ht="13.5" customHeight="1">
      <c r="B427" s="447"/>
    </row>
    <row r="428" ht="13.5" customHeight="1">
      <c r="B428" s="447"/>
    </row>
    <row r="429" ht="13.5" customHeight="1">
      <c r="B429" s="447"/>
    </row>
    <row r="430" ht="13.5" customHeight="1">
      <c r="B430" s="447"/>
    </row>
    <row r="431" ht="13.5" customHeight="1">
      <c r="B431" s="447"/>
    </row>
    <row r="432" ht="13.5" customHeight="1">
      <c r="B432" s="447"/>
    </row>
    <row r="433" ht="13.5" customHeight="1">
      <c r="B433" s="447"/>
    </row>
    <row r="434" ht="13.5" customHeight="1">
      <c r="B434" s="447"/>
    </row>
    <row r="435" ht="13.5" customHeight="1">
      <c r="B435" s="447"/>
    </row>
    <row r="436" ht="13.5" customHeight="1">
      <c r="B436" s="447"/>
    </row>
    <row r="437" ht="13.5" customHeight="1">
      <c r="B437" s="447"/>
    </row>
    <row r="438" ht="13.5" customHeight="1">
      <c r="B438" s="447"/>
    </row>
    <row r="439" ht="13.5" customHeight="1">
      <c r="B439" s="447"/>
    </row>
    <row r="440" ht="13.5" customHeight="1">
      <c r="B440" s="447"/>
    </row>
    <row r="441" ht="13.5" customHeight="1">
      <c r="B441" s="447"/>
    </row>
    <row r="442" ht="13.5" customHeight="1">
      <c r="B442" s="447"/>
    </row>
    <row r="443" ht="13.5" customHeight="1">
      <c r="B443" s="447"/>
    </row>
    <row r="444" ht="13.5" customHeight="1">
      <c r="B444" s="447"/>
    </row>
    <row r="445" ht="13.5" customHeight="1">
      <c r="B445" s="447"/>
    </row>
    <row r="446" ht="13.5" customHeight="1">
      <c r="B446" s="447"/>
    </row>
    <row r="447" ht="13.5" customHeight="1">
      <c r="B447" s="447"/>
    </row>
    <row r="448" ht="13.5" customHeight="1">
      <c r="B448" s="447"/>
    </row>
    <row r="449" ht="13.5" customHeight="1">
      <c r="B449" s="447"/>
    </row>
    <row r="450" ht="13.5" customHeight="1">
      <c r="B450" s="447"/>
    </row>
    <row r="451" ht="13.5" customHeight="1">
      <c r="B451" s="447"/>
    </row>
    <row r="452" ht="13.5" customHeight="1">
      <c r="B452" s="447"/>
    </row>
    <row r="453" ht="13.5" customHeight="1">
      <c r="B453" s="447"/>
    </row>
    <row r="454" ht="13.5" customHeight="1">
      <c r="B454" s="447"/>
    </row>
    <row r="455" ht="13.5" customHeight="1">
      <c r="B455" s="447"/>
    </row>
    <row r="456" ht="13.5" customHeight="1">
      <c r="B456" s="447"/>
    </row>
    <row r="457" ht="13.5" customHeight="1">
      <c r="B457" s="447"/>
    </row>
    <row r="458" ht="13.5" customHeight="1">
      <c r="B458" s="447"/>
    </row>
    <row r="459" ht="13.5" customHeight="1">
      <c r="B459" s="447"/>
    </row>
    <row r="460" ht="13.5" customHeight="1">
      <c r="B460" s="447"/>
    </row>
    <row r="461" ht="13.5" customHeight="1">
      <c r="B461" s="447"/>
    </row>
    <row r="462" ht="13.5" customHeight="1">
      <c r="B462" s="447"/>
    </row>
    <row r="463" ht="13.5" customHeight="1">
      <c r="B463" s="447"/>
    </row>
    <row r="464" ht="13.5" customHeight="1">
      <c r="B464" s="447"/>
    </row>
    <row r="465" ht="13.5" customHeight="1">
      <c r="B465" s="447"/>
    </row>
    <row r="466" ht="13.5" customHeight="1">
      <c r="B466" s="447"/>
    </row>
    <row r="467" ht="13.5" customHeight="1">
      <c r="B467" s="447"/>
    </row>
    <row r="468" ht="13.5" customHeight="1">
      <c r="B468" s="447"/>
    </row>
    <row r="469" ht="13.5" customHeight="1">
      <c r="B469" s="447"/>
    </row>
    <row r="470" ht="13.5" customHeight="1">
      <c r="B470" s="447"/>
    </row>
    <row r="471" ht="13.5" customHeight="1">
      <c r="B471" s="447"/>
    </row>
    <row r="472" ht="13.5" customHeight="1">
      <c r="B472" s="447"/>
    </row>
    <row r="473" ht="13.5" customHeight="1">
      <c r="B473" s="447"/>
    </row>
    <row r="474" ht="13.5" customHeight="1">
      <c r="B474" s="447"/>
    </row>
    <row r="475" ht="13.5" customHeight="1">
      <c r="B475" s="447"/>
    </row>
    <row r="476" ht="13.5" customHeight="1">
      <c r="B476" s="447"/>
    </row>
    <row r="477" ht="13.5" customHeight="1">
      <c r="B477" s="447"/>
    </row>
    <row r="478" ht="13.5" customHeight="1">
      <c r="B478" s="447"/>
    </row>
    <row r="479" ht="13.5" customHeight="1">
      <c r="B479" s="447"/>
    </row>
    <row r="480" ht="13.5" customHeight="1">
      <c r="B480" s="447"/>
    </row>
    <row r="481" ht="13.5" customHeight="1">
      <c r="B481" s="447"/>
    </row>
    <row r="482" ht="13.5" customHeight="1">
      <c r="B482" s="447"/>
    </row>
    <row r="483" ht="13.5" customHeight="1">
      <c r="B483" s="447"/>
    </row>
    <row r="484" ht="13.5" customHeight="1">
      <c r="B484" s="447"/>
    </row>
    <row r="485" ht="13.5" customHeight="1">
      <c r="B485" s="447"/>
    </row>
    <row r="486" ht="13.5" customHeight="1">
      <c r="B486" s="447"/>
    </row>
    <row r="487" ht="13.5" customHeight="1">
      <c r="B487" s="447"/>
    </row>
    <row r="488" ht="13.5" customHeight="1">
      <c r="B488" s="447"/>
    </row>
    <row r="489" ht="13.5" customHeight="1">
      <c r="B489" s="447"/>
    </row>
    <row r="490" ht="13.5" customHeight="1">
      <c r="B490" s="447"/>
    </row>
    <row r="491" ht="13.5" customHeight="1">
      <c r="B491" s="447"/>
    </row>
    <row r="492" ht="13.5" customHeight="1">
      <c r="B492" s="447"/>
    </row>
    <row r="493" ht="13.5" customHeight="1">
      <c r="B493" s="447"/>
    </row>
    <row r="494" ht="13.5" customHeight="1">
      <c r="B494" s="447"/>
    </row>
    <row r="495" ht="13.5" customHeight="1">
      <c r="B495" s="447"/>
    </row>
    <row r="496" ht="13.5" customHeight="1">
      <c r="B496" s="447"/>
    </row>
    <row r="497" ht="13.5" customHeight="1">
      <c r="B497" s="447"/>
    </row>
    <row r="498" ht="13.5" customHeight="1">
      <c r="B498" s="447"/>
    </row>
    <row r="499" ht="13.5" customHeight="1">
      <c r="B499" s="447"/>
    </row>
    <row r="500" ht="13.5" customHeight="1">
      <c r="B500" s="447"/>
    </row>
    <row r="501" ht="13.5" customHeight="1">
      <c r="B501" s="447"/>
    </row>
    <row r="502" ht="13.5" customHeight="1">
      <c r="B502" s="447"/>
    </row>
    <row r="503" ht="13.5" customHeight="1">
      <c r="B503" s="447"/>
    </row>
    <row r="504" ht="13.5" customHeight="1">
      <c r="B504" s="447"/>
    </row>
    <row r="505" ht="13.5" customHeight="1">
      <c r="B505" s="447"/>
    </row>
    <row r="506" ht="13.5" customHeight="1">
      <c r="B506" s="447"/>
    </row>
    <row r="507" ht="13.5" customHeight="1">
      <c r="B507" s="447"/>
    </row>
    <row r="508" ht="13.5" customHeight="1">
      <c r="B508" s="447"/>
    </row>
    <row r="509" ht="13.5" customHeight="1">
      <c r="B509" s="447"/>
    </row>
    <row r="510" ht="13.5" customHeight="1">
      <c r="B510" s="447"/>
    </row>
    <row r="511" ht="13.5" customHeight="1">
      <c r="B511" s="447"/>
    </row>
    <row r="512" ht="13.5" customHeight="1">
      <c r="B512" s="447"/>
    </row>
    <row r="513" ht="13.5" customHeight="1">
      <c r="B513" s="447"/>
    </row>
    <row r="514" ht="13.5" customHeight="1">
      <c r="B514" s="447"/>
    </row>
    <row r="515" ht="13.5" customHeight="1">
      <c r="B515" s="447"/>
    </row>
    <row r="516" ht="13.5" customHeight="1">
      <c r="B516" s="447"/>
    </row>
    <row r="517" ht="13.5" customHeight="1">
      <c r="B517" s="447"/>
    </row>
    <row r="518" ht="13.5" customHeight="1">
      <c r="B518" s="447"/>
    </row>
    <row r="519" ht="13.5" customHeight="1">
      <c r="B519" s="447"/>
    </row>
    <row r="520" ht="13.5" customHeight="1">
      <c r="B520" s="447"/>
    </row>
    <row r="521" ht="13.5" customHeight="1">
      <c r="B521" s="447"/>
    </row>
    <row r="522" ht="13.5" customHeight="1">
      <c r="B522" s="447"/>
    </row>
    <row r="523" ht="13.5" customHeight="1">
      <c r="B523" s="447"/>
    </row>
    <row r="524" ht="13.5" customHeight="1">
      <c r="B524" s="447"/>
    </row>
    <row r="525" ht="13.5" customHeight="1">
      <c r="B525" s="447"/>
    </row>
    <row r="526" ht="13.5" customHeight="1">
      <c r="B526" s="447"/>
    </row>
    <row r="527" ht="13.5" customHeight="1">
      <c r="B527" s="447"/>
    </row>
    <row r="528" ht="13.5" customHeight="1">
      <c r="B528" s="447"/>
    </row>
    <row r="529" ht="13.5" customHeight="1">
      <c r="B529" s="447"/>
    </row>
    <row r="530" ht="13.5" customHeight="1">
      <c r="B530" s="447"/>
    </row>
    <row r="531" ht="13.5" customHeight="1">
      <c r="B531" s="447"/>
    </row>
    <row r="532" ht="13.5" customHeight="1">
      <c r="B532" s="447"/>
    </row>
    <row r="533" ht="13.5" customHeight="1">
      <c r="B533" s="447"/>
    </row>
    <row r="534" ht="13.5" customHeight="1">
      <c r="B534" s="447"/>
    </row>
    <row r="535" ht="13.5" customHeight="1">
      <c r="B535" s="447"/>
    </row>
    <row r="536" ht="13.5" customHeight="1">
      <c r="B536" s="447"/>
    </row>
    <row r="537" ht="13.5" customHeight="1">
      <c r="B537" s="447"/>
    </row>
    <row r="538" ht="13.5" customHeight="1">
      <c r="B538" s="447"/>
    </row>
    <row r="539" ht="13.5" customHeight="1">
      <c r="B539" s="447"/>
    </row>
    <row r="540" ht="13.5" customHeight="1">
      <c r="B540" s="447"/>
    </row>
    <row r="541" ht="13.5" customHeight="1">
      <c r="B541" s="447"/>
    </row>
    <row r="542" ht="13.5" customHeight="1">
      <c r="B542" s="447"/>
    </row>
    <row r="543" ht="13.5" customHeight="1">
      <c r="B543" s="447"/>
    </row>
    <row r="544" ht="13.5" customHeight="1">
      <c r="B544" s="447"/>
    </row>
    <row r="545" ht="13.5" customHeight="1">
      <c r="B545" s="447"/>
    </row>
    <row r="546" ht="13.5" customHeight="1">
      <c r="B546" s="447"/>
    </row>
    <row r="547" ht="13.5" customHeight="1">
      <c r="B547" s="447"/>
    </row>
    <row r="548" ht="13.5" customHeight="1">
      <c r="B548" s="447"/>
    </row>
    <row r="549" ht="13.5" customHeight="1">
      <c r="B549" s="447"/>
    </row>
    <row r="550" ht="13.5" customHeight="1">
      <c r="B550" s="447"/>
    </row>
    <row r="551" ht="13.5" customHeight="1">
      <c r="B551" s="447"/>
    </row>
    <row r="552" ht="13.5" customHeight="1">
      <c r="B552" s="447"/>
    </row>
    <row r="553" ht="13.5" customHeight="1">
      <c r="B553" s="447"/>
    </row>
    <row r="554" ht="13.5" customHeight="1">
      <c r="B554" s="447"/>
    </row>
    <row r="555" ht="13.5" customHeight="1">
      <c r="B555" s="447"/>
    </row>
    <row r="556" ht="13.5" customHeight="1">
      <c r="B556" s="447"/>
    </row>
    <row r="557" ht="13.5" customHeight="1">
      <c r="B557" s="447"/>
    </row>
    <row r="558" ht="13.5" customHeight="1">
      <c r="B558" s="447"/>
    </row>
    <row r="559" ht="13.5" customHeight="1">
      <c r="B559" s="447"/>
    </row>
    <row r="560" ht="13.5" customHeight="1">
      <c r="B560" s="447"/>
    </row>
    <row r="561" ht="13.5" customHeight="1">
      <c r="B561" s="447"/>
    </row>
    <row r="562" ht="13.5" customHeight="1">
      <c r="B562" s="447"/>
    </row>
    <row r="563" ht="13.5" customHeight="1">
      <c r="B563" s="447"/>
    </row>
    <row r="564" ht="13.5" customHeight="1">
      <c r="B564" s="447"/>
    </row>
    <row r="565" ht="13.5" customHeight="1">
      <c r="B565" s="447"/>
    </row>
    <row r="566" ht="13.5" customHeight="1">
      <c r="B566" s="447"/>
    </row>
    <row r="567" ht="13.5" customHeight="1">
      <c r="B567" s="447"/>
    </row>
    <row r="568" ht="13.5" customHeight="1">
      <c r="B568" s="447"/>
    </row>
    <row r="569" ht="13.5" customHeight="1">
      <c r="B569" s="447"/>
    </row>
    <row r="570" ht="13.5" customHeight="1">
      <c r="B570" s="447"/>
    </row>
    <row r="571" ht="13.5" customHeight="1">
      <c r="B571" s="447"/>
    </row>
    <row r="572" ht="13.5" customHeight="1">
      <c r="B572" s="447"/>
    </row>
    <row r="573" ht="13.5" customHeight="1">
      <c r="B573" s="447"/>
    </row>
    <row r="574" ht="13.5" customHeight="1">
      <c r="B574" s="447"/>
    </row>
    <row r="575" ht="13.5" customHeight="1">
      <c r="B575" s="447"/>
    </row>
    <row r="576" ht="13.5" customHeight="1">
      <c r="B576" s="447"/>
    </row>
    <row r="577" ht="13.5" customHeight="1">
      <c r="B577" s="447"/>
    </row>
    <row r="578" ht="13.5" customHeight="1">
      <c r="B578" s="447"/>
    </row>
    <row r="579" ht="13.5" customHeight="1">
      <c r="B579" s="447"/>
    </row>
    <row r="580" ht="13.5" customHeight="1">
      <c r="B580" s="447"/>
    </row>
    <row r="581" ht="13.5" customHeight="1">
      <c r="B581" s="447"/>
    </row>
    <row r="582" ht="13.5" customHeight="1">
      <c r="B582" s="447"/>
    </row>
    <row r="583" ht="13.5" customHeight="1">
      <c r="B583" s="447"/>
    </row>
    <row r="584" ht="13.5" customHeight="1">
      <c r="B584" s="447"/>
    </row>
    <row r="585" ht="13.5" customHeight="1">
      <c r="B585" s="447"/>
    </row>
    <row r="586" ht="13.5" customHeight="1">
      <c r="B586" s="447"/>
    </row>
    <row r="587" ht="13.5" customHeight="1">
      <c r="B587" s="447"/>
    </row>
    <row r="588" ht="13.5" customHeight="1">
      <c r="B588" s="447"/>
    </row>
    <row r="589" ht="13.5" customHeight="1">
      <c r="B589" s="447"/>
    </row>
    <row r="590" ht="13.5" customHeight="1">
      <c r="B590" s="447"/>
    </row>
    <row r="591" ht="13.5" customHeight="1">
      <c r="B591" s="447"/>
    </row>
    <row r="592" ht="13.5" customHeight="1">
      <c r="B592" s="447"/>
    </row>
    <row r="593" ht="13.5" customHeight="1">
      <c r="B593" s="447"/>
    </row>
    <row r="594" ht="13.5" customHeight="1">
      <c r="B594" s="447"/>
    </row>
    <row r="595" ht="13.5" customHeight="1">
      <c r="B595" s="447"/>
    </row>
    <row r="596" ht="13.5" customHeight="1">
      <c r="B596" s="447"/>
    </row>
    <row r="597" ht="13.5" customHeight="1">
      <c r="B597" s="447"/>
    </row>
    <row r="598" ht="13.5" customHeight="1">
      <c r="B598" s="447"/>
    </row>
    <row r="599" ht="13.5" customHeight="1">
      <c r="B599" s="447"/>
    </row>
    <row r="600" ht="13.5" customHeight="1">
      <c r="B600" s="447"/>
    </row>
    <row r="601" ht="13.5" customHeight="1">
      <c r="B601" s="447"/>
    </row>
    <row r="602" ht="13.5" customHeight="1">
      <c r="B602" s="447"/>
    </row>
    <row r="603" ht="13.5" customHeight="1">
      <c r="B603" s="447"/>
    </row>
    <row r="604" ht="13.5" customHeight="1">
      <c r="B604" s="447"/>
    </row>
    <row r="605" ht="13.5" customHeight="1">
      <c r="B605" s="447"/>
    </row>
    <row r="606" ht="13.5" customHeight="1">
      <c r="B606" s="447"/>
    </row>
    <row r="607" ht="13.5" customHeight="1">
      <c r="B607" s="447"/>
    </row>
    <row r="608" ht="13.5" customHeight="1">
      <c r="B608" s="447"/>
    </row>
    <row r="609" ht="13.5" customHeight="1">
      <c r="B609" s="447"/>
    </row>
    <row r="610" ht="13.5" customHeight="1">
      <c r="B610" s="447"/>
    </row>
    <row r="611" ht="13.5" customHeight="1">
      <c r="B611" s="447"/>
    </row>
    <row r="612" ht="13.5" customHeight="1">
      <c r="B612" s="447"/>
    </row>
    <row r="613" ht="13.5" customHeight="1">
      <c r="B613" s="447"/>
    </row>
    <row r="614" ht="13.5" customHeight="1">
      <c r="B614" s="447"/>
    </row>
    <row r="615" ht="13.5" customHeight="1">
      <c r="B615" s="447"/>
    </row>
    <row r="616" ht="13.5" customHeight="1">
      <c r="B616" s="447"/>
    </row>
    <row r="617" ht="13.5" customHeight="1">
      <c r="B617" s="447"/>
    </row>
    <row r="618" ht="13.5" customHeight="1">
      <c r="B618" s="447"/>
    </row>
    <row r="619" ht="13.5" customHeight="1">
      <c r="B619" s="447"/>
    </row>
    <row r="620" ht="13.5" customHeight="1">
      <c r="B620" s="447"/>
    </row>
    <row r="621" ht="13.5" customHeight="1">
      <c r="B621" s="447"/>
    </row>
    <row r="622" ht="13.5" customHeight="1">
      <c r="B622" s="447"/>
    </row>
    <row r="623" ht="13.5" customHeight="1">
      <c r="B623" s="447"/>
    </row>
    <row r="624" ht="13.5" customHeight="1">
      <c r="B624" s="447"/>
    </row>
    <row r="625" ht="13.5" customHeight="1">
      <c r="B625" s="447"/>
    </row>
    <row r="626" ht="13.5" customHeight="1">
      <c r="B626" s="447"/>
    </row>
    <row r="627" ht="13.5" customHeight="1">
      <c r="B627" s="447"/>
    </row>
    <row r="628" ht="13.5" customHeight="1">
      <c r="B628" s="447"/>
    </row>
    <row r="629" ht="13.5" customHeight="1">
      <c r="B629" s="447"/>
    </row>
    <row r="630" ht="13.5" customHeight="1">
      <c r="B630" s="447"/>
    </row>
    <row r="631" ht="13.5" customHeight="1">
      <c r="B631" s="447"/>
    </row>
    <row r="632" ht="13.5" customHeight="1">
      <c r="B632" s="447"/>
    </row>
    <row r="633" ht="13.5" customHeight="1">
      <c r="B633" s="447"/>
    </row>
    <row r="634" ht="13.5" customHeight="1">
      <c r="B634" s="447"/>
    </row>
    <row r="635" ht="13.5" customHeight="1">
      <c r="B635" s="447"/>
    </row>
    <row r="636" ht="13.5" customHeight="1">
      <c r="B636" s="447"/>
    </row>
    <row r="637" ht="13.5" customHeight="1">
      <c r="B637" s="447"/>
    </row>
    <row r="638" ht="13.5" customHeight="1">
      <c r="B638" s="447"/>
    </row>
    <row r="639" ht="13.5" customHeight="1">
      <c r="B639" s="447"/>
    </row>
    <row r="640" ht="13.5" customHeight="1">
      <c r="B640" s="447"/>
    </row>
    <row r="641" ht="13.5" customHeight="1">
      <c r="B641" s="447"/>
    </row>
    <row r="642" ht="13.5" customHeight="1">
      <c r="B642" s="447"/>
    </row>
    <row r="643" ht="13.5" customHeight="1">
      <c r="B643" s="447"/>
    </row>
    <row r="644" ht="13.5" customHeight="1">
      <c r="B644" s="447"/>
    </row>
    <row r="645" ht="13.5" customHeight="1">
      <c r="B645" s="447"/>
    </row>
    <row r="646" ht="13.5" customHeight="1">
      <c r="B646" s="447"/>
    </row>
    <row r="647" ht="13.5" customHeight="1">
      <c r="B647" s="447"/>
    </row>
    <row r="648" ht="13.5" customHeight="1">
      <c r="B648" s="447"/>
    </row>
    <row r="649" ht="13.5" customHeight="1">
      <c r="B649" s="447"/>
    </row>
    <row r="650" ht="13.5" customHeight="1">
      <c r="B650" s="447"/>
    </row>
    <row r="651" ht="13.5" customHeight="1">
      <c r="B651" s="447"/>
    </row>
    <row r="652" ht="13.5" customHeight="1">
      <c r="B652" s="447"/>
    </row>
    <row r="653" ht="13.5" customHeight="1">
      <c r="B653" s="447"/>
    </row>
    <row r="654" ht="13.5" customHeight="1">
      <c r="B654" s="447"/>
    </row>
    <row r="655" ht="13.5" customHeight="1">
      <c r="B655" s="447"/>
    </row>
    <row r="656" ht="13.5" customHeight="1">
      <c r="B656" s="447"/>
    </row>
    <row r="657" ht="13.5" customHeight="1">
      <c r="B657" s="447"/>
    </row>
    <row r="658" ht="13.5" customHeight="1">
      <c r="B658" s="447"/>
    </row>
    <row r="659" ht="13.5" customHeight="1">
      <c r="B659" s="447"/>
    </row>
    <row r="660" ht="13.5" customHeight="1">
      <c r="B660" s="447"/>
    </row>
    <row r="661" ht="13.5" customHeight="1">
      <c r="B661" s="447"/>
    </row>
    <row r="662" ht="13.5" customHeight="1">
      <c r="B662" s="447"/>
    </row>
    <row r="663" ht="13.5" customHeight="1">
      <c r="B663" s="447"/>
    </row>
    <row r="664" ht="13.5" customHeight="1">
      <c r="B664" s="447"/>
    </row>
    <row r="665" ht="13.5" customHeight="1">
      <c r="B665" s="447"/>
    </row>
    <row r="666" ht="13.5" customHeight="1">
      <c r="B666" s="447"/>
    </row>
    <row r="667" ht="13.5" customHeight="1">
      <c r="B667" s="447"/>
    </row>
    <row r="668" ht="13.5" customHeight="1">
      <c r="B668" s="447"/>
    </row>
    <row r="669" ht="13.5" customHeight="1">
      <c r="B669" s="447"/>
    </row>
    <row r="670" ht="13.5" customHeight="1">
      <c r="B670" s="447"/>
    </row>
    <row r="671" ht="13.5" customHeight="1">
      <c r="B671" s="447"/>
    </row>
    <row r="672" ht="13.5" customHeight="1">
      <c r="B672" s="447"/>
    </row>
    <row r="673" ht="13.5" customHeight="1">
      <c r="B673" s="447"/>
    </row>
    <row r="674" ht="13.5" customHeight="1">
      <c r="B674" s="447"/>
    </row>
    <row r="675" ht="13.5" customHeight="1">
      <c r="B675" s="447"/>
    </row>
    <row r="676" ht="13.5" customHeight="1">
      <c r="B676" s="447"/>
    </row>
    <row r="677" ht="13.5" customHeight="1">
      <c r="B677" s="447"/>
    </row>
    <row r="678" ht="13.5" customHeight="1">
      <c r="B678" s="447"/>
    </row>
    <row r="679" ht="13.5" customHeight="1">
      <c r="B679" s="447"/>
    </row>
    <row r="680" ht="13.5" customHeight="1">
      <c r="B680" s="447"/>
    </row>
    <row r="681" ht="13.5" customHeight="1">
      <c r="B681" s="447"/>
    </row>
    <row r="682" ht="13.5" customHeight="1">
      <c r="B682" s="447"/>
    </row>
    <row r="683" ht="13.5" customHeight="1">
      <c r="B683" s="447"/>
    </row>
    <row r="684" ht="13.5" customHeight="1">
      <c r="B684" s="447"/>
    </row>
    <row r="685" ht="13.5" customHeight="1">
      <c r="B685" s="447"/>
    </row>
    <row r="686" ht="13.5" customHeight="1">
      <c r="B686" s="447"/>
    </row>
    <row r="687" ht="13.5" customHeight="1">
      <c r="B687" s="447"/>
    </row>
    <row r="688" ht="13.5" customHeight="1">
      <c r="B688" s="447"/>
    </row>
    <row r="689" ht="13.5" customHeight="1">
      <c r="B689" s="447"/>
    </row>
    <row r="690" ht="13.5" customHeight="1">
      <c r="B690" s="447"/>
    </row>
    <row r="691" ht="13.5" customHeight="1">
      <c r="B691" s="447"/>
    </row>
    <row r="692" ht="13.5" customHeight="1">
      <c r="B692" s="447"/>
    </row>
  </sheetData>
  <mergeCells count="17">
    <mergeCell ref="A5:A6"/>
    <mergeCell ref="B5:B6"/>
    <mergeCell ref="C5:C6"/>
    <mergeCell ref="D5:D6"/>
    <mergeCell ref="E5:E6"/>
    <mergeCell ref="F5:F6"/>
    <mergeCell ref="G5:G6"/>
    <mergeCell ref="M26:M28"/>
    <mergeCell ref="M30:M31"/>
    <mergeCell ref="B50:K50"/>
    <mergeCell ref="H5:H6"/>
    <mergeCell ref="I5:I6"/>
    <mergeCell ref="J5:J6"/>
    <mergeCell ref="K5:K6"/>
    <mergeCell ref="L5:L6"/>
    <mergeCell ref="M14:M16"/>
    <mergeCell ref="M18:M2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5.5"/>
    <col customWidth="1" min="2" max="2" width="62.5"/>
    <col customWidth="1" min="3" max="6" width="7.63"/>
    <col customWidth="1" min="7" max="7" width="8.0"/>
    <col customWidth="1" min="8" max="8" width="7.25"/>
    <col customWidth="1" min="9" max="9" width="7.88"/>
    <col customWidth="1" min="10" max="11" width="7.63"/>
    <col customWidth="1" min="12" max="12" width="9.75"/>
    <col customWidth="1" min="13" max="24" width="12.63"/>
  </cols>
  <sheetData>
    <row r="1" ht="13.5" customHeight="1">
      <c r="A1" s="263"/>
      <c r="B1" s="437"/>
      <c r="C1" s="264"/>
      <c r="D1" s="264"/>
      <c r="E1" s="265"/>
      <c r="F1" s="265"/>
      <c r="G1" s="263"/>
      <c r="H1" s="263"/>
      <c r="I1" s="263"/>
      <c r="J1" s="266"/>
      <c r="K1" s="266"/>
      <c r="L1" s="263"/>
    </row>
    <row r="2" ht="13.5" customHeight="1">
      <c r="A2" s="263"/>
      <c r="B2" s="437"/>
      <c r="C2" s="264"/>
      <c r="D2" s="264"/>
      <c r="E2" s="265"/>
      <c r="F2" s="265"/>
      <c r="G2" s="263"/>
      <c r="H2" s="263"/>
      <c r="I2" s="263"/>
      <c r="J2" s="266"/>
      <c r="K2" s="266"/>
      <c r="L2" s="263"/>
    </row>
    <row r="3" ht="13.5" customHeight="1">
      <c r="A3" s="263"/>
      <c r="B3" s="437"/>
      <c r="C3" s="264"/>
      <c r="D3" s="264"/>
      <c r="E3" s="265"/>
      <c r="F3" s="265"/>
      <c r="G3" s="263"/>
      <c r="H3" s="263"/>
      <c r="I3" s="263"/>
      <c r="J3" s="266"/>
      <c r="K3" s="266"/>
      <c r="L3" s="263"/>
    </row>
    <row r="4" ht="13.5" customHeight="1">
      <c r="A4" s="263"/>
      <c r="B4" s="437"/>
      <c r="C4" s="264"/>
      <c r="D4" s="264"/>
      <c r="E4" s="265"/>
      <c r="F4" s="265"/>
      <c r="G4" s="263"/>
      <c r="H4" s="263"/>
      <c r="I4" s="263"/>
      <c r="J4" s="266"/>
      <c r="K4" s="266"/>
      <c r="L4" s="263"/>
    </row>
    <row r="5" ht="13.5" customHeight="1">
      <c r="A5" s="268" t="s">
        <v>28</v>
      </c>
      <c r="B5" s="438" t="s">
        <v>222</v>
      </c>
      <c r="C5" s="270" t="s">
        <v>737</v>
      </c>
      <c r="D5" s="270" t="s">
        <v>674</v>
      </c>
      <c r="E5" s="270" t="s">
        <v>675</v>
      </c>
      <c r="F5" s="270" t="s">
        <v>676</v>
      </c>
      <c r="G5" s="269" t="s">
        <v>737</v>
      </c>
      <c r="H5" s="269" t="s">
        <v>674</v>
      </c>
      <c r="I5" s="269" t="s">
        <v>676</v>
      </c>
      <c r="J5" s="270" t="s">
        <v>34</v>
      </c>
      <c r="K5" s="270" t="s">
        <v>678</v>
      </c>
      <c r="L5" s="269" t="s">
        <v>679</v>
      </c>
    </row>
    <row r="6" ht="13.5" customHeight="1">
      <c r="A6" s="53"/>
      <c r="B6" s="54"/>
      <c r="C6" s="54"/>
      <c r="D6" s="54"/>
      <c r="E6" s="54"/>
      <c r="F6" s="54"/>
      <c r="G6" s="54"/>
      <c r="H6" s="54"/>
      <c r="I6" s="54"/>
      <c r="J6" s="54"/>
      <c r="K6" s="54"/>
      <c r="L6" s="54"/>
    </row>
    <row r="7" ht="13.5" customHeight="1">
      <c r="A7" s="273"/>
      <c r="B7" s="274" t="s">
        <v>681</v>
      </c>
      <c r="C7" s="275"/>
      <c r="D7" s="275"/>
      <c r="E7" s="275"/>
      <c r="F7" s="275"/>
      <c r="G7" s="276"/>
      <c r="H7" s="276"/>
      <c r="I7" s="276"/>
      <c r="J7" s="275"/>
      <c r="K7" s="275"/>
      <c r="L7" s="277"/>
    </row>
    <row r="8" ht="13.5" customHeight="1">
      <c r="A8" s="281"/>
      <c r="B8" s="274" t="s">
        <v>825</v>
      </c>
      <c r="C8" s="282"/>
      <c r="D8" s="282"/>
      <c r="E8" s="282"/>
      <c r="F8" s="282"/>
      <c r="G8" s="274"/>
      <c r="H8" s="274"/>
      <c r="I8" s="274"/>
      <c r="J8" s="282"/>
      <c r="K8" s="282"/>
      <c r="L8" s="283"/>
    </row>
    <row r="9" ht="13.5" customHeight="1">
      <c r="A9" s="285"/>
      <c r="B9" s="439" t="str">
        <f>Luxury!I25</f>
        <v>Supply and installation of Open unit - Inner 1mm with BWP ply frame and Smooth finish laminate</v>
      </c>
      <c r="C9" s="287">
        <v>4.0</v>
      </c>
      <c r="D9" s="287">
        <v>7.25</v>
      </c>
      <c r="E9" s="288">
        <f>C9*D9</f>
        <v>29</v>
      </c>
      <c r="F9" s="287" t="s">
        <v>683</v>
      </c>
      <c r="G9" s="289">
        <f t="shared" ref="G9:H9" si="1">C9*300</f>
        <v>1200</v>
      </c>
      <c r="H9" s="289">
        <f t="shared" si="1"/>
        <v>2175</v>
      </c>
      <c r="I9" s="289" t="s">
        <v>684</v>
      </c>
      <c r="J9" s="290">
        <f>Luxury!L25</f>
        <v>1790</v>
      </c>
      <c r="K9" s="290">
        <v>1.0</v>
      </c>
      <c r="L9" s="291">
        <f>K9*J9*E9</f>
        <v>51910</v>
      </c>
      <c r="M9" s="293"/>
      <c r="N9" s="293"/>
      <c r="O9" s="293"/>
      <c r="P9" s="293"/>
      <c r="Q9" s="293"/>
      <c r="R9" s="293"/>
      <c r="S9" s="293"/>
      <c r="T9" s="293"/>
      <c r="U9" s="293"/>
      <c r="V9" s="293"/>
      <c r="W9" s="293"/>
      <c r="X9" s="293"/>
    </row>
    <row r="10" ht="13.5" customHeight="1">
      <c r="A10" s="281"/>
      <c r="B10" s="274" t="s">
        <v>827</v>
      </c>
      <c r="C10" s="282"/>
      <c r="D10" s="282"/>
      <c r="E10" s="282"/>
      <c r="F10" s="282"/>
      <c r="G10" s="274"/>
      <c r="H10" s="274"/>
      <c r="I10" s="274"/>
      <c r="J10" s="282"/>
      <c r="K10" s="282"/>
      <c r="L10" s="283"/>
      <c r="M10" s="293"/>
      <c r="N10" s="293"/>
      <c r="O10" s="293"/>
      <c r="P10" s="293"/>
      <c r="Q10" s="293"/>
      <c r="R10" s="293"/>
      <c r="S10" s="293"/>
      <c r="T10" s="293"/>
      <c r="U10" s="293"/>
      <c r="V10" s="293"/>
      <c r="W10" s="293"/>
      <c r="X10" s="293"/>
    </row>
    <row r="11" ht="13.5" customHeight="1">
      <c r="A11" s="285"/>
      <c r="B11" s="439" t="str">
        <f>Luxury!I17</f>
        <v>Supply and installation of Base storage - Inner 1mm unit with BWP Carcass, Black/Silver Aluminium Profile with Clear/Tinted Glass Shutter, Smooth laminate and soft close hinges  </v>
      </c>
      <c r="C11" s="287">
        <v>4.0</v>
      </c>
      <c r="D11" s="287">
        <v>7.25</v>
      </c>
      <c r="E11" s="288">
        <f>C11*D11</f>
        <v>29</v>
      </c>
      <c r="F11" s="287" t="s">
        <v>683</v>
      </c>
      <c r="G11" s="289">
        <f t="shared" ref="G11:H11" si="2">C11*300</f>
        <v>1200</v>
      </c>
      <c r="H11" s="289">
        <f t="shared" si="2"/>
        <v>2175</v>
      </c>
      <c r="I11" s="289" t="s">
        <v>684</v>
      </c>
      <c r="J11" s="290">
        <f>Luxury!L17</f>
        <v>2675</v>
      </c>
      <c r="K11" s="290">
        <v>1.0</v>
      </c>
      <c r="L11" s="291">
        <f>K11*J11*E11</f>
        <v>77575</v>
      </c>
      <c r="M11" s="293"/>
      <c r="N11" s="293"/>
      <c r="O11" s="293"/>
      <c r="P11" s="293"/>
      <c r="Q11" s="293"/>
      <c r="R11" s="293"/>
      <c r="S11" s="293"/>
      <c r="T11" s="293"/>
      <c r="U11" s="293"/>
      <c r="V11" s="293"/>
      <c r="W11" s="293"/>
      <c r="X11" s="293"/>
    </row>
    <row r="12" ht="13.5" customHeight="1">
      <c r="A12" s="281"/>
      <c r="B12" s="274" t="s">
        <v>829</v>
      </c>
      <c r="C12" s="282"/>
      <c r="D12" s="282"/>
      <c r="E12" s="282"/>
      <c r="F12" s="282"/>
      <c r="G12" s="274"/>
      <c r="H12" s="274"/>
      <c r="I12" s="274"/>
      <c r="J12" s="282"/>
      <c r="K12" s="282"/>
      <c r="L12" s="283"/>
      <c r="M12" s="293"/>
      <c r="N12" s="293"/>
      <c r="O12" s="293"/>
      <c r="P12" s="293"/>
      <c r="Q12" s="293"/>
      <c r="R12" s="293"/>
      <c r="S12" s="293"/>
      <c r="T12" s="293"/>
      <c r="U12" s="293"/>
      <c r="V12" s="293"/>
      <c r="W12" s="293"/>
      <c r="X12" s="293"/>
    </row>
    <row r="13" ht="13.5" customHeight="1">
      <c r="A13" s="294"/>
      <c r="B13" s="439" t="str">
        <f>Luxury!I116</f>
        <v>Supply and installation of Wall Panel with BWP Ply Frame, Designer laminate </v>
      </c>
      <c r="C13" s="287">
        <v>13.5</v>
      </c>
      <c r="D13" s="287">
        <v>5.5</v>
      </c>
      <c r="E13" s="288">
        <f t="shared" ref="E13:E16" si="4">C13*D13</f>
        <v>74.25</v>
      </c>
      <c r="F13" s="287" t="s">
        <v>683</v>
      </c>
      <c r="G13" s="289">
        <f t="shared" ref="G13:H13" si="3">C13*300</f>
        <v>4050</v>
      </c>
      <c r="H13" s="289">
        <f t="shared" si="3"/>
        <v>1650</v>
      </c>
      <c r="I13" s="296" t="s">
        <v>684</v>
      </c>
      <c r="J13" s="290">
        <f>Luxury!L116</f>
        <v>1275</v>
      </c>
      <c r="K13" s="297">
        <v>1.0</v>
      </c>
      <c r="L13" s="291">
        <f t="shared" ref="L13:L16" si="6">K13*J13*E13</f>
        <v>94668.75</v>
      </c>
      <c r="M13" s="293"/>
      <c r="N13" s="293"/>
      <c r="O13" s="293"/>
      <c r="P13" s="293"/>
      <c r="Q13" s="293"/>
      <c r="R13" s="293"/>
      <c r="S13" s="293"/>
      <c r="T13" s="293"/>
      <c r="U13" s="293"/>
      <c r="V13" s="293"/>
      <c r="W13" s="293"/>
      <c r="X13" s="293"/>
    </row>
    <row r="14" ht="13.5" customHeight="1">
      <c r="A14" s="285"/>
      <c r="B14" s="439" t="str">
        <f>Luxury!I70</f>
        <v>Supply and installation of Base storage unit  with BWP Carcass, HDHMR Boilo Shutter, MR+ finish laminate and soft close hinges  </v>
      </c>
      <c r="C14" s="287">
        <v>11.0</v>
      </c>
      <c r="D14" s="287">
        <v>1.5</v>
      </c>
      <c r="E14" s="288">
        <f t="shared" si="4"/>
        <v>16.5</v>
      </c>
      <c r="F14" s="287" t="s">
        <v>683</v>
      </c>
      <c r="G14" s="289">
        <f t="shared" ref="G14:H14" si="5">C14*300</f>
        <v>3300</v>
      </c>
      <c r="H14" s="289">
        <f t="shared" si="5"/>
        <v>450</v>
      </c>
      <c r="I14" s="289" t="s">
        <v>684</v>
      </c>
      <c r="J14" s="290">
        <f>Luxury!L70</f>
        <v>1890</v>
      </c>
      <c r="K14" s="290">
        <v>1.0</v>
      </c>
      <c r="L14" s="291">
        <f t="shared" si="6"/>
        <v>31185</v>
      </c>
      <c r="M14" s="441" t="s">
        <v>882</v>
      </c>
      <c r="N14" s="293"/>
      <c r="O14" s="293"/>
      <c r="P14" s="293"/>
      <c r="Q14" s="293"/>
      <c r="R14" s="293"/>
      <c r="S14" s="293"/>
      <c r="T14" s="293"/>
      <c r="U14" s="293"/>
      <c r="V14" s="293"/>
      <c r="W14" s="293"/>
      <c r="X14" s="293"/>
    </row>
    <row r="15" ht="13.5" customHeight="1">
      <c r="A15" s="285"/>
      <c r="B15" s="439" t="str">
        <f>Luxury!I76</f>
        <v>Supply and installation of Base storage unit with BWP Carcass, Black/Silver Aluminium Profile with Clear/Tinted Glass Shutter, MR+ laminate and soft close hinges  </v>
      </c>
      <c r="C15" s="287">
        <v>2.75</v>
      </c>
      <c r="D15" s="287">
        <v>1.5</v>
      </c>
      <c r="E15" s="288">
        <f t="shared" si="4"/>
        <v>4.125</v>
      </c>
      <c r="F15" s="287" t="s">
        <v>683</v>
      </c>
      <c r="G15" s="289">
        <f t="shared" ref="G15:H15" si="7">C15*300</f>
        <v>825</v>
      </c>
      <c r="H15" s="289">
        <f t="shared" si="7"/>
        <v>450</v>
      </c>
      <c r="I15" s="289" t="s">
        <v>684</v>
      </c>
      <c r="J15" s="290">
        <f>Luxury!L76</f>
        <v>2425</v>
      </c>
      <c r="K15" s="290">
        <v>1.0</v>
      </c>
      <c r="L15" s="291">
        <f t="shared" si="6"/>
        <v>10003.125</v>
      </c>
      <c r="N15" s="293"/>
      <c r="O15" s="293"/>
      <c r="P15" s="293"/>
      <c r="Q15" s="293"/>
      <c r="R15" s="293"/>
      <c r="S15" s="293"/>
      <c r="T15" s="293"/>
      <c r="U15" s="293"/>
      <c r="V15" s="293"/>
      <c r="W15" s="293"/>
      <c r="X15" s="293"/>
    </row>
    <row r="16" ht="13.5" customHeight="1">
      <c r="A16" s="285"/>
      <c r="B16" s="439" t="str">
        <f>Luxury!I76</f>
        <v>Supply and installation of Base storage unit with BWP Carcass, Black/Silver Aluminium Profile with Clear/Tinted Glass Shutter, MR+ laminate and soft close hinges  </v>
      </c>
      <c r="C16" s="287">
        <v>1.75</v>
      </c>
      <c r="D16" s="287">
        <v>7.0</v>
      </c>
      <c r="E16" s="288">
        <f t="shared" si="4"/>
        <v>12.25</v>
      </c>
      <c r="F16" s="287" t="s">
        <v>683</v>
      </c>
      <c r="G16" s="289">
        <f t="shared" ref="G16:H16" si="8">C16*300</f>
        <v>525</v>
      </c>
      <c r="H16" s="289">
        <f t="shared" si="8"/>
        <v>2100</v>
      </c>
      <c r="I16" s="289" t="s">
        <v>684</v>
      </c>
      <c r="J16" s="290">
        <f>Luxury!L76</f>
        <v>2425</v>
      </c>
      <c r="K16" s="290">
        <v>1.0</v>
      </c>
      <c r="L16" s="291">
        <f t="shared" si="6"/>
        <v>29706.25</v>
      </c>
      <c r="N16" s="293"/>
      <c r="O16" s="293"/>
      <c r="P16" s="293"/>
      <c r="Q16" s="293"/>
      <c r="R16" s="293"/>
      <c r="S16" s="293"/>
      <c r="T16" s="293"/>
      <c r="U16" s="293"/>
      <c r="V16" s="293"/>
      <c r="W16" s="293"/>
      <c r="X16" s="293"/>
    </row>
    <row r="17" ht="13.5" customHeight="1">
      <c r="A17" s="281"/>
      <c r="B17" s="274" t="s">
        <v>833</v>
      </c>
      <c r="C17" s="282"/>
      <c r="D17" s="282"/>
      <c r="E17" s="282"/>
      <c r="F17" s="282"/>
      <c r="G17" s="274"/>
      <c r="H17" s="274"/>
      <c r="I17" s="274"/>
      <c r="J17" s="282"/>
      <c r="K17" s="282"/>
      <c r="L17" s="283"/>
      <c r="M17" s="293"/>
      <c r="N17" s="293"/>
      <c r="O17" s="293"/>
      <c r="P17" s="293"/>
      <c r="Q17" s="293"/>
      <c r="R17" s="293"/>
      <c r="S17" s="293"/>
      <c r="T17" s="293"/>
      <c r="U17" s="293"/>
      <c r="V17" s="293"/>
      <c r="W17" s="293"/>
      <c r="X17" s="293"/>
    </row>
    <row r="18" ht="13.5" customHeight="1">
      <c r="A18" s="285"/>
      <c r="B18" s="439" t="str">
        <f>Luxury!I76</f>
        <v>Supply and installation of Base storage unit with BWP Carcass, Black/Silver Aluminium Profile with Clear/Tinted Glass Shutter, MR+ laminate and soft close hinges  </v>
      </c>
      <c r="C18" s="287">
        <v>3.25</v>
      </c>
      <c r="D18" s="287">
        <v>6.75</v>
      </c>
      <c r="E18" s="288">
        <f t="shared" ref="E18:E21" si="10">C18*D18</f>
        <v>21.9375</v>
      </c>
      <c r="F18" s="287" t="s">
        <v>683</v>
      </c>
      <c r="G18" s="289">
        <f t="shared" ref="G18:H18" si="9">C18*300</f>
        <v>975</v>
      </c>
      <c r="H18" s="289">
        <f t="shared" si="9"/>
        <v>2025</v>
      </c>
      <c r="I18" s="289" t="s">
        <v>684</v>
      </c>
      <c r="J18" s="290">
        <f>Luxury!L76</f>
        <v>2425</v>
      </c>
      <c r="K18" s="290">
        <v>1.0</v>
      </c>
      <c r="L18" s="291">
        <f t="shared" ref="L18:L21" si="12">K18*J18*E18</f>
        <v>53198.4375</v>
      </c>
      <c r="M18" s="441" t="s">
        <v>882</v>
      </c>
      <c r="N18" s="293"/>
      <c r="O18" s="293"/>
      <c r="P18" s="293"/>
      <c r="Q18" s="293"/>
      <c r="R18" s="293"/>
      <c r="S18" s="293"/>
      <c r="T18" s="293"/>
      <c r="U18" s="293"/>
      <c r="V18" s="293"/>
      <c r="W18" s="293"/>
      <c r="X18" s="293"/>
    </row>
    <row r="19" ht="13.5" customHeight="1">
      <c r="A19" s="285"/>
      <c r="B19" s="439" t="str">
        <f>Luxury!I91</f>
        <v>Supply and installation of Loft Frame and Shutter unit with BWP Frame, HDHMR Boilo Shutter, MR+ laminate and Soft Close hinges  </v>
      </c>
      <c r="C19" s="287">
        <v>7.5</v>
      </c>
      <c r="D19" s="287">
        <v>6.75</v>
      </c>
      <c r="E19" s="288">
        <f t="shared" si="10"/>
        <v>50.625</v>
      </c>
      <c r="F19" s="287" t="s">
        <v>683</v>
      </c>
      <c r="G19" s="289">
        <f t="shared" ref="G19:H19" si="11">C19*300</f>
        <v>2250</v>
      </c>
      <c r="H19" s="289">
        <f t="shared" si="11"/>
        <v>2025</v>
      </c>
      <c r="I19" s="289" t="s">
        <v>684</v>
      </c>
      <c r="J19" s="290">
        <f>Luxury!L91</f>
        <v>1133</v>
      </c>
      <c r="K19" s="290">
        <v>1.0</v>
      </c>
      <c r="L19" s="291">
        <f t="shared" si="12"/>
        <v>57358.125</v>
      </c>
      <c r="N19" s="293"/>
      <c r="O19" s="293"/>
      <c r="P19" s="293"/>
      <c r="Q19" s="293"/>
      <c r="R19" s="293"/>
      <c r="S19" s="293"/>
      <c r="T19" s="293"/>
      <c r="U19" s="293"/>
      <c r="V19" s="293"/>
      <c r="W19" s="293"/>
      <c r="X19" s="293"/>
    </row>
    <row r="20" ht="13.5" customHeight="1">
      <c r="A20" s="285"/>
      <c r="B20" s="439" t="str">
        <f>Luxury!I92</f>
        <v>Supply and installation of Ledge with 25mm Ledge BWP and MR+ Laminate</v>
      </c>
      <c r="C20" s="287">
        <v>3.5</v>
      </c>
      <c r="D20" s="287">
        <v>1.5</v>
      </c>
      <c r="E20" s="288">
        <f t="shared" si="10"/>
        <v>5.25</v>
      </c>
      <c r="F20" s="287" t="s">
        <v>683</v>
      </c>
      <c r="G20" s="289">
        <f t="shared" ref="G20:H20" si="13">C20*300</f>
        <v>1050</v>
      </c>
      <c r="H20" s="289">
        <f t="shared" si="13"/>
        <v>450</v>
      </c>
      <c r="I20" s="289" t="s">
        <v>684</v>
      </c>
      <c r="J20" s="290">
        <f>Luxury!L92</f>
        <v>1050</v>
      </c>
      <c r="K20" s="290">
        <v>3.0</v>
      </c>
      <c r="L20" s="291">
        <f t="shared" si="12"/>
        <v>16537.5</v>
      </c>
      <c r="N20" s="293"/>
      <c r="O20" s="293"/>
      <c r="P20" s="293"/>
      <c r="Q20" s="293"/>
      <c r="R20" s="293"/>
      <c r="S20" s="293"/>
      <c r="T20" s="293"/>
      <c r="U20" s="293"/>
      <c r="V20" s="293"/>
      <c r="W20" s="293"/>
      <c r="X20" s="293"/>
    </row>
    <row r="21" ht="13.5" customHeight="1">
      <c r="A21" s="285"/>
      <c r="B21" s="439" t="str">
        <f>Luxury!I96</f>
        <v>Supply and installation of Wall Panel with BWP Ply Frame, MR+ laminate </v>
      </c>
      <c r="C21" s="287">
        <v>3.0</v>
      </c>
      <c r="D21" s="287">
        <v>2.5</v>
      </c>
      <c r="E21" s="288">
        <f t="shared" si="10"/>
        <v>7.5</v>
      </c>
      <c r="F21" s="287" t="s">
        <v>683</v>
      </c>
      <c r="G21" s="289">
        <f t="shared" ref="G21:H21" si="14">C21*300</f>
        <v>900</v>
      </c>
      <c r="H21" s="289">
        <f t="shared" si="14"/>
        <v>750</v>
      </c>
      <c r="I21" s="289" t="s">
        <v>684</v>
      </c>
      <c r="J21" s="290">
        <f>Luxury!L96</f>
        <v>1225</v>
      </c>
      <c r="K21" s="290">
        <v>1.0</v>
      </c>
      <c r="L21" s="291">
        <f t="shared" si="12"/>
        <v>9187.5</v>
      </c>
      <c r="N21" s="293"/>
      <c r="O21" s="293"/>
      <c r="P21" s="293"/>
      <c r="Q21" s="293"/>
      <c r="R21" s="293"/>
      <c r="S21" s="293"/>
      <c r="T21" s="293"/>
      <c r="U21" s="293"/>
      <c r="V21" s="293"/>
      <c r="W21" s="293"/>
      <c r="X21" s="293"/>
    </row>
    <row r="22" ht="13.5" customHeight="1">
      <c r="A22" s="298"/>
      <c r="B22" s="274" t="s">
        <v>688</v>
      </c>
      <c r="C22" s="299"/>
      <c r="D22" s="299"/>
      <c r="E22" s="300"/>
      <c r="F22" s="299"/>
      <c r="G22" s="301"/>
      <c r="H22" s="301"/>
      <c r="I22" s="301"/>
      <c r="J22" s="302"/>
      <c r="K22" s="302"/>
      <c r="L22" s="303"/>
    </row>
    <row r="23" ht="13.5" customHeight="1">
      <c r="A23" s="285"/>
      <c r="B23" s="439" t="str">
        <f>Luxury!I123</f>
        <v>Supply and installation of Base storage unit with BWP Carcass, HDHMR Boilo Shutter, Acrylic laminate and soft close hinges  </v>
      </c>
      <c r="C23" s="287">
        <v>8.25</v>
      </c>
      <c r="D23" s="287">
        <v>3.0</v>
      </c>
      <c r="E23" s="288">
        <f t="shared" ref="E23:E33" si="16">C23*D23</f>
        <v>24.75</v>
      </c>
      <c r="F23" s="287" t="s">
        <v>683</v>
      </c>
      <c r="G23" s="289">
        <f t="shared" ref="G23:H23" si="15">C23*300</f>
        <v>2475</v>
      </c>
      <c r="H23" s="289">
        <f t="shared" si="15"/>
        <v>900</v>
      </c>
      <c r="I23" s="289" t="s">
        <v>684</v>
      </c>
      <c r="J23" s="290">
        <f>Luxury!L123</f>
        <v>2015</v>
      </c>
      <c r="K23" s="290">
        <v>1.0</v>
      </c>
      <c r="L23" s="291">
        <f t="shared" ref="L23:L33" si="18">K23*J23*E23</f>
        <v>49871.25</v>
      </c>
    </row>
    <row r="24" ht="13.5" customHeight="1">
      <c r="A24" s="285"/>
      <c r="B24" s="439" t="str">
        <f>Luxury!I65</f>
        <v>Supply and installation of Jam Panel with BWP Ply Frame, Glossy Finish laminate </v>
      </c>
      <c r="C24" s="287">
        <v>14.75</v>
      </c>
      <c r="D24" s="287">
        <v>1.0</v>
      </c>
      <c r="E24" s="288">
        <f t="shared" si="16"/>
        <v>14.75</v>
      </c>
      <c r="F24" s="287" t="s">
        <v>683</v>
      </c>
      <c r="G24" s="289">
        <f t="shared" ref="G24:H24" si="17">C24*300</f>
        <v>4425</v>
      </c>
      <c r="H24" s="289">
        <f t="shared" si="17"/>
        <v>300</v>
      </c>
      <c r="I24" s="289" t="s">
        <v>684</v>
      </c>
      <c r="J24" s="290">
        <f>Luxury!L63</f>
        <v>1175</v>
      </c>
      <c r="K24" s="290">
        <v>1.0</v>
      </c>
      <c r="L24" s="291">
        <f t="shared" si="18"/>
        <v>17331.25</v>
      </c>
      <c r="M24" s="442" t="s">
        <v>899</v>
      </c>
      <c r="N24" s="293"/>
      <c r="O24" s="293"/>
      <c r="P24" s="293"/>
      <c r="Q24" s="293"/>
      <c r="R24" s="293"/>
      <c r="S24" s="293"/>
      <c r="T24" s="293"/>
      <c r="U24" s="293"/>
      <c r="V24" s="293"/>
      <c r="W24" s="293"/>
      <c r="X24" s="293"/>
    </row>
    <row r="25" ht="13.5" customHeight="1">
      <c r="A25" s="285"/>
      <c r="B25" s="439" t="str">
        <f>Luxury!I123</f>
        <v>Supply and installation of Base storage unit with BWP Carcass, HDHMR Boilo Shutter, Acrylic laminate and soft close hinges  </v>
      </c>
      <c r="C25" s="287">
        <v>22.5</v>
      </c>
      <c r="D25" s="287">
        <v>3.0</v>
      </c>
      <c r="E25" s="288">
        <f t="shared" si="16"/>
        <v>67.5</v>
      </c>
      <c r="F25" s="287" t="s">
        <v>683</v>
      </c>
      <c r="G25" s="289">
        <f t="shared" ref="G25:H25" si="19">C25*300</f>
        <v>6750</v>
      </c>
      <c r="H25" s="289">
        <f t="shared" si="19"/>
        <v>900</v>
      </c>
      <c r="I25" s="289" t="s">
        <v>684</v>
      </c>
      <c r="J25" s="290">
        <f>Luxury!L123</f>
        <v>2015</v>
      </c>
      <c r="K25" s="290">
        <v>1.0</v>
      </c>
      <c r="L25" s="291">
        <f t="shared" si="18"/>
        <v>136012.5</v>
      </c>
    </row>
    <row r="26" ht="13.5" customHeight="1">
      <c r="A26" s="285"/>
      <c r="B26" s="439" t="str">
        <f>Luxury!I71</f>
        <v>Supply and installation of Wall storage unit  with BWP Carcass, HDHMR Boilo Shutter, MR+ finish laminate and soft close hinges  </v>
      </c>
      <c r="C26" s="287">
        <v>12.25</v>
      </c>
      <c r="D26" s="287">
        <v>2.25</v>
      </c>
      <c r="E26" s="288">
        <f t="shared" si="16"/>
        <v>27.5625</v>
      </c>
      <c r="F26" s="287" t="s">
        <v>683</v>
      </c>
      <c r="G26" s="289">
        <f t="shared" ref="G26:H26" si="20">C26*300</f>
        <v>3675</v>
      </c>
      <c r="H26" s="289">
        <f t="shared" si="20"/>
        <v>675</v>
      </c>
      <c r="I26" s="289" t="s">
        <v>684</v>
      </c>
      <c r="J26" s="290">
        <f>Luxury!L70</f>
        <v>1890</v>
      </c>
      <c r="K26" s="290">
        <v>1.0</v>
      </c>
      <c r="L26" s="291">
        <f t="shared" si="18"/>
        <v>52093.125</v>
      </c>
      <c r="M26" s="3" t="s">
        <v>900</v>
      </c>
    </row>
    <row r="27" ht="13.5" customHeight="1">
      <c r="A27" s="285"/>
      <c r="B27" s="439" t="str">
        <f>Luxury!I77</f>
        <v>Supply and installation of Wall storage unit with BWP Carcass, Black/Silver Aluminium Profile with Clear/Tinted Glass Shutter, MR+ laminate and soft close hinges  </v>
      </c>
      <c r="C27" s="287">
        <v>1.25</v>
      </c>
      <c r="D27" s="287">
        <v>4.25</v>
      </c>
      <c r="E27" s="288">
        <f t="shared" si="16"/>
        <v>5.3125</v>
      </c>
      <c r="F27" s="287" t="s">
        <v>683</v>
      </c>
      <c r="G27" s="289">
        <f t="shared" ref="G27:H27" si="21">C27*300</f>
        <v>375</v>
      </c>
      <c r="H27" s="289">
        <f t="shared" si="21"/>
        <v>1275</v>
      </c>
      <c r="I27" s="289" t="s">
        <v>684</v>
      </c>
      <c r="J27" s="290">
        <f>Luxury!L76</f>
        <v>2425</v>
      </c>
      <c r="K27" s="290">
        <v>1.0</v>
      </c>
      <c r="L27" s="291">
        <f t="shared" si="18"/>
        <v>12882.8125</v>
      </c>
    </row>
    <row r="28" ht="13.5" customHeight="1">
      <c r="A28" s="285"/>
      <c r="B28" s="439" t="str">
        <f>Luxury!I77</f>
        <v>Supply and installation of Wall storage unit with BWP Carcass, Black/Silver Aluminium Profile with Clear/Tinted Glass Shutter, MR+ laminate and soft close hinges  </v>
      </c>
      <c r="C28" s="287">
        <v>5.5</v>
      </c>
      <c r="D28" s="287">
        <v>2.25</v>
      </c>
      <c r="E28" s="288">
        <f t="shared" si="16"/>
        <v>12.375</v>
      </c>
      <c r="F28" s="287" t="s">
        <v>683</v>
      </c>
      <c r="G28" s="289">
        <f t="shared" ref="G28:H28" si="22">C28*300</f>
        <v>1650</v>
      </c>
      <c r="H28" s="289">
        <f t="shared" si="22"/>
        <v>675</v>
      </c>
      <c r="I28" s="289" t="s">
        <v>684</v>
      </c>
      <c r="J28" s="290">
        <f>Luxury!L76</f>
        <v>2425</v>
      </c>
      <c r="K28" s="290">
        <v>1.0</v>
      </c>
      <c r="L28" s="291">
        <f t="shared" si="18"/>
        <v>30009.375</v>
      </c>
      <c r="N28" s="293"/>
      <c r="O28" s="293"/>
      <c r="P28" s="293"/>
      <c r="Q28" s="293"/>
      <c r="R28" s="293"/>
      <c r="S28" s="293"/>
      <c r="T28" s="293"/>
      <c r="U28" s="293"/>
      <c r="V28" s="293"/>
      <c r="W28" s="293"/>
      <c r="X28" s="293"/>
    </row>
    <row r="29" ht="13.5" customHeight="1">
      <c r="A29" s="285"/>
      <c r="B29" s="439" t="str">
        <f>Luxury!I125</f>
        <v>Supply and installation of Tall storage unit with BWP Carcass, HDHMR Boilo Shutter, Acrylic laminate and soft close hinges  </v>
      </c>
      <c r="C29" s="287">
        <v>5.75</v>
      </c>
      <c r="D29" s="287">
        <v>7.25</v>
      </c>
      <c r="E29" s="288">
        <f t="shared" si="16"/>
        <v>41.6875</v>
      </c>
      <c r="F29" s="287" t="s">
        <v>683</v>
      </c>
      <c r="G29" s="289">
        <f t="shared" ref="G29:H29" si="23">C29*300</f>
        <v>1725</v>
      </c>
      <c r="H29" s="289">
        <f t="shared" si="23"/>
        <v>2175</v>
      </c>
      <c r="I29" s="289" t="s">
        <v>684</v>
      </c>
      <c r="J29" s="290">
        <f>Luxury!L123</f>
        <v>2015</v>
      </c>
      <c r="K29" s="290">
        <v>1.0</v>
      </c>
      <c r="L29" s="291">
        <f t="shared" si="18"/>
        <v>84000.3125</v>
      </c>
      <c r="M29" s="293"/>
      <c r="N29" s="293"/>
      <c r="O29" s="293"/>
      <c r="P29" s="293"/>
      <c r="Q29" s="293"/>
      <c r="R29" s="293"/>
      <c r="S29" s="293"/>
      <c r="T29" s="293"/>
      <c r="U29" s="293"/>
      <c r="V29" s="293"/>
      <c r="W29" s="293"/>
      <c r="X29" s="293"/>
    </row>
    <row r="30" ht="13.5" customHeight="1">
      <c r="A30" s="306"/>
      <c r="B30" s="439" t="str">
        <f>Luxury!I57</f>
        <v>Supply and installation of Loft Frame and Shutter unit with BWP Frame, HDHMR Boilo Shutter, Glossy finish laminate and Soft Close hinges  </v>
      </c>
      <c r="C30" s="287">
        <v>14.75</v>
      </c>
      <c r="D30" s="287">
        <v>2.5</v>
      </c>
      <c r="E30" s="288">
        <f t="shared" si="16"/>
        <v>36.875</v>
      </c>
      <c r="F30" s="287" t="s">
        <v>683</v>
      </c>
      <c r="G30" s="289">
        <f t="shared" ref="G30:H30" si="24">C30*300</f>
        <v>4425</v>
      </c>
      <c r="H30" s="289">
        <f t="shared" si="24"/>
        <v>750</v>
      </c>
      <c r="I30" s="289" t="s">
        <v>684</v>
      </c>
      <c r="J30" s="290">
        <f>Luxury!L57</f>
        <v>1083</v>
      </c>
      <c r="K30" s="290">
        <v>1.0</v>
      </c>
      <c r="L30" s="291">
        <f t="shared" si="18"/>
        <v>39935.625</v>
      </c>
      <c r="M30" s="3" t="s">
        <v>901</v>
      </c>
    </row>
    <row r="31" ht="13.5" customHeight="1">
      <c r="A31" s="306"/>
      <c r="B31" s="439" t="str">
        <f>Luxury!I57</f>
        <v>Supply and installation of Loft Frame and Shutter unit with BWP Frame, HDHMR Boilo Shutter, Glossy finish laminate and Soft Close hinges  </v>
      </c>
      <c r="C31" s="287">
        <v>2.75</v>
      </c>
      <c r="D31" s="287">
        <v>7.25</v>
      </c>
      <c r="E31" s="288">
        <f t="shared" si="16"/>
        <v>19.9375</v>
      </c>
      <c r="F31" s="287" t="s">
        <v>683</v>
      </c>
      <c r="G31" s="289">
        <f t="shared" ref="G31:H31" si="25">C31*300</f>
        <v>825</v>
      </c>
      <c r="H31" s="289">
        <f t="shared" si="25"/>
        <v>2175</v>
      </c>
      <c r="I31" s="289" t="s">
        <v>684</v>
      </c>
      <c r="J31" s="290">
        <f>Luxury!L57</f>
        <v>1083</v>
      </c>
      <c r="K31" s="290">
        <v>1.0</v>
      </c>
      <c r="L31" s="291">
        <f t="shared" si="18"/>
        <v>21592.3125</v>
      </c>
      <c r="N31" s="293"/>
      <c r="O31" s="293"/>
      <c r="P31" s="293"/>
      <c r="Q31" s="293"/>
      <c r="R31" s="293"/>
      <c r="S31" s="293"/>
      <c r="T31" s="293"/>
      <c r="U31" s="293"/>
      <c r="V31" s="293"/>
      <c r="W31" s="293"/>
      <c r="X31" s="293"/>
    </row>
    <row r="32" ht="13.5" customHeight="1">
      <c r="A32" s="285"/>
      <c r="B32" s="439" t="str">
        <f>Luxury!I76</f>
        <v>Supply and installation of Base storage unit with BWP Carcass, Black/Silver Aluminium Profile with Clear/Tinted Glass Shutter, MR+ laminate and soft close hinges  </v>
      </c>
      <c r="C32" s="287">
        <v>3.0</v>
      </c>
      <c r="D32" s="287">
        <v>7.25</v>
      </c>
      <c r="E32" s="288">
        <f t="shared" si="16"/>
        <v>21.75</v>
      </c>
      <c r="F32" s="287" t="s">
        <v>683</v>
      </c>
      <c r="G32" s="289">
        <f t="shared" ref="G32:H32" si="26">C32*300</f>
        <v>900</v>
      </c>
      <c r="H32" s="289">
        <f t="shared" si="26"/>
        <v>2175</v>
      </c>
      <c r="I32" s="289" t="s">
        <v>684</v>
      </c>
      <c r="J32" s="290">
        <f>Luxury!L76</f>
        <v>2425</v>
      </c>
      <c r="K32" s="290">
        <v>1.0</v>
      </c>
      <c r="L32" s="291">
        <f t="shared" si="18"/>
        <v>52743.75</v>
      </c>
      <c r="M32" s="293"/>
      <c r="N32" s="293"/>
      <c r="O32" s="293"/>
      <c r="P32" s="293"/>
      <c r="Q32" s="293"/>
      <c r="R32" s="293"/>
      <c r="S32" s="293"/>
      <c r="T32" s="293"/>
      <c r="U32" s="293"/>
      <c r="V32" s="293"/>
      <c r="W32" s="293"/>
      <c r="X32" s="293"/>
    </row>
    <row r="33" ht="13.5" customHeight="1">
      <c r="A33" s="306"/>
      <c r="B33" s="439" t="str">
        <f>Luxury!I67</f>
        <v>Supply and installation of Base Panel with BWP Ply Frame, Glossy Finish laminate </v>
      </c>
      <c r="C33" s="287">
        <v>3.5</v>
      </c>
      <c r="D33" s="287">
        <v>1.0</v>
      </c>
      <c r="E33" s="288">
        <f t="shared" si="16"/>
        <v>3.5</v>
      </c>
      <c r="F33" s="287" t="s">
        <v>683</v>
      </c>
      <c r="G33" s="289">
        <f t="shared" ref="G33:H33" si="27">C33*300</f>
        <v>1050</v>
      </c>
      <c r="H33" s="289">
        <f t="shared" si="27"/>
        <v>300</v>
      </c>
      <c r="I33" s="289" t="s">
        <v>684</v>
      </c>
      <c r="J33" s="290">
        <f>Luxury!L63</f>
        <v>1175</v>
      </c>
      <c r="K33" s="290">
        <v>1.0</v>
      </c>
      <c r="L33" s="291">
        <f t="shared" si="18"/>
        <v>4112.5</v>
      </c>
      <c r="M33" s="3" t="s">
        <v>899</v>
      </c>
    </row>
    <row r="34" ht="13.5" customHeight="1">
      <c r="A34" s="281"/>
      <c r="B34" s="274" t="s">
        <v>692</v>
      </c>
      <c r="C34" s="308"/>
      <c r="D34" s="308"/>
      <c r="E34" s="308"/>
      <c r="F34" s="308"/>
      <c r="G34" s="283"/>
      <c r="H34" s="283"/>
      <c r="I34" s="283"/>
      <c r="J34" s="308"/>
      <c r="K34" s="308"/>
      <c r="L34" s="283"/>
    </row>
    <row r="35" ht="13.5" customHeight="1">
      <c r="A35" s="285"/>
      <c r="B35" s="439" t="str">
        <f>Luxury!I106</f>
        <v>Supply and installation of Wardrobe  with BWP Carcass, HDHMR Boilo Shutter, Designer finish laminate and soft close hinges  </v>
      </c>
      <c r="C35" s="287">
        <v>7.25</v>
      </c>
      <c r="D35" s="287">
        <v>8.75</v>
      </c>
      <c r="E35" s="288">
        <f t="shared" ref="E35:E40" si="29">C35*D35</f>
        <v>63.4375</v>
      </c>
      <c r="F35" s="287" t="s">
        <v>683</v>
      </c>
      <c r="G35" s="289">
        <f t="shared" ref="G35:H35" si="28">C35*300</f>
        <v>2175</v>
      </c>
      <c r="H35" s="289">
        <f t="shared" si="28"/>
        <v>2625</v>
      </c>
      <c r="I35" s="289" t="s">
        <v>684</v>
      </c>
      <c r="J35" s="290">
        <f>Luxury!L103</f>
        <v>1940</v>
      </c>
      <c r="K35" s="290">
        <v>1.0</v>
      </c>
      <c r="L35" s="291">
        <f t="shared" ref="L35:L40" si="31">K35*J35*E35</f>
        <v>123068.75</v>
      </c>
      <c r="M35" s="293"/>
      <c r="N35" s="293"/>
      <c r="O35" s="293"/>
      <c r="P35" s="293"/>
      <c r="Q35" s="293"/>
      <c r="R35" s="293"/>
      <c r="S35" s="293"/>
      <c r="T35" s="293"/>
      <c r="U35" s="293"/>
      <c r="V35" s="293"/>
      <c r="W35" s="293"/>
      <c r="X35" s="293"/>
    </row>
    <row r="36" ht="13.5" customHeight="1">
      <c r="A36" s="285"/>
      <c r="B36" s="439" t="str">
        <f>Luxury!I105</f>
        <v>Supply and installation of Tall storage unit  with BWP Carcass, HDHMR Boilo Shutter, Designer finish laminate and soft close hinges  </v>
      </c>
      <c r="C36" s="287">
        <v>2.0</v>
      </c>
      <c r="D36" s="287">
        <v>7.0</v>
      </c>
      <c r="E36" s="288">
        <f t="shared" si="29"/>
        <v>14</v>
      </c>
      <c r="F36" s="287" t="s">
        <v>683</v>
      </c>
      <c r="G36" s="289">
        <f t="shared" ref="G36:H36" si="30">C36*300</f>
        <v>600</v>
      </c>
      <c r="H36" s="289">
        <f t="shared" si="30"/>
        <v>2100</v>
      </c>
      <c r="I36" s="289" t="s">
        <v>684</v>
      </c>
      <c r="J36" s="290">
        <f>Luxury!L103</f>
        <v>1940</v>
      </c>
      <c r="K36" s="290">
        <v>1.0</v>
      </c>
      <c r="L36" s="291">
        <f t="shared" si="31"/>
        <v>27160</v>
      </c>
    </row>
    <row r="37" ht="13.5" customHeight="1">
      <c r="A37" s="285"/>
      <c r="B37" s="439" t="str">
        <f>Luxury!I116</f>
        <v>Supply and installation of Wall Panel with BWP Ply Frame, Designer laminate </v>
      </c>
      <c r="C37" s="287">
        <v>6.5</v>
      </c>
      <c r="D37" s="287">
        <v>1.0</v>
      </c>
      <c r="E37" s="288">
        <f t="shared" si="29"/>
        <v>6.5</v>
      </c>
      <c r="F37" s="287" t="s">
        <v>683</v>
      </c>
      <c r="G37" s="289">
        <f t="shared" ref="G37:H37" si="32">C37*300</f>
        <v>1950</v>
      </c>
      <c r="H37" s="289">
        <f t="shared" si="32"/>
        <v>300</v>
      </c>
      <c r="I37" s="289" t="s">
        <v>684</v>
      </c>
      <c r="J37" s="290">
        <f>Luxury!L116</f>
        <v>1275</v>
      </c>
      <c r="K37" s="290">
        <v>1.0</v>
      </c>
      <c r="L37" s="291">
        <f t="shared" si="31"/>
        <v>8287.5</v>
      </c>
      <c r="M37" s="293"/>
      <c r="N37" s="293"/>
      <c r="O37" s="293"/>
      <c r="P37" s="293"/>
      <c r="Q37" s="293"/>
      <c r="R37" s="293"/>
      <c r="S37" s="293"/>
      <c r="T37" s="293"/>
      <c r="U37" s="293"/>
      <c r="V37" s="293"/>
      <c r="W37" s="293"/>
      <c r="X37" s="293"/>
    </row>
    <row r="38" ht="13.5" customHeight="1">
      <c r="A38" s="285"/>
      <c r="B38" s="439" t="str">
        <f>Luxury!I114</f>
        <v>Supply and installation of Ledge with 50mm Ledge BWP and Designer Laminate</v>
      </c>
      <c r="C38" s="287">
        <v>9.0</v>
      </c>
      <c r="D38" s="287">
        <v>1.0</v>
      </c>
      <c r="E38" s="288">
        <f t="shared" si="29"/>
        <v>9</v>
      </c>
      <c r="F38" s="287" t="s">
        <v>683</v>
      </c>
      <c r="G38" s="289">
        <f t="shared" ref="G38:H38" si="33">C38*300</f>
        <v>2700</v>
      </c>
      <c r="H38" s="289">
        <f t="shared" si="33"/>
        <v>300</v>
      </c>
      <c r="I38" s="289" t="s">
        <v>684</v>
      </c>
      <c r="J38" s="290">
        <f>Luxury!L114</f>
        <v>1250</v>
      </c>
      <c r="K38" s="290">
        <v>1.0</v>
      </c>
      <c r="L38" s="291">
        <f t="shared" si="31"/>
        <v>11250</v>
      </c>
      <c r="M38" s="293"/>
      <c r="N38" s="293"/>
      <c r="O38" s="293"/>
      <c r="P38" s="293"/>
      <c r="Q38" s="293"/>
      <c r="R38" s="293"/>
      <c r="S38" s="293"/>
      <c r="T38" s="293"/>
      <c r="U38" s="293"/>
      <c r="V38" s="293"/>
      <c r="W38" s="293"/>
      <c r="X38" s="293"/>
    </row>
    <row r="39" ht="13.5" customHeight="1">
      <c r="A39" s="306"/>
      <c r="B39" s="439" t="str">
        <f>Luxury!I6</f>
        <v>Supply and installation of Wardrobe  with BWP Carcass, HDHMR Boilo Shutter, Smooth finish laminate and soft close hinges  </v>
      </c>
      <c r="C39" s="287">
        <v>8.5</v>
      </c>
      <c r="D39" s="287">
        <v>8.25</v>
      </c>
      <c r="E39" s="288">
        <f t="shared" si="29"/>
        <v>70.125</v>
      </c>
      <c r="F39" s="287" t="s">
        <v>683</v>
      </c>
      <c r="G39" s="289">
        <f t="shared" ref="G39:H39" si="34">C39*300</f>
        <v>2550</v>
      </c>
      <c r="H39" s="289">
        <f t="shared" si="34"/>
        <v>2475</v>
      </c>
      <c r="I39" s="289" t="s">
        <v>684</v>
      </c>
      <c r="J39" s="290">
        <f>Luxury!L3</f>
        <v>1790</v>
      </c>
      <c r="K39" s="290">
        <v>1.0</v>
      </c>
      <c r="L39" s="291">
        <f t="shared" si="31"/>
        <v>125523.75</v>
      </c>
      <c r="M39" s="293"/>
      <c r="N39" s="293"/>
      <c r="O39" s="293"/>
      <c r="P39" s="293"/>
      <c r="Q39" s="293"/>
      <c r="R39" s="293"/>
      <c r="S39" s="293"/>
      <c r="T39" s="293"/>
      <c r="U39" s="293"/>
      <c r="V39" s="293"/>
      <c r="W39" s="293"/>
      <c r="X39" s="293"/>
    </row>
    <row r="40" ht="13.5" customHeight="1">
      <c r="A40" s="306"/>
      <c r="B40" s="439" t="str">
        <f>Luxury!I103</f>
        <v>Supply and installation of Base storage unit  with BWP Carcass, HDHMR Boilo Shutter, Designer laminate and soft close hinges  </v>
      </c>
      <c r="C40" s="287">
        <v>8.5</v>
      </c>
      <c r="D40" s="287">
        <v>2.0</v>
      </c>
      <c r="E40" s="288">
        <f t="shared" si="29"/>
        <v>17</v>
      </c>
      <c r="F40" s="287" t="s">
        <v>683</v>
      </c>
      <c r="G40" s="289">
        <f t="shared" ref="G40:H40" si="35">C40*300</f>
        <v>2550</v>
      </c>
      <c r="H40" s="289">
        <f t="shared" si="35"/>
        <v>600</v>
      </c>
      <c r="I40" s="289" t="s">
        <v>684</v>
      </c>
      <c r="J40" s="290">
        <f>Luxury!L103</f>
        <v>1940</v>
      </c>
      <c r="K40" s="290">
        <v>1.0</v>
      </c>
      <c r="L40" s="291">
        <f t="shared" si="31"/>
        <v>32980</v>
      </c>
      <c r="M40" s="293"/>
      <c r="N40" s="293"/>
      <c r="O40" s="293"/>
      <c r="P40" s="293"/>
      <c r="Q40" s="293"/>
      <c r="R40" s="293"/>
      <c r="S40" s="293"/>
      <c r="T40" s="293"/>
      <c r="U40" s="293"/>
      <c r="V40" s="293"/>
      <c r="W40" s="293"/>
      <c r="X40" s="293"/>
    </row>
    <row r="41" ht="13.5" customHeight="1">
      <c r="A41" s="281"/>
      <c r="B41" s="274" t="s">
        <v>853</v>
      </c>
      <c r="C41" s="308"/>
      <c r="D41" s="308"/>
      <c r="E41" s="308"/>
      <c r="F41" s="308"/>
      <c r="G41" s="283"/>
      <c r="H41" s="283"/>
      <c r="I41" s="283"/>
      <c r="J41" s="308"/>
      <c r="K41" s="308"/>
      <c r="L41" s="283"/>
    </row>
    <row r="42" ht="13.5" customHeight="1">
      <c r="A42" s="285"/>
      <c r="B42" s="439" t="str">
        <f>Luxury!I27</f>
        <v>Supply and installation of Ledge with 25mm Ledge BWP and Smooth Laminate</v>
      </c>
      <c r="C42" s="287">
        <v>8.0</v>
      </c>
      <c r="D42" s="287">
        <v>2.0</v>
      </c>
      <c r="E42" s="288">
        <f t="shared" ref="E42:E48" si="37">C42*D42</f>
        <v>16</v>
      </c>
      <c r="F42" s="287" t="s">
        <v>683</v>
      </c>
      <c r="G42" s="289">
        <f t="shared" ref="G42:H42" si="36">C42*300</f>
        <v>2400</v>
      </c>
      <c r="H42" s="289">
        <f t="shared" si="36"/>
        <v>600</v>
      </c>
      <c r="I42" s="289" t="s">
        <v>684</v>
      </c>
      <c r="J42" s="290">
        <f>Luxury!L27</f>
        <v>950</v>
      </c>
      <c r="K42" s="290">
        <v>1.0</v>
      </c>
      <c r="L42" s="291">
        <f t="shared" ref="L42:L48" si="39">K42*J42*E42</f>
        <v>15200</v>
      </c>
      <c r="M42" s="293"/>
      <c r="N42" s="293"/>
      <c r="O42" s="293"/>
      <c r="P42" s="293"/>
      <c r="Q42" s="293"/>
      <c r="R42" s="293"/>
      <c r="S42" s="293"/>
      <c r="T42" s="293"/>
      <c r="U42" s="293"/>
      <c r="V42" s="293"/>
      <c r="W42" s="293"/>
      <c r="X42" s="293"/>
    </row>
    <row r="43" ht="13.5" customHeight="1">
      <c r="A43" s="285"/>
      <c r="B43" s="439" t="str">
        <f>Luxury!I25</f>
        <v>Supply and installation of Open unit - Inner 1mm with BWP ply frame and Smooth finish laminate</v>
      </c>
      <c r="C43" s="287">
        <v>5.5</v>
      </c>
      <c r="D43" s="287">
        <v>1.0</v>
      </c>
      <c r="E43" s="288">
        <f t="shared" si="37"/>
        <v>5.5</v>
      </c>
      <c r="F43" s="287" t="s">
        <v>683</v>
      </c>
      <c r="G43" s="289">
        <f t="shared" ref="G43:H43" si="38">C43*300</f>
        <v>1650</v>
      </c>
      <c r="H43" s="289">
        <f t="shared" si="38"/>
        <v>300</v>
      </c>
      <c r="I43" s="289" t="s">
        <v>684</v>
      </c>
      <c r="J43" s="290">
        <f>Luxury!L25</f>
        <v>1790</v>
      </c>
      <c r="K43" s="290">
        <v>1.0</v>
      </c>
      <c r="L43" s="291">
        <f t="shared" si="39"/>
        <v>9845</v>
      </c>
      <c r="M43" s="293"/>
      <c r="N43" s="293"/>
      <c r="O43" s="293"/>
      <c r="P43" s="293"/>
      <c r="Q43" s="293"/>
      <c r="R43" s="293"/>
      <c r="S43" s="293"/>
      <c r="T43" s="293"/>
      <c r="U43" s="293"/>
      <c r="V43" s="293"/>
      <c r="W43" s="293"/>
      <c r="X43" s="293"/>
    </row>
    <row r="44" ht="13.5" customHeight="1">
      <c r="A44" s="285"/>
      <c r="B44" s="439" t="str">
        <f>Luxury!I4</f>
        <v>Supply and installation of Wall storage unit  with BWP Carcass, HDHMR Boilo Shutter, Smooth finish laminate and soft close hinges  </v>
      </c>
      <c r="C44" s="287">
        <v>5.5</v>
      </c>
      <c r="D44" s="287">
        <v>3.0</v>
      </c>
      <c r="E44" s="288">
        <f t="shared" si="37"/>
        <v>16.5</v>
      </c>
      <c r="F44" s="287" t="s">
        <v>683</v>
      </c>
      <c r="G44" s="289">
        <f t="shared" ref="G44:H44" si="40">C44*300</f>
        <v>1650</v>
      </c>
      <c r="H44" s="289">
        <f t="shared" si="40"/>
        <v>900</v>
      </c>
      <c r="I44" s="289" t="s">
        <v>684</v>
      </c>
      <c r="J44" s="290">
        <f>Luxury!L3</f>
        <v>1790</v>
      </c>
      <c r="K44" s="290">
        <v>1.0</v>
      </c>
      <c r="L44" s="291">
        <f t="shared" si="39"/>
        <v>29535</v>
      </c>
      <c r="M44" s="293"/>
      <c r="N44" s="293"/>
      <c r="O44" s="293"/>
      <c r="P44" s="293"/>
      <c r="Q44" s="293"/>
      <c r="R44" s="293"/>
      <c r="S44" s="293"/>
      <c r="T44" s="293"/>
      <c r="U44" s="293"/>
      <c r="V44" s="293"/>
      <c r="W44" s="293"/>
      <c r="X44" s="293"/>
    </row>
    <row r="45" ht="13.5" customHeight="1">
      <c r="A45" s="285"/>
      <c r="B45" s="439" t="str">
        <f>Luxury!I3</f>
        <v>Supply and installation of Base storage unit  with BWP Carcass, HDHMR Boilo Shutter, Smooth Finish laminate and soft close hinges  </v>
      </c>
      <c r="C45" s="287">
        <v>1.75</v>
      </c>
      <c r="D45" s="287">
        <v>2.75</v>
      </c>
      <c r="E45" s="288">
        <f t="shared" si="37"/>
        <v>4.8125</v>
      </c>
      <c r="F45" s="287" t="s">
        <v>683</v>
      </c>
      <c r="G45" s="289">
        <f t="shared" ref="G45:H45" si="41">C45*300</f>
        <v>525</v>
      </c>
      <c r="H45" s="289">
        <f t="shared" si="41"/>
        <v>825</v>
      </c>
      <c r="I45" s="289" t="s">
        <v>684</v>
      </c>
      <c r="J45" s="290">
        <f>Luxury!L3</f>
        <v>1790</v>
      </c>
      <c r="K45" s="290">
        <v>1.0</v>
      </c>
      <c r="L45" s="291">
        <f t="shared" si="39"/>
        <v>8614.375</v>
      </c>
      <c r="M45" s="293"/>
      <c r="N45" s="293"/>
      <c r="O45" s="293"/>
      <c r="P45" s="293"/>
      <c r="Q45" s="293"/>
      <c r="R45" s="293"/>
      <c r="S45" s="293"/>
      <c r="T45" s="293"/>
      <c r="U45" s="293"/>
      <c r="V45" s="293"/>
      <c r="W45" s="293"/>
      <c r="X45" s="293"/>
    </row>
    <row r="46" ht="13.5" customHeight="1">
      <c r="A46" s="306"/>
      <c r="B46" s="439" t="str">
        <f>Luxury!I26</f>
        <v>Supply and installation of Loft Frame and Shutter unit with BWP Frame, HDHMR Boilo Shutter, Smooth laminate and Soft Close hinges  </v>
      </c>
      <c r="C46" s="287">
        <v>10.5</v>
      </c>
      <c r="D46" s="287">
        <v>2.5</v>
      </c>
      <c r="E46" s="288">
        <f t="shared" si="37"/>
        <v>26.25</v>
      </c>
      <c r="F46" s="287" t="s">
        <v>683</v>
      </c>
      <c r="G46" s="289">
        <f t="shared" ref="G46:H46" si="42">C46*300</f>
        <v>3150</v>
      </c>
      <c r="H46" s="289">
        <f t="shared" si="42"/>
        <v>750</v>
      </c>
      <c r="I46" s="289" t="s">
        <v>684</v>
      </c>
      <c r="J46" s="290">
        <f>Luxury!L26</f>
        <v>1033</v>
      </c>
      <c r="K46" s="290">
        <v>1.0</v>
      </c>
      <c r="L46" s="291">
        <f t="shared" si="39"/>
        <v>27116.25</v>
      </c>
      <c r="M46" s="293"/>
      <c r="N46" s="293"/>
      <c r="O46" s="293"/>
      <c r="P46" s="293"/>
      <c r="Q46" s="293"/>
      <c r="R46" s="293"/>
      <c r="S46" s="293"/>
      <c r="T46" s="293"/>
      <c r="U46" s="293"/>
      <c r="V46" s="293"/>
      <c r="W46" s="293"/>
      <c r="X46" s="293"/>
    </row>
    <row r="47" ht="13.5" customHeight="1">
      <c r="A47" s="306"/>
      <c r="B47" s="439" t="str">
        <f>Luxury!I25</f>
        <v>Supply and installation of Open unit - Inner 1mm with BWP ply frame and Smooth finish laminate</v>
      </c>
      <c r="C47" s="287">
        <v>10.5</v>
      </c>
      <c r="D47" s="287">
        <v>7.0</v>
      </c>
      <c r="E47" s="288">
        <f t="shared" si="37"/>
        <v>73.5</v>
      </c>
      <c r="F47" s="287" t="s">
        <v>683</v>
      </c>
      <c r="G47" s="289">
        <f t="shared" ref="G47:H47" si="43">C47*300</f>
        <v>3150</v>
      </c>
      <c r="H47" s="289">
        <f t="shared" si="43"/>
        <v>2100</v>
      </c>
      <c r="I47" s="289" t="s">
        <v>684</v>
      </c>
      <c r="J47" s="290">
        <f>Luxury!L25</f>
        <v>1790</v>
      </c>
      <c r="K47" s="290">
        <v>1.0</v>
      </c>
      <c r="L47" s="291">
        <f t="shared" si="39"/>
        <v>131565</v>
      </c>
      <c r="M47" s="293"/>
      <c r="N47" s="293"/>
      <c r="O47" s="293"/>
      <c r="P47" s="293"/>
      <c r="Q47" s="293"/>
      <c r="R47" s="293"/>
      <c r="S47" s="293"/>
      <c r="T47" s="293"/>
      <c r="U47" s="293"/>
      <c r="V47" s="293"/>
      <c r="W47" s="293"/>
      <c r="X47" s="293"/>
    </row>
    <row r="48" ht="13.5" customHeight="1">
      <c r="A48" s="285"/>
      <c r="B48" s="439" t="str">
        <f>Luxury!I32</f>
        <v>Supply and installation of Wall Panel with BWP Ply Frame, Smooth Finish laminate </v>
      </c>
      <c r="C48" s="287">
        <v>2.0</v>
      </c>
      <c r="D48" s="287">
        <v>5.5</v>
      </c>
      <c r="E48" s="288">
        <f t="shared" si="37"/>
        <v>11</v>
      </c>
      <c r="F48" s="287" t="s">
        <v>683</v>
      </c>
      <c r="G48" s="289">
        <f t="shared" ref="G48:H48" si="44">C48*300</f>
        <v>600</v>
      </c>
      <c r="H48" s="289">
        <f t="shared" si="44"/>
        <v>1650</v>
      </c>
      <c r="I48" s="289" t="s">
        <v>684</v>
      </c>
      <c r="J48" s="290">
        <f>Luxury!L32</f>
        <v>1125</v>
      </c>
      <c r="K48" s="290">
        <v>1.0</v>
      </c>
      <c r="L48" s="291">
        <f t="shared" si="39"/>
        <v>12375</v>
      </c>
      <c r="M48" s="293"/>
      <c r="N48" s="293"/>
      <c r="O48" s="293"/>
      <c r="P48" s="293"/>
      <c r="Q48" s="293"/>
      <c r="R48" s="293"/>
      <c r="S48" s="293"/>
      <c r="T48" s="293"/>
      <c r="U48" s="293"/>
      <c r="V48" s="293"/>
      <c r="W48" s="293"/>
      <c r="X48" s="293"/>
    </row>
    <row r="49" ht="13.5" customHeight="1">
      <c r="A49" s="306"/>
      <c r="B49" s="507" t="s">
        <v>938</v>
      </c>
      <c r="C49" s="299"/>
      <c r="D49" s="299"/>
      <c r="E49" s="300"/>
      <c r="F49" s="299"/>
      <c r="G49" s="310"/>
      <c r="H49" s="310"/>
      <c r="I49" s="310"/>
      <c r="J49" s="302"/>
      <c r="K49" s="302"/>
      <c r="L49" s="312">
        <v>10000.0</v>
      </c>
    </row>
    <row r="50" ht="13.5" customHeight="1">
      <c r="A50" s="298"/>
      <c r="B50" s="508" t="s">
        <v>939</v>
      </c>
      <c r="C50" s="94"/>
      <c r="D50" s="94"/>
      <c r="E50" s="94"/>
      <c r="F50" s="94"/>
      <c r="G50" s="94"/>
      <c r="H50" s="94"/>
      <c r="I50" s="94"/>
      <c r="J50" s="94"/>
      <c r="K50" s="95"/>
      <c r="L50" s="314">
        <f>SUM(L8:L48)</f>
        <v>1494435.125</v>
      </c>
      <c r="N50" s="449">
        <f>L50/'GQ4'!L50</f>
        <v>0.8</v>
      </c>
    </row>
    <row r="51" ht="13.5" customHeight="1">
      <c r="A51" s="298"/>
      <c r="B51" s="313" t="s">
        <v>705</v>
      </c>
      <c r="C51" s="443"/>
      <c r="D51" s="443"/>
      <c r="E51" s="443"/>
      <c r="F51" s="443"/>
      <c r="G51" s="443"/>
      <c r="H51" s="443"/>
      <c r="I51" s="443"/>
      <c r="J51" s="443"/>
      <c r="K51" s="443"/>
      <c r="L51" s="314">
        <f>L50*18%</f>
        <v>268998.3225</v>
      </c>
    </row>
    <row r="52" ht="13.5" customHeight="1">
      <c r="A52" s="321"/>
      <c r="B52" s="509" t="s">
        <v>940</v>
      </c>
      <c r="C52" s="444"/>
      <c r="D52" s="444"/>
      <c r="E52" s="444"/>
      <c r="F52" s="444"/>
      <c r="G52" s="444"/>
      <c r="H52" s="444"/>
      <c r="I52" s="444"/>
      <c r="J52" s="444"/>
      <c r="K52" s="444"/>
      <c r="L52" s="314">
        <f>L50+L51</f>
        <v>1763433.448</v>
      </c>
    </row>
    <row r="53" ht="13.5" customHeight="1">
      <c r="A53" s="325"/>
      <c r="B53" s="325"/>
      <c r="C53" s="445"/>
      <c r="D53" s="445"/>
      <c r="E53" s="446"/>
      <c r="F53" s="446"/>
      <c r="G53" s="328"/>
      <c r="H53" s="329"/>
      <c r="I53" s="330"/>
      <c r="J53" s="446"/>
      <c r="K53" s="446"/>
      <c r="L53" s="331"/>
    </row>
    <row r="54" ht="13.5" customHeight="1">
      <c r="A54" s="325"/>
      <c r="B54" s="325"/>
      <c r="C54" s="326"/>
      <c r="D54" s="326"/>
      <c r="E54" s="327"/>
      <c r="F54" s="327"/>
      <c r="G54" s="328"/>
      <c r="H54" s="329"/>
      <c r="I54" s="330"/>
      <c r="J54" s="327"/>
      <c r="K54" s="327"/>
      <c r="L54" s="331"/>
    </row>
    <row r="55" ht="13.5" customHeight="1">
      <c r="A55" s="325"/>
      <c r="B55" s="325"/>
      <c r="C55" s="326"/>
      <c r="D55" s="326"/>
      <c r="E55" s="327"/>
      <c r="F55" s="327"/>
      <c r="G55" s="328"/>
      <c r="H55" s="329"/>
      <c r="I55" s="330"/>
      <c r="J55" s="327"/>
      <c r="K55" s="327"/>
      <c r="L55" s="331"/>
    </row>
    <row r="56" ht="13.5" customHeight="1">
      <c r="A56" s="267"/>
      <c r="B56" s="267"/>
      <c r="C56" s="433"/>
      <c r="D56" s="433"/>
      <c r="E56" s="433"/>
      <c r="F56" s="433"/>
      <c r="G56" s="267"/>
      <c r="H56" s="267"/>
      <c r="I56" s="267"/>
      <c r="J56" s="433"/>
      <c r="K56" s="433"/>
      <c r="L56" s="434"/>
    </row>
    <row r="57" ht="13.5" customHeight="1">
      <c r="A57" s="267"/>
      <c r="B57" s="267"/>
      <c r="C57" s="433"/>
      <c r="D57" s="433"/>
      <c r="E57" s="433"/>
      <c r="F57" s="433"/>
      <c r="G57" s="267"/>
      <c r="H57" s="267"/>
      <c r="I57" s="267"/>
      <c r="J57" s="433"/>
      <c r="K57" s="433"/>
      <c r="L57" s="434"/>
    </row>
    <row r="58" ht="13.5" customHeight="1">
      <c r="A58" s="267"/>
      <c r="B58" s="267"/>
      <c r="C58" s="433"/>
      <c r="D58" s="433"/>
      <c r="E58" s="433"/>
      <c r="F58" s="433"/>
      <c r="G58" s="267"/>
      <c r="H58" s="267"/>
      <c r="I58" s="267"/>
      <c r="J58" s="433"/>
      <c r="K58" s="433"/>
      <c r="L58" s="434"/>
    </row>
    <row r="59" ht="13.5" customHeight="1">
      <c r="A59" s="267"/>
      <c r="B59" s="267"/>
      <c r="C59" s="433"/>
      <c r="D59" s="433"/>
      <c r="E59" s="433"/>
      <c r="F59" s="433"/>
      <c r="G59" s="267"/>
      <c r="H59" s="267"/>
      <c r="I59" s="267"/>
      <c r="J59" s="433"/>
      <c r="K59" s="433"/>
      <c r="L59" s="434"/>
    </row>
    <row r="60" ht="13.5" customHeight="1">
      <c r="A60" s="267"/>
      <c r="B60" s="267"/>
      <c r="C60" s="433"/>
      <c r="D60" s="433"/>
      <c r="E60" s="433"/>
      <c r="F60" s="433"/>
      <c r="G60" s="267"/>
      <c r="H60" s="267"/>
      <c r="I60" s="267"/>
      <c r="J60" s="433"/>
      <c r="K60" s="433"/>
      <c r="L60" s="434"/>
    </row>
    <row r="61" ht="13.5" customHeight="1">
      <c r="A61" s="267"/>
      <c r="B61" s="267"/>
      <c r="C61" s="433"/>
      <c r="D61" s="433"/>
      <c r="E61" s="433"/>
      <c r="F61" s="433"/>
      <c r="G61" s="267"/>
      <c r="H61" s="267"/>
      <c r="I61" s="267"/>
      <c r="J61" s="433"/>
      <c r="K61" s="433"/>
      <c r="L61" s="434"/>
    </row>
    <row r="62" ht="13.5" customHeight="1">
      <c r="A62" s="267"/>
      <c r="B62" s="267"/>
      <c r="C62" s="433"/>
      <c r="D62" s="433"/>
      <c r="E62" s="433"/>
      <c r="F62" s="433"/>
      <c r="G62" s="267"/>
      <c r="H62" s="267"/>
      <c r="I62" s="267"/>
      <c r="J62" s="433"/>
      <c r="K62" s="433"/>
      <c r="L62" s="434"/>
    </row>
    <row r="63" ht="13.5" customHeight="1">
      <c r="A63" s="267"/>
      <c r="B63" s="267"/>
      <c r="C63" s="433"/>
      <c r="D63" s="433"/>
      <c r="E63" s="433"/>
      <c r="F63" s="433"/>
      <c r="G63" s="267"/>
      <c r="H63" s="267"/>
      <c r="I63" s="267"/>
      <c r="J63" s="433"/>
      <c r="K63" s="433"/>
      <c r="L63" s="434"/>
    </row>
    <row r="64" ht="13.5" customHeight="1">
      <c r="A64" s="267"/>
      <c r="B64" s="267"/>
      <c r="C64" s="433"/>
      <c r="D64" s="433"/>
      <c r="E64" s="433"/>
      <c r="F64" s="433"/>
      <c r="G64" s="267"/>
      <c r="H64" s="267"/>
      <c r="I64" s="267"/>
      <c r="J64" s="433"/>
      <c r="K64" s="433"/>
      <c r="L64" s="434"/>
    </row>
    <row r="65" ht="13.5" customHeight="1">
      <c r="A65" s="267"/>
      <c r="B65" s="267"/>
      <c r="C65" s="433"/>
      <c r="D65" s="433"/>
      <c r="E65" s="433"/>
      <c r="F65" s="433"/>
      <c r="G65" s="267"/>
      <c r="H65" s="267"/>
      <c r="I65" s="267"/>
      <c r="J65" s="433"/>
      <c r="K65" s="433"/>
      <c r="L65" s="434"/>
    </row>
    <row r="66" ht="13.5" customHeight="1">
      <c r="A66" s="267"/>
      <c r="B66" s="267"/>
      <c r="C66" s="433"/>
      <c r="D66" s="433"/>
      <c r="E66" s="433"/>
      <c r="F66" s="433"/>
      <c r="G66" s="267"/>
      <c r="H66" s="267"/>
      <c r="I66" s="267"/>
      <c r="J66" s="433"/>
      <c r="K66" s="433"/>
      <c r="L66" s="434"/>
    </row>
    <row r="67" ht="13.5" customHeight="1">
      <c r="A67" s="267"/>
      <c r="B67" s="267"/>
      <c r="C67" s="433"/>
      <c r="D67" s="433"/>
      <c r="E67" s="433"/>
      <c r="F67" s="433"/>
      <c r="G67" s="267"/>
      <c r="H67" s="267"/>
      <c r="I67" s="267"/>
      <c r="J67" s="433"/>
      <c r="K67" s="433"/>
      <c r="L67" s="434"/>
    </row>
    <row r="68" ht="13.5" customHeight="1">
      <c r="A68" s="267"/>
      <c r="B68" s="267"/>
      <c r="C68" s="433"/>
      <c r="D68" s="433"/>
      <c r="E68" s="433"/>
      <c r="F68" s="433"/>
      <c r="G68" s="267"/>
      <c r="H68" s="267"/>
      <c r="I68" s="267"/>
      <c r="J68" s="433"/>
      <c r="K68" s="433"/>
      <c r="L68" s="434"/>
    </row>
    <row r="69" ht="13.5" customHeight="1">
      <c r="A69" s="267"/>
      <c r="B69" s="267"/>
      <c r="C69" s="433"/>
      <c r="D69" s="433"/>
      <c r="E69" s="433"/>
      <c r="F69" s="433"/>
      <c r="G69" s="267"/>
      <c r="H69" s="267"/>
      <c r="I69" s="267"/>
      <c r="J69" s="433"/>
      <c r="K69" s="433"/>
      <c r="L69" s="434"/>
    </row>
    <row r="70" ht="13.5" customHeight="1">
      <c r="A70" s="267"/>
      <c r="B70" s="267"/>
      <c r="C70" s="433"/>
      <c r="D70" s="433"/>
      <c r="E70" s="433"/>
      <c r="F70" s="433"/>
      <c r="G70" s="267"/>
      <c r="H70" s="267"/>
      <c r="I70" s="267"/>
      <c r="J70" s="433"/>
      <c r="K70" s="433"/>
      <c r="L70" s="434"/>
    </row>
    <row r="71" ht="13.5" customHeight="1">
      <c r="A71" s="267"/>
      <c r="B71" s="267"/>
      <c r="C71" s="433"/>
      <c r="D71" s="433"/>
      <c r="E71" s="433"/>
      <c r="F71" s="433"/>
      <c r="G71" s="267"/>
      <c r="H71" s="267"/>
      <c r="I71" s="267"/>
      <c r="J71" s="433"/>
      <c r="K71" s="433"/>
      <c r="L71" s="434"/>
    </row>
    <row r="72" ht="13.5" customHeight="1">
      <c r="A72" s="267"/>
      <c r="B72" s="267"/>
      <c r="C72" s="433"/>
      <c r="D72" s="433"/>
      <c r="E72" s="433"/>
      <c r="F72" s="433"/>
      <c r="G72" s="267"/>
      <c r="H72" s="267"/>
      <c r="I72" s="267"/>
      <c r="J72" s="433"/>
      <c r="K72" s="433"/>
      <c r="L72" s="434"/>
    </row>
    <row r="73" ht="13.5" customHeight="1">
      <c r="A73" s="267"/>
      <c r="B73" s="267"/>
      <c r="C73" s="433"/>
      <c r="D73" s="433"/>
      <c r="E73" s="433"/>
      <c r="F73" s="433"/>
      <c r="G73" s="267"/>
      <c r="H73" s="267"/>
      <c r="I73" s="267"/>
      <c r="J73" s="433"/>
      <c r="K73" s="433"/>
      <c r="L73" s="434"/>
    </row>
    <row r="74" ht="13.5" customHeight="1">
      <c r="A74" s="267"/>
      <c r="B74" s="267"/>
      <c r="C74" s="433"/>
      <c r="D74" s="433"/>
      <c r="E74" s="433"/>
      <c r="F74" s="433"/>
      <c r="G74" s="267"/>
      <c r="H74" s="267"/>
      <c r="I74" s="267"/>
      <c r="J74" s="433"/>
      <c r="K74" s="433"/>
      <c r="L74" s="434"/>
    </row>
    <row r="75" ht="13.5" customHeight="1">
      <c r="A75" s="267"/>
      <c r="B75" s="267"/>
      <c r="C75" s="433"/>
      <c r="D75" s="433"/>
      <c r="E75" s="433"/>
      <c r="F75" s="433"/>
      <c r="G75" s="267"/>
      <c r="H75" s="267"/>
      <c r="I75" s="267"/>
      <c r="J75" s="433"/>
      <c r="K75" s="433"/>
      <c r="L75" s="434"/>
    </row>
    <row r="76" ht="13.5" customHeight="1">
      <c r="A76" s="267"/>
      <c r="B76" s="267"/>
      <c r="C76" s="433"/>
      <c r="D76" s="433"/>
      <c r="E76" s="433"/>
      <c r="F76" s="433"/>
      <c r="G76" s="267"/>
      <c r="H76" s="267"/>
      <c r="I76" s="267"/>
      <c r="J76" s="433"/>
      <c r="K76" s="433"/>
      <c r="L76" s="434"/>
    </row>
    <row r="77" ht="13.5" customHeight="1">
      <c r="A77" s="267"/>
      <c r="B77" s="267"/>
      <c r="C77" s="433"/>
      <c r="D77" s="433"/>
      <c r="E77" s="433"/>
      <c r="F77" s="433"/>
      <c r="G77" s="267"/>
      <c r="H77" s="267"/>
      <c r="I77" s="267"/>
      <c r="J77" s="433"/>
      <c r="K77" s="433"/>
      <c r="L77" s="434"/>
    </row>
    <row r="78" ht="13.5" customHeight="1">
      <c r="A78" s="267"/>
      <c r="B78" s="267"/>
      <c r="C78" s="433"/>
      <c r="D78" s="433"/>
      <c r="E78" s="433"/>
      <c r="F78" s="433"/>
      <c r="G78" s="267"/>
      <c r="H78" s="267"/>
      <c r="I78" s="267"/>
      <c r="J78" s="433"/>
      <c r="K78" s="433"/>
      <c r="L78" s="434"/>
    </row>
    <row r="79" ht="13.5" customHeight="1">
      <c r="A79" s="267"/>
      <c r="B79" s="267"/>
      <c r="C79" s="433"/>
      <c r="D79" s="433"/>
      <c r="E79" s="433"/>
      <c r="F79" s="433"/>
      <c r="G79" s="267"/>
      <c r="H79" s="267"/>
      <c r="I79" s="267"/>
      <c r="J79" s="433"/>
      <c r="K79" s="433"/>
      <c r="L79" s="434"/>
    </row>
    <row r="80" ht="13.5" customHeight="1">
      <c r="A80" s="267"/>
      <c r="B80" s="267"/>
      <c r="C80" s="433"/>
      <c r="D80" s="433"/>
      <c r="E80" s="433"/>
      <c r="F80" s="433"/>
      <c r="G80" s="267"/>
      <c r="H80" s="267"/>
      <c r="I80" s="267"/>
      <c r="J80" s="433"/>
      <c r="K80" s="433"/>
      <c r="L80" s="434"/>
    </row>
    <row r="81" ht="13.5" customHeight="1">
      <c r="A81" s="267"/>
      <c r="B81" s="267"/>
      <c r="C81" s="433"/>
      <c r="D81" s="433"/>
      <c r="E81" s="433"/>
      <c r="F81" s="433"/>
      <c r="G81" s="267"/>
      <c r="H81" s="267"/>
      <c r="I81" s="267"/>
      <c r="J81" s="433"/>
      <c r="K81" s="433"/>
      <c r="L81" s="434"/>
    </row>
    <row r="82" ht="13.5" customHeight="1">
      <c r="A82" s="267"/>
      <c r="B82" s="267"/>
      <c r="C82" s="433"/>
      <c r="D82" s="433"/>
      <c r="E82" s="433"/>
      <c r="F82" s="433"/>
      <c r="G82" s="267"/>
      <c r="H82" s="267"/>
      <c r="I82" s="267"/>
      <c r="J82" s="433"/>
      <c r="K82" s="433"/>
      <c r="L82" s="434"/>
    </row>
    <row r="83" ht="13.5" customHeight="1">
      <c r="A83" s="267"/>
      <c r="B83" s="267"/>
      <c r="C83" s="433"/>
      <c r="D83" s="433"/>
      <c r="E83" s="433"/>
      <c r="F83" s="433"/>
      <c r="G83" s="267"/>
      <c r="H83" s="267"/>
      <c r="I83" s="267"/>
      <c r="J83" s="433"/>
      <c r="K83" s="433"/>
      <c r="L83" s="434"/>
    </row>
    <row r="84" ht="13.5" customHeight="1">
      <c r="A84" s="267"/>
      <c r="B84" s="267"/>
      <c r="C84" s="433"/>
      <c r="D84" s="433"/>
      <c r="E84" s="433"/>
      <c r="F84" s="433"/>
      <c r="G84" s="267"/>
      <c r="H84" s="267"/>
      <c r="I84" s="267"/>
      <c r="J84" s="433"/>
      <c r="K84" s="433"/>
      <c r="L84" s="434"/>
    </row>
    <row r="85" ht="13.5" customHeight="1">
      <c r="A85" s="267"/>
      <c r="B85" s="267"/>
      <c r="C85" s="433"/>
      <c r="D85" s="433"/>
      <c r="E85" s="433"/>
      <c r="F85" s="433"/>
      <c r="G85" s="267"/>
      <c r="H85" s="267"/>
      <c r="I85" s="267"/>
      <c r="J85" s="433"/>
      <c r="K85" s="433"/>
      <c r="L85" s="434"/>
    </row>
    <row r="86" ht="13.5" customHeight="1">
      <c r="A86" s="267"/>
      <c r="B86" s="267"/>
      <c r="C86" s="433"/>
      <c r="D86" s="433"/>
      <c r="E86" s="433"/>
      <c r="F86" s="433"/>
      <c r="G86" s="267"/>
      <c r="H86" s="267"/>
      <c r="I86" s="267"/>
      <c r="J86" s="433"/>
      <c r="K86" s="433"/>
      <c r="L86" s="434"/>
    </row>
    <row r="87" ht="13.5" customHeight="1">
      <c r="A87" s="267"/>
      <c r="B87" s="267"/>
      <c r="C87" s="433"/>
      <c r="D87" s="433"/>
      <c r="E87" s="433"/>
      <c r="F87" s="433"/>
      <c r="G87" s="267"/>
      <c r="H87" s="267"/>
      <c r="I87" s="267"/>
      <c r="J87" s="433"/>
      <c r="K87" s="433"/>
      <c r="L87" s="434"/>
    </row>
    <row r="88" ht="13.5" customHeight="1">
      <c r="A88" s="267"/>
      <c r="B88" s="267"/>
      <c r="C88" s="433"/>
      <c r="D88" s="433"/>
      <c r="E88" s="433"/>
      <c r="F88" s="433"/>
      <c r="G88" s="267"/>
      <c r="H88" s="267"/>
      <c r="I88" s="267"/>
      <c r="J88" s="433"/>
      <c r="K88" s="433"/>
      <c r="L88" s="434"/>
    </row>
    <row r="89" ht="13.5" customHeight="1">
      <c r="A89" s="267"/>
      <c r="B89" s="267"/>
      <c r="C89" s="433"/>
      <c r="D89" s="433"/>
      <c r="E89" s="433"/>
      <c r="F89" s="433"/>
      <c r="G89" s="267"/>
      <c r="H89" s="267"/>
      <c r="I89" s="267"/>
      <c r="J89" s="433"/>
      <c r="K89" s="433"/>
      <c r="L89" s="434"/>
    </row>
    <row r="90" ht="13.5" customHeight="1">
      <c r="A90" s="267"/>
      <c r="B90" s="267"/>
      <c r="C90" s="433"/>
      <c r="D90" s="433"/>
      <c r="E90" s="433"/>
      <c r="F90" s="433"/>
      <c r="G90" s="267"/>
      <c r="H90" s="267"/>
      <c r="I90" s="267"/>
      <c r="J90" s="433"/>
      <c r="K90" s="433"/>
      <c r="L90" s="434"/>
    </row>
    <row r="91" ht="13.5" customHeight="1">
      <c r="A91" s="267"/>
      <c r="B91" s="267"/>
      <c r="C91" s="433"/>
      <c r="D91" s="433"/>
      <c r="E91" s="433"/>
      <c r="F91" s="433"/>
      <c r="G91" s="267"/>
      <c r="H91" s="267"/>
      <c r="I91" s="267"/>
      <c r="J91" s="433"/>
      <c r="K91" s="433"/>
      <c r="L91" s="434"/>
    </row>
    <row r="92" ht="13.5" customHeight="1">
      <c r="A92" s="267"/>
      <c r="B92" s="267"/>
      <c r="C92" s="433"/>
      <c r="D92" s="433"/>
      <c r="E92" s="433"/>
      <c r="F92" s="433"/>
      <c r="G92" s="267"/>
      <c r="H92" s="267"/>
      <c r="I92" s="267"/>
      <c r="J92" s="433"/>
      <c r="K92" s="433"/>
      <c r="L92" s="434"/>
    </row>
    <row r="93" ht="13.5" customHeight="1">
      <c r="A93" s="267"/>
      <c r="B93" s="267"/>
      <c r="C93" s="433"/>
      <c r="D93" s="433"/>
      <c r="E93" s="433"/>
      <c r="F93" s="433"/>
      <c r="G93" s="267"/>
      <c r="H93" s="267"/>
      <c r="I93" s="267"/>
      <c r="J93" s="433"/>
      <c r="K93" s="433"/>
      <c r="L93" s="434"/>
    </row>
    <row r="94" ht="13.5" customHeight="1">
      <c r="A94" s="267"/>
      <c r="B94" s="267"/>
      <c r="C94" s="433"/>
      <c r="D94" s="433"/>
      <c r="E94" s="433"/>
      <c r="F94" s="433"/>
      <c r="G94" s="267"/>
      <c r="H94" s="267"/>
      <c r="I94" s="267"/>
      <c r="J94" s="433"/>
      <c r="K94" s="433"/>
      <c r="L94" s="434"/>
    </row>
    <row r="95" ht="13.5" customHeight="1">
      <c r="A95" s="267"/>
      <c r="B95" s="267"/>
      <c r="C95" s="433"/>
      <c r="D95" s="433"/>
      <c r="E95" s="433"/>
      <c r="F95" s="433"/>
      <c r="G95" s="267"/>
      <c r="H95" s="267"/>
      <c r="I95" s="267"/>
      <c r="J95" s="433"/>
      <c r="K95" s="433"/>
      <c r="L95" s="434"/>
    </row>
    <row r="96" ht="13.5" customHeight="1">
      <c r="A96" s="267"/>
      <c r="B96" s="267"/>
      <c r="C96" s="433"/>
      <c r="D96" s="433"/>
      <c r="E96" s="433"/>
      <c r="F96" s="433"/>
      <c r="G96" s="267"/>
      <c r="H96" s="267"/>
      <c r="I96" s="267"/>
      <c r="J96" s="433"/>
      <c r="K96" s="433"/>
      <c r="L96" s="434"/>
    </row>
    <row r="97" ht="13.5" customHeight="1">
      <c r="A97" s="267"/>
      <c r="B97" s="267"/>
      <c r="C97" s="433"/>
      <c r="D97" s="433"/>
      <c r="E97" s="433"/>
      <c r="F97" s="433"/>
      <c r="G97" s="267"/>
      <c r="H97" s="267"/>
      <c r="I97" s="267"/>
      <c r="J97" s="433"/>
      <c r="K97" s="433"/>
      <c r="L97" s="434"/>
    </row>
    <row r="98" ht="13.5" customHeight="1">
      <c r="A98" s="267"/>
      <c r="B98" s="267"/>
      <c r="C98" s="433"/>
      <c r="D98" s="433"/>
      <c r="E98" s="433"/>
      <c r="F98" s="433"/>
      <c r="G98" s="267"/>
      <c r="H98" s="267"/>
      <c r="I98" s="267"/>
      <c r="J98" s="433"/>
      <c r="K98" s="433"/>
      <c r="L98" s="434"/>
    </row>
    <row r="99" ht="13.5" customHeight="1">
      <c r="A99" s="267"/>
      <c r="B99" s="267"/>
      <c r="C99" s="433"/>
      <c r="D99" s="433"/>
      <c r="E99" s="433"/>
      <c r="F99" s="433"/>
      <c r="G99" s="267"/>
      <c r="H99" s="267"/>
      <c r="I99" s="267"/>
      <c r="J99" s="433"/>
      <c r="K99" s="433"/>
      <c r="L99" s="434"/>
    </row>
    <row r="100" ht="13.5" customHeight="1">
      <c r="A100" s="267"/>
      <c r="B100" s="267"/>
      <c r="C100" s="433"/>
      <c r="D100" s="433"/>
      <c r="E100" s="433"/>
      <c r="F100" s="433"/>
      <c r="G100" s="267"/>
      <c r="H100" s="267"/>
      <c r="I100" s="267"/>
      <c r="J100" s="433"/>
      <c r="K100" s="433"/>
      <c r="L100" s="434"/>
    </row>
    <row r="101" ht="13.5" customHeight="1">
      <c r="A101" s="267"/>
      <c r="B101" s="267"/>
      <c r="C101" s="433"/>
      <c r="D101" s="433"/>
      <c r="E101" s="433"/>
      <c r="F101" s="433"/>
      <c r="G101" s="267"/>
      <c r="H101" s="267"/>
      <c r="I101" s="267"/>
      <c r="J101" s="433"/>
      <c r="K101" s="433"/>
      <c r="L101" s="434"/>
    </row>
    <row r="102" ht="13.5" customHeight="1">
      <c r="A102" s="267"/>
      <c r="B102" s="267"/>
      <c r="C102" s="433"/>
      <c r="D102" s="433"/>
      <c r="E102" s="433"/>
      <c r="F102" s="433"/>
      <c r="G102" s="267"/>
      <c r="H102" s="267"/>
      <c r="I102" s="267"/>
      <c r="J102" s="433"/>
      <c r="K102" s="433"/>
      <c r="L102" s="434"/>
    </row>
    <row r="103" ht="13.5" customHeight="1">
      <c r="A103" s="267"/>
      <c r="B103" s="267"/>
      <c r="C103" s="433"/>
      <c r="D103" s="433"/>
      <c r="E103" s="433"/>
      <c r="F103" s="433"/>
      <c r="G103" s="267"/>
      <c r="H103" s="267"/>
      <c r="I103" s="267"/>
      <c r="J103" s="433"/>
      <c r="K103" s="433"/>
      <c r="L103" s="434"/>
    </row>
    <row r="104" ht="13.5" customHeight="1">
      <c r="A104" s="267"/>
      <c r="B104" s="267"/>
      <c r="C104" s="433"/>
      <c r="D104" s="433"/>
      <c r="E104" s="433"/>
      <c r="F104" s="433"/>
      <c r="G104" s="267"/>
      <c r="H104" s="267"/>
      <c r="I104" s="267"/>
      <c r="J104" s="433"/>
      <c r="K104" s="433"/>
      <c r="L104" s="434"/>
    </row>
    <row r="105" ht="13.5" customHeight="1">
      <c r="A105" s="267"/>
      <c r="B105" s="267"/>
      <c r="C105" s="433"/>
      <c r="D105" s="433"/>
      <c r="E105" s="433"/>
      <c r="F105" s="433"/>
      <c r="G105" s="267"/>
      <c r="H105" s="267"/>
      <c r="I105" s="267"/>
      <c r="J105" s="433"/>
      <c r="K105" s="433"/>
      <c r="L105" s="434"/>
    </row>
    <row r="106" ht="13.5" customHeight="1">
      <c r="A106" s="267"/>
      <c r="B106" s="267"/>
      <c r="C106" s="433"/>
      <c r="D106" s="433"/>
      <c r="E106" s="433"/>
      <c r="F106" s="433"/>
      <c r="G106" s="267"/>
      <c r="H106" s="267"/>
      <c r="I106" s="267"/>
      <c r="J106" s="433"/>
      <c r="K106" s="433"/>
      <c r="L106" s="434"/>
    </row>
    <row r="107" ht="13.5" customHeight="1">
      <c r="A107" s="267"/>
      <c r="B107" s="267"/>
      <c r="C107" s="433"/>
      <c r="D107" s="433"/>
      <c r="E107" s="433"/>
      <c r="F107" s="433"/>
      <c r="G107" s="267"/>
      <c r="H107" s="267"/>
      <c r="I107" s="267"/>
      <c r="J107" s="433"/>
      <c r="K107" s="433"/>
      <c r="L107" s="434"/>
    </row>
    <row r="108" ht="13.5" customHeight="1">
      <c r="A108" s="267"/>
      <c r="B108" s="267"/>
      <c r="C108" s="433"/>
      <c r="D108" s="433"/>
      <c r="E108" s="433"/>
      <c r="F108" s="433"/>
      <c r="G108" s="267"/>
      <c r="H108" s="267"/>
      <c r="I108" s="267"/>
      <c r="J108" s="433"/>
      <c r="K108" s="433"/>
      <c r="L108" s="434"/>
    </row>
    <row r="109" ht="13.5" customHeight="1">
      <c r="A109" s="267"/>
      <c r="B109" s="267"/>
      <c r="C109" s="433"/>
      <c r="D109" s="433"/>
      <c r="E109" s="433"/>
      <c r="F109" s="433"/>
      <c r="G109" s="267"/>
      <c r="H109" s="267"/>
      <c r="I109" s="267"/>
      <c r="J109" s="433"/>
      <c r="K109" s="433"/>
      <c r="L109" s="434"/>
    </row>
    <row r="110" ht="13.5" customHeight="1">
      <c r="A110" s="267"/>
      <c r="B110" s="267"/>
      <c r="C110" s="433"/>
      <c r="D110" s="433"/>
      <c r="E110" s="433"/>
      <c r="F110" s="433"/>
      <c r="G110" s="267"/>
      <c r="H110" s="267"/>
      <c r="I110" s="267"/>
      <c r="J110" s="433"/>
      <c r="K110" s="433"/>
      <c r="L110" s="434"/>
    </row>
    <row r="111" ht="13.5" customHeight="1">
      <c r="A111" s="267"/>
      <c r="B111" s="267"/>
      <c r="C111" s="433"/>
      <c r="D111" s="433"/>
      <c r="E111" s="433"/>
      <c r="F111" s="433"/>
      <c r="G111" s="267"/>
      <c r="H111" s="267"/>
      <c r="I111" s="267"/>
      <c r="J111" s="433"/>
      <c r="K111" s="433"/>
      <c r="L111" s="434"/>
    </row>
    <row r="112" ht="13.5" customHeight="1">
      <c r="A112" s="267"/>
      <c r="B112" s="267"/>
      <c r="C112" s="433"/>
      <c r="D112" s="433"/>
      <c r="E112" s="433"/>
      <c r="F112" s="433"/>
      <c r="G112" s="267"/>
      <c r="H112" s="267"/>
      <c r="I112" s="267"/>
      <c r="J112" s="433"/>
      <c r="K112" s="433"/>
      <c r="L112" s="434"/>
    </row>
    <row r="113" ht="13.5" customHeight="1">
      <c r="A113" s="267"/>
      <c r="B113" s="267"/>
      <c r="C113" s="433"/>
      <c r="D113" s="433"/>
      <c r="E113" s="433"/>
      <c r="F113" s="433"/>
      <c r="G113" s="267"/>
      <c r="H113" s="267"/>
      <c r="I113" s="267"/>
      <c r="J113" s="433"/>
      <c r="K113" s="433"/>
      <c r="L113" s="434"/>
    </row>
    <row r="114" ht="13.5" customHeight="1">
      <c r="A114" s="267"/>
      <c r="B114" s="267"/>
      <c r="C114" s="433"/>
      <c r="D114" s="433"/>
      <c r="E114" s="433"/>
      <c r="F114" s="433"/>
      <c r="G114" s="267"/>
      <c r="H114" s="267"/>
      <c r="I114" s="267"/>
      <c r="J114" s="433"/>
      <c r="K114" s="433"/>
      <c r="L114" s="434"/>
    </row>
    <row r="115" ht="13.5" customHeight="1">
      <c r="A115" s="267"/>
      <c r="B115" s="267"/>
      <c r="C115" s="433"/>
      <c r="D115" s="433"/>
      <c r="E115" s="433"/>
      <c r="F115" s="433"/>
      <c r="G115" s="267"/>
      <c r="H115" s="267"/>
      <c r="I115" s="267"/>
      <c r="J115" s="433"/>
      <c r="K115" s="433"/>
      <c r="L115" s="434"/>
    </row>
    <row r="116" ht="13.5" customHeight="1">
      <c r="A116" s="267"/>
      <c r="B116" s="267"/>
      <c r="C116" s="433"/>
      <c r="D116" s="433"/>
      <c r="E116" s="433"/>
      <c r="F116" s="433"/>
      <c r="G116" s="267"/>
      <c r="H116" s="267"/>
      <c r="I116" s="267"/>
      <c r="J116" s="433"/>
      <c r="K116" s="433"/>
      <c r="L116" s="434"/>
    </row>
    <row r="117" ht="13.5" customHeight="1">
      <c r="A117" s="267"/>
      <c r="B117" s="267"/>
      <c r="C117" s="433"/>
      <c r="D117" s="433"/>
      <c r="E117" s="433"/>
      <c r="F117" s="433"/>
      <c r="G117" s="267"/>
      <c r="H117" s="267"/>
      <c r="I117" s="267"/>
      <c r="J117" s="433"/>
      <c r="K117" s="433"/>
      <c r="L117" s="434"/>
    </row>
    <row r="118" ht="13.5" customHeight="1">
      <c r="A118" s="267"/>
      <c r="B118" s="267"/>
      <c r="C118" s="433"/>
      <c r="D118" s="433"/>
      <c r="E118" s="433"/>
      <c r="F118" s="433"/>
      <c r="G118" s="267"/>
      <c r="H118" s="267"/>
      <c r="I118" s="267"/>
      <c r="J118" s="433"/>
      <c r="K118" s="433"/>
      <c r="L118" s="434"/>
    </row>
    <row r="119" ht="13.5" customHeight="1">
      <c r="A119" s="267"/>
      <c r="B119" s="267"/>
      <c r="C119" s="433"/>
      <c r="D119" s="433"/>
      <c r="E119" s="433"/>
      <c r="F119" s="433"/>
      <c r="G119" s="267"/>
      <c r="H119" s="267"/>
      <c r="I119" s="267"/>
      <c r="J119" s="433"/>
      <c r="K119" s="433"/>
      <c r="L119" s="434"/>
    </row>
    <row r="120" ht="13.5" customHeight="1">
      <c r="A120" s="267"/>
      <c r="B120" s="267"/>
      <c r="C120" s="433"/>
      <c r="D120" s="433"/>
      <c r="E120" s="433"/>
      <c r="F120" s="433"/>
      <c r="G120" s="267"/>
      <c r="H120" s="267"/>
      <c r="I120" s="267"/>
      <c r="J120" s="433"/>
      <c r="K120" s="433"/>
      <c r="L120" s="434"/>
    </row>
    <row r="121" ht="13.5" customHeight="1">
      <c r="A121" s="267"/>
      <c r="B121" s="267"/>
      <c r="C121" s="433"/>
      <c r="D121" s="433"/>
      <c r="E121" s="433"/>
      <c r="F121" s="433"/>
      <c r="G121" s="267"/>
      <c r="H121" s="267"/>
      <c r="I121" s="267"/>
      <c r="J121" s="433"/>
      <c r="K121" s="433"/>
      <c r="L121" s="434"/>
    </row>
    <row r="122" ht="13.5" customHeight="1">
      <c r="A122" s="267"/>
      <c r="B122" s="267"/>
      <c r="C122" s="433"/>
      <c r="D122" s="433"/>
      <c r="E122" s="433"/>
      <c r="F122" s="433"/>
      <c r="G122" s="267"/>
      <c r="H122" s="267"/>
      <c r="I122" s="267"/>
      <c r="J122" s="433"/>
      <c r="K122" s="433"/>
      <c r="L122" s="434"/>
    </row>
    <row r="123" ht="13.5" customHeight="1">
      <c r="A123" s="267"/>
      <c r="B123" s="267"/>
      <c r="C123" s="433"/>
      <c r="D123" s="433"/>
      <c r="E123" s="433"/>
      <c r="F123" s="433"/>
      <c r="G123" s="267"/>
      <c r="H123" s="267"/>
      <c r="I123" s="267"/>
      <c r="J123" s="433"/>
      <c r="K123" s="433"/>
      <c r="L123" s="434"/>
    </row>
    <row r="124" ht="13.5" customHeight="1">
      <c r="A124" s="267"/>
      <c r="B124" s="267"/>
      <c r="C124" s="433"/>
      <c r="D124" s="433"/>
      <c r="E124" s="433"/>
      <c r="F124" s="433"/>
      <c r="G124" s="267"/>
      <c r="H124" s="267"/>
      <c r="I124" s="267"/>
      <c r="J124" s="433"/>
      <c r="K124" s="433"/>
      <c r="L124" s="434"/>
    </row>
    <row r="125" ht="13.5" customHeight="1">
      <c r="A125" s="267"/>
      <c r="B125" s="267"/>
      <c r="C125" s="433"/>
      <c r="D125" s="433"/>
      <c r="E125" s="433"/>
      <c r="F125" s="433"/>
      <c r="G125" s="267"/>
      <c r="H125" s="267"/>
      <c r="I125" s="267"/>
      <c r="J125" s="433"/>
      <c r="K125" s="433"/>
      <c r="L125" s="434"/>
    </row>
    <row r="126" ht="13.5" customHeight="1">
      <c r="A126" s="267"/>
      <c r="B126" s="267"/>
      <c r="C126" s="433"/>
      <c r="D126" s="433"/>
      <c r="E126" s="433"/>
      <c r="F126" s="433"/>
      <c r="G126" s="267"/>
      <c r="H126" s="267"/>
      <c r="I126" s="267"/>
      <c r="J126" s="433"/>
      <c r="K126" s="433"/>
      <c r="L126" s="434"/>
    </row>
    <row r="127" ht="13.5" customHeight="1">
      <c r="A127" s="267"/>
      <c r="B127" s="267"/>
      <c r="C127" s="433"/>
      <c r="D127" s="433"/>
      <c r="E127" s="433"/>
      <c r="F127" s="433"/>
      <c r="G127" s="267"/>
      <c r="H127" s="267"/>
      <c r="I127" s="267"/>
      <c r="J127" s="433"/>
      <c r="K127" s="433"/>
      <c r="L127" s="434"/>
    </row>
    <row r="128" ht="13.5" customHeight="1">
      <c r="A128" s="267"/>
      <c r="B128" s="267"/>
      <c r="C128" s="433"/>
      <c r="D128" s="433"/>
      <c r="E128" s="433"/>
      <c r="F128" s="433"/>
      <c r="G128" s="267"/>
      <c r="H128" s="267"/>
      <c r="I128" s="267"/>
      <c r="J128" s="433"/>
      <c r="K128" s="433"/>
      <c r="L128" s="434"/>
    </row>
    <row r="129" ht="13.5" customHeight="1">
      <c r="A129" s="267"/>
      <c r="B129" s="267"/>
      <c r="C129" s="433"/>
      <c r="D129" s="433"/>
      <c r="E129" s="433"/>
      <c r="F129" s="433"/>
      <c r="G129" s="267"/>
      <c r="H129" s="267"/>
      <c r="I129" s="267"/>
      <c r="J129" s="433"/>
      <c r="K129" s="433"/>
      <c r="L129" s="434"/>
    </row>
    <row r="130" ht="13.5" customHeight="1">
      <c r="A130" s="267"/>
      <c r="B130" s="267"/>
      <c r="C130" s="433"/>
      <c r="D130" s="433"/>
      <c r="E130" s="433"/>
      <c r="F130" s="433"/>
      <c r="G130" s="267"/>
      <c r="H130" s="267"/>
      <c r="I130" s="267"/>
      <c r="J130" s="433"/>
      <c r="K130" s="433"/>
      <c r="L130" s="434"/>
    </row>
    <row r="131" ht="13.5" customHeight="1">
      <c r="A131" s="267"/>
      <c r="B131" s="267"/>
      <c r="C131" s="433"/>
      <c r="D131" s="433"/>
      <c r="E131" s="433"/>
      <c r="F131" s="433"/>
      <c r="G131" s="267"/>
      <c r="H131" s="267"/>
      <c r="I131" s="267"/>
      <c r="J131" s="433"/>
      <c r="K131" s="433"/>
      <c r="L131" s="434"/>
    </row>
    <row r="132" ht="13.5" customHeight="1">
      <c r="A132" s="267"/>
      <c r="B132" s="267"/>
      <c r="C132" s="433"/>
      <c r="D132" s="433"/>
      <c r="E132" s="433"/>
      <c r="F132" s="433"/>
      <c r="G132" s="267"/>
      <c r="H132" s="267"/>
      <c r="I132" s="267"/>
      <c r="J132" s="433"/>
      <c r="K132" s="433"/>
      <c r="L132" s="434"/>
    </row>
    <row r="133" ht="13.5" customHeight="1">
      <c r="A133" s="267"/>
      <c r="B133" s="267"/>
      <c r="C133" s="433"/>
      <c r="D133" s="433"/>
      <c r="E133" s="433"/>
      <c r="F133" s="433"/>
      <c r="G133" s="267"/>
      <c r="H133" s="267"/>
      <c r="I133" s="267"/>
      <c r="J133" s="433"/>
      <c r="K133" s="433"/>
      <c r="L133" s="434"/>
    </row>
    <row r="134" ht="13.5" customHeight="1">
      <c r="A134" s="267"/>
      <c r="B134" s="267"/>
      <c r="C134" s="433"/>
      <c r="D134" s="433"/>
      <c r="E134" s="433"/>
      <c r="F134" s="433"/>
      <c r="G134" s="267"/>
      <c r="H134" s="267"/>
      <c r="I134" s="267"/>
      <c r="J134" s="433"/>
      <c r="K134" s="433"/>
      <c r="L134" s="434"/>
    </row>
    <row r="135" ht="13.5" customHeight="1">
      <c r="A135" s="267"/>
      <c r="B135" s="267"/>
      <c r="C135" s="433"/>
      <c r="D135" s="433"/>
      <c r="E135" s="433"/>
      <c r="F135" s="433"/>
      <c r="G135" s="267"/>
      <c r="H135" s="267"/>
      <c r="I135" s="267"/>
      <c r="J135" s="433"/>
      <c r="K135" s="433"/>
      <c r="L135" s="434"/>
    </row>
    <row r="136" ht="13.5" customHeight="1">
      <c r="A136" s="267"/>
      <c r="B136" s="267"/>
      <c r="C136" s="433"/>
      <c r="D136" s="433"/>
      <c r="E136" s="433"/>
      <c r="F136" s="433"/>
      <c r="G136" s="267"/>
      <c r="H136" s="267"/>
      <c r="I136" s="267"/>
      <c r="J136" s="433"/>
      <c r="K136" s="433"/>
      <c r="L136" s="434"/>
    </row>
    <row r="137" ht="13.5" customHeight="1">
      <c r="A137" s="267"/>
      <c r="B137" s="267"/>
      <c r="C137" s="433"/>
      <c r="D137" s="433"/>
      <c r="E137" s="433"/>
      <c r="F137" s="433"/>
      <c r="G137" s="267"/>
      <c r="H137" s="267"/>
      <c r="I137" s="267"/>
      <c r="J137" s="433"/>
      <c r="K137" s="433"/>
      <c r="L137" s="434"/>
    </row>
    <row r="138" ht="13.5" customHeight="1">
      <c r="A138" s="267"/>
      <c r="B138" s="267"/>
      <c r="C138" s="433"/>
      <c r="D138" s="433"/>
      <c r="E138" s="433"/>
      <c r="F138" s="433"/>
      <c r="G138" s="267"/>
      <c r="H138" s="267"/>
      <c r="I138" s="267"/>
      <c r="J138" s="433"/>
      <c r="K138" s="433"/>
      <c r="L138" s="434"/>
    </row>
    <row r="139" ht="13.5" customHeight="1">
      <c r="A139" s="267"/>
      <c r="B139" s="267"/>
      <c r="C139" s="433"/>
      <c r="D139" s="433"/>
      <c r="E139" s="433"/>
      <c r="F139" s="433"/>
      <c r="G139" s="267"/>
      <c r="H139" s="267"/>
      <c r="I139" s="267"/>
      <c r="J139" s="433"/>
      <c r="K139" s="433"/>
      <c r="L139" s="434"/>
    </row>
    <row r="140" ht="13.5" customHeight="1">
      <c r="A140" s="267"/>
      <c r="B140" s="267"/>
      <c r="C140" s="433"/>
      <c r="D140" s="433"/>
      <c r="E140" s="433"/>
      <c r="F140" s="433"/>
      <c r="G140" s="267"/>
      <c r="H140" s="267"/>
      <c r="I140" s="267"/>
      <c r="J140" s="433"/>
      <c r="K140" s="433"/>
      <c r="L140" s="434"/>
    </row>
    <row r="141" ht="13.5" customHeight="1">
      <c r="A141" s="267"/>
      <c r="B141" s="267"/>
      <c r="C141" s="433"/>
      <c r="D141" s="433"/>
      <c r="E141" s="433"/>
      <c r="F141" s="433"/>
      <c r="G141" s="267"/>
      <c r="H141" s="267"/>
      <c r="I141" s="267"/>
      <c r="J141" s="433"/>
      <c r="K141" s="433"/>
      <c r="L141" s="434"/>
    </row>
    <row r="142" ht="13.5" customHeight="1">
      <c r="A142" s="267"/>
      <c r="B142" s="267"/>
      <c r="C142" s="433"/>
      <c r="D142" s="433"/>
      <c r="E142" s="433"/>
      <c r="F142" s="433"/>
      <c r="G142" s="267"/>
      <c r="H142" s="267"/>
      <c r="I142" s="267"/>
      <c r="J142" s="433"/>
      <c r="K142" s="433"/>
      <c r="L142" s="434"/>
    </row>
    <row r="143" ht="13.5" customHeight="1">
      <c r="A143" s="267"/>
      <c r="B143" s="267"/>
      <c r="C143" s="433"/>
      <c r="D143" s="433"/>
      <c r="E143" s="433"/>
      <c r="F143" s="433"/>
      <c r="G143" s="267"/>
      <c r="H143" s="267"/>
      <c r="I143" s="267"/>
      <c r="J143" s="433"/>
      <c r="K143" s="433"/>
      <c r="L143" s="434"/>
    </row>
    <row r="144" ht="13.5" customHeight="1">
      <c r="A144" s="267"/>
      <c r="B144" s="267"/>
      <c r="C144" s="433"/>
      <c r="D144" s="433"/>
      <c r="E144" s="433"/>
      <c r="F144" s="433"/>
      <c r="G144" s="267"/>
      <c r="H144" s="267"/>
      <c r="I144" s="267"/>
      <c r="J144" s="433"/>
      <c r="K144" s="433"/>
      <c r="L144" s="434"/>
    </row>
    <row r="145" ht="13.5" customHeight="1">
      <c r="A145" s="267"/>
      <c r="B145" s="267"/>
      <c r="C145" s="433"/>
      <c r="D145" s="433"/>
      <c r="E145" s="433"/>
      <c r="F145" s="433"/>
      <c r="G145" s="267"/>
      <c r="H145" s="267"/>
      <c r="I145" s="267"/>
      <c r="J145" s="433"/>
      <c r="K145" s="433"/>
      <c r="L145" s="434"/>
    </row>
    <row r="146" ht="13.5" customHeight="1">
      <c r="A146" s="267"/>
      <c r="B146" s="267"/>
      <c r="C146" s="433"/>
      <c r="D146" s="433"/>
      <c r="E146" s="433"/>
      <c r="F146" s="433"/>
      <c r="G146" s="267"/>
      <c r="H146" s="267"/>
      <c r="I146" s="267"/>
      <c r="J146" s="433"/>
      <c r="K146" s="433"/>
      <c r="L146" s="434"/>
    </row>
    <row r="147" ht="13.5" customHeight="1">
      <c r="A147" s="267"/>
      <c r="B147" s="267"/>
      <c r="C147" s="433"/>
      <c r="D147" s="433"/>
      <c r="E147" s="433"/>
      <c r="F147" s="433"/>
      <c r="G147" s="267"/>
      <c r="H147" s="267"/>
      <c r="I147" s="267"/>
      <c r="J147" s="433"/>
      <c r="K147" s="433"/>
      <c r="L147" s="434"/>
    </row>
    <row r="148" ht="13.5" customHeight="1">
      <c r="A148" s="267"/>
      <c r="B148" s="267"/>
      <c r="C148" s="433"/>
      <c r="D148" s="433"/>
      <c r="E148" s="433"/>
      <c r="F148" s="433"/>
      <c r="G148" s="267"/>
      <c r="H148" s="267"/>
      <c r="I148" s="267"/>
      <c r="J148" s="433"/>
      <c r="K148" s="433"/>
      <c r="L148" s="434"/>
    </row>
    <row r="149" ht="13.5" customHeight="1">
      <c r="A149" s="267"/>
      <c r="B149" s="267"/>
      <c r="C149" s="433"/>
      <c r="D149" s="433"/>
      <c r="E149" s="433"/>
      <c r="F149" s="433"/>
      <c r="G149" s="267"/>
      <c r="H149" s="267"/>
      <c r="I149" s="267"/>
      <c r="J149" s="433"/>
      <c r="K149" s="433"/>
      <c r="L149" s="434"/>
    </row>
    <row r="150" ht="13.5" customHeight="1">
      <c r="A150" s="267"/>
      <c r="B150" s="267"/>
      <c r="C150" s="433"/>
      <c r="D150" s="433"/>
      <c r="E150" s="433"/>
      <c r="F150" s="433"/>
      <c r="G150" s="267"/>
      <c r="H150" s="267"/>
      <c r="I150" s="267"/>
      <c r="J150" s="433"/>
      <c r="K150" s="433"/>
      <c r="L150" s="434"/>
    </row>
    <row r="151" ht="13.5" customHeight="1">
      <c r="A151" s="267"/>
      <c r="B151" s="267"/>
      <c r="C151" s="433"/>
      <c r="D151" s="433"/>
      <c r="E151" s="433"/>
      <c r="F151" s="433"/>
      <c r="G151" s="267"/>
      <c r="H151" s="267"/>
      <c r="I151" s="267"/>
      <c r="J151" s="433"/>
      <c r="K151" s="433"/>
      <c r="L151" s="434"/>
    </row>
    <row r="152" ht="13.5" customHeight="1">
      <c r="A152" s="267"/>
      <c r="B152" s="267"/>
      <c r="C152" s="433"/>
      <c r="D152" s="433"/>
      <c r="E152" s="433"/>
      <c r="F152" s="433"/>
      <c r="G152" s="267"/>
      <c r="H152" s="267"/>
      <c r="I152" s="267"/>
      <c r="J152" s="433"/>
      <c r="K152" s="433"/>
      <c r="L152" s="434"/>
    </row>
    <row r="153" ht="13.5" customHeight="1">
      <c r="A153" s="267"/>
      <c r="B153" s="267"/>
      <c r="C153" s="433"/>
      <c r="D153" s="433"/>
      <c r="E153" s="433"/>
      <c r="F153" s="433"/>
      <c r="G153" s="267"/>
      <c r="H153" s="267"/>
      <c r="I153" s="267"/>
      <c r="J153" s="433"/>
      <c r="K153" s="433"/>
      <c r="L153" s="434"/>
    </row>
    <row r="154" ht="13.5" customHeight="1">
      <c r="A154" s="267"/>
      <c r="B154" s="267"/>
      <c r="C154" s="433"/>
      <c r="D154" s="433"/>
      <c r="E154" s="433"/>
      <c r="F154" s="433"/>
      <c r="G154" s="267"/>
      <c r="H154" s="267"/>
      <c r="I154" s="267"/>
      <c r="J154" s="433"/>
      <c r="K154" s="433"/>
      <c r="L154" s="434"/>
    </row>
    <row r="155" ht="13.5" customHeight="1">
      <c r="A155" s="267"/>
      <c r="B155" s="267"/>
      <c r="C155" s="433"/>
      <c r="D155" s="433"/>
      <c r="E155" s="433"/>
      <c r="F155" s="433"/>
      <c r="G155" s="267"/>
      <c r="H155" s="267"/>
      <c r="I155" s="267"/>
      <c r="J155" s="433"/>
      <c r="K155" s="433"/>
      <c r="L155" s="434"/>
    </row>
    <row r="156" ht="13.5" customHeight="1">
      <c r="A156" s="267"/>
      <c r="B156" s="267"/>
      <c r="C156" s="433"/>
      <c r="D156" s="433"/>
      <c r="E156" s="433"/>
      <c r="F156" s="433"/>
      <c r="G156" s="267"/>
      <c r="H156" s="267"/>
      <c r="I156" s="267"/>
      <c r="J156" s="433"/>
      <c r="K156" s="433"/>
      <c r="L156" s="434"/>
    </row>
    <row r="157" ht="13.5" customHeight="1">
      <c r="A157" s="267"/>
      <c r="B157" s="267"/>
      <c r="C157" s="433"/>
      <c r="D157" s="433"/>
      <c r="E157" s="433"/>
      <c r="F157" s="433"/>
      <c r="G157" s="267"/>
      <c r="H157" s="267"/>
      <c r="I157" s="267"/>
      <c r="J157" s="433"/>
      <c r="K157" s="433"/>
      <c r="L157" s="434"/>
    </row>
    <row r="158" ht="13.5" customHeight="1">
      <c r="A158" s="267"/>
      <c r="B158" s="267"/>
      <c r="C158" s="433"/>
      <c r="D158" s="433"/>
      <c r="E158" s="433"/>
      <c r="F158" s="433"/>
      <c r="G158" s="267"/>
      <c r="H158" s="267"/>
      <c r="I158" s="267"/>
      <c r="J158" s="433"/>
      <c r="K158" s="433"/>
      <c r="L158" s="434"/>
    </row>
    <row r="159" ht="13.5" customHeight="1">
      <c r="A159" s="267"/>
      <c r="B159" s="267"/>
      <c r="C159" s="433"/>
      <c r="D159" s="433"/>
      <c r="E159" s="433"/>
      <c r="F159" s="433"/>
      <c r="G159" s="267"/>
      <c r="H159" s="267"/>
      <c r="I159" s="267"/>
      <c r="J159" s="433"/>
      <c r="K159" s="433"/>
      <c r="L159" s="434"/>
    </row>
    <row r="160" ht="13.5" customHeight="1">
      <c r="A160" s="267"/>
      <c r="B160" s="267"/>
      <c r="C160" s="433"/>
      <c r="D160" s="433"/>
      <c r="E160" s="433"/>
      <c r="F160" s="433"/>
      <c r="G160" s="267"/>
      <c r="H160" s="267"/>
      <c r="I160" s="267"/>
      <c r="J160" s="433"/>
      <c r="K160" s="433"/>
      <c r="L160" s="434"/>
    </row>
    <row r="161" ht="13.5" customHeight="1">
      <c r="A161" s="267"/>
      <c r="B161" s="267"/>
      <c r="C161" s="433"/>
      <c r="D161" s="433"/>
      <c r="E161" s="433"/>
      <c r="F161" s="433"/>
      <c r="G161" s="267"/>
      <c r="H161" s="267"/>
      <c r="I161" s="267"/>
      <c r="J161" s="433"/>
      <c r="K161" s="433"/>
      <c r="L161" s="434"/>
    </row>
    <row r="162" ht="13.5" customHeight="1">
      <c r="A162" s="267"/>
      <c r="B162" s="267"/>
      <c r="C162" s="433"/>
      <c r="D162" s="433"/>
      <c r="E162" s="433"/>
      <c r="F162" s="433"/>
      <c r="G162" s="267"/>
      <c r="H162" s="267"/>
      <c r="I162" s="267"/>
      <c r="J162" s="433"/>
      <c r="K162" s="433"/>
      <c r="L162" s="434"/>
    </row>
    <row r="163" ht="13.5" customHeight="1">
      <c r="A163" s="267"/>
      <c r="B163" s="267"/>
      <c r="C163" s="433"/>
      <c r="D163" s="433"/>
      <c r="E163" s="433"/>
      <c r="F163" s="433"/>
      <c r="G163" s="267"/>
      <c r="H163" s="267"/>
      <c r="I163" s="267"/>
      <c r="J163" s="433"/>
      <c r="K163" s="433"/>
      <c r="L163" s="434"/>
    </row>
    <row r="164" ht="13.5" customHeight="1">
      <c r="A164" s="267"/>
      <c r="B164" s="267"/>
      <c r="C164" s="433"/>
      <c r="D164" s="433"/>
      <c r="E164" s="433"/>
      <c r="F164" s="433"/>
      <c r="G164" s="267"/>
      <c r="H164" s="267"/>
      <c r="I164" s="267"/>
      <c r="J164" s="433"/>
      <c r="K164" s="433"/>
      <c r="L164" s="434"/>
    </row>
    <row r="165" ht="13.5" customHeight="1">
      <c r="A165" s="267"/>
      <c r="B165" s="267"/>
      <c r="C165" s="433"/>
      <c r="D165" s="433"/>
      <c r="E165" s="433"/>
      <c r="F165" s="433"/>
      <c r="G165" s="267"/>
      <c r="H165" s="267"/>
      <c r="I165" s="267"/>
      <c r="J165" s="433"/>
      <c r="K165" s="433"/>
      <c r="L165" s="434"/>
    </row>
    <row r="166" ht="13.5" customHeight="1">
      <c r="A166" s="267"/>
      <c r="B166" s="267"/>
      <c r="C166" s="433"/>
      <c r="D166" s="433"/>
      <c r="E166" s="433"/>
      <c r="F166" s="433"/>
      <c r="G166" s="267"/>
      <c r="H166" s="267"/>
      <c r="I166" s="267"/>
      <c r="J166" s="433"/>
      <c r="K166" s="433"/>
      <c r="L166" s="434"/>
    </row>
    <row r="167" ht="13.5" customHeight="1">
      <c r="A167" s="267"/>
      <c r="B167" s="267"/>
      <c r="C167" s="433"/>
      <c r="D167" s="433"/>
      <c r="E167" s="433"/>
      <c r="F167" s="433"/>
      <c r="G167" s="267"/>
      <c r="H167" s="267"/>
      <c r="I167" s="267"/>
      <c r="J167" s="433"/>
      <c r="K167" s="433"/>
      <c r="L167" s="434"/>
    </row>
    <row r="168" ht="13.5" customHeight="1">
      <c r="A168" s="267"/>
      <c r="B168" s="267"/>
      <c r="C168" s="433"/>
      <c r="D168" s="433"/>
      <c r="E168" s="433"/>
      <c r="F168" s="433"/>
      <c r="G168" s="267"/>
      <c r="H168" s="267"/>
      <c r="I168" s="267"/>
      <c r="J168" s="433"/>
      <c r="K168" s="433"/>
      <c r="L168" s="434"/>
    </row>
    <row r="169" ht="13.5" customHeight="1">
      <c r="A169" s="267"/>
      <c r="B169" s="267"/>
      <c r="C169" s="433"/>
      <c r="D169" s="433"/>
      <c r="E169" s="433"/>
      <c r="F169" s="433"/>
      <c r="G169" s="267"/>
      <c r="H169" s="267"/>
      <c r="I169" s="267"/>
      <c r="J169" s="433"/>
      <c r="K169" s="433"/>
      <c r="L169" s="434"/>
    </row>
    <row r="170" ht="13.5" customHeight="1">
      <c r="A170" s="267"/>
      <c r="B170" s="267"/>
      <c r="C170" s="433"/>
      <c r="D170" s="433"/>
      <c r="E170" s="433"/>
      <c r="F170" s="433"/>
      <c r="G170" s="267"/>
      <c r="H170" s="267"/>
      <c r="I170" s="267"/>
      <c r="J170" s="433"/>
      <c r="K170" s="433"/>
      <c r="L170" s="434"/>
    </row>
    <row r="171" ht="13.5" customHeight="1">
      <c r="A171" s="267"/>
      <c r="B171" s="267"/>
      <c r="C171" s="433"/>
      <c r="D171" s="433"/>
      <c r="E171" s="433"/>
      <c r="F171" s="433"/>
      <c r="G171" s="267"/>
      <c r="H171" s="267"/>
      <c r="I171" s="267"/>
      <c r="J171" s="433"/>
      <c r="K171" s="433"/>
      <c r="L171" s="434"/>
    </row>
    <row r="172" ht="13.5" customHeight="1">
      <c r="A172" s="267"/>
      <c r="B172" s="267"/>
      <c r="C172" s="433"/>
      <c r="D172" s="433"/>
      <c r="E172" s="433"/>
      <c r="F172" s="433"/>
      <c r="G172" s="267"/>
      <c r="H172" s="267"/>
      <c r="I172" s="267"/>
      <c r="J172" s="433"/>
      <c r="K172" s="433"/>
      <c r="L172" s="434"/>
    </row>
    <row r="173" ht="13.5" customHeight="1">
      <c r="A173" s="267"/>
      <c r="B173" s="267"/>
      <c r="C173" s="433"/>
      <c r="D173" s="433"/>
      <c r="E173" s="433"/>
      <c r="F173" s="433"/>
      <c r="G173" s="267"/>
      <c r="H173" s="267"/>
      <c r="I173" s="267"/>
      <c r="J173" s="433"/>
      <c r="K173" s="433"/>
      <c r="L173" s="434"/>
    </row>
    <row r="174" ht="13.5" customHeight="1">
      <c r="A174" s="267"/>
      <c r="B174" s="267"/>
      <c r="C174" s="433"/>
      <c r="D174" s="433"/>
      <c r="E174" s="433"/>
      <c r="F174" s="433"/>
      <c r="G174" s="267"/>
      <c r="H174" s="267"/>
      <c r="I174" s="267"/>
      <c r="J174" s="433"/>
      <c r="K174" s="433"/>
      <c r="L174" s="434"/>
    </row>
    <row r="175" ht="13.5" customHeight="1">
      <c r="A175" s="267"/>
      <c r="B175" s="267"/>
      <c r="C175" s="433"/>
      <c r="D175" s="433"/>
      <c r="E175" s="433"/>
      <c r="F175" s="433"/>
      <c r="G175" s="267"/>
      <c r="H175" s="267"/>
      <c r="I175" s="267"/>
      <c r="J175" s="433"/>
      <c r="K175" s="433"/>
      <c r="L175" s="434"/>
    </row>
    <row r="176" ht="13.5" customHeight="1">
      <c r="A176" s="267"/>
      <c r="B176" s="267"/>
      <c r="C176" s="433"/>
      <c r="D176" s="433"/>
      <c r="E176" s="433"/>
      <c r="F176" s="433"/>
      <c r="G176" s="267"/>
      <c r="H176" s="267"/>
      <c r="I176" s="267"/>
      <c r="J176" s="433"/>
      <c r="K176" s="433"/>
      <c r="L176" s="434"/>
    </row>
    <row r="177" ht="13.5" customHeight="1">
      <c r="A177" s="267"/>
      <c r="B177" s="267"/>
      <c r="C177" s="433"/>
      <c r="D177" s="433"/>
      <c r="E177" s="433"/>
      <c r="F177" s="433"/>
      <c r="G177" s="267"/>
      <c r="H177" s="267"/>
      <c r="I177" s="267"/>
      <c r="J177" s="433"/>
      <c r="K177" s="433"/>
      <c r="L177" s="434"/>
    </row>
    <row r="178" ht="13.5" customHeight="1">
      <c r="A178" s="267"/>
      <c r="B178" s="267"/>
      <c r="C178" s="433"/>
      <c r="D178" s="433"/>
      <c r="E178" s="433"/>
      <c r="F178" s="433"/>
      <c r="G178" s="267"/>
      <c r="H178" s="267"/>
      <c r="I178" s="267"/>
      <c r="J178" s="433"/>
      <c r="K178" s="433"/>
      <c r="L178" s="434"/>
    </row>
    <row r="179" ht="13.5" customHeight="1">
      <c r="A179" s="267"/>
      <c r="B179" s="267"/>
      <c r="C179" s="433"/>
      <c r="D179" s="433"/>
      <c r="E179" s="433"/>
      <c r="F179" s="433"/>
      <c r="G179" s="267"/>
      <c r="H179" s="267"/>
      <c r="I179" s="267"/>
      <c r="J179" s="433"/>
      <c r="K179" s="433"/>
      <c r="L179" s="434"/>
    </row>
    <row r="180" ht="13.5" customHeight="1">
      <c r="A180" s="267"/>
      <c r="B180" s="267"/>
      <c r="C180" s="433"/>
      <c r="D180" s="433"/>
      <c r="E180" s="433"/>
      <c r="F180" s="433"/>
      <c r="G180" s="267"/>
      <c r="H180" s="267"/>
      <c r="I180" s="267"/>
      <c r="J180" s="433"/>
      <c r="K180" s="433"/>
      <c r="L180" s="434"/>
    </row>
    <row r="181" ht="13.5" customHeight="1">
      <c r="A181" s="267"/>
      <c r="B181" s="267"/>
      <c r="C181" s="433"/>
      <c r="D181" s="433"/>
      <c r="E181" s="433"/>
      <c r="F181" s="433"/>
      <c r="G181" s="267"/>
      <c r="H181" s="267"/>
      <c r="I181" s="267"/>
      <c r="J181" s="433"/>
      <c r="K181" s="433"/>
      <c r="L181" s="434"/>
    </row>
    <row r="182" ht="13.5" customHeight="1">
      <c r="A182" s="267"/>
      <c r="B182" s="267"/>
      <c r="C182" s="433"/>
      <c r="D182" s="433"/>
      <c r="E182" s="433"/>
      <c r="F182" s="433"/>
      <c r="G182" s="267"/>
      <c r="H182" s="267"/>
      <c r="I182" s="267"/>
      <c r="J182" s="433"/>
      <c r="K182" s="433"/>
      <c r="L182" s="434"/>
    </row>
    <row r="183" ht="13.5" customHeight="1">
      <c r="A183" s="267"/>
      <c r="B183" s="267"/>
      <c r="C183" s="433"/>
      <c r="D183" s="433"/>
      <c r="E183" s="433"/>
      <c r="F183" s="433"/>
      <c r="G183" s="267"/>
      <c r="H183" s="267"/>
      <c r="I183" s="267"/>
      <c r="J183" s="433"/>
      <c r="K183" s="433"/>
      <c r="L183" s="434"/>
    </row>
    <row r="184" ht="13.5" customHeight="1">
      <c r="A184" s="267"/>
      <c r="B184" s="267"/>
      <c r="C184" s="433"/>
      <c r="D184" s="433"/>
      <c r="E184" s="433"/>
      <c r="F184" s="433"/>
      <c r="G184" s="267"/>
      <c r="H184" s="267"/>
      <c r="I184" s="267"/>
      <c r="J184" s="433"/>
      <c r="K184" s="433"/>
      <c r="L184" s="434"/>
    </row>
    <row r="185" ht="13.5" customHeight="1">
      <c r="A185" s="267"/>
      <c r="B185" s="267"/>
      <c r="C185" s="433"/>
      <c r="D185" s="433"/>
      <c r="E185" s="433"/>
      <c r="F185" s="433"/>
      <c r="G185" s="267"/>
      <c r="H185" s="267"/>
      <c r="I185" s="267"/>
      <c r="J185" s="433"/>
      <c r="K185" s="433"/>
      <c r="L185" s="434"/>
    </row>
    <row r="186" ht="13.5" customHeight="1">
      <c r="A186" s="267"/>
      <c r="B186" s="267"/>
      <c r="C186" s="433"/>
      <c r="D186" s="433"/>
      <c r="E186" s="433"/>
      <c r="F186" s="433"/>
      <c r="G186" s="267"/>
      <c r="H186" s="267"/>
      <c r="I186" s="267"/>
      <c r="J186" s="433"/>
      <c r="K186" s="433"/>
      <c r="L186" s="434"/>
    </row>
    <row r="187" ht="13.5" customHeight="1">
      <c r="A187" s="267"/>
      <c r="B187" s="267"/>
      <c r="C187" s="433"/>
      <c r="D187" s="433"/>
      <c r="E187" s="433"/>
      <c r="F187" s="433"/>
      <c r="G187" s="267"/>
      <c r="H187" s="267"/>
      <c r="I187" s="267"/>
      <c r="J187" s="433"/>
      <c r="K187" s="433"/>
      <c r="L187" s="434"/>
    </row>
    <row r="188" ht="13.5" customHeight="1">
      <c r="A188" s="267"/>
      <c r="B188" s="267"/>
      <c r="C188" s="433"/>
      <c r="D188" s="433"/>
      <c r="E188" s="433"/>
      <c r="F188" s="433"/>
      <c r="G188" s="267"/>
      <c r="H188" s="267"/>
      <c r="I188" s="267"/>
      <c r="J188" s="433"/>
      <c r="K188" s="433"/>
      <c r="L188" s="434"/>
    </row>
    <row r="189" ht="13.5" customHeight="1">
      <c r="A189" s="267"/>
      <c r="B189" s="267"/>
      <c r="C189" s="433"/>
      <c r="D189" s="433"/>
      <c r="E189" s="433"/>
      <c r="F189" s="433"/>
      <c r="G189" s="267"/>
      <c r="H189" s="267"/>
      <c r="I189" s="267"/>
      <c r="J189" s="433"/>
      <c r="K189" s="433"/>
      <c r="L189" s="434"/>
    </row>
    <row r="190" ht="13.5" customHeight="1">
      <c r="A190" s="267"/>
      <c r="B190" s="267"/>
      <c r="C190" s="433"/>
      <c r="D190" s="433"/>
      <c r="E190" s="433"/>
      <c r="F190" s="433"/>
      <c r="G190" s="267"/>
      <c r="H190" s="267"/>
      <c r="I190" s="267"/>
      <c r="J190" s="433"/>
      <c r="K190" s="433"/>
      <c r="L190" s="434"/>
    </row>
    <row r="191" ht="13.5" customHeight="1">
      <c r="A191" s="267"/>
      <c r="B191" s="267"/>
      <c r="C191" s="433"/>
      <c r="D191" s="433"/>
      <c r="E191" s="433"/>
      <c r="F191" s="433"/>
      <c r="G191" s="267"/>
      <c r="H191" s="267"/>
      <c r="I191" s="267"/>
      <c r="J191" s="433"/>
      <c r="K191" s="433"/>
      <c r="L191" s="434"/>
    </row>
    <row r="192" ht="13.5" customHeight="1">
      <c r="A192" s="267"/>
      <c r="B192" s="267"/>
      <c r="C192" s="433"/>
      <c r="D192" s="433"/>
      <c r="E192" s="433"/>
      <c r="F192" s="433"/>
      <c r="G192" s="267"/>
      <c r="H192" s="267"/>
      <c r="I192" s="267"/>
      <c r="J192" s="433"/>
      <c r="K192" s="433"/>
      <c r="L192" s="434"/>
    </row>
    <row r="193" ht="13.5" customHeight="1">
      <c r="A193" s="267"/>
      <c r="B193" s="267"/>
      <c r="C193" s="433"/>
      <c r="D193" s="433"/>
      <c r="E193" s="433"/>
      <c r="F193" s="433"/>
      <c r="G193" s="267"/>
      <c r="H193" s="267"/>
      <c r="I193" s="267"/>
      <c r="J193" s="433"/>
      <c r="K193" s="433"/>
      <c r="L193" s="434"/>
    </row>
    <row r="194" ht="13.5" customHeight="1">
      <c r="A194" s="267"/>
      <c r="B194" s="267"/>
      <c r="C194" s="433"/>
      <c r="D194" s="433"/>
      <c r="E194" s="433"/>
      <c r="F194" s="433"/>
      <c r="G194" s="267"/>
      <c r="H194" s="267"/>
      <c r="I194" s="267"/>
      <c r="J194" s="433"/>
      <c r="K194" s="433"/>
      <c r="L194" s="434"/>
    </row>
    <row r="195" ht="13.5" customHeight="1">
      <c r="A195" s="267"/>
      <c r="B195" s="267"/>
      <c r="C195" s="433"/>
      <c r="D195" s="433"/>
      <c r="E195" s="433"/>
      <c r="F195" s="433"/>
      <c r="G195" s="267"/>
      <c r="H195" s="267"/>
      <c r="I195" s="267"/>
      <c r="J195" s="433"/>
      <c r="K195" s="433"/>
      <c r="L195" s="434"/>
    </row>
    <row r="196" ht="13.5" customHeight="1">
      <c r="A196" s="267"/>
      <c r="B196" s="267"/>
      <c r="C196" s="433"/>
      <c r="D196" s="433"/>
      <c r="E196" s="433"/>
      <c r="F196" s="433"/>
      <c r="G196" s="267"/>
      <c r="H196" s="267"/>
      <c r="I196" s="267"/>
      <c r="J196" s="433"/>
      <c r="K196" s="433"/>
      <c r="L196" s="434"/>
    </row>
    <row r="197" ht="13.5" customHeight="1">
      <c r="A197" s="267"/>
      <c r="B197" s="267"/>
      <c r="C197" s="433"/>
      <c r="D197" s="433"/>
      <c r="E197" s="433"/>
      <c r="F197" s="433"/>
      <c r="G197" s="267"/>
      <c r="H197" s="267"/>
      <c r="I197" s="267"/>
      <c r="J197" s="433"/>
      <c r="K197" s="433"/>
      <c r="L197" s="434"/>
    </row>
    <row r="198" ht="13.5" customHeight="1">
      <c r="A198" s="267"/>
      <c r="B198" s="267"/>
      <c r="C198" s="433"/>
      <c r="D198" s="433"/>
      <c r="E198" s="433"/>
      <c r="F198" s="433"/>
      <c r="G198" s="267"/>
      <c r="H198" s="267"/>
      <c r="I198" s="267"/>
      <c r="J198" s="433"/>
      <c r="K198" s="433"/>
      <c r="L198" s="434"/>
    </row>
    <row r="199" ht="13.5" customHeight="1">
      <c r="A199" s="267"/>
      <c r="B199" s="267"/>
      <c r="C199" s="433"/>
      <c r="D199" s="433"/>
      <c r="E199" s="433"/>
      <c r="F199" s="433"/>
      <c r="G199" s="267"/>
      <c r="H199" s="267"/>
      <c r="I199" s="267"/>
      <c r="J199" s="433"/>
      <c r="K199" s="433"/>
      <c r="L199" s="434"/>
    </row>
    <row r="200" ht="13.5" customHeight="1">
      <c r="A200" s="267"/>
      <c r="B200" s="267"/>
      <c r="C200" s="433"/>
      <c r="D200" s="433"/>
      <c r="E200" s="433"/>
      <c r="F200" s="433"/>
      <c r="G200" s="267"/>
      <c r="H200" s="267"/>
      <c r="I200" s="267"/>
      <c r="J200" s="433"/>
      <c r="K200" s="433"/>
      <c r="L200" s="434"/>
    </row>
    <row r="201" ht="13.5" customHeight="1">
      <c r="A201" s="267"/>
      <c r="B201" s="267"/>
      <c r="C201" s="433"/>
      <c r="D201" s="433"/>
      <c r="E201" s="433"/>
      <c r="F201" s="433"/>
      <c r="G201" s="267"/>
      <c r="H201" s="267"/>
      <c r="I201" s="267"/>
      <c r="J201" s="433"/>
      <c r="K201" s="433"/>
      <c r="L201" s="434"/>
    </row>
    <row r="202" ht="13.5" customHeight="1">
      <c r="A202" s="267"/>
      <c r="B202" s="267"/>
      <c r="C202" s="433"/>
      <c r="D202" s="433"/>
      <c r="E202" s="433"/>
      <c r="F202" s="433"/>
      <c r="G202" s="267"/>
      <c r="H202" s="267"/>
      <c r="I202" s="267"/>
      <c r="J202" s="433"/>
      <c r="K202" s="433"/>
      <c r="L202" s="434"/>
    </row>
    <row r="203" ht="13.5" customHeight="1">
      <c r="A203" s="267"/>
      <c r="B203" s="267"/>
      <c r="C203" s="433"/>
      <c r="D203" s="433"/>
      <c r="E203" s="433"/>
      <c r="F203" s="433"/>
      <c r="G203" s="267"/>
      <c r="H203" s="267"/>
      <c r="I203" s="267"/>
      <c r="J203" s="433"/>
      <c r="K203" s="433"/>
      <c r="L203" s="434"/>
    </row>
    <row r="204" ht="13.5" customHeight="1">
      <c r="A204" s="267"/>
      <c r="B204" s="267"/>
      <c r="C204" s="433"/>
      <c r="D204" s="433"/>
      <c r="E204" s="433"/>
      <c r="F204" s="433"/>
      <c r="G204" s="267"/>
      <c r="H204" s="267"/>
      <c r="I204" s="267"/>
      <c r="J204" s="433"/>
      <c r="K204" s="433"/>
      <c r="L204" s="434"/>
    </row>
    <row r="205" ht="13.5" customHeight="1">
      <c r="A205" s="267"/>
      <c r="B205" s="267"/>
      <c r="C205" s="433"/>
      <c r="D205" s="433"/>
      <c r="E205" s="433"/>
      <c r="F205" s="433"/>
      <c r="G205" s="267"/>
      <c r="H205" s="267"/>
      <c r="I205" s="267"/>
      <c r="J205" s="433"/>
      <c r="K205" s="433"/>
      <c r="L205" s="434"/>
    </row>
    <row r="206" ht="13.5" customHeight="1">
      <c r="A206" s="267"/>
      <c r="B206" s="267"/>
      <c r="C206" s="433"/>
      <c r="D206" s="433"/>
      <c r="E206" s="433"/>
      <c r="F206" s="433"/>
      <c r="G206" s="267"/>
      <c r="H206" s="267"/>
      <c r="I206" s="267"/>
      <c r="J206" s="433"/>
      <c r="K206" s="433"/>
      <c r="L206" s="434"/>
    </row>
    <row r="207" ht="13.5" customHeight="1">
      <c r="A207" s="267"/>
      <c r="B207" s="267"/>
      <c r="C207" s="433"/>
      <c r="D207" s="433"/>
      <c r="E207" s="433"/>
      <c r="F207" s="433"/>
      <c r="G207" s="267"/>
      <c r="H207" s="267"/>
      <c r="I207" s="267"/>
      <c r="J207" s="433"/>
      <c r="K207" s="433"/>
      <c r="L207" s="434"/>
    </row>
    <row r="208" ht="13.5" customHeight="1">
      <c r="A208" s="267"/>
      <c r="B208" s="267"/>
      <c r="C208" s="433"/>
      <c r="D208" s="433"/>
      <c r="E208" s="433"/>
      <c r="F208" s="433"/>
      <c r="G208" s="267"/>
      <c r="H208" s="267"/>
      <c r="I208" s="267"/>
      <c r="J208" s="433"/>
      <c r="K208" s="433"/>
      <c r="L208" s="434"/>
    </row>
    <row r="209" ht="13.5" customHeight="1">
      <c r="A209" s="267"/>
      <c r="B209" s="267"/>
      <c r="C209" s="433"/>
      <c r="D209" s="433"/>
      <c r="E209" s="433"/>
      <c r="F209" s="433"/>
      <c r="G209" s="267"/>
      <c r="H209" s="267"/>
      <c r="I209" s="267"/>
      <c r="J209" s="433"/>
      <c r="K209" s="433"/>
      <c r="L209" s="434"/>
    </row>
    <row r="210" ht="13.5" customHeight="1">
      <c r="A210" s="267"/>
      <c r="B210" s="267"/>
      <c r="C210" s="433"/>
      <c r="D210" s="433"/>
      <c r="E210" s="433"/>
      <c r="F210" s="433"/>
      <c r="G210" s="267"/>
      <c r="H210" s="267"/>
      <c r="I210" s="267"/>
      <c r="J210" s="433"/>
      <c r="K210" s="433"/>
      <c r="L210" s="434"/>
    </row>
    <row r="211" ht="13.5" customHeight="1">
      <c r="A211" s="267"/>
      <c r="B211" s="267"/>
      <c r="C211" s="433"/>
      <c r="D211" s="433"/>
      <c r="E211" s="433"/>
      <c r="F211" s="433"/>
      <c r="G211" s="267"/>
      <c r="H211" s="267"/>
      <c r="I211" s="267"/>
      <c r="J211" s="433"/>
      <c r="K211" s="433"/>
      <c r="L211" s="434"/>
    </row>
    <row r="212" ht="13.5" customHeight="1">
      <c r="A212" s="267"/>
      <c r="B212" s="267"/>
      <c r="C212" s="433"/>
      <c r="D212" s="433"/>
      <c r="E212" s="433"/>
      <c r="F212" s="433"/>
      <c r="G212" s="267"/>
      <c r="H212" s="267"/>
      <c r="I212" s="267"/>
      <c r="J212" s="433"/>
      <c r="K212" s="433"/>
      <c r="L212" s="434"/>
    </row>
    <row r="213" ht="13.5" customHeight="1">
      <c r="A213" s="267"/>
      <c r="B213" s="267"/>
      <c r="C213" s="433"/>
      <c r="D213" s="433"/>
      <c r="E213" s="433"/>
      <c r="F213" s="433"/>
      <c r="G213" s="267"/>
      <c r="H213" s="267"/>
      <c r="I213" s="267"/>
      <c r="J213" s="433"/>
      <c r="K213" s="433"/>
      <c r="L213" s="434"/>
    </row>
    <row r="214" ht="13.5" customHeight="1">
      <c r="A214" s="267"/>
      <c r="B214" s="267"/>
      <c r="C214" s="433"/>
      <c r="D214" s="433"/>
      <c r="E214" s="433"/>
      <c r="F214" s="433"/>
      <c r="G214" s="267"/>
      <c r="H214" s="267"/>
      <c r="I214" s="267"/>
      <c r="J214" s="433"/>
      <c r="K214" s="433"/>
      <c r="L214" s="434"/>
    </row>
    <row r="215" ht="13.5" customHeight="1">
      <c r="A215" s="267"/>
      <c r="B215" s="267"/>
      <c r="C215" s="433"/>
      <c r="D215" s="433"/>
      <c r="E215" s="433"/>
      <c r="F215" s="433"/>
      <c r="G215" s="267"/>
      <c r="H215" s="267"/>
      <c r="I215" s="267"/>
      <c r="J215" s="433"/>
      <c r="K215" s="433"/>
      <c r="L215" s="434"/>
    </row>
    <row r="216" ht="13.5" customHeight="1">
      <c r="A216" s="267"/>
      <c r="B216" s="267"/>
      <c r="C216" s="433"/>
      <c r="D216" s="433"/>
      <c r="E216" s="433"/>
      <c r="F216" s="433"/>
      <c r="G216" s="267"/>
      <c r="H216" s="267"/>
      <c r="I216" s="267"/>
      <c r="J216" s="433"/>
      <c r="K216" s="433"/>
      <c r="L216" s="434"/>
    </row>
    <row r="217" ht="13.5" customHeight="1">
      <c r="A217" s="267"/>
      <c r="B217" s="267"/>
      <c r="C217" s="433"/>
      <c r="D217" s="433"/>
      <c r="E217" s="433"/>
      <c r="F217" s="433"/>
      <c r="G217" s="267"/>
      <c r="H217" s="267"/>
      <c r="I217" s="267"/>
      <c r="J217" s="433"/>
      <c r="K217" s="433"/>
      <c r="L217" s="434"/>
    </row>
    <row r="218" ht="13.5" customHeight="1">
      <c r="A218" s="267"/>
      <c r="B218" s="267"/>
      <c r="C218" s="433"/>
      <c r="D218" s="433"/>
      <c r="E218" s="433"/>
      <c r="F218" s="433"/>
      <c r="G218" s="267"/>
      <c r="H218" s="267"/>
      <c r="I218" s="267"/>
      <c r="J218" s="433"/>
      <c r="K218" s="433"/>
      <c r="L218" s="434"/>
    </row>
    <row r="219" ht="13.5" customHeight="1">
      <c r="A219" s="267"/>
      <c r="B219" s="267"/>
      <c r="C219" s="433"/>
      <c r="D219" s="433"/>
      <c r="E219" s="433"/>
      <c r="F219" s="433"/>
      <c r="G219" s="267"/>
      <c r="H219" s="267"/>
      <c r="I219" s="267"/>
      <c r="J219" s="433"/>
      <c r="K219" s="433"/>
      <c r="L219" s="434"/>
    </row>
    <row r="220" ht="13.5" customHeight="1">
      <c r="A220" s="267"/>
      <c r="B220" s="267"/>
      <c r="C220" s="433"/>
      <c r="D220" s="433"/>
      <c r="E220" s="433"/>
      <c r="F220" s="433"/>
      <c r="G220" s="267"/>
      <c r="H220" s="267"/>
      <c r="I220" s="267"/>
      <c r="J220" s="433"/>
      <c r="K220" s="433"/>
      <c r="L220" s="434"/>
    </row>
    <row r="221" ht="13.5" customHeight="1">
      <c r="A221" s="267"/>
      <c r="B221" s="267"/>
      <c r="C221" s="433"/>
      <c r="D221" s="433"/>
      <c r="E221" s="433"/>
      <c r="F221" s="433"/>
      <c r="G221" s="267"/>
      <c r="H221" s="267"/>
      <c r="I221" s="267"/>
      <c r="J221" s="433"/>
      <c r="K221" s="433"/>
      <c r="L221" s="434"/>
    </row>
    <row r="222" ht="13.5" customHeight="1">
      <c r="B222" s="447"/>
    </row>
    <row r="223" ht="13.5" customHeight="1">
      <c r="B223" s="447"/>
    </row>
    <row r="224" ht="13.5" customHeight="1">
      <c r="B224" s="447"/>
    </row>
    <row r="225" ht="13.5" customHeight="1">
      <c r="B225" s="447"/>
    </row>
    <row r="226" ht="13.5" customHeight="1">
      <c r="B226" s="447"/>
    </row>
    <row r="227" ht="13.5" customHeight="1">
      <c r="B227" s="447"/>
    </row>
    <row r="228" ht="13.5" customHeight="1">
      <c r="B228" s="447"/>
    </row>
    <row r="229" ht="13.5" customHeight="1">
      <c r="B229" s="447"/>
    </row>
    <row r="230" ht="13.5" customHeight="1">
      <c r="B230" s="447"/>
    </row>
    <row r="231" ht="13.5" customHeight="1">
      <c r="B231" s="447"/>
    </row>
    <row r="232" ht="13.5" customHeight="1">
      <c r="B232" s="447"/>
    </row>
    <row r="233" ht="13.5" customHeight="1">
      <c r="B233" s="447"/>
    </row>
    <row r="234" ht="13.5" customHeight="1">
      <c r="B234" s="447"/>
    </row>
    <row r="235" ht="13.5" customHeight="1">
      <c r="B235" s="447"/>
    </row>
    <row r="236" ht="13.5" customHeight="1">
      <c r="B236" s="447"/>
    </row>
    <row r="237" ht="13.5" customHeight="1">
      <c r="B237" s="447"/>
    </row>
    <row r="238" ht="13.5" customHeight="1">
      <c r="B238" s="447"/>
    </row>
    <row r="239" ht="13.5" customHeight="1">
      <c r="B239" s="447"/>
    </row>
    <row r="240" ht="13.5" customHeight="1">
      <c r="B240" s="447"/>
    </row>
    <row r="241" ht="13.5" customHeight="1">
      <c r="B241" s="447"/>
    </row>
    <row r="242" ht="13.5" customHeight="1">
      <c r="B242" s="447"/>
    </row>
    <row r="243" ht="13.5" customHeight="1">
      <c r="B243" s="447"/>
    </row>
    <row r="244" ht="13.5" customHeight="1">
      <c r="B244" s="447"/>
    </row>
    <row r="245" ht="13.5" customHeight="1">
      <c r="B245" s="447"/>
    </row>
    <row r="246" ht="13.5" customHeight="1">
      <c r="B246" s="447"/>
    </row>
    <row r="247" ht="13.5" customHeight="1">
      <c r="B247" s="447"/>
    </row>
    <row r="248" ht="13.5" customHeight="1">
      <c r="B248" s="447"/>
    </row>
    <row r="249" ht="13.5" customHeight="1">
      <c r="B249" s="447"/>
    </row>
    <row r="250" ht="13.5" customHeight="1">
      <c r="B250" s="447"/>
    </row>
    <row r="251" ht="13.5" customHeight="1">
      <c r="B251" s="447"/>
    </row>
    <row r="252" ht="13.5" customHeight="1">
      <c r="B252" s="447"/>
    </row>
    <row r="253" ht="13.5" customHeight="1">
      <c r="B253" s="447"/>
    </row>
    <row r="254" ht="13.5" customHeight="1">
      <c r="B254" s="447"/>
    </row>
    <row r="255" ht="13.5" customHeight="1">
      <c r="B255" s="447"/>
    </row>
    <row r="256" ht="13.5" customHeight="1">
      <c r="B256" s="447"/>
    </row>
    <row r="257" ht="13.5" customHeight="1">
      <c r="B257" s="447"/>
    </row>
    <row r="258" ht="13.5" customHeight="1">
      <c r="B258" s="447"/>
    </row>
    <row r="259" ht="13.5" customHeight="1">
      <c r="B259" s="447"/>
    </row>
    <row r="260" ht="13.5" customHeight="1">
      <c r="B260" s="447"/>
    </row>
    <row r="261" ht="13.5" customHeight="1">
      <c r="B261" s="447"/>
    </row>
    <row r="262" ht="13.5" customHeight="1">
      <c r="B262" s="447"/>
    </row>
    <row r="263" ht="13.5" customHeight="1">
      <c r="B263" s="447"/>
    </row>
    <row r="264" ht="13.5" customHeight="1">
      <c r="B264" s="447"/>
    </row>
    <row r="265" ht="13.5" customHeight="1">
      <c r="B265" s="447"/>
    </row>
    <row r="266" ht="13.5" customHeight="1">
      <c r="B266" s="447"/>
    </row>
    <row r="267" ht="13.5" customHeight="1">
      <c r="B267" s="447"/>
    </row>
    <row r="268" ht="13.5" customHeight="1">
      <c r="B268" s="447"/>
    </row>
    <row r="269" ht="13.5" customHeight="1">
      <c r="B269" s="447"/>
    </row>
    <row r="270" ht="13.5" customHeight="1">
      <c r="B270" s="447"/>
    </row>
    <row r="271" ht="13.5" customHeight="1">
      <c r="B271" s="447"/>
    </row>
    <row r="272" ht="13.5" customHeight="1">
      <c r="B272" s="447"/>
    </row>
    <row r="273" ht="13.5" customHeight="1">
      <c r="B273" s="447"/>
    </row>
    <row r="274" ht="13.5" customHeight="1">
      <c r="B274" s="447"/>
    </row>
    <row r="275" ht="13.5" customHeight="1">
      <c r="B275" s="447"/>
    </row>
    <row r="276" ht="13.5" customHeight="1">
      <c r="B276" s="447"/>
    </row>
    <row r="277" ht="13.5" customHeight="1">
      <c r="B277" s="447"/>
    </row>
    <row r="278" ht="13.5" customHeight="1">
      <c r="B278" s="447"/>
    </row>
    <row r="279" ht="13.5" customHeight="1">
      <c r="B279" s="447"/>
    </row>
    <row r="280" ht="13.5" customHeight="1">
      <c r="B280" s="447"/>
    </row>
    <row r="281" ht="13.5" customHeight="1">
      <c r="B281" s="447"/>
    </row>
    <row r="282" ht="13.5" customHeight="1">
      <c r="B282" s="447"/>
    </row>
    <row r="283" ht="13.5" customHeight="1">
      <c r="B283" s="447"/>
    </row>
    <row r="284" ht="13.5" customHeight="1">
      <c r="B284" s="447"/>
    </row>
    <row r="285" ht="13.5" customHeight="1">
      <c r="B285" s="447"/>
    </row>
    <row r="286" ht="13.5" customHeight="1">
      <c r="B286" s="447"/>
    </row>
    <row r="287" ht="13.5" customHeight="1">
      <c r="B287" s="447"/>
    </row>
    <row r="288" ht="13.5" customHeight="1">
      <c r="B288" s="447"/>
    </row>
    <row r="289" ht="13.5" customHeight="1">
      <c r="B289" s="447"/>
    </row>
    <row r="290" ht="13.5" customHeight="1">
      <c r="B290" s="447"/>
    </row>
    <row r="291" ht="13.5" customHeight="1">
      <c r="B291" s="447"/>
    </row>
    <row r="292" ht="13.5" customHeight="1">
      <c r="B292" s="447"/>
    </row>
    <row r="293" ht="13.5" customHeight="1">
      <c r="B293" s="447"/>
    </row>
    <row r="294" ht="13.5" customHeight="1">
      <c r="B294" s="447"/>
    </row>
    <row r="295" ht="13.5" customHeight="1">
      <c r="B295" s="447"/>
    </row>
    <row r="296" ht="13.5" customHeight="1">
      <c r="B296" s="447"/>
    </row>
    <row r="297" ht="13.5" customHeight="1">
      <c r="B297" s="447"/>
    </row>
    <row r="298" ht="13.5" customHeight="1">
      <c r="B298" s="447"/>
    </row>
    <row r="299" ht="13.5" customHeight="1">
      <c r="B299" s="447"/>
    </row>
    <row r="300" ht="13.5" customHeight="1">
      <c r="B300" s="447"/>
    </row>
    <row r="301" ht="13.5" customHeight="1">
      <c r="B301" s="447"/>
    </row>
    <row r="302" ht="13.5" customHeight="1">
      <c r="B302" s="447"/>
    </row>
    <row r="303" ht="13.5" customHeight="1">
      <c r="B303" s="447"/>
    </row>
    <row r="304" ht="13.5" customHeight="1">
      <c r="B304" s="447"/>
    </row>
    <row r="305" ht="13.5" customHeight="1">
      <c r="B305" s="447"/>
    </row>
    <row r="306" ht="13.5" customHeight="1">
      <c r="B306" s="447"/>
    </row>
    <row r="307" ht="13.5" customHeight="1">
      <c r="B307" s="447"/>
    </row>
    <row r="308" ht="13.5" customHeight="1">
      <c r="B308" s="447"/>
    </row>
    <row r="309" ht="13.5" customHeight="1">
      <c r="B309" s="447"/>
    </row>
    <row r="310" ht="13.5" customHeight="1">
      <c r="B310" s="447"/>
    </row>
    <row r="311" ht="13.5" customHeight="1">
      <c r="B311" s="447"/>
    </row>
    <row r="312" ht="13.5" customHeight="1">
      <c r="B312" s="447"/>
    </row>
    <row r="313" ht="13.5" customHeight="1">
      <c r="B313" s="447"/>
    </row>
    <row r="314" ht="13.5" customHeight="1">
      <c r="B314" s="447"/>
    </row>
    <row r="315" ht="13.5" customHeight="1">
      <c r="B315" s="447"/>
    </row>
    <row r="316" ht="13.5" customHeight="1">
      <c r="B316" s="447"/>
    </row>
    <row r="317" ht="13.5" customHeight="1">
      <c r="B317" s="447"/>
    </row>
    <row r="318" ht="13.5" customHeight="1">
      <c r="B318" s="447"/>
    </row>
    <row r="319" ht="13.5" customHeight="1">
      <c r="B319" s="447"/>
    </row>
    <row r="320" ht="13.5" customHeight="1">
      <c r="B320" s="447"/>
    </row>
    <row r="321" ht="13.5" customHeight="1">
      <c r="B321" s="447"/>
    </row>
    <row r="322" ht="13.5" customHeight="1">
      <c r="B322" s="447"/>
    </row>
    <row r="323" ht="13.5" customHeight="1">
      <c r="B323" s="447"/>
    </row>
    <row r="324" ht="13.5" customHeight="1">
      <c r="B324" s="447"/>
    </row>
    <row r="325" ht="13.5" customHeight="1">
      <c r="B325" s="447"/>
    </row>
    <row r="326" ht="13.5" customHeight="1">
      <c r="B326" s="447"/>
    </row>
    <row r="327" ht="13.5" customHeight="1">
      <c r="B327" s="447"/>
    </row>
    <row r="328" ht="13.5" customHeight="1">
      <c r="B328" s="447"/>
    </row>
    <row r="329" ht="13.5" customHeight="1">
      <c r="B329" s="447"/>
    </row>
    <row r="330" ht="13.5" customHeight="1">
      <c r="B330" s="447"/>
    </row>
    <row r="331" ht="13.5" customHeight="1">
      <c r="B331" s="447"/>
    </row>
    <row r="332" ht="13.5" customHeight="1">
      <c r="B332" s="447"/>
    </row>
    <row r="333" ht="13.5" customHeight="1">
      <c r="B333" s="447"/>
    </row>
    <row r="334" ht="13.5" customHeight="1">
      <c r="B334" s="447"/>
    </row>
    <row r="335" ht="13.5" customHeight="1">
      <c r="B335" s="447"/>
    </row>
    <row r="336" ht="13.5" customHeight="1">
      <c r="B336" s="447"/>
    </row>
    <row r="337" ht="13.5" customHeight="1">
      <c r="B337" s="447"/>
    </row>
    <row r="338" ht="13.5" customHeight="1">
      <c r="B338" s="447"/>
    </row>
    <row r="339" ht="13.5" customHeight="1">
      <c r="B339" s="447"/>
    </row>
    <row r="340" ht="13.5" customHeight="1">
      <c r="B340" s="447"/>
    </row>
    <row r="341" ht="13.5" customHeight="1">
      <c r="B341" s="447"/>
    </row>
    <row r="342" ht="13.5" customHeight="1">
      <c r="B342" s="447"/>
    </row>
    <row r="343" ht="13.5" customHeight="1">
      <c r="B343" s="447"/>
    </row>
    <row r="344" ht="13.5" customHeight="1">
      <c r="B344" s="447"/>
    </row>
    <row r="345" ht="13.5" customHeight="1">
      <c r="B345" s="447"/>
    </row>
    <row r="346" ht="13.5" customHeight="1">
      <c r="B346" s="447"/>
    </row>
    <row r="347" ht="13.5" customHeight="1">
      <c r="B347" s="447"/>
    </row>
    <row r="348" ht="13.5" customHeight="1">
      <c r="B348" s="447"/>
    </row>
    <row r="349" ht="13.5" customHeight="1">
      <c r="B349" s="447"/>
    </row>
    <row r="350" ht="13.5" customHeight="1">
      <c r="B350" s="447"/>
    </row>
    <row r="351" ht="13.5" customHeight="1">
      <c r="B351" s="447"/>
    </row>
    <row r="352" ht="13.5" customHeight="1">
      <c r="B352" s="447"/>
    </row>
    <row r="353" ht="13.5" customHeight="1">
      <c r="B353" s="447"/>
    </row>
    <row r="354" ht="13.5" customHeight="1">
      <c r="B354" s="447"/>
    </row>
    <row r="355" ht="13.5" customHeight="1">
      <c r="B355" s="447"/>
    </row>
    <row r="356" ht="13.5" customHeight="1">
      <c r="B356" s="447"/>
    </row>
    <row r="357" ht="13.5" customHeight="1">
      <c r="B357" s="447"/>
    </row>
    <row r="358" ht="13.5" customHeight="1">
      <c r="B358" s="447"/>
    </row>
    <row r="359" ht="13.5" customHeight="1">
      <c r="B359" s="447"/>
    </row>
    <row r="360" ht="13.5" customHeight="1">
      <c r="B360" s="447"/>
    </row>
    <row r="361" ht="13.5" customHeight="1">
      <c r="B361" s="447"/>
    </row>
    <row r="362" ht="13.5" customHeight="1">
      <c r="B362" s="447"/>
    </row>
    <row r="363" ht="13.5" customHeight="1">
      <c r="B363" s="447"/>
    </row>
    <row r="364" ht="13.5" customHeight="1">
      <c r="B364" s="447"/>
    </row>
    <row r="365" ht="13.5" customHeight="1">
      <c r="B365" s="447"/>
    </row>
    <row r="366" ht="13.5" customHeight="1">
      <c r="B366" s="447"/>
    </row>
    <row r="367" ht="13.5" customHeight="1">
      <c r="B367" s="447"/>
    </row>
    <row r="368" ht="13.5" customHeight="1">
      <c r="B368" s="447"/>
    </row>
    <row r="369" ht="13.5" customHeight="1">
      <c r="B369" s="447"/>
    </row>
    <row r="370" ht="13.5" customHeight="1">
      <c r="B370" s="447"/>
    </row>
    <row r="371" ht="13.5" customHeight="1">
      <c r="B371" s="447"/>
    </row>
    <row r="372" ht="13.5" customHeight="1">
      <c r="B372" s="447"/>
    </row>
    <row r="373" ht="13.5" customHeight="1">
      <c r="B373" s="447"/>
    </row>
    <row r="374" ht="13.5" customHeight="1">
      <c r="B374" s="447"/>
    </row>
    <row r="375" ht="13.5" customHeight="1">
      <c r="B375" s="447"/>
    </row>
    <row r="376" ht="13.5" customHeight="1">
      <c r="B376" s="447"/>
    </row>
    <row r="377" ht="13.5" customHeight="1">
      <c r="B377" s="447"/>
    </row>
    <row r="378" ht="13.5" customHeight="1">
      <c r="B378" s="447"/>
    </row>
    <row r="379" ht="13.5" customHeight="1">
      <c r="B379" s="447"/>
    </row>
    <row r="380" ht="13.5" customHeight="1">
      <c r="B380" s="447"/>
    </row>
    <row r="381" ht="13.5" customHeight="1">
      <c r="B381" s="447"/>
    </row>
    <row r="382" ht="13.5" customHeight="1">
      <c r="B382" s="447"/>
    </row>
    <row r="383" ht="13.5" customHeight="1">
      <c r="B383" s="447"/>
    </row>
    <row r="384" ht="13.5" customHeight="1">
      <c r="B384" s="447"/>
    </row>
    <row r="385" ht="13.5" customHeight="1">
      <c r="B385" s="447"/>
    </row>
    <row r="386" ht="13.5" customHeight="1">
      <c r="B386" s="447"/>
    </row>
    <row r="387" ht="13.5" customHeight="1">
      <c r="B387" s="447"/>
    </row>
    <row r="388" ht="13.5" customHeight="1">
      <c r="B388" s="447"/>
    </row>
    <row r="389" ht="13.5" customHeight="1">
      <c r="B389" s="447"/>
    </row>
    <row r="390" ht="13.5" customHeight="1">
      <c r="B390" s="447"/>
    </row>
    <row r="391" ht="13.5" customHeight="1">
      <c r="B391" s="447"/>
    </row>
    <row r="392" ht="13.5" customHeight="1">
      <c r="B392" s="447"/>
    </row>
    <row r="393" ht="13.5" customHeight="1">
      <c r="B393" s="447"/>
    </row>
    <row r="394" ht="13.5" customHeight="1">
      <c r="B394" s="447"/>
    </row>
    <row r="395" ht="13.5" customHeight="1">
      <c r="B395" s="447"/>
    </row>
    <row r="396" ht="13.5" customHeight="1">
      <c r="B396" s="447"/>
    </row>
    <row r="397" ht="13.5" customHeight="1">
      <c r="B397" s="447"/>
    </row>
    <row r="398" ht="13.5" customHeight="1">
      <c r="B398" s="447"/>
    </row>
    <row r="399" ht="13.5" customHeight="1">
      <c r="B399" s="447"/>
    </row>
    <row r="400" ht="13.5" customHeight="1">
      <c r="B400" s="447"/>
    </row>
    <row r="401" ht="13.5" customHeight="1">
      <c r="B401" s="447"/>
    </row>
    <row r="402" ht="13.5" customHeight="1">
      <c r="B402" s="447"/>
    </row>
    <row r="403" ht="13.5" customHeight="1">
      <c r="B403" s="447"/>
    </row>
    <row r="404" ht="13.5" customHeight="1">
      <c r="B404" s="447"/>
    </row>
    <row r="405" ht="13.5" customHeight="1">
      <c r="B405" s="447"/>
    </row>
    <row r="406" ht="13.5" customHeight="1">
      <c r="B406" s="447"/>
    </row>
    <row r="407" ht="13.5" customHeight="1">
      <c r="B407" s="447"/>
    </row>
    <row r="408" ht="13.5" customHeight="1">
      <c r="B408" s="447"/>
    </row>
    <row r="409" ht="13.5" customHeight="1">
      <c r="B409" s="447"/>
    </row>
    <row r="410" ht="13.5" customHeight="1">
      <c r="B410" s="447"/>
    </row>
    <row r="411" ht="13.5" customHeight="1">
      <c r="B411" s="447"/>
    </row>
    <row r="412" ht="13.5" customHeight="1">
      <c r="B412" s="447"/>
    </row>
    <row r="413" ht="13.5" customHeight="1">
      <c r="B413" s="447"/>
    </row>
    <row r="414" ht="13.5" customHeight="1">
      <c r="B414" s="447"/>
    </row>
    <row r="415" ht="13.5" customHeight="1">
      <c r="B415" s="447"/>
    </row>
    <row r="416" ht="13.5" customHeight="1">
      <c r="B416" s="447"/>
    </row>
    <row r="417" ht="13.5" customHeight="1">
      <c r="B417" s="447"/>
    </row>
    <row r="418" ht="13.5" customHeight="1">
      <c r="B418" s="447"/>
    </row>
    <row r="419" ht="13.5" customHeight="1">
      <c r="B419" s="447"/>
    </row>
    <row r="420" ht="13.5" customHeight="1">
      <c r="B420" s="447"/>
    </row>
    <row r="421" ht="13.5" customHeight="1">
      <c r="B421" s="447"/>
    </row>
    <row r="422" ht="13.5" customHeight="1">
      <c r="B422" s="447"/>
    </row>
    <row r="423" ht="13.5" customHeight="1">
      <c r="B423" s="447"/>
    </row>
    <row r="424" ht="13.5" customHeight="1">
      <c r="B424" s="447"/>
    </row>
    <row r="425" ht="13.5" customHeight="1">
      <c r="B425" s="447"/>
    </row>
    <row r="426" ht="13.5" customHeight="1">
      <c r="B426" s="447"/>
    </row>
    <row r="427" ht="13.5" customHeight="1">
      <c r="B427" s="447"/>
    </row>
    <row r="428" ht="13.5" customHeight="1">
      <c r="B428" s="447"/>
    </row>
    <row r="429" ht="13.5" customHeight="1">
      <c r="B429" s="447"/>
    </row>
    <row r="430" ht="13.5" customHeight="1">
      <c r="B430" s="447"/>
    </row>
    <row r="431" ht="13.5" customHeight="1">
      <c r="B431" s="447"/>
    </row>
    <row r="432" ht="13.5" customHeight="1">
      <c r="B432" s="447"/>
    </row>
    <row r="433" ht="13.5" customHeight="1">
      <c r="B433" s="447"/>
    </row>
    <row r="434" ht="13.5" customHeight="1">
      <c r="B434" s="447"/>
    </row>
    <row r="435" ht="13.5" customHeight="1">
      <c r="B435" s="447"/>
    </row>
    <row r="436" ht="13.5" customHeight="1">
      <c r="B436" s="447"/>
    </row>
    <row r="437" ht="13.5" customHeight="1">
      <c r="B437" s="447"/>
    </row>
    <row r="438" ht="13.5" customHeight="1">
      <c r="B438" s="447"/>
    </row>
    <row r="439" ht="13.5" customHeight="1">
      <c r="B439" s="447"/>
    </row>
    <row r="440" ht="13.5" customHeight="1">
      <c r="B440" s="447"/>
    </row>
    <row r="441" ht="13.5" customHeight="1">
      <c r="B441" s="447"/>
    </row>
    <row r="442" ht="13.5" customHeight="1">
      <c r="B442" s="447"/>
    </row>
    <row r="443" ht="13.5" customHeight="1">
      <c r="B443" s="447"/>
    </row>
    <row r="444" ht="13.5" customHeight="1">
      <c r="B444" s="447"/>
    </row>
    <row r="445" ht="13.5" customHeight="1">
      <c r="B445" s="447"/>
    </row>
    <row r="446" ht="13.5" customHeight="1">
      <c r="B446" s="447"/>
    </row>
    <row r="447" ht="13.5" customHeight="1">
      <c r="B447" s="447"/>
    </row>
    <row r="448" ht="13.5" customHeight="1">
      <c r="B448" s="447"/>
    </row>
    <row r="449" ht="13.5" customHeight="1">
      <c r="B449" s="447"/>
    </row>
    <row r="450" ht="13.5" customHeight="1">
      <c r="B450" s="447"/>
    </row>
    <row r="451" ht="13.5" customHeight="1">
      <c r="B451" s="447"/>
    </row>
    <row r="452" ht="13.5" customHeight="1">
      <c r="B452" s="447"/>
    </row>
    <row r="453" ht="13.5" customHeight="1">
      <c r="B453" s="447"/>
    </row>
    <row r="454" ht="13.5" customHeight="1">
      <c r="B454" s="447"/>
    </row>
    <row r="455" ht="13.5" customHeight="1">
      <c r="B455" s="447"/>
    </row>
    <row r="456" ht="13.5" customHeight="1">
      <c r="B456" s="447"/>
    </row>
    <row r="457" ht="13.5" customHeight="1">
      <c r="B457" s="447"/>
    </row>
    <row r="458" ht="13.5" customHeight="1">
      <c r="B458" s="447"/>
    </row>
    <row r="459" ht="13.5" customHeight="1">
      <c r="B459" s="447"/>
    </row>
    <row r="460" ht="13.5" customHeight="1">
      <c r="B460" s="447"/>
    </row>
    <row r="461" ht="13.5" customHeight="1">
      <c r="B461" s="447"/>
    </row>
    <row r="462" ht="13.5" customHeight="1">
      <c r="B462" s="447"/>
    </row>
    <row r="463" ht="13.5" customHeight="1">
      <c r="B463" s="447"/>
    </row>
    <row r="464" ht="13.5" customHeight="1">
      <c r="B464" s="447"/>
    </row>
    <row r="465" ht="13.5" customHeight="1">
      <c r="B465" s="447"/>
    </row>
    <row r="466" ht="13.5" customHeight="1">
      <c r="B466" s="447"/>
    </row>
    <row r="467" ht="13.5" customHeight="1">
      <c r="B467" s="447"/>
    </row>
    <row r="468" ht="13.5" customHeight="1">
      <c r="B468" s="447"/>
    </row>
    <row r="469" ht="13.5" customHeight="1">
      <c r="B469" s="447"/>
    </row>
    <row r="470" ht="13.5" customHeight="1">
      <c r="B470" s="447"/>
    </row>
    <row r="471" ht="13.5" customHeight="1">
      <c r="B471" s="447"/>
    </row>
    <row r="472" ht="13.5" customHeight="1">
      <c r="B472" s="447"/>
    </row>
    <row r="473" ht="13.5" customHeight="1">
      <c r="B473" s="447"/>
    </row>
    <row r="474" ht="13.5" customHeight="1">
      <c r="B474" s="447"/>
    </row>
    <row r="475" ht="13.5" customHeight="1">
      <c r="B475" s="447"/>
    </row>
    <row r="476" ht="13.5" customHeight="1">
      <c r="B476" s="447"/>
    </row>
    <row r="477" ht="13.5" customHeight="1">
      <c r="B477" s="447"/>
    </row>
    <row r="478" ht="13.5" customHeight="1">
      <c r="B478" s="447"/>
    </row>
    <row r="479" ht="13.5" customHeight="1">
      <c r="B479" s="447"/>
    </row>
    <row r="480" ht="13.5" customHeight="1">
      <c r="B480" s="447"/>
    </row>
    <row r="481" ht="13.5" customHeight="1">
      <c r="B481" s="447"/>
    </row>
    <row r="482" ht="13.5" customHeight="1">
      <c r="B482" s="447"/>
    </row>
    <row r="483" ht="13.5" customHeight="1">
      <c r="B483" s="447"/>
    </row>
    <row r="484" ht="13.5" customHeight="1">
      <c r="B484" s="447"/>
    </row>
    <row r="485" ht="13.5" customHeight="1">
      <c r="B485" s="447"/>
    </row>
    <row r="486" ht="13.5" customHeight="1">
      <c r="B486" s="447"/>
    </row>
    <row r="487" ht="13.5" customHeight="1">
      <c r="B487" s="447"/>
    </row>
    <row r="488" ht="13.5" customHeight="1">
      <c r="B488" s="447"/>
    </row>
    <row r="489" ht="13.5" customHeight="1">
      <c r="B489" s="447"/>
    </row>
    <row r="490" ht="13.5" customHeight="1">
      <c r="B490" s="447"/>
    </row>
    <row r="491" ht="13.5" customHeight="1">
      <c r="B491" s="447"/>
    </row>
    <row r="492" ht="13.5" customHeight="1">
      <c r="B492" s="447"/>
    </row>
    <row r="493" ht="13.5" customHeight="1">
      <c r="B493" s="447"/>
    </row>
    <row r="494" ht="13.5" customHeight="1">
      <c r="B494" s="447"/>
    </row>
    <row r="495" ht="13.5" customHeight="1">
      <c r="B495" s="447"/>
    </row>
    <row r="496" ht="13.5" customHeight="1">
      <c r="B496" s="447"/>
    </row>
    <row r="497" ht="13.5" customHeight="1">
      <c r="B497" s="447"/>
    </row>
    <row r="498" ht="13.5" customHeight="1">
      <c r="B498" s="447"/>
    </row>
    <row r="499" ht="13.5" customHeight="1">
      <c r="B499" s="447"/>
    </row>
    <row r="500" ht="13.5" customHeight="1">
      <c r="B500" s="447"/>
    </row>
    <row r="501" ht="13.5" customHeight="1">
      <c r="B501" s="447"/>
    </row>
    <row r="502" ht="13.5" customHeight="1">
      <c r="B502" s="447"/>
    </row>
    <row r="503" ht="13.5" customHeight="1">
      <c r="B503" s="447"/>
    </row>
    <row r="504" ht="13.5" customHeight="1">
      <c r="B504" s="447"/>
    </row>
    <row r="505" ht="13.5" customHeight="1">
      <c r="B505" s="447"/>
    </row>
    <row r="506" ht="13.5" customHeight="1">
      <c r="B506" s="447"/>
    </row>
    <row r="507" ht="13.5" customHeight="1">
      <c r="B507" s="447"/>
    </row>
    <row r="508" ht="13.5" customHeight="1">
      <c r="B508" s="447"/>
    </row>
    <row r="509" ht="13.5" customHeight="1">
      <c r="B509" s="447"/>
    </row>
    <row r="510" ht="13.5" customHeight="1">
      <c r="B510" s="447"/>
    </row>
    <row r="511" ht="13.5" customHeight="1">
      <c r="B511" s="447"/>
    </row>
    <row r="512" ht="13.5" customHeight="1">
      <c r="B512" s="447"/>
    </row>
    <row r="513" ht="13.5" customHeight="1">
      <c r="B513" s="447"/>
    </row>
    <row r="514" ht="13.5" customHeight="1">
      <c r="B514" s="447"/>
    </row>
    <row r="515" ht="13.5" customHeight="1">
      <c r="B515" s="447"/>
    </row>
    <row r="516" ht="13.5" customHeight="1">
      <c r="B516" s="447"/>
    </row>
    <row r="517" ht="13.5" customHeight="1">
      <c r="B517" s="447"/>
    </row>
    <row r="518" ht="13.5" customHeight="1">
      <c r="B518" s="447"/>
    </row>
    <row r="519" ht="13.5" customHeight="1">
      <c r="B519" s="447"/>
    </row>
    <row r="520" ht="13.5" customHeight="1">
      <c r="B520" s="447"/>
    </row>
    <row r="521" ht="13.5" customHeight="1">
      <c r="B521" s="447"/>
    </row>
    <row r="522" ht="13.5" customHeight="1">
      <c r="B522" s="447"/>
    </row>
    <row r="523" ht="13.5" customHeight="1">
      <c r="B523" s="447"/>
    </row>
    <row r="524" ht="13.5" customHeight="1">
      <c r="B524" s="447"/>
    </row>
    <row r="525" ht="13.5" customHeight="1">
      <c r="B525" s="447"/>
    </row>
    <row r="526" ht="13.5" customHeight="1">
      <c r="B526" s="447"/>
    </row>
    <row r="527" ht="13.5" customHeight="1">
      <c r="B527" s="447"/>
    </row>
    <row r="528" ht="13.5" customHeight="1">
      <c r="B528" s="447"/>
    </row>
    <row r="529" ht="13.5" customHeight="1">
      <c r="B529" s="447"/>
    </row>
    <row r="530" ht="13.5" customHeight="1">
      <c r="B530" s="447"/>
    </row>
    <row r="531" ht="13.5" customHeight="1">
      <c r="B531" s="447"/>
    </row>
    <row r="532" ht="13.5" customHeight="1">
      <c r="B532" s="447"/>
    </row>
    <row r="533" ht="13.5" customHeight="1">
      <c r="B533" s="447"/>
    </row>
    <row r="534" ht="13.5" customHeight="1">
      <c r="B534" s="447"/>
    </row>
    <row r="535" ht="13.5" customHeight="1">
      <c r="B535" s="447"/>
    </row>
    <row r="536" ht="13.5" customHeight="1">
      <c r="B536" s="447"/>
    </row>
    <row r="537" ht="13.5" customHeight="1">
      <c r="B537" s="447"/>
    </row>
    <row r="538" ht="13.5" customHeight="1">
      <c r="B538" s="447"/>
    </row>
    <row r="539" ht="13.5" customHeight="1">
      <c r="B539" s="447"/>
    </row>
    <row r="540" ht="13.5" customHeight="1">
      <c r="B540" s="447"/>
    </row>
    <row r="541" ht="13.5" customHeight="1">
      <c r="B541" s="447"/>
    </row>
    <row r="542" ht="13.5" customHeight="1">
      <c r="B542" s="447"/>
    </row>
    <row r="543" ht="13.5" customHeight="1">
      <c r="B543" s="447"/>
    </row>
    <row r="544" ht="13.5" customHeight="1">
      <c r="B544" s="447"/>
    </row>
    <row r="545" ht="13.5" customHeight="1">
      <c r="B545" s="447"/>
    </row>
    <row r="546" ht="13.5" customHeight="1">
      <c r="B546" s="447"/>
    </row>
    <row r="547" ht="13.5" customHeight="1">
      <c r="B547" s="447"/>
    </row>
    <row r="548" ht="13.5" customHeight="1">
      <c r="B548" s="447"/>
    </row>
    <row r="549" ht="13.5" customHeight="1">
      <c r="B549" s="447"/>
    </row>
    <row r="550" ht="13.5" customHeight="1">
      <c r="B550" s="447"/>
    </row>
    <row r="551" ht="13.5" customHeight="1">
      <c r="B551" s="447"/>
    </row>
    <row r="552" ht="13.5" customHeight="1">
      <c r="B552" s="447"/>
    </row>
    <row r="553" ht="13.5" customHeight="1">
      <c r="B553" s="447"/>
    </row>
    <row r="554" ht="13.5" customHeight="1">
      <c r="B554" s="447"/>
    </row>
    <row r="555" ht="13.5" customHeight="1">
      <c r="B555" s="447"/>
    </row>
    <row r="556" ht="13.5" customHeight="1">
      <c r="B556" s="447"/>
    </row>
    <row r="557" ht="13.5" customHeight="1">
      <c r="B557" s="447"/>
    </row>
    <row r="558" ht="13.5" customHeight="1">
      <c r="B558" s="447"/>
    </row>
    <row r="559" ht="13.5" customHeight="1">
      <c r="B559" s="447"/>
    </row>
    <row r="560" ht="13.5" customHeight="1">
      <c r="B560" s="447"/>
    </row>
    <row r="561" ht="13.5" customHeight="1">
      <c r="B561" s="447"/>
    </row>
    <row r="562" ht="13.5" customHeight="1">
      <c r="B562" s="447"/>
    </row>
    <row r="563" ht="13.5" customHeight="1">
      <c r="B563" s="447"/>
    </row>
    <row r="564" ht="13.5" customHeight="1">
      <c r="B564" s="447"/>
    </row>
    <row r="565" ht="13.5" customHeight="1">
      <c r="B565" s="447"/>
    </row>
    <row r="566" ht="13.5" customHeight="1">
      <c r="B566" s="447"/>
    </row>
    <row r="567" ht="13.5" customHeight="1">
      <c r="B567" s="447"/>
    </row>
    <row r="568" ht="13.5" customHeight="1">
      <c r="B568" s="447"/>
    </row>
    <row r="569" ht="13.5" customHeight="1">
      <c r="B569" s="447"/>
    </row>
    <row r="570" ht="13.5" customHeight="1">
      <c r="B570" s="447"/>
    </row>
    <row r="571" ht="13.5" customHeight="1">
      <c r="B571" s="447"/>
    </row>
    <row r="572" ht="13.5" customHeight="1">
      <c r="B572" s="447"/>
    </row>
    <row r="573" ht="13.5" customHeight="1">
      <c r="B573" s="447"/>
    </row>
    <row r="574" ht="13.5" customHeight="1">
      <c r="B574" s="447"/>
    </row>
    <row r="575" ht="13.5" customHeight="1">
      <c r="B575" s="447"/>
    </row>
    <row r="576" ht="13.5" customHeight="1">
      <c r="B576" s="447"/>
    </row>
    <row r="577" ht="13.5" customHeight="1">
      <c r="B577" s="447"/>
    </row>
    <row r="578" ht="13.5" customHeight="1">
      <c r="B578" s="447"/>
    </row>
    <row r="579" ht="13.5" customHeight="1">
      <c r="B579" s="447"/>
    </row>
    <row r="580" ht="13.5" customHeight="1">
      <c r="B580" s="447"/>
    </row>
    <row r="581" ht="13.5" customHeight="1">
      <c r="B581" s="447"/>
    </row>
    <row r="582" ht="13.5" customHeight="1">
      <c r="B582" s="447"/>
    </row>
    <row r="583" ht="13.5" customHeight="1">
      <c r="B583" s="447"/>
    </row>
    <row r="584" ht="13.5" customHeight="1">
      <c r="B584" s="447"/>
    </row>
    <row r="585" ht="13.5" customHeight="1">
      <c r="B585" s="447"/>
    </row>
    <row r="586" ht="13.5" customHeight="1">
      <c r="B586" s="447"/>
    </row>
    <row r="587" ht="13.5" customHeight="1">
      <c r="B587" s="447"/>
    </row>
    <row r="588" ht="13.5" customHeight="1">
      <c r="B588" s="447"/>
    </row>
    <row r="589" ht="13.5" customHeight="1">
      <c r="B589" s="447"/>
    </row>
    <row r="590" ht="13.5" customHeight="1">
      <c r="B590" s="447"/>
    </row>
    <row r="591" ht="13.5" customHeight="1">
      <c r="B591" s="447"/>
    </row>
    <row r="592" ht="13.5" customHeight="1">
      <c r="B592" s="447"/>
    </row>
    <row r="593" ht="13.5" customHeight="1">
      <c r="B593" s="447"/>
    </row>
    <row r="594" ht="13.5" customHeight="1">
      <c r="B594" s="447"/>
    </row>
    <row r="595" ht="13.5" customHeight="1">
      <c r="B595" s="447"/>
    </row>
    <row r="596" ht="13.5" customHeight="1">
      <c r="B596" s="447"/>
    </row>
    <row r="597" ht="13.5" customHeight="1">
      <c r="B597" s="447"/>
    </row>
    <row r="598" ht="13.5" customHeight="1">
      <c r="B598" s="447"/>
    </row>
    <row r="599" ht="13.5" customHeight="1">
      <c r="B599" s="447"/>
    </row>
    <row r="600" ht="13.5" customHeight="1">
      <c r="B600" s="447"/>
    </row>
    <row r="601" ht="13.5" customHeight="1">
      <c r="B601" s="447"/>
    </row>
    <row r="602" ht="13.5" customHeight="1">
      <c r="B602" s="447"/>
    </row>
    <row r="603" ht="13.5" customHeight="1">
      <c r="B603" s="447"/>
    </row>
    <row r="604" ht="13.5" customHeight="1">
      <c r="B604" s="447"/>
    </row>
    <row r="605" ht="13.5" customHeight="1">
      <c r="B605" s="447"/>
    </row>
    <row r="606" ht="13.5" customHeight="1">
      <c r="B606" s="447"/>
    </row>
    <row r="607" ht="13.5" customHeight="1">
      <c r="B607" s="447"/>
    </row>
    <row r="608" ht="13.5" customHeight="1">
      <c r="B608" s="447"/>
    </row>
    <row r="609" ht="13.5" customHeight="1">
      <c r="B609" s="447"/>
    </row>
    <row r="610" ht="13.5" customHeight="1">
      <c r="B610" s="447"/>
    </row>
    <row r="611" ht="13.5" customHeight="1">
      <c r="B611" s="447"/>
    </row>
    <row r="612" ht="13.5" customHeight="1">
      <c r="B612" s="447"/>
    </row>
    <row r="613" ht="13.5" customHeight="1">
      <c r="B613" s="447"/>
    </row>
    <row r="614" ht="13.5" customHeight="1">
      <c r="B614" s="447"/>
    </row>
    <row r="615" ht="13.5" customHeight="1">
      <c r="B615" s="447"/>
    </row>
    <row r="616" ht="13.5" customHeight="1">
      <c r="B616" s="447"/>
    </row>
    <row r="617" ht="13.5" customHeight="1">
      <c r="B617" s="447"/>
    </row>
    <row r="618" ht="13.5" customHeight="1">
      <c r="B618" s="447"/>
    </row>
    <row r="619" ht="13.5" customHeight="1">
      <c r="B619" s="447"/>
    </row>
    <row r="620" ht="13.5" customHeight="1">
      <c r="B620" s="447"/>
    </row>
    <row r="621" ht="13.5" customHeight="1">
      <c r="B621" s="447"/>
    </row>
    <row r="622" ht="13.5" customHeight="1">
      <c r="B622" s="447"/>
    </row>
    <row r="623" ht="13.5" customHeight="1">
      <c r="B623" s="447"/>
    </row>
    <row r="624" ht="13.5" customHeight="1">
      <c r="B624" s="447"/>
    </row>
    <row r="625" ht="13.5" customHeight="1">
      <c r="B625" s="447"/>
    </row>
    <row r="626" ht="13.5" customHeight="1">
      <c r="B626" s="447"/>
    </row>
    <row r="627" ht="13.5" customHeight="1">
      <c r="B627" s="447"/>
    </row>
    <row r="628" ht="13.5" customHeight="1">
      <c r="B628" s="447"/>
    </row>
    <row r="629" ht="13.5" customHeight="1">
      <c r="B629" s="447"/>
    </row>
    <row r="630" ht="13.5" customHeight="1">
      <c r="B630" s="447"/>
    </row>
    <row r="631" ht="13.5" customHeight="1">
      <c r="B631" s="447"/>
    </row>
    <row r="632" ht="13.5" customHeight="1">
      <c r="B632" s="447"/>
    </row>
    <row r="633" ht="13.5" customHeight="1">
      <c r="B633" s="447"/>
    </row>
    <row r="634" ht="13.5" customHeight="1">
      <c r="B634" s="447"/>
    </row>
    <row r="635" ht="13.5" customHeight="1">
      <c r="B635" s="447"/>
    </row>
    <row r="636" ht="13.5" customHeight="1">
      <c r="B636" s="447"/>
    </row>
    <row r="637" ht="13.5" customHeight="1">
      <c r="B637" s="447"/>
    </row>
    <row r="638" ht="13.5" customHeight="1">
      <c r="B638" s="447"/>
    </row>
    <row r="639" ht="13.5" customHeight="1">
      <c r="B639" s="447"/>
    </row>
    <row r="640" ht="13.5" customHeight="1">
      <c r="B640" s="447"/>
    </row>
    <row r="641" ht="13.5" customHeight="1">
      <c r="B641" s="447"/>
    </row>
    <row r="642" ht="13.5" customHeight="1">
      <c r="B642" s="447"/>
    </row>
    <row r="643" ht="13.5" customHeight="1">
      <c r="B643" s="447"/>
    </row>
    <row r="644" ht="13.5" customHeight="1">
      <c r="B644" s="447"/>
    </row>
    <row r="645" ht="13.5" customHeight="1">
      <c r="B645" s="447"/>
    </row>
    <row r="646" ht="13.5" customHeight="1">
      <c r="B646" s="447"/>
    </row>
    <row r="647" ht="13.5" customHeight="1">
      <c r="B647" s="447"/>
    </row>
    <row r="648" ht="13.5" customHeight="1">
      <c r="B648" s="447"/>
    </row>
    <row r="649" ht="13.5" customHeight="1">
      <c r="B649" s="447"/>
    </row>
    <row r="650" ht="13.5" customHeight="1">
      <c r="B650" s="447"/>
    </row>
    <row r="651" ht="13.5" customHeight="1">
      <c r="B651" s="447"/>
    </row>
    <row r="652" ht="13.5" customHeight="1">
      <c r="B652" s="447"/>
    </row>
    <row r="653" ht="13.5" customHeight="1">
      <c r="B653" s="447"/>
    </row>
    <row r="654" ht="13.5" customHeight="1">
      <c r="B654" s="447"/>
    </row>
    <row r="655" ht="13.5" customHeight="1">
      <c r="B655" s="447"/>
    </row>
    <row r="656" ht="13.5" customHeight="1">
      <c r="B656" s="447"/>
    </row>
    <row r="657" ht="13.5" customHeight="1">
      <c r="B657" s="447"/>
    </row>
    <row r="658" ht="13.5" customHeight="1">
      <c r="B658" s="447"/>
    </row>
    <row r="659" ht="13.5" customHeight="1">
      <c r="B659" s="447"/>
    </row>
    <row r="660" ht="13.5" customHeight="1">
      <c r="B660" s="447"/>
    </row>
    <row r="661" ht="13.5" customHeight="1">
      <c r="B661" s="447"/>
    </row>
    <row r="662" ht="13.5" customHeight="1">
      <c r="B662" s="447"/>
    </row>
    <row r="663" ht="13.5" customHeight="1">
      <c r="B663" s="447"/>
    </row>
    <row r="664" ht="13.5" customHeight="1">
      <c r="B664" s="447"/>
    </row>
    <row r="665" ht="13.5" customHeight="1">
      <c r="B665" s="447"/>
    </row>
    <row r="666" ht="13.5" customHeight="1">
      <c r="B666" s="447"/>
    </row>
    <row r="667" ht="13.5" customHeight="1">
      <c r="B667" s="447"/>
    </row>
    <row r="668" ht="13.5" customHeight="1">
      <c r="B668" s="447"/>
    </row>
    <row r="669" ht="13.5" customHeight="1">
      <c r="B669" s="447"/>
    </row>
    <row r="670" ht="13.5" customHeight="1">
      <c r="B670" s="447"/>
    </row>
    <row r="671" ht="13.5" customHeight="1">
      <c r="B671" s="447"/>
    </row>
    <row r="672" ht="13.5" customHeight="1">
      <c r="B672" s="447"/>
    </row>
    <row r="673" ht="13.5" customHeight="1">
      <c r="B673" s="447"/>
    </row>
    <row r="674" ht="13.5" customHeight="1">
      <c r="B674" s="447"/>
    </row>
    <row r="675" ht="13.5" customHeight="1">
      <c r="B675" s="447"/>
    </row>
    <row r="676" ht="13.5" customHeight="1">
      <c r="B676" s="447"/>
    </row>
    <row r="677" ht="13.5" customHeight="1">
      <c r="B677" s="447"/>
    </row>
    <row r="678" ht="13.5" customHeight="1">
      <c r="B678" s="447"/>
    </row>
    <row r="679" ht="13.5" customHeight="1">
      <c r="B679" s="447"/>
    </row>
    <row r="680" ht="13.5" customHeight="1">
      <c r="B680" s="447"/>
    </row>
    <row r="681" ht="13.5" customHeight="1">
      <c r="B681" s="447"/>
    </row>
    <row r="682" ht="13.5" customHeight="1">
      <c r="B682" s="447"/>
    </row>
    <row r="683" ht="13.5" customHeight="1">
      <c r="B683" s="447"/>
    </row>
    <row r="684" ht="13.5" customHeight="1">
      <c r="B684" s="447"/>
    </row>
    <row r="685" ht="13.5" customHeight="1">
      <c r="B685" s="447"/>
    </row>
    <row r="686" ht="13.5" customHeight="1">
      <c r="B686" s="447"/>
    </row>
    <row r="687" ht="13.5" customHeight="1">
      <c r="B687" s="447"/>
    </row>
    <row r="688" ht="13.5" customHeight="1">
      <c r="B688" s="447"/>
    </row>
    <row r="689" ht="13.5" customHeight="1">
      <c r="B689" s="447"/>
    </row>
    <row r="690" ht="13.5" customHeight="1">
      <c r="B690" s="447"/>
    </row>
    <row r="691" ht="13.5" customHeight="1">
      <c r="B691" s="447"/>
    </row>
    <row r="692" ht="13.5" customHeight="1">
      <c r="B692" s="447"/>
    </row>
  </sheetData>
  <mergeCells count="17">
    <mergeCell ref="A5:A6"/>
    <mergeCell ref="B5:B6"/>
    <mergeCell ref="C5:C6"/>
    <mergeCell ref="D5:D6"/>
    <mergeCell ref="E5:E6"/>
    <mergeCell ref="F5:F6"/>
    <mergeCell ref="G5:G6"/>
    <mergeCell ref="M26:M28"/>
    <mergeCell ref="M30:M31"/>
    <mergeCell ref="B50:K50"/>
    <mergeCell ref="H5:H6"/>
    <mergeCell ref="I5:I6"/>
    <mergeCell ref="J5:J6"/>
    <mergeCell ref="K5:K6"/>
    <mergeCell ref="L5:L6"/>
    <mergeCell ref="M14:M16"/>
    <mergeCell ref="M18:M2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52.38"/>
  </cols>
  <sheetData>
    <row r="1">
      <c r="A1" s="510"/>
      <c r="B1" s="94"/>
      <c r="C1" s="94"/>
      <c r="D1" s="94"/>
      <c r="E1" s="94"/>
      <c r="F1" s="95"/>
    </row>
    <row r="2">
      <c r="A2" s="511" t="s">
        <v>952</v>
      </c>
      <c r="B2" s="512" t="s">
        <v>953</v>
      </c>
      <c r="C2" s="513" t="s">
        <v>954</v>
      </c>
      <c r="D2" s="514" t="s">
        <v>955</v>
      </c>
      <c r="E2" s="514" t="s">
        <v>956</v>
      </c>
      <c r="F2" s="514" t="s">
        <v>957</v>
      </c>
    </row>
    <row r="3">
      <c r="A3" s="515">
        <v>1.0</v>
      </c>
      <c r="B3" s="516" t="s">
        <v>958</v>
      </c>
      <c r="C3" s="515">
        <v>25.44</v>
      </c>
      <c r="D3" s="517" t="s">
        <v>959</v>
      </c>
      <c r="E3" s="518"/>
      <c r="F3" s="518"/>
    </row>
    <row r="4">
      <c r="A4" s="515">
        <v>2.0</v>
      </c>
      <c r="B4" s="516" t="s">
        <v>960</v>
      </c>
      <c r="C4" s="515">
        <v>5.5</v>
      </c>
      <c r="D4" s="517" t="s">
        <v>959</v>
      </c>
      <c r="E4" s="518"/>
      <c r="F4" s="518"/>
    </row>
    <row r="5">
      <c r="A5" s="515">
        <v>3.0</v>
      </c>
      <c r="B5" s="516" t="s">
        <v>961</v>
      </c>
      <c r="C5" s="515">
        <v>7.0</v>
      </c>
      <c r="D5" s="517" t="s">
        <v>959</v>
      </c>
      <c r="E5" s="518"/>
      <c r="F5" s="518"/>
    </row>
    <row r="6">
      <c r="A6" s="515">
        <v>4.0</v>
      </c>
      <c r="B6" s="516" t="s">
        <v>962</v>
      </c>
      <c r="C6" s="515">
        <v>35.0</v>
      </c>
      <c r="D6" s="517" t="s">
        <v>959</v>
      </c>
      <c r="E6" s="518"/>
      <c r="F6" s="518"/>
    </row>
    <row r="7">
      <c r="A7" s="515">
        <v>5.0</v>
      </c>
      <c r="B7" s="516" t="s">
        <v>963</v>
      </c>
      <c r="C7" s="515">
        <v>2.0</v>
      </c>
      <c r="D7" s="517" t="s">
        <v>959</v>
      </c>
      <c r="E7" s="518"/>
      <c r="F7" s="518"/>
    </row>
    <row r="8">
      <c r="A8" s="515">
        <v>6.0</v>
      </c>
      <c r="B8" s="516" t="s">
        <v>964</v>
      </c>
      <c r="C8" s="515">
        <v>14.0</v>
      </c>
      <c r="D8" s="517" t="s">
        <v>959</v>
      </c>
      <c r="E8" s="518"/>
      <c r="F8" s="518"/>
    </row>
    <row r="9">
      <c r="A9" s="515">
        <v>7.0</v>
      </c>
      <c r="B9" s="516" t="s">
        <v>965</v>
      </c>
      <c r="C9" s="515">
        <v>12.0</v>
      </c>
      <c r="D9" s="517" t="s">
        <v>959</v>
      </c>
      <c r="E9" s="518"/>
      <c r="F9" s="518"/>
    </row>
    <row r="10">
      <c r="A10" s="515">
        <v>8.0</v>
      </c>
      <c r="B10" s="516" t="s">
        <v>966</v>
      </c>
      <c r="C10" s="515">
        <v>34.0</v>
      </c>
      <c r="D10" s="517" t="s">
        <v>959</v>
      </c>
      <c r="E10" s="518"/>
      <c r="F10" s="518"/>
    </row>
    <row r="11">
      <c r="A11" s="515">
        <v>9.0</v>
      </c>
      <c r="B11" s="516" t="s">
        <v>967</v>
      </c>
      <c r="C11" s="515">
        <v>7.0</v>
      </c>
      <c r="D11" s="517" t="s">
        <v>959</v>
      </c>
      <c r="E11" s="518"/>
      <c r="F11" s="518"/>
    </row>
    <row r="12">
      <c r="A12" s="515">
        <v>10.0</v>
      </c>
      <c r="B12" s="516" t="s">
        <v>968</v>
      </c>
      <c r="C12" s="515">
        <v>1.63</v>
      </c>
      <c r="D12" s="517" t="s">
        <v>959</v>
      </c>
      <c r="E12" s="518"/>
      <c r="F12" s="518"/>
    </row>
    <row r="13">
      <c r="A13" s="515">
        <v>11.0</v>
      </c>
      <c r="B13" s="516" t="s">
        <v>969</v>
      </c>
      <c r="C13" s="515">
        <v>2.0</v>
      </c>
      <c r="D13" s="517" t="s">
        <v>959</v>
      </c>
      <c r="E13" s="518"/>
      <c r="F13" s="518"/>
    </row>
    <row r="14">
      <c r="A14" s="515">
        <v>12.0</v>
      </c>
      <c r="B14" s="516" t="s">
        <v>970</v>
      </c>
      <c r="C14" s="515">
        <v>21.0</v>
      </c>
      <c r="D14" s="517" t="s">
        <v>959</v>
      </c>
      <c r="E14" s="518"/>
      <c r="F14" s="518"/>
    </row>
    <row r="15">
      <c r="A15" s="515">
        <v>13.0</v>
      </c>
      <c r="B15" s="516" t="s">
        <v>971</v>
      </c>
      <c r="C15" s="515">
        <v>10.5</v>
      </c>
      <c r="D15" s="517" t="s">
        <v>959</v>
      </c>
      <c r="E15" s="518"/>
      <c r="F15" s="518"/>
    </row>
    <row r="16">
      <c r="A16" s="515">
        <v>14.0</v>
      </c>
      <c r="B16" s="516" t="s">
        <v>972</v>
      </c>
      <c r="C16" s="515">
        <v>11.25</v>
      </c>
      <c r="D16" s="517" t="s">
        <v>959</v>
      </c>
      <c r="E16" s="518"/>
      <c r="F16" s="518"/>
    </row>
    <row r="17">
      <c r="A17" s="515">
        <v>15.0</v>
      </c>
      <c r="B17" s="516" t="s">
        <v>973</v>
      </c>
      <c r="C17" s="515">
        <v>4.0</v>
      </c>
      <c r="D17" s="517" t="s">
        <v>959</v>
      </c>
      <c r="E17" s="518"/>
      <c r="F17" s="518"/>
    </row>
    <row r="18">
      <c r="A18" s="515">
        <v>16.0</v>
      </c>
      <c r="B18" s="516" t="s">
        <v>974</v>
      </c>
      <c r="C18" s="515">
        <v>7.5</v>
      </c>
      <c r="D18" s="517" t="s">
        <v>959</v>
      </c>
      <c r="E18" s="518"/>
      <c r="F18" s="518"/>
    </row>
    <row r="19">
      <c r="A19" s="519"/>
      <c r="B19" s="520" t="s">
        <v>810</v>
      </c>
      <c r="C19" s="519"/>
      <c r="D19" s="519"/>
      <c r="E19" s="519"/>
      <c r="F19" s="519"/>
    </row>
    <row r="20">
      <c r="A20" s="515">
        <v>17.0</v>
      </c>
      <c r="B20" s="516" t="s">
        <v>975</v>
      </c>
      <c r="C20" s="515">
        <v>2.0</v>
      </c>
      <c r="D20" s="517" t="s">
        <v>976</v>
      </c>
      <c r="E20" s="518"/>
      <c r="F20" s="518"/>
    </row>
    <row r="21">
      <c r="A21" s="521">
        <v>18.0</v>
      </c>
      <c r="B21" s="516" t="s">
        <v>977</v>
      </c>
      <c r="C21" s="521">
        <v>5.0</v>
      </c>
      <c r="D21" s="522" t="s">
        <v>976</v>
      </c>
      <c r="E21" s="522"/>
      <c r="F21" s="522"/>
    </row>
    <row r="22">
      <c r="A22" s="515">
        <v>19.0</v>
      </c>
      <c r="B22" s="516" t="s">
        <v>978</v>
      </c>
      <c r="C22" s="515">
        <v>1.0</v>
      </c>
      <c r="D22" s="517" t="s">
        <v>976</v>
      </c>
      <c r="E22" s="518"/>
      <c r="F22" s="518"/>
    </row>
    <row r="23">
      <c r="A23" s="515">
        <v>20.0</v>
      </c>
      <c r="B23" s="516" t="s">
        <v>979</v>
      </c>
      <c r="C23" s="515">
        <v>1.0</v>
      </c>
      <c r="D23" s="517" t="s">
        <v>976</v>
      </c>
      <c r="E23" s="518"/>
      <c r="F23" s="518"/>
    </row>
    <row r="24">
      <c r="A24" s="515">
        <v>21.0</v>
      </c>
      <c r="B24" s="516" t="s">
        <v>980</v>
      </c>
      <c r="C24" s="515">
        <v>1.0</v>
      </c>
      <c r="D24" s="517" t="s">
        <v>976</v>
      </c>
      <c r="E24" s="518"/>
      <c r="F24" s="518"/>
    </row>
    <row r="25">
      <c r="A25" s="515">
        <v>22.0</v>
      </c>
      <c r="B25" s="516" t="s">
        <v>981</v>
      </c>
      <c r="C25" s="515">
        <v>1.0</v>
      </c>
      <c r="D25" s="517" t="s">
        <v>976</v>
      </c>
      <c r="E25" s="518"/>
      <c r="F25" s="518"/>
    </row>
    <row r="26">
      <c r="A26" s="515">
        <v>23.0</v>
      </c>
      <c r="B26" s="516" t="s">
        <v>982</v>
      </c>
      <c r="C26" s="515">
        <v>1.0</v>
      </c>
      <c r="D26" s="517" t="s">
        <v>976</v>
      </c>
      <c r="E26" s="518"/>
      <c r="F26" s="518"/>
    </row>
    <row r="27">
      <c r="A27" s="523"/>
      <c r="B27" s="524"/>
      <c r="C27" s="523"/>
      <c r="D27" s="523"/>
      <c r="E27" s="523"/>
      <c r="F27" s="523"/>
    </row>
    <row r="28">
      <c r="A28" s="523"/>
      <c r="B28" s="525" t="s">
        <v>806</v>
      </c>
      <c r="C28" s="523"/>
      <c r="D28" s="523"/>
      <c r="E28" s="523"/>
      <c r="F28" s="514"/>
    </row>
    <row r="29">
      <c r="A29" s="523"/>
      <c r="B29" s="524"/>
      <c r="C29" s="523"/>
      <c r="D29" s="523"/>
      <c r="E29" s="523"/>
      <c r="F29" s="523"/>
    </row>
    <row r="30">
      <c r="A30" s="526" t="s">
        <v>983</v>
      </c>
      <c r="B30" s="94"/>
      <c r="C30" s="94"/>
      <c r="D30" s="94"/>
      <c r="E30" s="94"/>
      <c r="F30" s="95"/>
    </row>
    <row r="31">
      <c r="A31" s="515">
        <v>1.0</v>
      </c>
      <c r="B31" s="527" t="s">
        <v>984</v>
      </c>
      <c r="C31" s="94"/>
      <c r="D31" s="94"/>
      <c r="E31" s="94"/>
      <c r="F31" s="95"/>
    </row>
    <row r="32">
      <c r="A32" s="515">
        <v>2.0</v>
      </c>
      <c r="B32" s="527" t="s">
        <v>985</v>
      </c>
      <c r="C32" s="94"/>
      <c r="D32" s="94"/>
      <c r="E32" s="94"/>
      <c r="F32" s="95"/>
    </row>
    <row r="33">
      <c r="A33" s="515">
        <v>3.0</v>
      </c>
      <c r="B33" s="527" t="s">
        <v>986</v>
      </c>
      <c r="C33" s="94"/>
      <c r="D33" s="94"/>
      <c r="E33" s="94"/>
      <c r="F33" s="95"/>
    </row>
    <row r="34">
      <c r="A34" s="518">
        <v>4.0</v>
      </c>
      <c r="B34" s="527" t="s">
        <v>987</v>
      </c>
      <c r="C34" s="94"/>
      <c r="D34" s="94"/>
      <c r="E34" s="94"/>
      <c r="F34" s="95"/>
    </row>
    <row r="35">
      <c r="A35" s="518">
        <v>5.0</v>
      </c>
      <c r="B35" s="527" t="s">
        <v>988</v>
      </c>
      <c r="C35" s="94"/>
      <c r="D35" s="94"/>
      <c r="E35" s="94"/>
      <c r="F35" s="95"/>
    </row>
    <row r="36">
      <c r="A36" s="518">
        <v>6.0</v>
      </c>
      <c r="B36" s="527" t="s">
        <v>989</v>
      </c>
      <c r="C36" s="94"/>
      <c r="D36" s="94"/>
      <c r="E36" s="94"/>
      <c r="F36" s="95"/>
    </row>
    <row r="37">
      <c r="A37" s="518">
        <v>7.0</v>
      </c>
      <c r="B37" s="527"/>
      <c r="C37" s="94"/>
      <c r="D37" s="94"/>
      <c r="E37" s="94"/>
      <c r="F37" s="95"/>
    </row>
    <row r="38">
      <c r="A38" s="510"/>
      <c r="B38" s="528"/>
      <c r="C38" s="94"/>
      <c r="D38" s="94"/>
      <c r="E38" s="94"/>
      <c r="F38" s="95"/>
    </row>
    <row r="39">
      <c r="A39" s="529"/>
      <c r="B39" s="94"/>
      <c r="C39" s="94"/>
      <c r="D39" s="94"/>
      <c r="E39" s="94"/>
      <c r="F39" s="94"/>
    </row>
    <row r="40">
      <c r="A40" s="526"/>
      <c r="B40" s="94"/>
      <c r="C40" s="94"/>
      <c r="D40" s="94"/>
      <c r="E40" s="94"/>
      <c r="F40" s="94"/>
    </row>
    <row r="41">
      <c r="A41" s="518"/>
      <c r="B41" s="527"/>
      <c r="C41" s="94"/>
      <c r="D41" s="94"/>
      <c r="E41" s="94"/>
      <c r="F41" s="95"/>
    </row>
    <row r="42">
      <c r="A42" s="518"/>
      <c r="B42" s="527"/>
      <c r="C42" s="94"/>
      <c r="D42" s="94"/>
      <c r="E42" s="94"/>
      <c r="F42" s="95"/>
    </row>
    <row r="43">
      <c r="A43" s="518"/>
      <c r="B43" s="527"/>
      <c r="C43" s="94"/>
      <c r="D43" s="94"/>
      <c r="E43" s="94"/>
      <c r="F43" s="95"/>
    </row>
    <row r="44">
      <c r="A44" s="518"/>
      <c r="B44" s="527"/>
      <c r="C44" s="94"/>
      <c r="D44" s="94"/>
      <c r="E44" s="94"/>
      <c r="F44" s="95"/>
    </row>
    <row r="45">
      <c r="A45" s="518"/>
      <c r="B45" s="527"/>
      <c r="C45" s="94"/>
      <c r="D45" s="94"/>
      <c r="E45" s="94"/>
      <c r="F45" s="95"/>
    </row>
    <row r="46">
      <c r="A46" s="518"/>
      <c r="B46" s="527"/>
      <c r="C46" s="94"/>
      <c r="D46" s="94"/>
      <c r="E46" s="94"/>
      <c r="F46" s="95"/>
    </row>
    <row r="47">
      <c r="A47" s="518"/>
      <c r="B47" s="527"/>
      <c r="C47" s="94"/>
      <c r="D47" s="94"/>
      <c r="E47" s="94"/>
      <c r="F47" s="95"/>
    </row>
    <row r="48">
      <c r="A48" s="518"/>
      <c r="B48" s="527"/>
      <c r="C48" s="94"/>
      <c r="D48" s="94"/>
      <c r="E48" s="94"/>
      <c r="F48" s="95"/>
    </row>
    <row r="49">
      <c r="A49" s="518"/>
      <c r="B49" s="527"/>
      <c r="C49" s="94"/>
      <c r="D49" s="94"/>
      <c r="E49" s="94"/>
      <c r="F49" s="95"/>
    </row>
    <row r="50">
      <c r="A50" s="518"/>
      <c r="B50" s="527"/>
      <c r="C50" s="94"/>
      <c r="D50" s="94"/>
      <c r="E50" s="94"/>
      <c r="F50" s="95"/>
    </row>
    <row r="51">
      <c r="A51" s="530"/>
      <c r="B51" s="95"/>
    </row>
    <row r="52">
      <c r="A52" s="526"/>
      <c r="B52" s="95"/>
    </row>
    <row r="53">
      <c r="B53" s="22"/>
    </row>
    <row r="54">
      <c r="B54" s="22"/>
    </row>
    <row r="55">
      <c r="B55" s="22"/>
    </row>
    <row r="56">
      <c r="B56" s="22"/>
    </row>
    <row r="57">
      <c r="B57" s="22"/>
    </row>
    <row r="58">
      <c r="B58" s="22"/>
    </row>
    <row r="59">
      <c r="B59" s="22"/>
    </row>
    <row r="60">
      <c r="B60" s="22"/>
    </row>
    <row r="61">
      <c r="B61" s="22"/>
    </row>
    <row r="62">
      <c r="B62" s="22"/>
    </row>
    <row r="63">
      <c r="B63" s="22"/>
    </row>
    <row r="64">
      <c r="B64" s="22"/>
    </row>
    <row r="65">
      <c r="B65" s="22"/>
    </row>
    <row r="66">
      <c r="B66" s="22"/>
    </row>
    <row r="67">
      <c r="B67" s="22"/>
    </row>
    <row r="68">
      <c r="B68" s="22"/>
    </row>
    <row r="69">
      <c r="B69" s="22"/>
    </row>
    <row r="70">
      <c r="B70" s="22"/>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sheetData>
  <mergeCells count="24">
    <mergeCell ref="A1:F1"/>
    <mergeCell ref="A30:F30"/>
    <mergeCell ref="B31:F31"/>
    <mergeCell ref="B32:F32"/>
    <mergeCell ref="B33:F33"/>
    <mergeCell ref="B34:F34"/>
    <mergeCell ref="B35:F35"/>
    <mergeCell ref="B36:F36"/>
    <mergeCell ref="B37:F37"/>
    <mergeCell ref="B38:F38"/>
    <mergeCell ref="A39:F39"/>
    <mergeCell ref="A40:F40"/>
    <mergeCell ref="B41:F41"/>
    <mergeCell ref="B42:F42"/>
    <mergeCell ref="B50:F50"/>
    <mergeCell ref="A51:B51"/>
    <mergeCell ref="A52:B52"/>
    <mergeCell ref="B43:F43"/>
    <mergeCell ref="B44:F44"/>
    <mergeCell ref="B45:F45"/>
    <mergeCell ref="B46:F46"/>
    <mergeCell ref="B47:F47"/>
    <mergeCell ref="B48:F48"/>
    <mergeCell ref="B49:F49"/>
  </mergeCells>
  <drawing r:id="rId1"/>
</worksheet>
</file>